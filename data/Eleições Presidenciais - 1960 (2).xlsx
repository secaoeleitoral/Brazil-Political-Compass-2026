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ção" sheetId="1" r:id="rId5"/>
    <sheet state="visible" name="Amazonas" sheetId="2" r:id="rId6"/>
    <sheet state="visible" name="Pará" sheetId="3" r:id="rId7"/>
    <sheet state="visible" name="Maranhão ()" sheetId="4" r:id="rId8"/>
    <sheet state="visible" name="Piauí" sheetId="5" r:id="rId9"/>
    <sheet state="visible" name="Ceará" sheetId="6" r:id="rId10"/>
    <sheet state="visible" name="Rio Grande do Norte" sheetId="7" r:id="rId11"/>
    <sheet state="visible" name="Paraíba" sheetId="8" r:id="rId12"/>
    <sheet state="visible" name="Pernambuco" sheetId="9" r:id="rId13"/>
    <sheet state="visible" name="Alagoas" sheetId="10" r:id="rId14"/>
    <sheet state="visible" name="Sergipe" sheetId="11" r:id="rId15"/>
    <sheet state="visible" name="Bahia" sheetId="12" r:id="rId16"/>
    <sheet state="visible" name="Mato Grosso" sheetId="13" r:id="rId17"/>
    <sheet state="visible" name="Goiás" sheetId="14" r:id="rId18"/>
    <sheet state="visible" name="Rio Grande do Sul" sheetId="15" r:id="rId19"/>
    <sheet state="visible" name="Santa Catarina" sheetId="16" r:id="rId20"/>
    <sheet state="visible" name="Paraná" sheetId="17" r:id="rId21"/>
    <sheet state="visible" name="Espírito Santo" sheetId="18" r:id="rId22"/>
    <sheet state="visible" name="Rio de Janeiro" sheetId="19" r:id="rId23"/>
    <sheet state="visible" name="São Paulo" sheetId="20" r:id="rId24"/>
    <sheet state="visible" name="Minas Gerais" sheetId="21" r:id="rId25"/>
    <sheet state="visible" name="Territórios &amp; DF" sheetId="22" r:id="rId26"/>
    <sheet state="visible" name="SP &amp; GB" sheetId="23" r:id="rId27"/>
    <sheet state="visible" name="Resultados Globais" sheetId="24" r:id="rId2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tc={1df2b40d-f28a-47be-bd27-d2fe2da099fc}</author>
    <author>tc={219fd1f8-d5a6-4795-89eb-4511952dcd1b}</author>
    <author>tc={2a357930-b8fb-4aad-a71b-9a32ec7da76a}</author>
    <author>tc={47e2fd8d-62da-4f41-b20d-a043157769ca}</author>
    <author>tc={47f1e7c6-3877-4eef-938d-8f11fda3affa}</author>
    <author>tc={4dcba5d3-0cc3-4ccb-9439-ab5b8fb97169}</author>
    <author>tc={a8df17b1-b091-4df5-82ef-7aba47016d3a}</author>
    <author>tc={b37f3bfd-5583-4bc9-9d3d-72a89d8532ce}</author>
    <author>tc={bd749b38-0259-40d7-986f-4859afaa74bb}</author>
    <author>tc={beb5e8d7-c28f-4107-b522-a005b93bfa1d}</author>
    <author>tc={d12343e7-9866-4594-aa7d-58199cf41c35}</author>
    <author>tc={fa813151-4ac8-44f4-9279-b2947de970cd}</author>
  </authors>
  <commentList>
    <comment authorId="0" xr:uid="{1df2b40d-f28a-47be-bd27-d2fe2da099fc}" ref="A1">
      <text>
        <t xml:space="preserve">[Threaded comment]
 Your version of Excel allows you to read this threaded comment; however, any edits to it will get removed if the file is opened in a newer version of Excel. Learn more: https://go.microsoft.com/fwlink/?linkid=870924
Comment:
	Há uma leve diferença destes dados para com os apresentados nos Dados Estatísticos: 7º Vol. do TSE (https://bibliotecadigital.tse.jus.br/xmlui/handle/bdtse/5302), este que excluem os votos da 41ª zona eleitoral: 35.773 votos configuram para Milton Campos, ao passo que 61.966 configuram para Fernando Ferrari.
</t>
      </text>
    </comment>
    <comment authorId="1" xr:uid="{219fd1f8-d5a6-4795-89eb-4511952dcd1b}" ref="A1">
      <text>
        <t xml:space="preserve">[Threaded comment]
 Your version of Excel allows you to read this threaded comment; however, any edits to it will get removed if the file is opened in a newer version of Excel. Learn more: https://go.microsoft.com/fwlink/?linkid=870924
Comment:
	Foram erroneamente calculados os votos totais de Ferrari e Milton no documento do TSE, criando uma divergência entre estes e os dados da planilha. Curiosamente, o desbalanceio não alterou o número total de votantes.
</t>
      </text>
    </comment>
    <comment authorId="2" xr:uid="{2a357930-b8fb-4aad-a71b-9a32ec7da76a}" ref="A1">
      <text>
        <t xml:space="preserve">[Threaded comment]
 Your version of Excel allows you to read this threaded comment; however, any edits to it will get removed if the file is opened in a newer version of Excel. Learn more: https://go.microsoft.com/fwlink/?linkid=870924
Comment:
	Réplica da observação presente no documento do TSE: O TRE da Bahia, à época da eleição de 3.10.60, comunicou que o total de eleitores aptos a votar era de 943.317, cifra que já consta de várias publicações dêste Tribunal. Em ofício nº 227, de 10.5.62, declara ser mencionado total de apenas 930.875 eleitores.
</t>
      </text>
    </comment>
    <comment authorId="3" xr:uid="{47e2fd8d-62da-4f41-b20d-a043157769ca}" ref="A1">
      <text>
        <t xml:space="preserve">[Threaded comment]
 Your version of Excel allows you to read this threaded comment; however, any edits to it will get removed if the file is opened in a newer version of Excel. Learn more: https://go.microsoft.com/fwlink/?linkid=870924
Comment:
	A página 37 do documento do TSE está cortada, ocultando o eleitorado dos municípios da 38ª (a partir de Cajapió) até a 50ª zona eleitoral, incluindo dos municípios com as votações englobadas. Não foram localizados, até o momento, os dados em fontes secundárias.
</t>
      </text>
    </comment>
    <comment authorId="4" xr:uid="{47f1e7c6-3877-4eef-938d-8f11fda3affa}" ref="A1">
      <text>
        <t xml:space="preserve">[Threaded comment]
 Your version of Excel allows you to read this threaded comment; however, any edits to it will get removed if the file is opened in a newer version of Excel. Learn more: https://go.microsoft.com/fwlink/?linkid=870924
Comment:
	- Walpés e Benjamin Constant tiveram suas votações anuladas no computo final do TSE, apesar de existirem votações em jornais da época.
Reply:
	Marcado como resuelto
Reply:
	Reabierto
</t>
      </text>
    </comment>
    <comment authorId="5" xr:uid="{4dcba5d3-0cc3-4ccb-9439-ab5b8fb97169}" ref="A1">
      <text>
        <t xml:space="preserve">[Threaded comment]
 Your version of Excel allows you to read this threaded comment; however, any edits to it will get removed if the file is opened in a newer version of Excel. Learn more: https://go.microsoft.com/fwlink/?linkid=870924
Comment:
	Os dados totais (sem considerar a 41ª ZE) e da capital São Luís correspondem aos presentes na documentação do TRE-MA (https://www.justicaeleitoral.jus.br/++theme++justica_eleitoral/pdfjs/web/viewer.html?file=https://www.justicaeleitoral.jus.br/arquivos/tre-ma-informacoes-das-eleicoes-1945-a-1962/@@download/file/TRE-MA-informacoes-das-eleicoes-1945-a-1962.pdf).
</t>
      </text>
    </comment>
    <comment authorId="6" xr:uid="{a8df17b1-b091-4df5-82ef-7aba47016d3a}" ref="A1">
      <text>
        <t xml:space="preserve">[Threaded comment]
 Your version of Excel allows you to read this threaded comment; however, any edits to it will get removed if the file is opened in a newer version of Excel. Learn more: https://go.microsoft.com/fwlink/?linkid=870924
Comment:
	Nos Dados Estatísticos: 7º Vol. do TSE (https://bibliotecadigital.tse.jus.br/xmlui/handle/bdtse/5302), consta-se 34.720 votos à Milton Campos, com todos os outros valores (votos nominais e eleitorado) estando de acordo.
</t>
      </text>
    </comment>
    <comment authorId="7" xr:uid="{b37f3bfd-5583-4bc9-9d3d-72a89d8532ce}" ref="A1">
      <text>
        <t xml:space="preserve">[Threaded comment]
 Your version of Excel allows you to read this threaded comment; however, any edits to it will get removed if the file is opened in a newer version of Excel. Learn more: https://go.microsoft.com/fwlink/?linkid=870924
Comment:
	Nos Dados Estatísticos: 7º Vol. do TSE (https://bibliotecadigital.tse.jus.br/xmlui/handle/bdtse/5302), consta-se um eleitorado de 278.087 pessoas e 83.466 votos à Milton Campos, com todos os outros votos nominais estando de acordo.
</t>
      </text>
    </comment>
    <comment authorId="8" xr:uid="{bd749b38-0259-40d7-986f-4859afaa74bb}" ref="A1">
      <text>
        <t xml:space="preserve">[Threaded comment]
 Your version of Excel allows you to read this threaded comment; however, any edits to it will get removed if the file is opened in a newer version of Excel. Learn more: https://go.microsoft.com/fwlink/?linkid=870924
Comment:
	Votos nominais de acordo com os Dados Estatísticos: 7º Vol. do TSE (https://bibliotecadigital.tse.jus.br/xmlui/handle/bdtse/5302). O número assinalado do eleitorado 943.317 -- diferença esta explanada na observação à seguir.
</t>
      </text>
    </comment>
    <comment authorId="9" xr:uid="{beb5e8d7-c28f-4107-b522-a005b93bfa1d}" ref="A1">
      <text>
        <t xml:space="preserve">[Threaded comment]
 Your version of Excel allows you to read this threaded comment; however, any edits to it will get removed if the file is opened in a newer version of Excel. Learn more: https://go.microsoft.com/fwlink/?linkid=870924
Comment:
	Votos nominais e eleitorado de acordo com os Dados Estatísticos: 7º Vol. do TSE (https://bibliotecadigital.tse.jus.br/xmlui/handle/bdtse/5302).
</t>
      </text>
    </comment>
    <comment authorId="10" xr:uid="{d12343e7-9866-4594-aa7d-58199cf41c35}" ref="A1">
      <text>
        <t xml:space="preserve">[Threaded comment]
 Your version of Excel allows you to read this threaded comment; however, any edits to it will get removed if the file is opened in a newer version of Excel. Learn more: https://go.microsoft.com/fwlink/?linkid=870924
Comment:
	Na edição do dia 7 de Outubro, o periódico "Jornal do Dia" exibiu resultados de várias urnas da primeira e segunda zona eleitoral da capital. Considerando que Jânio e Ferrari venceram na maioria delas com ligeira vantagem, é seguro considerar vitória de ambos nas duas zonas. (https://memoria.bn.br/DocReader/DocReader.aspx?bib=098230&amp;pesq=J%C3%A2nio%20Quadros%20Zona%20Resultados&amp;pasta=ano%20196&amp;hf=memoria.bn.br&amp;pagfis=42802). Já no caso de Canoas, não foi localizado até o momento nenhum vestígio do resultado por zona em fontes secundárias.
</t>
      </text>
    </comment>
    <comment authorId="11" xr:uid="{fa813151-4ac8-44f4-9279-b2947de970cd}" ref="A1">
      <text>
        <t xml:space="preserve">[Threaded comment]
 Your version of Excel allows you to read this threaded comment; however, any edits to it will get removed if the file is opened in a newer version of Excel. Learn more: https://go.microsoft.com/fwlink/?linkid=870924
Comment:
	Houve um estranho erro no registro do eleitorado no município de Almas que subestimou o seu valor, ficando menor que o número de votantes. Até o momento, não temos fontes secundárias para corrigir esse dado.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tc={0c789a8b-120e-42d6-9bd6-aec81f0e55b9}</author>
    <author>tc={560c4f1b-1e44-49c4-b818-cf690bad1dad}</author>
    <author>tc={5b90137b-9012-493f-afdd-8d5a689de31f}</author>
    <author>tc={87cd8ad9-3b87-411b-8044-3d0cac6b710f}</author>
    <author>tc={89a2c5d4-c38e-4572-9341-7f067a9328b0}</author>
    <author>tc={b4c8b67f-0c72-4dad-8797-180988d28697}</author>
    <author>tc={cfd12196-b3ff-41f3-bd33-318220458fda}</author>
    <author>tc={d531c69d-e841-404c-be22-9b30900a9b1a}</author>
    <author>tc={f2f60367-10c3-43ee-92bf-a03ba77d32fa}</author>
  </authors>
  <commentList>
    <comment authorId="0" ref="V33">
      <text>
        <t xml:space="preserve">Desregulação do total de votantes: +14 votos.</t>
      </text>
    </comment>
    <comment authorId="0" ref="V34">
      <text>
        <t xml:space="preserve">Desregulação do total de votantes: -14 votos.</t>
      </text>
    </comment>
    <comment authorId="0" ref="B58">
      <text>
        <t xml:space="preserve">Dados extraídos do documento do TSE, "Dados Estatísticos, Volume 5" (https://bibliotecadigital.tse.jus.br/xmlui/handle/bdtse/5308).</t>
      </text>
    </comment>
    <comment authorId="0" ref="B59">
      <text>
        <t xml:space="preserve">4 municípios amazonenses, todos emancipados em 1956, não constam no mapa de apuração do documento do TSE, sendo eles: Airão, Careiro, Santa Isabel do Rio Negro e Atalaia do Norte. Considera-se que as votações nessas cidades foram anexadas aos seus antigos municípios-sedes, uma vez que o mesmo expediente foi empregado no mapa de apuração do Mato Grosso deste documento.</t>
      </text>
    </comment>
    <comment authorId="0" ref="B60">
      <text>
        <t xml:space="preserve">Destaque para as imprecisões no eleitorado: A soma do eleitorado das duas zonas eleitorais de Manaus resulta em 50.580 eleitores, ao passo que a cifra registrada no documento do TSE acusa 50.577; Já no interior, a soma é de 41.298, enquanto no documento acusa-se 41.352 eleitores. No total do estado, o resultado é de 91.878, ao passo que no documento, assim como em outras fontes oficias, e 91.929. Para fins de registro, estão anotados aqui os valores impressos neste documento.</t>
      </text>
    </comment>
    <comment authorId="1" xr:uid="{0c789a8b-120e-42d6-9bd6-aec81f0e55b9}" ref="AB15">
      <text>
        <t xml:space="preserve">[Threaded comment]
 Your version of Excel allows you to read this threaded comment; however, any edits to it will get removed if the file is opened in a newer version of Excel. Learn more: https://go.microsoft.com/fwlink/?linkid=870924
Comment:
	Somando o eleitorado das duas zonas de Manaus, acusa-se a cifra de 50580 eleitores, 3 votos à mais do que registrado no documento do TSE. Ou houve erro no cálculo no documento ou o eleitorado das zonas foi anotado erroneamente.
</t>
      </text>
    </comment>
    <comment authorId="2" xr:uid="{560c4f1b-1e44-49c4-b818-cf690bad1dad}" ref="V33">
      <text>
        <t xml:space="preserve">[Threaded comment]
 Your version of Excel allows you to read this threaded comment; however, any edits to it will get removed if the file is opened in a newer version of Excel. Learn more: https://go.microsoft.com/fwlink/?linkid=870924
Comment:
	Desregulação do total de votantes: +14 votos.
</t>
      </text>
    </comment>
    <comment authorId="3" xr:uid="{5b90137b-9012-493f-afdd-8d5a689de31f}" ref="B60">
      <text>
        <t xml:space="preserve">[Threaded comment]
 Your version of Excel allows you to read this threaded comment; however, any edits to it will get removed if the file is opened in a newer version of Excel. Learn more: https://go.microsoft.com/fwlink/?linkid=870924
Comment:
	Destaque para as imprecisões no eleitorado: A soma do eleitorado das duas zonas eleitorais de Manaus resulta em 50.580 eleitores, ao passo que a cifra registrada no documento do TSE acusa 50.577; Já no interior, a soma é de 41.298, enquanto no documento acusa-se 41.352 eleitores. No total do estado, o resultado é de 91.878, ao passo que no documento, assim como em outras fontes oficias, e 91.929. Para fins de registro, estão anotados aqui os valores impressos neste documento.
</t>
      </text>
    </comment>
    <comment authorId="4" xr:uid="{87cd8ad9-3b87-411b-8044-3d0cac6b710f}" ref="B50">
      <text>
        <t xml:space="preserve">[Threaded comment]
 Your version of Excel allows you to read this threaded comment; however, any edits to it will get removed if the file is opened in a newer version of Excel. Learn more: https://go.microsoft.com/fwlink/?linkid=870924
Comment:
	Atual cidade de São Gabriel da Cachoeira.
Reply:
	Marcado como resuelto
Reply:
	Reabierto
</t>
      </text>
    </comment>
    <comment authorId="5" xr:uid="{89a2c5d4-c38e-4572-9341-7f067a9328b0}" ref="B58">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6" xr:uid="{b4c8b67f-0c72-4dad-8797-180988d28697}" ref="B60">
      <text>
        <t xml:space="preserve">[Threaded comment]
 Your version of Excel allows you to read this threaded comment; however, any edits to it will get removed if the file is opened in a newer version of Excel. Learn more: https://go.microsoft.com/fwlink/?linkid=870924
Comment:
	Votos nominais de acordo com os Dados Estatísticos: 7º Vol. do TSE (https://bibliotecadigital.tse.jus.br/xmlui/handle/bdtse/5302). Por algum motivo, as cifras dos eleitorais neste documento estão superestimadas em todas as eleições.
</t>
      </text>
    </comment>
    <comment authorId="7" xr:uid="{cfd12196-b3ff-41f3-bd33-318220458fda}" ref="B59">
      <text>
        <t xml:space="preserve">[Threaded comment]
 Your version of Excel allows you to read this threaded comment; however, any edits to it will get removed if the file is opened in a newer version of Excel. Learn more: https://go.microsoft.com/fwlink/?linkid=870924
Comment:
	4 municípios amazonenses, todos emancipados em 1956, não constam no mapa de apuração do documento do TSE, sendo eles: Airão, Careiro, Santa Isabel do Rio Negro e Atalaia do Norte. Considera-se que as votações nessas cidades foram anexadas aos seus antigos municípios-sedes, uma vez que o mesmo recurso foi empregado no mapa de apuração do Mato Grosso deste documento.
</t>
      </text>
    </comment>
    <comment authorId="8" xr:uid="{d531c69d-e841-404c-be22-9b30900a9b1a}" ref="V34">
      <text>
        <t xml:space="preserve">[Threaded comment]
 Your version of Excel allows you to read this threaded comment; however, any edits to it will get removed if the file is opened in a newer version of Excel. Learn more: https://go.microsoft.com/fwlink/?linkid=870924
Comment:
	Desregulação do total de votantes: -14 votos.
</t>
      </text>
    </comment>
    <comment authorId="9" xr:uid="{f2f60367-10c3-43ee-92bf-a03ba77d32fa}" ref="E8">
      <text>
        <t xml:space="preserve">[Threaded comment]
 Your version of Excel allows you to read this threaded comment; however, any edits to it will get removed if the file is opened in a newer version of Excel. Learn more: https://go.microsoft.com/fwlink/?linkid=870924
Comment:
	Japurá e Jutaí deram 100% dos votos válidos à Lott e Jango.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tc={02a4716a-fded-4de2-aaea-87a6b7e7ebaf}</author>
    <author>tc={08c6245a-bb14-43a6-aa04-b148af480bde}</author>
    <author>tc={36309721-4b37-48b2-adf4-42efc3dd4f2a}</author>
    <author>tc={792f2a38-b90f-47f9-af2c-a5444ff56bba}</author>
    <author>tc={f02b364d-0854-49ee-b0ad-9a8995143f25}</author>
  </authors>
  <commentList>
    <comment authorId="0" ref="B81">
      <text>
        <t xml:space="preserve">Dados extraídos do documento do TSE, "Dados Estatísticos, Volume 5" (https://bibliotecadigital.tse.jus.br/xmlui/handle/bdtse/5308).</t>
      </text>
    </comment>
    <comment authorId="0" ref="B82">
      <text>
        <t xml:space="preserve">Votação em Belém: A 4ª zona eleitoral da cidade compreende dois distritos da cidade: Icoaraci (distrito-sede) e a Ilha de Mosqueiro (listada como "Mosqueira" no documento). Por algum motivo, a votação da Ilha de Mosqueiro foi contada como município separado da capital no mapa de apuração no documento do TSE; aqui, as votações foram agregadas.</t>
      </text>
    </comment>
    <comment authorId="1" xr:uid="{02a4716a-fded-4de2-aaea-87a6b7e7ebaf}" ref="B82">
      <text>
        <t xml:space="preserve">[Threaded comment]
 Your version of Excel allows you to read this threaded comment; however, any edits to it will get removed if the file is opened in a newer version of Excel. Learn more: https://go.microsoft.com/fwlink/?linkid=870924
Comment:
	Votação em Belém: A 4ª zona eleitoral da cidade compreende dois distritos da cidade: Icoáraci (distrito-sede) e a Ilha de Mosqueiro (listada como "Mosqueira" no documento). Por algum motivo, a votação da Ilha de Mosqueiro foi contada como município separado da capital no mapa de apuração no documento do TSE; aqui, as votações foram agregadas.
</t>
      </text>
    </comment>
    <comment authorId="2" xr:uid="{08c6245a-bb14-43a6-aa04-b148af480bde}" ref="B82">
      <text>
        <t xml:space="preserve">[Threaded comment]
 Your version of Excel allows you to read this threaded comment; however, any edits to it will get removed if the file is opened in a newer version of Excel. Learn more: https://go.microsoft.com/fwlink/?linkid=870924
Comment:
	Os dados totais correspondem aos presentes na documentação do TRE-PA (https://www.justicaeleitoral.jus.br/++theme++justica_eleitoral/pdfjs/web/viewer.html?file=https://www.justicaeleitoral.jus.br/arquivos/tre-pa-resultado-das-eleicoes-gerais-no-para-1945/@@download/file/tre-pa-resultado-eleicoes-gerais-no-para-de-1945-a-2006.pdf)
</t>
      </text>
    </comment>
    <comment authorId="3" xr:uid="{36309721-4b37-48b2-adf4-42efc3dd4f2a}" ref="B81">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4" xr:uid="{792f2a38-b90f-47f9-af2c-a5444ff56bba}" ref="B81">
      <text>
        <t xml:space="preserve">[Threaded comment]
 Your version of Excel allows you to read this threaded comment; however, any edits to it will get removed if the file is opened in a newer version of Excel. Learn more: https://go.microsoft.com/fwlink/?linkid=870924
Comment:
	A Ilha de Mosqueiro, de Belém, foi listada como sendo um município autônomo, não sendo contabilizada na votação total da capital no documento do TSE, mesmo estando configurado, na época corrente, como distrito da cidade. Assim sendo, os dados de Mosqueiro foram adicionados à 4ª zona eleitoral de Belém.
</t>
      </text>
    </comment>
    <comment authorId="5" xr:uid="{f02b364d-0854-49ee-b0ad-9a8995143f25}" ref="B15">
      <text>
        <t xml:space="preserve">[Threaded comment]
 Your version of Excel allows you to read this threaded comment; however, any edits to it will get removed if the file is opened in a newer version of Excel. Learn more: https://go.microsoft.com/fwlink/?linkid=870924
Comment:
	Sede no distrito de Icoáraci.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tc={0b4e8f0b-bff6-4fb9-b9a1-31aa4fa28b72}</author>
    <author>tc={163ec52c-af01-4f82-83d0-64fafe40d284}</author>
    <author>tc={27236dee-d94e-4cf8-aa8a-57f4046f9bfd}</author>
    <author>tc={2d30ba06-fca9-453e-807d-5f2c2bf45ae1}</author>
    <author>tc={3cd1300c-a6d5-4abc-93f0-edb240d1230c}</author>
    <author>tc={88dd8242-36e4-4d60-9bf1-5755e9efc82d}</author>
    <author>tc={a415571d-7b8d-49b4-a918-529805a3f420}</author>
    <author>tc={ae00c8f7-14ed-4820-8d8d-8c037f915697}</author>
    <author>tc={e4909fab-0a32-4a26-af9b-be446ce5ab78}</author>
  </authors>
  <commentList>
    <comment authorId="0" ref="AB30">
      <text>
        <t xml:space="preserve">O terceiro algarismo ("2") está grafado incorretamente no documento do TSE.</t>
      </text>
    </comment>
    <comment authorId="0" ref="B109">
      <text>
        <t xml:space="preserve">Dados extraídos da cópia do documento do TSE, "Dados Estatísticos, Volume 5", presente no site do TRE-RJ, onde se encontram preservadas as páginas maculadas na cópia presente na Biblioteca Digital do TSE (https://apps.tre-rj.jus.br/site/jsp/visualizar_arquivo_token.jsp?idconteudo=120867&amp;idarquivo=103548&amp;token=SETXAH48SULW6DKI5567SQGLJMDTPA).</t>
      </text>
    </comment>
    <comment authorId="0" ref="B110">
      <text>
        <t xml:space="preserve">Réplica da observação presente no documento do TSE: "Os resultados referentes aos municípios pertencentes às 21ª, 45ª e 46ª Zonas [Barão de Grajaú, Penalva, Cajari, Monção e Presidente Dutra] se acham englobados, no final dêste quadro, em virtude de não haver o T.R.E. remetido os respectivos mapas totalizadores."
Não foram localizadas, até o momento, as votações separadas em fontes secundárias - salvo algumas parciais presentes nos jornais Pacotilha: O Globo do dia 06/10 (https://memoria.bn.gov.br/DocReader/DocReader.aspx?bib=123846&amp;Pesq=J%c3%a2nio%20Resultado&amp;pagfis=11315).</t>
      </text>
    </comment>
    <comment authorId="0" ref="B111">
      <text>
        <t xml:space="preserve">Réplica da observação presente no documento do TSE: "Não foi incluída no resultado geral do Estado a votação da Zona de Vitória do Mearim (41ª), por não ter sido enviada no devido tempo."
A de se destacar esse caso: todavia não foram contabilizadas nem pelo TRE-MA nem pelo TRE no resultado total nacional, essas votações puderam ser incluídas neste documento produzido posteriormente. Para fins de registro, foi reservada uma linha nesta página com os resultados do Estado e outra na página dos resultados globais com a votação da 41ª ZE inclusa em ambas.</t>
      </text>
    </comment>
    <comment authorId="1" xr:uid="{0b4e8f0b-bff6-4fb9-b9a1-31aa4fa28b72}" ref="AB30">
      <text>
        <t xml:space="preserve">[Threaded comment]
 Your version of Excel allows you to read this threaded comment; however, any edits to it will get removed if the file is opened in a newer version of Excel. Learn more: https://go.microsoft.com/fwlink/?linkid=870924
Comment:
	O terceiro algarismo ("2") está grafado incorretamente no documento do TSE.
</t>
      </text>
    </comment>
    <comment authorId="2" xr:uid="{163ec52c-af01-4f82-83d0-64fafe40d284}" ref="AB30">
      <text>
        <t xml:space="preserve">[Threaded comment]
 Your version of Excel allows you to read this threaded comment; however, any edits to it will get removed if the file is opened in a newer version of Excel. Learn more: https://go.microsoft.com/fwlink/?linkid=870924
Comment:
	Número ilegível.
</t>
      </text>
    </comment>
    <comment authorId="3" xr:uid="{27236dee-d94e-4cf8-aa8a-57f4046f9bfd}" ref="B111">
      <text>
        <t xml:space="preserve">[Threaded comment]
 Your version of Excel allows you to read this threaded comment; however, any edits to it will get removed if the file is opened in a newer version of Excel. Learn more: https://go.microsoft.com/fwlink/?linkid=870924
Comment:
	Réplica da observação presente no documento do TSE: Não foi incluída no resultado geral do Estado a votação da Zona de Vitória do Mearim (41ª), por não ter sido enviada no devido tempo.
A de se destacar esse caso: todavia não foram contabilizadas nem pelo TRE-MA nem pelo TRE no resultado total nacional, essas votações puderam ser incluídas neste documento produzido posteriormente. Para fins de registro, foi reservada uma linha nesta página com os resultados do Estado e outra na página dos resultados nacionais com a votação da 41ª ZE inclusa em ambas.
</t>
      </text>
    </comment>
    <comment authorId="4" xr:uid="{2d30ba06-fca9-453e-807d-5f2c2bf45ae1}" ref="B111">
      <text>
        <t xml:space="preserve">[Threaded comment]
 Your version of Excel allows you to read this threaded comment; however, any edits to it will get removed if the file is opened in a newer version of Excel. Learn more: https://go.microsoft.com/fwlink/?linkid=870924
Comment:
	A página 37 do documento do TSE está cortada, ocultando o eleitorado dos municípios da 38ª (a partir de Cajapió) até a 50ª zona eleitoral, incluindo dos municípios com as votações englobadas. Não foram localizados, até o momento, os dados em fontes secundárias.
</t>
      </text>
    </comment>
    <comment authorId="5" xr:uid="{3cd1300c-a6d5-4abc-93f0-edb240d1230c}" ref="G7">
      <text>
        <t xml:space="preserve">[Threaded comment]
 Your version of Excel allows you to read this threaded comment; however, any edits to it will get removed if the file is opened in a newer version of Excel. Learn more: https://go.microsoft.com/fwlink/?linkid=870924
Comment:
	João Goulart obteve 100% dos votos nos municípios de Duque Bacelar e Benedito Leite.
</t>
      </text>
    </comment>
    <comment authorId="6" xr:uid="{88dd8242-36e4-4d60-9bf1-5755e9efc82d}" ref="B110">
      <text>
        <t xml:space="preserve">[Threaded comment]
 Your version of Excel allows you to read this threaded comment; however, any edits to it will get removed if the file is opened in a newer version of Excel. Learn more: https://go.microsoft.com/fwlink/?linkid=870924
Comment:
	O TRE-MA não recebeu os mapas totalizadores dos municípios de Barão de Grajaú, Penalva, Cajari, Monção e Presidente Dutra, mantendo os dados englobados na totalização dos resultados enviados ao TSE. Não foram localizadas, por enquanto, as votações separadas em fontes secundárias.
Reply:
	Marcado como resuelto
Reply:
	Reabierto
</t>
      </text>
    </comment>
    <comment authorId="7" xr:uid="{a415571d-7b8d-49b4-a918-529805a3f420}" ref="B109">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8" xr:uid="{ae00c8f7-14ed-4820-8d8d-8c037f915697}" ref="B110">
      <text>
        <t xml:space="preserve">[Threaded comment]
 Your version of Excel allows you to read this threaded comment; however, any edits to it will get removed if the file is opened in a newer version of Excel. Learn more: https://go.microsoft.com/fwlink/?linkid=870924
Comment:
	Réplica da observação presente no documento do TSE: Os resultados referentes aos municípios pertencentes às 21ª, 45ª e 46ª Zonas [Barão de Grajaú, Penalva, Cajari, Monção e Presidente Dutra] se acham englobados, no final dêste quadro, em virtude de não haver o T.R.E. [enviado (trecho cortado no documento)] os respectivos mapas totalizadores. 
Não foram localizadas, até o momento, as votações separadas em fontes secundárias - salvo algumas parciais presentes nos jornais Pacotilha: O Globo do dia 06/10 (https://memoria.bn.gov.br/DocReader/DocReader.aspx?bib=123846&amp;Pesq=J%c3%a2nio%20Resultado&amp;pagfis=11315).
</t>
      </text>
    </comment>
    <comment authorId="9" xr:uid="{e4909fab-0a32-4a26-af9b-be446ce5ab78}" ref="B109">
      <text>
        <t xml:space="preserve">[Threaded comment]
 Your version of Excel allows you to read this threaded comment; however, any edits to it will get removed if the file is opened in a newer version of Excel. Learn more: https://go.microsoft.com/fwlink/?linkid=870924
Comment:
	Não foram anotados os resultados por zona eleitoral de São Luís e Caxias no documento do TSE, e não se localiza os resultados em fontes secundárias disponíveis. Nos contentemos, por enquanto, com os dados totais.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tc={f3825076-7f4f-4347-8601-1eb8f93c0e1a}</author>
  </authors>
  <commentList>
    <comment authorId="0" ref="B90">
      <text>
        <t xml:space="preserve">Dados extraídos do documento do TRE-PI, "Eleições 1960 - Resultado por município para Presidente e Vice-Presidente da República" (https://www.justicaeleitoral.jus.br/++theme++justica_eleitoral/pdfjs/web/viewer.html?file=https://www.justicaeleitoral.jus.br/arquivos/tre-pi-resultado-eleicao-para-presidente-vice-presidente-1960-por-municipio/@@download/file/tre-pi-resultado-eleicao-para-presidente-e-vice-presidente-da-republica-1960-por-municipio.pdf).</t>
      </text>
    </comment>
    <comment authorId="1" xr:uid="{f3825076-7f4f-4347-8601-1eb8f93c0e1a}" ref="B90">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TRE-PI, "Eleições 1960 - Resultado por município para Presidente e Vice-Presidente da República" (https://www.justicaeleitoral.jus.br/++theme++justica_eleitoral/pdfjs/web/viewer.html?file=https://www.justicaeleitoral.jus.br/arquivos/tre-pi-resultado-eleicao-para-presidente-vice-presidente-1960-por-municipio/@@download/file/tre-pi-resultado-eleicao-para-presidente-e-vice-presidente-da-republica-1960-por-municipio.pdf).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tc={06290423-a387-4383-a3b6-0b1b1d53e373}</author>
    <author>tc={287be273-a4a9-41aa-99ca-89dae0c848d6}</author>
    <author>tc={2c03c62d-1e0e-480c-8cc4-66edf2cc374f}</author>
    <author>tc={51d93022-243f-4e14-bcc9-4b66c885cce0}</author>
    <author>tc={54d34959-a331-4ca7-835d-aa53f3dfa701}</author>
    <author>tc={938323b7-f3e7-40bc-92f2-83a4aa5a4712}</author>
    <author>tc={d1a55453-3150-4cc7-a3d2-18820c16d619}</author>
    <author>tc={e3e6cda7-c025-4a22-b373-48a9d2951ddf}</author>
    <author>tc={fb97f14d-d4b8-47bb-bbcd-dee0bd12bea7}</author>
  </authors>
  <commentList>
    <comment authorId="0" ref="V27">
      <text>
        <t xml:space="preserve">Desregulação do total de votantes: +100 votos.</t>
      </text>
    </comment>
    <comment authorId="0" ref="V32">
      <text>
        <t xml:space="preserve">Desregulação do total de votantes: -100 votos.</t>
      </text>
    </comment>
    <comment authorId="0" ref="B43">
      <text>
        <t xml:space="preserve">Cococí foi município emancipado entre os anos de 1957 e 1965. Emancipado pela lei estadual nº 3858, participou das eleições estaduais de 1958 e 1962 e votou pra presidente apenas em 1960, além de ter possuído apenas dois prefeitos. Extinto município, é atualmente distrito de Parambu e está praticamente inabitado.</t>
      </text>
    </comment>
    <comment authorId="0" ref="B162">
      <text>
        <t xml:space="preserve">Dados extraídos do documento do TSE, "Dados Estatísticos, Volume 5" (https://bibliotecadigital.tse.jus.br/xmlui/handle/bdtse/5308).</t>
      </text>
    </comment>
    <comment authorId="0" ref="B163">
      <text>
        <t xml:space="preserve">Destaque para as imprecisões no eleitorado: No total do Estado, foi registrado o número de 668.703 eleitores no documento e em outras fontes oficias, ao passo que a soma dos números do eleitorado da capital e dos municípios do interior nele dispostos é de 668.253. Para fins de registro, está anotado aqui o valor impresso neste documento.</t>
      </text>
    </comment>
    <comment authorId="1" xr:uid="{06290423-a387-4383-a3b6-0b1b1d53e373}" ref="B163">
      <text>
        <t xml:space="preserve">[Threaded comment]
 Your version of Excel allows you to read this threaded comment; however, any edits to it will get removed if the file is opened in a newer version of Excel. Learn more: https://go.microsoft.com/fwlink/?linkid=870924
Comment:
	Destaque para as imprecisões no eleitorado: No total do Estado, foi registrado o número de 668.703 eleitores no documento e em outras fontes oficias, ao passo que a soma dos números do eleitorado da capital e dos municípios do interior nele dispostos é de 668.253. Para fins de registro, está anotado aqui o valor impresso neste documento.
</t>
      </text>
    </comment>
    <comment authorId="2" xr:uid="{287be273-a4a9-41aa-99ca-89dae0c848d6}" ref="V32">
      <text>
        <t xml:space="preserve">[Threaded comment]
 Your version of Excel allows you to read this threaded comment; however, any edits to it will get removed if the file is opened in a newer version of Excel. Learn more: https://go.microsoft.com/fwlink/?linkid=870924
Comment:
	Desregulação do total de votantes: -100 votos.
</t>
      </text>
    </comment>
    <comment authorId="3" xr:uid="{2c03c62d-1e0e-480c-8cc4-66edf2cc374f}" ref="B43">
      <text>
        <t xml:space="preserve">[Threaded comment]
 Your version of Excel allows you to read this threaded comment; however, any edits to it will get removed if the file is opened in a newer version of Excel. Learn more: https://go.microsoft.com/fwlink/?linkid=870924
Comment:
	Cococí foi município emancipado entre os anos de 1957 e 1965. Emancipado pela lei estadual nº 3858, participou das eleições estaduais de 1958 e 1962 e votou pra presidente apenas em 1960, além de ter possuído apenas dois prefeitos. Extinto município, é atualmente distrito de Parambu e está praticamente inabitado.
</t>
      </text>
    </comment>
    <comment authorId="4" xr:uid="{51d93022-243f-4e14-bcc9-4b66c885cce0}" ref="B162">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5" xr:uid="{54d34959-a331-4ca7-835d-aa53f3dfa701}" ref="G27">
      <text>
        <t xml:space="preserve">[Threaded comment]
 Your version of Excel allows you to read this threaded comment; however, any edits to it will get removed if the file is opened in a newer version of Excel. Learn more: https://go.microsoft.com/fwlink/?linkid=870924
Comment:
	No documento do TSE foi somado, erroneamente, um voto a mais nos votos brancos deste município.
</t>
      </text>
    </comment>
    <comment authorId="6" xr:uid="{938323b7-f3e7-40bc-92f2-83a4aa5a4712}" ref="B110">
      <text>
        <t xml:space="preserve">[Threaded comment]
 Your version of Excel allows you to read this threaded comment; however, any edits to it will get removed if the file is opened in a newer version of Excel. Learn more: https://go.microsoft.com/fwlink/?linkid=870924
Comment:
	Atual município de Hidrolândia.
</t>
      </text>
    </comment>
    <comment authorId="7" xr:uid="{d1a55453-3150-4cc7-a3d2-18820c16d619}" ref="J16">
      <text>
        <t xml:space="preserve">[Threaded comment]
 Your version of Excel allows you to read this threaded comment; however, any edits to it will get removed if the file is opened in a newer version of Excel. Learn more: https://go.microsoft.com/fwlink/?linkid=870924
Comment:
	O número de votantes nesta zona foi erroneamente assinalado como 26344 no documento do TSE.
</t>
      </text>
    </comment>
    <comment authorId="8" xr:uid="{e3e6cda7-c025-4a22-b373-48a9d2951ddf}" ref="V27">
      <text>
        <t xml:space="preserve">[Threaded comment]
 Your version of Excel allows you to read this threaded comment; however, any edits to it will get removed if the file is opened in a newer version of Excel. Learn more: https://go.microsoft.com/fwlink/?linkid=870924
Comment:
	Desregulação do total de votantes: +100 votos.
</t>
      </text>
    </comment>
    <comment authorId="9" xr:uid="{fb97f14d-d4b8-47bb-bbcd-dee0bd12bea7}" ref="AB159">
      <text>
        <t xml:space="preserve">[Threaded comment]
 Your version of Excel allows you to read this threaded comment; however, any edits to it will get removed if the file is opened in a newer version of Excel. Learn more: https://go.microsoft.com/fwlink/?linkid=870924
Comment:
	No documento do TSE, está anotado o eleitorado de 668703 pessoas, valor reforçado nos Dados Estatísticos: 7º Vol. (https://bibliotecadigital.tse.jus.br/xmlui/handle/bdtse/5302), mas a soma do eleitorado dos municípios é de 668253 pessoas. Por falta de fontes secundárias, nos contentemos com o resultado da soma.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tc={6a09856d-58e2-4267-97bd-380ae42b519e}</author>
    <author>tc={ae97df97-c14e-4150-9702-01bf96b66e4f}</author>
    <author>tc={d3e45e0f-39a5-4ffd-8ff9-9a842652378c}</author>
    <author>tc={d40f5499-e78a-4335-94ae-c0c8d77d063a}</author>
    <author>tc={db276fa1-cb18-477d-b771-cf2002682ee3}</author>
  </authors>
  <commentList>
    <comment authorId="0" ref="J80">
      <text>
        <t xml:space="preserve">Valor anotado erroneamente no documento do TSE. Neste, consta 2004 eleitores que compareceram</t>
      </text>
    </comment>
    <comment authorId="0" ref="V80">
      <text>
        <t xml:space="preserve">Valor anotado erroneamente no documento do TSE. Neste, consta 2004 eleitores que compareceram</t>
      </text>
    </comment>
    <comment authorId="0" ref="B104">
      <text>
        <t xml:space="preserve">Dados extraídos do documento do TSE, "Dados Estatísticos, Volume 5" (https://bibliotecadigital.tse.jus.br/xmlui/handle/bdtse/5308).</t>
      </text>
    </comment>
    <comment authorId="0" ref="B105">
      <text>
        <t xml:space="preserve">Destaque para alguns erros nas anotações dos dados finais do documento do TSE: As somas dos votos brancos e nulos na eleição para vice-presidente acusam, respectivamente, 18.215 e 5.294 votos, e o total do eleitorado acusa a cifra de 278.087. Diverge, porém, a soma do eleitorado dos municípios (que resulta em 278.027) e dos brancos e nulos (quem resultam em 18.159 e 5.350 votos, respectivamente) deste números, e no caso desses últimos, há um desbalanceio de 56 votos a mais no primeiro que supre o déficit de 56 votos no último, igualando a soma deles com os votos nominais com o eleitorado votante de 225.588. Para fins de registro, estão anotados aqui os valores impressos neste documento.</t>
      </text>
    </comment>
    <comment authorId="1" xr:uid="{6a09856d-58e2-4267-97bd-380ae42b519e}" ref="B104">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2" xr:uid="{ae97df97-c14e-4150-9702-01bf96b66e4f}" ref="E60">
      <text>
        <t xml:space="preserve">[Threaded comment]
 Your version of Excel allows you to read this threaded comment; however, any edits to it will get removed if the file is opened in a newer version of Excel. Learn more: https://go.microsoft.com/fwlink/?linkid=870924
Comment:
	Valor erroneamente anotado como 669 votos no documento do TSE.
</t>
      </text>
    </comment>
    <comment authorId="3" xr:uid="{d3e45e0f-39a5-4ffd-8ff9-9a842652378c}" ref="D62">
      <text>
        <t xml:space="preserve">[Threaded comment]
 Your version of Excel allows you to read this threaded comment; however, any edits to it will get removed if the file is opened in a newer version of Excel. Learn more: https://go.microsoft.com/fwlink/?linkid=870924
Comment:
	Valor erroneamente anotado como 635 votos no documento do TSE.
</t>
      </text>
    </comment>
    <comment authorId="4" xr:uid="{d40f5499-e78a-4335-94ae-c0c8d77d063a}" ref="J80">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2004 eleitores que compareceram.
</t>
      </text>
    </comment>
    <comment authorId="5" xr:uid="{db276fa1-cb18-477d-b771-cf2002682ee3}" ref="B105">
      <text>
        <t xml:space="preserve">[Threaded comment]
 Your version of Excel allows you to read this threaded comment; however, any edits to it will get removed if the file is opened in a newer version of Excel. Learn more: https://go.microsoft.com/fwlink/?linkid=870924
Comment:
	Destaque para alguns erros nas anotações dos dados finais do documento do TSE: As somas dos votos brancos e nulos na eleição para vice-presidente acusam, respectivamente, 18.215 e 5.294 votos, e o total do eleitorado acusa a cifra de 278.087. Diverge, porém, a soma do eleitorado dos municípios (que resulta em 278.027) e dos brancos e nulos (quem resultam em 18.159 e 5.350 votos, respectivamente) deste números, e no caso desses últimos, há um desbalanceio de 56 votos a mais no primeiro que supre o déficit de 56 votos no último, igualando a soma deles com os votos nominais com o eleitorado votante de 225.588. Para fins de registro, estão anotados aqui os valores impressos neste documento.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tc={0b6850af-affd-4f4d-afa4-5bbb7b314c42}</author>
    <author>tc={26311b90-419e-48f5-8e4a-e62eb02a2693}</author>
    <author>tc={548378c8-e014-419d-a17c-1ccfb6590f99}</author>
    <author>tc={8fcad8e4-fabe-40e7-937e-77ac726be31a}</author>
    <author>tc={a7d927a2-80c0-4f51-8f25-879e9be3a57f}</author>
    <author>tc={c636dee5-3154-4399-b0ca-d331224747cb}</author>
  </authors>
  <commentList>
    <comment authorId="0" ref="V78">
      <text>
        <t xml:space="preserve">Desregulação do total de votantes: +65 votos.</t>
      </text>
    </comment>
    <comment authorId="0" ref="V79">
      <text>
        <t xml:space="preserve">Desregulação do total de votantes: -65 votos.</t>
      </text>
    </comment>
    <comment authorId="0" ref="A88">
      <text>
        <t xml:space="preserve">Erroneamente assinalada como "146ª ZE" no documento do TSE.</t>
      </text>
    </comment>
    <comment authorId="0" ref="B103">
      <text>
        <t xml:space="preserve">Dados extraídos do documento do TSE, "Dados Estatísticos, Volume 5" (https://bibliotecadigital.tse.jus.br/xmlui/handle/bdtse/5308).</t>
      </text>
    </comment>
    <comment authorId="0" ref="B104">
      <text>
        <t xml:space="preserve">Destaque para as imprecisões nos dados desse Estado:
- O valor do eleitorado total do Estado no Painel do TSE e nos Dados Abertos é de 352.357, ao passo que a soma do eleitorado dos municípios, assim como no documento do TSE, é de 353.371. Para fins de registro, está anotado aqui o valor constatado no Painel.
- Os votos brancos e nulos na eleição para vice-presidente, tanto alcançados pelos valores individuais por município quanto acusados pelo documento, são, respectivamente, 26.406 e 7.257 votos. O valor diverge, porém, das demais fontes, incluindo o Painel do TSE, que registram, no resultado total na Paraíba, 26.413 votos brancos e 7.250 nulos. Foram considerados, portanto, nesse trabalho, esses últimos valores.</t>
      </text>
    </comment>
    <comment authorId="1" xr:uid="{0b6850af-affd-4f4d-afa4-5bbb7b314c42}" ref="B103">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2" xr:uid="{26311b90-419e-48f5-8e4a-e62eb02a2693}" ref="V79">
      <text>
        <t xml:space="preserve">[Threaded comment]
 Your version of Excel allows you to read this threaded comment; however, any edits to it will get removed if the file is opened in a newer version of Excel. Learn more: https://go.microsoft.com/fwlink/?linkid=870924
Comment:
	Desregulação do total de votantes: -65 votos.
</t>
      </text>
    </comment>
    <comment authorId="3" xr:uid="{548378c8-e014-419d-a17c-1ccfb6590f99}" ref="B104">
      <text>
        <t xml:space="preserve">[Threaded comment]
 Your version of Excel allows you to read this threaded comment; however, any edits to it will get removed if the file is opened in a newer version of Excel. Learn more: https://go.microsoft.com/fwlink/?linkid=870924
Comment:
	Destaque para as imprecisões no eleitorado: O valor do eleitorado total do Estado no Painel do TSE e nos Dados Abertos é de 352.357, ao passo que a soma do eleitorado dos municípios, assim como no documento do TSE, é de 353.371. Para fins de registro, está anotado aqui o valor constatado no Painel.
</t>
      </text>
    </comment>
    <comment authorId="4" xr:uid="{8fcad8e4-fabe-40e7-937e-77ac726be31a}" ref="V78">
      <text>
        <t xml:space="preserve">[Threaded comment]
 Your version of Excel allows you to read this threaded comment; however, any edits to it will get removed if the file is opened in a newer version of Excel. Learn more: https://go.microsoft.com/fwlink/?linkid=870924
Comment:
	Desregulação do total de votantes: +65 votos.
</t>
      </text>
    </comment>
    <comment authorId="5" xr:uid="{a7d927a2-80c0-4f51-8f25-879e9be3a57f}" ref="S58">
      <text>
        <t xml:space="preserve">[Threaded comment]
 Your version of Excel allows you to read this threaded comment; however, any edits to it will get removed if the file is opened in a newer version of Excel. Learn more: https://go.microsoft.com/fwlink/?linkid=870924
Comment:
	Erroneamente, foram anotados apenas 14 votos em branco na cidade de São Mamede no documento do TSE na eleição para vice, o que causou um desregulamento na soma do total de votantes do municípios e um déficit no total de votos brancos do estado.
</t>
      </text>
    </comment>
    <comment authorId="6" xr:uid="{c636dee5-3154-4399-b0ca-d331224747cb}" ref="A88">
      <text>
        <t xml:space="preserve">[Threaded comment]
 Your version of Excel allows you to read this threaded comment; however, any edits to it will get removed if the file is opened in a newer version of Excel. Learn more: https://go.microsoft.com/fwlink/?linkid=870924
Comment:
	Erroneamente assinalada como "146ª ZE" no documento do TSE.
Reply:
	Marcado como resuelto
Reply:
	Reabierto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tc={3720ee5e-a97e-4205-ba40-7c6177703881}</author>
    <author>tc={87a7ce33-52e9-4bf7-9f54-0aa66c049ee6}</author>
    <author>tc={a68f808e-5953-4501-b63b-faa40be27d50}</author>
    <author>tc={cd8aff8b-f583-44b3-b272-07ccce838d6e}</author>
  </authors>
  <commentList>
    <comment authorId="0" ref="B128">
      <text>
        <t xml:space="preserve">Dados extraídos do documento do TRE-PE, "Relatório Final das Eleições de 1955-1960-1963-1965" (https://acervo.tre-pe.jus.br/index.php/relatorio-final-das-eleic-oes-de-1955-1960-1963-1965-pdf).</t>
      </text>
    </comment>
    <comment authorId="0" ref="B129">
      <text>
        <t xml:space="preserve">Destaque para a imprecisão do eleitorado do Estado: O resultado da soma do eleitorado dos municípios é de 676.199, ao passo que outras cifras referentes sobre o total de eleitores estão presentes em documentos oficiais: No documento do TSE, acusa-se o número de 676.169; já no documento do TRE-PE e no Painel do TSE, acusa-se o número de 676.133. Nesse caso, dando preferência à fonte mais recente, foi assinalada nesse trabalho a última cifra.</t>
      </text>
    </comment>
    <comment authorId="1" xr:uid="{3720ee5e-a97e-4205-ba40-7c6177703881}" ref="AB125">
      <text>
        <t xml:space="preserve">[Threaded comment]
 Your version of Excel allows you to read this threaded comment; however, any edits to it will get removed if the file is opened in a newer version of Excel. Learn more: https://go.microsoft.com/fwlink/?linkid=870924
Comment:
	Há dois dados diferentes referentes sobre o total de eleitores que diferem da cifra apresentada na planilha: No documento do TSE e nos Dados Estatísticos, acusa-se o número de 676169; já no documento do TRE-PE, acusa-se o número de 676133. Como apresentado nesta planilha, a soma do eleitorado dos municípios indica 676199 eleitores. Nos contentemos com esse dado.
</t>
      </text>
    </comment>
    <comment authorId="2" xr:uid="{87a7ce33-52e9-4bf7-9f54-0aa66c049ee6}" ref="B129">
      <text>
        <t xml:space="preserve">[Threaded comment]
 Your version of Excel allows you to read this threaded comment; however, any edits to it will get removed if the file is opened in a newer version of Excel. Learn more: https://go.microsoft.com/fwlink/?linkid=870924
Comment:
	Votos nominais de acordo com os Dados Estatísticos: 7º Vol. do TSE (https://bibliotecadigital.tse.jus.br/xmlui/handle/bdtse/5302).
</t>
      </text>
    </comment>
    <comment authorId="3" xr:uid="{a68f808e-5953-4501-b63b-faa40be27d50}" ref="B128">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TRE-PE, "Relatório Final das Eleições de 1955-1960-1963-1965" (https://acervo.tre-pe.jus.br/index.php/relatorio-final-das-eleic-oes-de-1955-1960-1963-1965-pdf).
</t>
      </text>
    </comment>
    <comment authorId="4" xr:uid="{cd8aff8b-f583-44b3-b272-07ccce838d6e}" ref="B129">
      <text>
        <t xml:space="preserve">[Threaded comment]
 Your version of Excel allows you to read this threaded comment; however, any edits to it will get removed if the file is opened in a newer version of Excel. Learn more: https://go.microsoft.com/fwlink/?linkid=870924
Comment:
	Destaque para a imprecisão do eleitorado do Estado: O resultado da soma do eleitorado dos municípios é de 676.199, ao passo que outras cifras referentes sobre o total de eleitores estão presentes em documentos oficiais: No documento do TSE, acusa-se o número de 676.169; já no documento do TRE-PE e no Painel do TSE, acusa-se o número de 676.133. Para fins de registro, foi assinalado neste trabalho a última cifra.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tc={1676bed7-f1e9-47db-9f13-9148c2b67bd5}</author>
    <author>tc={351de39f-7efb-4e2a-bbeb-3f75035be08e}</author>
    <author>tc={3c287040-d3b7-4036-8e1f-02195924d9f9}</author>
  </authors>
  <commentList>
    <comment authorId="0" ref="AB15">
      <text>
        <t xml:space="preserve">Anotado erroneamente como 34000 eleitores no documento do TSE.</t>
      </text>
    </comment>
    <comment authorId="0" ref="B85">
      <text>
        <t xml:space="preserve">Dados extraídos do documento do TSE, "Dados Estatísticos, Volume 5" (https://bibliotecadigital.tse.jus.br/xmlui/handle/bdtse/5308).</t>
      </text>
    </comment>
    <comment authorId="0" ref="B86">
      <text>
        <t xml:space="preserve">Há de se destacar que o eleitorado no estado de Alagoas foi disposto por zona eleitoral.</t>
      </text>
    </comment>
    <comment authorId="1" xr:uid="{1676bed7-f1e9-47db-9f13-9148c2b67bd5}" ref="AB15">
      <text>
        <t xml:space="preserve">[Threaded comment]
 Your version of Excel allows you to read this threaded comment; however, any edits to it will get removed if the file is opened in a newer version of Excel. Learn more: https://go.microsoft.com/fwlink/?linkid=870924
Comment:
	Anotado erroneamente como 34000 eleitores no documento do TSE.
</t>
      </text>
    </comment>
    <comment authorId="2" xr:uid="{351de39f-7efb-4e2a-bbeb-3f75035be08e}" ref="B86">
      <text>
        <t xml:space="preserve">[Threaded comment]
 Your version of Excel allows you to read this threaded comment; however, any edits to it will get removed if the file is opened in a newer version of Excel. Learn more: https://go.microsoft.com/fwlink/?linkid=870924
Comment:
	Há de se destacar que o eleitorado no estado de Alagoa foi disposto por zona eleitoral.
</t>
      </text>
    </comment>
    <comment authorId="3" xr:uid="{3c287040-d3b7-4036-8e1f-02195924d9f9}" ref="B85">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tc={199e9329-ebee-481c-beb5-44a74d52a733}</author>
    <author>tc={58115c92-ec4d-4e71-9b05-61d5577e8050}</author>
    <author>tc={79bb85ba-86c5-4d06-b6dd-04b5ae498cc3}</author>
  </authors>
  <commentList>
    <comment authorId="0" ref="B79">
      <text>
        <t xml:space="preserve">Dados extraídos do documento do TSE, "Dados Estatísticos, Volume 5" (https://bibliotecadigital.tse.jus.br/xmlui/handle/bdtse/5308).</t>
      </text>
    </comment>
    <comment authorId="0" ref="B80">
      <text>
        <t xml:space="preserve">Os votos brancos e nulos na eleição para vice-presidente, tanto alcançados pelos valores individuais por município quanto acusados pelo documento, são, respectivamente, 4.310 e 2.263 votos. O valor diverge, porém, das demais fontes, incluindo o Painel do TSE, que registram, no resultado total de Sergipe, 4.322 votos brancos e 2.251 nulos. Foram considerados, portanto, nesse trabalho, esses últimos valores.</t>
      </text>
    </comment>
    <comment authorId="0" ref="B81">
      <text>
        <t xml:space="preserve">Houve um estranho erro no registro do eleitorado no município de Canindé de São Francisco que subestimou o seu valor, ficando menor que o número de votantes. Até o momento, não temos fontes secundárias para corrigir esse dado.</t>
      </text>
    </comment>
    <comment authorId="0" ref="B82">
      <text>
        <t xml:space="preserve">A sede da 1ª ZE de Aracaju fica na Zona Norte da cidade, enquanto a sede da 2ªZE fica na Zona Sul.</t>
      </text>
    </comment>
    <comment authorId="1" xr:uid="{199e9329-ebee-481c-beb5-44a74d52a733}" ref="B79">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2" xr:uid="{58115c92-ec4d-4e71-9b05-61d5577e8050}" ref="B82">
      <text>
        <t xml:space="preserve">[Threaded comment]
 Your version of Excel allows you to read this threaded comment; however, any edits to it will get removed if the file is opened in a newer version of Excel. Learn more: https://go.microsoft.com/fwlink/?linkid=870924
Comment:
	A sede da 1ª ZE de Aracaju fica na Zona Norte da cidade, enquanto a sede da 2ªZE fica na Zona Sul.
</t>
      </text>
    </comment>
    <comment authorId="3" xr:uid="{79bb85ba-86c5-4d06-b6dd-04b5ae498cc3}" ref="B81">
      <text>
        <t xml:space="preserve">[Threaded comment]
 Your version of Excel allows you to read this threaded comment; however, any edits to it will get removed if the file is opened in a newer version of Excel. Learn more: https://go.microsoft.com/fwlink/?linkid=870924
Comment:
	Houve um estranho erro no registro do eleitorado no município de Canindé de São Francisco que subestimou o seu valor, ficando menor que o número de votantes. Até o momento, não temos fontes secundárias para corrigir esse dado.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tc={45d7a80b-cdad-4e96-a880-179546705c3e}</author>
    <author>tc={510ab81e-7d48-46ec-98de-8665b463748f}</author>
    <author>tc={5d321ea1-9eec-40a0-9c58-2fe90da30c8b}</author>
    <author>tc={9ae5c1b9-e0e0-49fa-8103-37c8871a98fe}</author>
    <author>tc={9fcda20d-a888-4e5e-8162-cb0075b4c863}</author>
    <author>tc={adb01356-6eca-47a6-bf7c-3cd7f10b83b1}</author>
    <author>tc={e2ee10e3-d8e6-479e-a33e-f511c7effce9}</author>
    <author>tc={f20cc27a-f6ae-4c36-ac0d-e63af879f030}</author>
  </authors>
  <commentList>
    <comment authorId="0" ref="J132">
      <text>
        <t xml:space="preserve">Anotado equivocamente no documento do TSE como "645" eleitores.</t>
      </text>
    </comment>
    <comment authorId="0" ref="V132">
      <text>
        <t xml:space="preserve">Anotado equivocamente no documento do TSE como "645" eleitores.</t>
      </text>
    </comment>
    <comment authorId="0" ref="B221">
      <text>
        <t xml:space="preserve">Dados extraídos do documento do TSE, "Dados Estatísticos, Volume 5" (https://bibliotecadigital.tse.jus.br/xmlui/handle/bdtse/5308).</t>
      </text>
    </comment>
    <comment authorId="0" ref="B222">
      <text>
        <t xml:space="preserve">Réplica da observação presente no documento do TSE: O TRE da Bahia, à época da eleição de 3.10.60, comunicou que o total de eleitores aptos a votar era de 943.317, cifra que já consta de várias publicações dêste Tribunal. Em ofício nº 227, de 10.5.62, declara ser mencionado total de apenas 930.875 eleitores.
Pelo fato da maior parte das fontes oficias, incluindo o Painel do TSE, apontar para o número de 943.317 eleitores, esta cifra foi anotada neste trabalho.</t>
      </text>
    </comment>
    <comment authorId="0" ref="B223">
      <text>
        <t xml:space="preserve">Localidades das zonas eleitorais de Salvador, com auxílio do zoneamento do TSE de 1962 (https://bibliotecadigital.tse.jus.br/xmlui/handle/bdtse/5309), para fins de orientação: 1ª - Vitória; 2ª - São Pedro; 3ª - Santo Antônio; 4ª - Sé, Conceição da Praia e Pilar; 5ª - Nazaré e Paço; 6ª - Brotas; 7ª - Santana; 8ª - Mares; 9ª - Penha; 10ª - Bairros subúrbios.</t>
      </text>
    </comment>
    <comment authorId="0" ref="B224">
      <text>
        <t xml:space="preserve">Corrigido os municípios das zonas 25ª à 30ª, com auxílio do zoneamento do TSE de 1962 (https://bibliotecadigital.tse.jus.br/xmlui/handle/bdtse/5309).</t>
      </text>
    </comment>
    <comment authorId="1" xr:uid="{45d7a80b-cdad-4e96-a880-179546705c3e}" ref="B223">
      <text>
        <t xml:space="preserve">[Threaded comment]
 Your version of Excel allows you to read this threaded comment; however, any edits to it will get removed if the file is opened in a newer version of Excel. Learn more: https://go.microsoft.com/fwlink/?linkid=870924
Comment:
	Localidades das zonas eleitorais de Salvador, com auxílio do zoneamento do TSE de 1962 (https://bibliotecadigital.tse.jus.br/xmlui/handle/bdtse/5309), para fins de orientação: 1ª - Vitória; 2ª - São Pedro; 3ª - Santo Antônio; 4ª - Sé, Conceição da Praia e Pilar; 5ª - Nazaré e Paço; 6ª - Brotas; 7ª - Santana; 8ª - Mares; 9ª - Penha; 10ª - Bairros subúrbios.
</t>
      </text>
    </comment>
    <comment authorId="2" xr:uid="{510ab81e-7d48-46ec-98de-8665b463748f}" ref="B221">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3" xr:uid="{5d321ea1-9eec-40a0-9c58-2fe90da30c8b}" ref="B222">
      <text>
        <t xml:space="preserve">[Threaded comment]
 Your version of Excel allows you to read this threaded comment; however, any edits to it will get removed if the file is opened in a newer version of Excel. Learn more: https://go.microsoft.com/fwlink/?linkid=870924
Comment:
	Réplica da observação presente no documento do TSE: O TRE da Bahia, à época da eleição de 3.10.60, comunicou que o total de eleitores aptos a votar era de 943.317, cifra que já consta de várias publicações dêste Tribunal. Em ofício nº 227, de 10.5.62, declara ser mencionado total de apenas 930.875 eleitores.
Pelo fato da maior parte das fontes oficias, incluindo o Painel do TSE, apontar para o número de 943.317 eleitores, esta cifra foi anotada neste trabalho.
</t>
      </text>
    </comment>
    <comment authorId="4" xr:uid="{9ae5c1b9-e0e0-49fa-8103-37c8871a98fe}" ref="J132">
      <text>
        <t xml:space="preserve">[Threaded comment]
 Your version of Excel allows you to read this threaded comment; however, any edits to it will get removed if the file is opened in a newer version of Excel. Learn more: https://go.microsoft.com/fwlink/?linkid=870924
Comment:
	Anotado equivocamente no documento do TSE como "645" eleitores.
</t>
      </text>
    </comment>
    <comment authorId="5" xr:uid="{9fcda20d-a888-4e5e-8162-cb0075b4c863}" ref="D91">
      <text>
        <t xml:space="preserve">[Threaded comment]
 Your version of Excel allows you to read this threaded comment; however, any edits to it will get removed if the file is opened in a newer version of Excel. Learn more: https://go.microsoft.com/fwlink/?linkid=870924
Comment:
	Foram adicionados  equivocamente 4 votos para Jânio neste no documento do TSE.
</t>
      </text>
    </comment>
    <comment authorId="6" xr:uid="{adb01356-6eca-47a6-bf7c-3cd7f10b83b1}" ref="E136">
      <text>
        <t xml:space="preserve">[Threaded comment]
 Your version of Excel allows you to read this threaded comment; however, any edits to it will get removed if the file is opened in a newer version of Excel. Learn more: https://go.microsoft.com/fwlink/?linkid=870924
Comment:
	Foram subtraídos equivocamente 1000 votos de Lott neste município no documento do TSE.
</t>
      </text>
    </comment>
    <comment authorId="7" xr:uid="{e2ee10e3-d8e6-479e-a33e-f511c7effce9}" ref="B224">
      <text>
        <t xml:space="preserve">[Threaded comment]
 Your version of Excel allows you to read this threaded comment; however, any edits to it will get removed if the file is opened in a newer version of Excel. Learn more: https://go.microsoft.com/fwlink/?linkid=870924
Comment:
	Corrigido os municípios das zonas 25ª à 30ª, com auxílio do zoneamento do TSE de 1962 (https://bibliotecadigital.tse.jus.br/xmlui/handle/bdtse/5309).
</t>
      </text>
    </comment>
    <comment authorId="8" xr:uid="{f20cc27a-f6ae-4c36-ac0d-e63af879f030}" ref="E116">
      <text>
        <t xml:space="preserve">[Threaded comment]
 Your version of Excel allows you to read this threaded comment; however, any edits to it will get removed if the file is opened in a newer version of Excel. Learn more: https://go.microsoft.com/fwlink/?linkid=870924
Comment:
	Anotado equivocamente no documento do TSE como "1239" votos para Lott.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tc={4bd6dae9-a394-4469-8473-989d040a5dea}</author>
    <author>tc={58803fc1-3ea1-4083-a333-08eea76f815d}</author>
    <author>tc={66d7b18b-bf84-4503-b532-68810b46508b}</author>
    <author>tc={776ac75c-a4ac-4a2a-a757-3ee51a935fbf}</author>
    <author>tc={b32abc2d-e3b6-4c8a-975e-4461702e79ca}</author>
    <author>tc={c24c1cd7-1d47-4238-9f3d-955c2ce72738}</author>
    <author>tc={cd657df8-f80d-4b59-b16d-7391ffb888bf}</author>
  </authors>
  <commentList>
    <comment authorId="0" ref="AB59">
      <text>
        <t xml:space="preserve">Não existe, tanto no documento do TSE quanto no documento do TRE-MT, o eleitorado dos município de Carapó e de Dourados separados.</t>
      </text>
    </comment>
    <comment authorId="0" ref="AB69">
      <text>
        <t xml:space="preserve">Esta cifra foi impressa incorretamente como "1739" no documento do TRE-MT.</t>
      </text>
    </comment>
    <comment authorId="0" ref="B80">
      <text>
        <t xml:space="preserve">Dados extraídos do documento do TRE-MT, "Resultado Geral das Eleições de 3 de Outubro de 1960 para Presidente, Vice-Presidente da República, Governador, Vice Governador do Estado" (https://drive.google.com/file/d/1UKWalR7_UoQMF_j8kPJJdqNIB42j-Gdr/view).</t>
      </text>
    </comment>
    <comment authorId="0" ref="B81">
      <text>
        <t xml:space="preserve">Apesar do total de eleitores do Estado, tanto resultado da soma dos valores individuais por município dos documentos do TSE e do TRE-MT quanto registrado no primeiro documento, apontar 203.984 inscritos, as demais fontes, incluindo o Painel do TSE, apontam 203.948 inscritos no Estado. Foi considerado, portanto, nesse trabalho, o último valor.</t>
      </text>
    </comment>
    <comment authorId="0" ref="B82">
      <text>
        <t xml:space="preserve">Houve uma anomalia nos dados de MT presentes no documento do TSE: Se registrou neste documento, as votações globais de algumas zonas eleitorais, não estando separadas, como normalmente, por cidade - o caso mais notável é o da votação da 1ª Zona Eleitoral (que comporta 7 municípios), que foi englobada e disposta no documento como sendo a votação do município de Cuiabá; Para a correção desses dados, foi necessário o apelo aos mapas de apuração do documento produzido pelo TRE-MT, que dispõem corretamente a votação das cidades.</t>
      </text>
    </comment>
    <comment authorId="0" ref="B83">
      <text>
        <t xml:space="preserve">Há uma cidade do Estado onde não foi realizado o pleito: Aripuanã, cidade no norte do Estado e subordinada à 1ª Zona Eleitoral, sendo raros casos de municípios do país onde, mesmo emancipado, não ocorriam eleições dentro de sua jurisdição. A primeira eleição realizada no município foi em 1978.</t>
      </text>
    </comment>
    <comment authorId="1" xr:uid="{4bd6dae9-a394-4469-8473-989d040a5dea}" ref="B81">
      <text>
        <t xml:space="preserve">[Threaded comment]
 Your version of Excel allows you to read this threaded comment; however, any edits to it will get removed if the file is opened in a newer version of Excel. Learn more: https://go.microsoft.com/fwlink/?linkid=870924
Comment:
	Houve uma anomalia nos dados de MT presentes no documento do TSE: Se registrou neste documento, as votações globais de algumas zonas eleitorais, não estando separadas, como normalmente, por cidade - o caso mais notável é o da votação da 1ª Zona Eleitoral (que comporta 7 municípios), que foi englobada e disposta no documento como sendo a votação do município de Cuiabá; Para a correção desses dados, foi necessário o apelo aos mapas de apuração do documento produzido pelo TRE-MT, que dispõem corretamente a votação das cidades.
</t>
      </text>
    </comment>
    <comment authorId="2" xr:uid="{58803fc1-3ea1-4083-a333-08eea76f815d}" ref="AB59">
      <text>
        <t xml:space="preserve">[Threaded comment]
 Your version of Excel allows you to read this threaded comment; however, any edits to it will get removed if the file is opened in a newer version of Excel. Learn more: https://go.microsoft.com/fwlink/?linkid=870924
Comment:
	Não existe, tanto no documento do TSE quanto no documento do TRE-MT, o eleitorado dos município de Carapó e de Dourados separados.
</t>
      </text>
    </comment>
    <comment authorId="3" xr:uid="{66d7b18b-bf84-4503-b532-68810b46508b}" ref="AB69">
      <text>
        <t xml:space="preserve">[Threaded comment]
 Your version of Excel allows you to read this threaded comment; however, any edits to it will get removed if the file is opened in a newer version of Excel. Learn more: https://go.microsoft.com/fwlink/?linkid=870924
Comment:
	Esta cifra foi impresso incorretamente como "1739" no documento do TRE-MT.
</t>
      </text>
    </comment>
    <comment authorId="4" xr:uid="{776ac75c-a4ac-4a2a-a757-3ee51a935fbf}" ref="B80">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TRE-MT, "Resultado Geral das Eleições de 3 de Outubro de 1960 para Presidente, Vice-Presidente da República, Governador, Vice Governador do Estado" (https://drive.google.com/file/d/1UKWalR7_UoQMF_j8kPJJdqNIB42j-Gdr/view).
</t>
      </text>
    </comment>
    <comment authorId="5" xr:uid="{b32abc2d-e3b6-4c8a-975e-4461702e79ca}" ref="B28">
      <text>
        <t xml:space="preserve">[Threaded comment]
 Your version of Excel allows you to read this threaded comment; however, any edits to it will get removed if the file is opened in a newer version of Excel. Learn more: https://go.microsoft.com/fwlink/?linkid=870924
Comment:
	Atual município de "Vila Bela da Santíssima Trindade"
</t>
      </text>
    </comment>
    <comment authorId="6" xr:uid="{c24c1cd7-1d47-4238-9f3d-955c2ce72738}" ref="B81">
      <text>
        <t xml:space="preserve">[Threaded comment]
 Your version of Excel allows you to read this threaded comment; however, any edits to it will get removed if the file is opened in a newer version of Excel. Learn more: https://go.microsoft.com/fwlink/?linkid=870924
Comment:
	Votos nominais e eleitorado de acordo com os Dados Estatísticos: 7º Vol. do TSE (https://bibliotecadigital.tse.jus.br/xmlui/handle/bdtse/5302).
</t>
      </text>
    </comment>
    <comment authorId="7" xr:uid="{cd657df8-f80d-4b59-b16d-7391ffb888bf}" ref="B83">
      <text>
        <t xml:space="preserve">[Threaded comment]
 Your version of Excel allows you to read this threaded comment; however, any edits to it will get removed if the file is opened in a newer version of Excel. Learn more: https://go.microsoft.com/fwlink/?linkid=870924
Comment:
	Há uma cidade do Estado onde não foi realizado o pleito: Aripuanã, cidade no norte do Estado e subordinada à 1ª Zona Eleitoral, sendo raros casos de municípios do país onde, mesmo emancipado, não ocorriam eleições dentro de sua jurisdição. A primeira eleição realizada no município foi em 1978.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tc={08e08204-54aa-4d74-b431-698d7b0aaa10}</author>
    <author>tc={2d431784-e618-4655-9387-5d67ec2c5d68}</author>
    <author>tc={36415cfd-c7e9-4b7d-b4fa-19afe4d08e83}</author>
    <author>tc={3e58d9aa-6174-43a7-b3c1-8527d6ff716e}</author>
    <author>tc={635252bb-9b6c-498e-afcb-0f7dfdb3dffd}</author>
    <author>tc={68df7b06-65e5-48e7-8c53-5a7748b5c6d7}</author>
    <author>tc={88b04a40-ee53-4e61-be79-5988eecd5c78}</author>
    <author>tc={8f472db7-f800-4b2b-9a06-2bb799b2e35b}</author>
    <author>tc={8f626a36-5526-489d-bada-a5efeaf05750}</author>
    <author>tc={9198853e-25aa-4f91-ab0b-794f1c4fee0b}</author>
    <author>tc={b008f217-b6f5-42b4-addd-a2a00c7cd800}</author>
    <author>tc={ced6585b-0d86-4f8c-91c5-f7b4958bdf60}</author>
    <author>tc={cf2d0492-5a54-493b-9a7a-09399950f879}</author>
    <author>tc={d6c6a587-26e3-49ca-8b53-6c4aeee85867}</author>
    <author>tc={d731b4fd-f298-443c-96ab-4b2191951b42}</author>
  </authors>
  <commentList>
    <comment authorId="0" ref="AB45">
      <text>
        <t xml:space="preserve">O quarto algarismo ("5") está grafado incorretamente no documento do TSE.</t>
      </text>
    </comment>
    <comment authorId="0" ref="AB79">
      <text>
        <t xml:space="preserve">Número parcialmente ilegível; mais precisamente o terceiro algarismo está borrado - a cifra aparenta ser 3757.</t>
      </text>
    </comment>
    <comment authorId="0" ref="J154">
      <text>
        <t xml:space="preserve">Valor anotado erroneamente no documento do TSE como 897 votos nominais.</t>
      </text>
    </comment>
    <comment authorId="0" ref="V154">
      <text>
        <t xml:space="preserve">Valor anotado erroneamente no documento do TSE como 897 votos nominais.</t>
      </text>
    </comment>
    <comment authorId="0" ref="B196">
      <text>
        <t xml:space="preserve">Dados extraídos do documento do TSE, "Dados Estatísticos, Volume 5" (https://bibliotecadigital.tse.jus.br/xmlui/handle/bdtse/5308).</t>
      </text>
    </comment>
    <comment authorId="0" ref="B197">
      <text>
        <t xml:space="preserve">Destaque para as imprecisões no eleitorado: O valor do eleitorado total do Estado no documento do TSE, tal qual consta no Painel do TSE, é de 408.654, ao passo que a soma do eleitorado dos municípios, considerando os valores dispostos na planilha, é de 407.659.  Para fins de registro, está anotado aqui o valor impresso nesse documento.
O número total de eleitores da capital, de 47.094, foi também superestimado e registrado como sendo de 56.094.</t>
      </text>
    </comment>
    <comment authorId="0" ref="B198">
      <text>
        <t xml:space="preserve">Houve um estranho erro no registro do eleitorado no município de Almas que subestimou o seu valor, ficando menor que o número de votantes. Até o momento, não temos fontes secundárias para corrigir esse dado.</t>
      </text>
    </comment>
    <comment authorId="1" xr:uid="{08e08204-54aa-4d74-b431-698d7b0aaa10}" ref="T190">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191 votos nulos.
</t>
      </text>
    </comment>
    <comment authorId="2" xr:uid="{2d431784-e618-4655-9387-5d67ec2c5d68}" ref="B198">
      <text>
        <t xml:space="preserve">[Threaded comment]
 Your version of Excel allows you to read this threaded comment; however, any edits to it will get removed if the file is opened in a newer version of Excel. Learn more: https://go.microsoft.com/fwlink/?linkid=870924
Comment:
	Houve um estranho erro no registro do eleitorado no município de Almas que subestimou o seu valor, ficando menor que o número de votantes. Até o momento, não temos fontes secundárias para corrigir esse dado.
</t>
      </text>
    </comment>
    <comment authorId="3" xr:uid="{36415cfd-c7e9-4b7d-b4fa-19afe4d08e83}" ref="P36">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454 votos para Jango.
</t>
      </text>
    </comment>
    <comment authorId="4" xr:uid="{3e58d9aa-6174-43a7-b3c1-8527d6ff716e}" ref="D39">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7 votos para Jânio.
</t>
      </text>
    </comment>
    <comment authorId="5" xr:uid="{635252bb-9b6c-498e-afcb-0f7dfdb3dffd}" ref="AB193">
      <text>
        <t xml:space="preserve">[Threaded comment]
 Your version of Excel allows you to read this threaded comment; however, any edits to it will get removed if the file is opened in a newer version of Excel. Learn more: https://go.microsoft.com/fwlink/?linkid=870924
Comment:
	Há dois dados diferentes referentes sobre o total de eleitores que diferem da cifra apresentada na planilha: No documento do TSE, indica a cifra de 408174, já nos Dados Estatísticos, acusa o número de 407667, ao mesmo passo que a soma do eleitorado dos municípios resulta em 408222 eleitores; Mesmo esta é problemática: o eleitorado do município de Almas (69ª ZE) é registrado no documento do TSE como sendo de 563, número abaixo do comparecimento, e a cifra do eleitorado de Pirenópolis (26ª ZE) está parcialmente ilegível. Até que achemos outras fontes para corrigi-la, nos contentemos com o dado da soma.
</t>
      </text>
    </comment>
    <comment authorId="6" xr:uid="{68df7b06-65e5-48e7-8c53-5a7748b5c6d7}" ref="B196">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7" xr:uid="{88b04a40-ee53-4e61-be79-5988eecd5c78}" ref="AB170">
      <text>
        <t xml:space="preserve">[Threaded comment]
 Your version of Excel allows you to read this threaded comment; however, any edits to it will get removed if the file is opened in a newer version of Excel. Learn more: https://go.microsoft.com/fwlink/?linkid=870924
Comment:
	Esta cifra foi anotada como sendo 563 eleitores, número abaixo dos 571 votos totais na cidade. Não se tem disponível até o momento nenhuma fonte secundária para a correção. (Obs: Tentar conseguir algum documento do TRE-GO.)
</t>
      </text>
    </comment>
    <comment authorId="8" xr:uid="{8f472db7-f800-4b2b-9a06-2bb799b2e35b}" ref="B197">
      <text>
        <t xml:space="preserve">[Threaded comment]
 Your version of Excel allows you to read this threaded comment; however, any edits to it will get removed if the file is opened in a newer version of Excel. Learn more: https://go.microsoft.com/fwlink/?linkid=870924
Comment:
	Destaque para as imprecisões no eleitorado: O valor do eleitorado total do Estado no documento do TSE é de 408.654, ao passo que a soma do eleitorado dos municípios, considerando os valores dispostos na planilha, é de 407.659. O número total de eleitores da capital, de 47.094, foi também superestimado e registrado como sendo de 56.094. Para fins de registro, está anotado aqui o valor impresso neste documento.
</t>
      </text>
    </comment>
    <comment authorId="9" xr:uid="{8f626a36-5526-489d-bada-a5efeaf05750}" ref="AB45">
      <text>
        <t xml:space="preserve">[Threaded comment]
 Your version of Excel allows you to read this threaded comment; however, any edits to it will get removed if the file is opened in a newer version of Excel. Learn more: https://go.microsoft.com/fwlink/?linkid=870924
Comment:
	O quarto algarismo ("5") está grafado incorretamente no documento do TSE.
</t>
      </text>
    </comment>
    <comment authorId="10" xr:uid="{9198853e-25aa-4f91-ab0b-794f1c4fee0b}" ref="S103">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213 votos brancos.
</t>
      </text>
    </comment>
    <comment authorId="11" xr:uid="{b008f217-b6f5-42b4-addd-a2a00c7cd800}" ref="F39">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6 votos para Adhemar.
</t>
      </text>
    </comment>
    <comment authorId="12" xr:uid="{ced6585b-0d86-4f8c-91c5-f7b4958bdf60}" ref="AB79">
      <text>
        <t xml:space="preserve">[Threaded comment]
 Your version of Excel allows you to read this threaded comment; however, any edits to it will get removed if the file is opened in a newer version of Excel. Learn more: https://go.microsoft.com/fwlink/?linkid=870924
Comment:
	Número parcialmente ilegível; mais precisamente o terceiro algarismo está borrado. Foi considerada na planilha a cifra 3757.
</t>
      </text>
    </comment>
    <comment authorId="13" xr:uid="{cf2d0492-5a54-493b-9a7a-09399950f879}" ref="V154">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897 votos nominais nas eleições de titular e vice.
</t>
      </text>
    </comment>
    <comment authorId="14" xr:uid="{d6c6a587-26e3-49ca-8b53-6c4aeee85867}" ref="T12">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Neste, consta 696 votos nulos.
</t>
      </text>
    </comment>
    <comment authorId="15" xr:uid="{d731b4fd-f298-443c-96ab-4b2191951b42}" ref="B13">
      <text>
        <t xml:space="preserve">[Threaded comment]
 Your version of Excel allows you to read this threaded comment; however, any edits to it will get removed if the file is opened in a newer version of Excel. Learn more: https://go.microsoft.com/fwlink/?linkid=870924
Comment:
	Sede no distrito de Campinas.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tc={00e1b4cc-521d-44bc-9994-ab4b5202220b}</author>
    <author>tc={120ca34a-4e41-4587-8001-6711e1453008}</author>
    <author>tc={21a7abf7-2cbb-4a3c-af7c-cacc60827670}</author>
    <author>tc={30a24900-3848-42ea-89ce-1872e809b778}</author>
    <author>tc={45fbef4c-aad3-422a-b7b7-1f5e79167582}</author>
    <author>tc={5f94978c-ea3e-4f82-9b66-c24d764b3f86}</author>
    <author>tc={72450c66-a2f3-479e-beb1-2bbf2ae8f9dc}</author>
    <author>tc={800da621-52c7-4bc0-b107-f2fd681b9a8b}</author>
    <author>tc={8e9a8277-ca27-4a08-a3f6-575119221c5b}</author>
    <author>tc={9ab675a7-001a-4818-bff4-5f862be602aa}</author>
    <author>tc={a9f53f0a-3f03-4260-8df1-b7e5d6b7fd39}</author>
    <author>tc={ae651c36-d3cf-4c5c-a780-628ea3034ed2}</author>
    <author>tc={b9908106-e9dd-47ed-bed2-32354cc63aff}</author>
    <author>tc={d30cb413-8407-4698-bab9-e6ba6582aaab}</author>
    <author>tc={dc14f4e4-c1a3-48e2-9df6-e2d711ff3301}</author>
    <author>tc={f9133094-5e23-46c9-b382-8ff34280404c}</author>
  </authors>
  <commentList>
    <comment authorId="0" ref="AB34">
      <text>
        <t xml:space="preserve">Dado faltante no Banco de Dados Eleitorais do NUPERGS.</t>
      </text>
    </comment>
    <comment authorId="0" ref="AB51">
      <text>
        <t xml:space="preserve">Dado faltante no documento do TSE e no Banco de Dados Eleitorais do NUPERGS.</t>
      </text>
    </comment>
    <comment authorId="0" ref="AB59">
      <text>
        <t xml:space="preserve">Dado faltante no documento do TSE e no Banco de Dados Eleitorais do NUPERGS.</t>
      </text>
    </comment>
    <comment authorId="0" ref="AB126">
      <text>
        <t xml:space="preserve">Dado faltante no Banco de Dados Eleitorais do NUPERGS.</t>
      </text>
    </comment>
    <comment authorId="0" ref="B167">
      <text>
        <t xml:space="preserve">Dados extraídos do documento do TSE, "Dados Estatísticos, Volume 5" (https://bibliotecadigital.tse.jus.br/xmlui/handle/bdtse/5308), corrigidos com auxílio do Banco de Dados Eleitorais do NUPERGS (https://www.ufrgs.br/nupergs/banco/index.php).</t>
      </text>
    </comment>
    <comment authorId="0" ref="B168">
      <text>
        <t xml:space="preserve">Destaque para as imprecisões no eleitorado: O valor do eleitorado total do Estado no documento do TSE é de 1.403.740, ao passo que a soma do eleitorado dos municípios (excluídos Nova Palma e Serafim Corrêa), é de 1.403.919, porém, no Painel do TSE e nos Dados Abertos, registram-se 1.409.310 (provavelmente incluídos os eleitorados das três cidades citada acima). Para fins de registro, está anotado aqui o valor constatado no Painel.</t>
      </text>
    </comment>
    <comment authorId="1" xr:uid="{00e1b4cc-521d-44bc-9994-ab4b5202220b}" ref="T128">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90 votos nulos, cifra esta corrigida no Banco de Dados Eleitorais do NUPERGS.
</t>
      </text>
    </comment>
    <comment authorId="2" xr:uid="{120ca34a-4e41-4587-8001-6711e1453008}" ref="B167">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corrigidos com auxílio do Banco de Dados Eleitorais do NUPERGS (https://www.ufrgs.br/nupergs/banco/index.php).
</t>
      </text>
    </comment>
    <comment authorId="3" xr:uid="{21a7abf7-2cbb-4a3c-af7c-cacc60827670}" ref="AB126">
      <text>
        <t xml:space="preserve">[Threaded comment]
 Your version of Excel allows you to read this threaded comment; however, any edits to it will get removed if the file is opened in a newer version of Excel. Learn more: https://go.microsoft.com/fwlink/?linkid=870924
Comment:
	Dado faltante no Banco de Dados Eleitorais do NUPERGS.
</t>
      </text>
    </comment>
    <comment authorId="4" xr:uid="{30a24900-3848-42ea-89ce-1872e809b778}" ref="AB34">
      <text>
        <t xml:space="preserve">[Threaded comment]
 Your version of Excel allows you to read this threaded comment; however, any edits to it will get removed if the file is opened in a newer version of Excel. Learn more: https://go.microsoft.com/fwlink/?linkid=870924
Comment:
	Dado faltante no Banco de Dados Eleitorais do NUPERGS.
</t>
      </text>
    </comment>
    <comment authorId="5" xr:uid="{45fbef4c-aad3-422a-b7b7-1f5e79167582}" ref="AB51">
      <text>
        <t xml:space="preserve">[Threaded comment]
 Your version of Excel allows you to read this threaded comment; however, any edits to it will get removed if the file is opened in a newer version of Excel. Learn more: https://go.microsoft.com/fwlink/?linkid=870924
Comment:
	Dado faltante no documento do TSE e no Banco de Dados Eleitorais do NUPERGS.
</t>
      </text>
    </comment>
    <comment authorId="6" xr:uid="{5f94978c-ea3e-4f82-9b66-c24d764b3f86}" ref="E115">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1025 votos para Lott, cifra esta corrigida no Banco de Dados Eleitorais do NUPERGS.
</t>
      </text>
    </comment>
    <comment authorId="7" xr:uid="{72450c66-a2f3-479e-beb1-2bbf2ae8f9dc}" ref="AB164">
      <text>
        <t xml:space="preserve">[Threaded comment]
 Your version of Excel allows you to read this threaded comment; however, any edits to it will get removed if the file is opened in a newer version of Excel. Learn more: https://go.microsoft.com/fwlink/?linkid=870924
Comment:
	Há dois dados diferentes referentes sobre o total de eleitores que diferem da cifra apresentada na planilha: No documento do TSE, acusa-se o número de 1403740; já no documento dos Dados Estatísticos Vol.7, apresenta-se a cifra de 1409310. Como apresentado nesta planilha, a soma do eleitorado dos municípios (excluídos Nova Palma e Serafim Corrêa, que não foram contabilizados em nenhuma fonte, aparentemente) indica 1403919 eleitores. Nos contentemos com esse dado.
</t>
      </text>
    </comment>
    <comment authorId="8" xr:uid="{800da621-52c7-4bc0-b107-f2fd681b9a8b}" ref="G59">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236 votos brancos, cifra esta corrigida no Banco de Dados Eleitorais do NUPERGS.
</t>
      </text>
    </comment>
    <comment authorId="9" xr:uid="{8e9a8277-ca27-4a08-a3f6-575119221c5b}" ref="E81">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301 votos para Lott, cifra esta corrigida no Banco de Dados Eleitorais do NUPERGS.
</t>
      </text>
    </comment>
    <comment authorId="10" xr:uid="{9ab675a7-001a-4818-bff4-5f862be602aa}" ref="A12">
      <text>
        <t xml:space="preserve">[Threaded comment]
 Your version of Excel allows you to read this threaded comment; however, any edits to it will get removed if the file is opened in a newer version of Excel. Learn more: https://go.microsoft.com/fwlink/?linkid=870924
Comment:
	Na edição do dia 7 de Outubro, o periódico "Jornal do Dia" exibiu resultados de várias urnas da primeira e segunda zona eleitoral da capital. Considerando que Jânio e Ferrari venceram na maioria delas com ligeira vantagem, é seguro, tendo em vista esses dados, a vitória de ambos nas duas. (https://memoria.bn.br/DocReader/DocReader.aspx?bib=098230&amp;pesq=J%C3%A2nio%20Quadros%20Zona%20Resultados&amp;pasta=ano%20196&amp;hf=memoria.bn.br&amp;pagfis=42802)
Reply:
	Marcado como resuelto
Reply:
	Reabierto
</t>
      </text>
    </comment>
    <comment authorId="11" xr:uid="{a9f53f0a-3f03-4260-8df1-b7e5d6b7fd39}" ref="B168">
      <text>
        <t xml:space="preserve">[Threaded comment]
 Your version of Excel allows you to read this threaded comment; however, any edits to it will get removed if the file is opened in a newer version of Excel. Learn more: https://go.microsoft.com/fwlink/?linkid=870924
Comment:
	Nos Dados Estatísticos: 7º Vol. do TSE (https://bibliotecadigital.tse.jus.br/xmlui/handle/bdtse/5302), consta-se 541.031 votos à Jânio Quadros, com todos os outros valores (votos nominais e eleitorado) estando de acordo.
</t>
      </text>
    </comment>
    <comment authorId="12" xr:uid="{ae651c36-d3cf-4c5c-a780-628ea3034ed2}" ref="D90">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1951 votos para Jânio, cifra esta corrigida no Banco de Dados Eleitorais do NUPERGS.
</t>
      </text>
    </comment>
    <comment authorId="13" xr:uid="{b9908106-e9dd-47ed-bed2-32354cc63aff}" ref="AB59">
      <text>
        <t xml:space="preserve">[Threaded comment]
 Your version of Excel allows you to read this threaded comment; however, any edits to it will get removed if the file is opened in a newer version of Excel. Learn more: https://go.microsoft.com/fwlink/?linkid=870924
Comment:
	Dado faltante no documento do TSE e no Banco de Dados Eleitorais do NUPERGS.
</t>
      </text>
    </comment>
    <comment authorId="14" xr:uid="{d30cb413-8407-4698-bab9-e6ba6582aaab}" ref="H82">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537 votos nulos, cifra esta corrigida no Banco de Dados Eleitorais do NUPERGS.
</t>
      </text>
    </comment>
    <comment authorId="15" xr:uid="{dc14f4e4-c1a3-48e2-9df6-e2d711ff3301}" ref="R146">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1422 votos para Ferrari, cifra esta corrigida no Banco de Dados Eleitorais do NUPERGS.
</t>
      </text>
    </comment>
    <comment authorId="16" xr:uid="{f9133094-5e23-46c9-b382-8ff34280404c}" ref="B168">
      <text>
        <t xml:space="preserve">[Threaded comment]
 Your version of Excel allows you to read this threaded comment; however, any edits to it will get removed if the file is opened in a newer version of Excel. Learn more: https://go.microsoft.com/fwlink/?linkid=870924
Comment:
	Destaque para as imprecisões no eleitorado: O valor do eleitorado total do Estado no documento do TSE é de 1.403.740, ao passo que a soma do eleitorado dos municípios (excluídos Nova Palma e Serafim Corrêa), é de 1.403.919, porém, no Painel do TSE e nos Dados Abertos, registram-se 1.409.310 (provavelmente incluídos os eleitorados das três cidades citada acima). Para fins de registro, está anotado aqui o valor constatado no Painel.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tc={06382ab4-28cb-43ab-aac1-dfa207239d87}</author>
    <author>tc={200b71d6-9ff0-4c93-8d7f-2bdfc97a2263}</author>
    <author>tc={41b354e6-e9de-4c6b-872d-f18527556cfd}</author>
    <author>tc={474f43ae-9d14-4999-9207-2e7e7c9cd755}</author>
    <author>tc={53b31858-abab-41f2-aa5f-725608addebc}</author>
    <author>tc={61f83d33-f26c-4019-b350-67ca85e99902}</author>
    <author>tc={66367bf1-aa54-4492-8b2b-31c84ab1a80c}</author>
    <author>tc={77eb0e4b-91e4-4a9c-b05f-cda3dca33103}</author>
    <author>tc={895181b6-2e94-4ed0-b449-ce2a4e2a81b7}</author>
    <author>tc={8bdbc5bf-1169-49eb-95d0-3e487a347776}</author>
    <author>tc={8e1db645-646c-4f9a-aaef-a349fd89771c}</author>
    <author>tc={90c897b6-a094-4c05-b635-545a9b3ffe44}</author>
    <author>tc={9bbe434f-4aba-4f02-863b-44f1c3b0c6f2}</author>
    <author>tc={a079fcf5-dc13-42e8-aac0-34f2ed438100}</author>
    <author>tc={a4377b65-74cc-4048-a7c8-b331a24d6de1}</author>
    <author>tc={b5e3c442-881f-4e95-abe0-31d2254484ad}</author>
    <author>tc={f423b36c-d1b9-42b5-81c8-d65643392b6a}</author>
  </authors>
  <commentList>
    <comment authorId="0" ref="AB35">
      <text>
        <t xml:space="preserve">Não temos disponível em fontes secundárias o eleitorado de cada zona eleitoral de Florianópolis.</t>
      </text>
    </comment>
    <comment authorId="0" ref="AB36">
      <text>
        <t xml:space="preserve">Não temos disponível em fontes secundárias o eleitorado de cada zona eleitoral de Florianópolis.</t>
      </text>
    </comment>
    <comment authorId="0" ref="B60">
      <text>
        <t xml:space="preserve">Por algum motivo, houve uma confusão na 23ª ZE no Documento do TRE-SC: Orleans é a única cidade listada na 23ª ZE, porém a votação exibida é a de Lauro Müller - Orleans estará listada novamente no documento, deste vez na 34ª ZE e com a votação correspondente; A votação na 23ª ZE aparece corretamente no Documento do TSE.</t>
      </text>
    </comment>
    <comment authorId="0" ref="B61">
      <text>
        <t xml:space="preserve">Por algum motivo, houve uma confusão na 23ª ZE no Documento do TRE-SC: Apesar de constar apenas o município de Orleans, mas a votação exibida é a de Lauro Müller; A votação das duas cidades aparece normalmente no Documento do TSE.</t>
      </text>
    </comment>
    <comment authorId="0" ref="A71">
      <text>
        <t xml:space="preserve">Por algum motivo, a 28ª ZE é ocultada no Documento do TRE-SC, que lista São Joaquim na 27ª ZE.</t>
      </text>
    </comment>
    <comment authorId="0" ref="AB79">
      <text>
        <t xml:space="preserve">Esta cifra foi anotada erroneamente no documento do TSE como sendo 5497 eleitores, número abaixo dos 5714 votos totais na cidade. A cifra corrigida está presente na relação do eleitorado das cidades que realizaram eleições municipais em 1960, do Exemplar Estatístico do TRE-SC (https://apps.tre-sc.jus.br/e-docsweb/documento/edoc153440/estatisticas_arquivo_1960_80.pdf#search=%22presidente%22).</t>
      </text>
    </comment>
    <comment authorId="0" ref="B119">
      <text>
        <t xml:space="preserve">Dados extraídos do documento do TSE, "Dados Estatísticos, Volume 5" (https://bibliotecadigital.tse.jus.br/xmlui/handle/bdtse/5308), complementarmente corrigido com o documento "Eleições realizadas em 03/10/1960", do TRE-SC (https://apps.tre-sc.jus.br/e-docsweb/documento/edoc153427/mapa_apuracao_arquivo_1960_78_4.pdf).
Obs: Vale constar que o documento do TRE-SC possui também erros de cifras e de disposição das zonas que estão corretamente impressos no documento do TSE.</t>
      </text>
    </comment>
    <comment authorId="0" ref="B120">
      <text>
        <t xml:space="preserve">Réplica da observação presente no documento do TSE: "Em 3.9.60, o TRE comunicou o eleitorado apto a votar num total de 581.358, cifra esta constante de vários quadros, já publicados; Em 1.3.62, ratificou o total para 573.595, justificando a diferença com cancelamentos não computados à época da 1ª comunicação."</t>
      </text>
    </comment>
    <comment authorId="0" ref="B121">
      <text>
        <t xml:space="preserve">Destaque para as imprecisões no eleitorado: No documento do TSE, acusa-se o número de 573.595 eleitores; No mapa de apuração do TRE-SC, datado de 9 de março de 1961 (https://apps.tre-sc.jus.br/e-docsweb/documento/edoc153444/mapa_apuracao_arquivo_1960_81.pdf), indica o eleitorado total de 573.604, assim como já constatado pelo Tribunal em 1962 (verificar 2ª consideração); a soma do eleitorado dos municípios, tendo em base os números apresentados no documento do TSE, indica 573.501 eleitores; e no Painel do TSE, assim como nos Dados Abertos, constam 573.599 eleitores. Para fins de registro, está anotado aqui o valor constatado no Painel.</t>
      </text>
    </comment>
    <comment authorId="1" xr:uid="{06382ab4-28cb-43ab-aac1-dfa207239d87}" ref="Q36">
      <text>
        <t xml:space="preserve">[Threaded comment]
 Your version of Excel allows you to read this threaded comment; however, any edits to it will get removed if the file is opened in a newer version of Excel. Learn more: https://go.microsoft.com/fwlink/?linkid=870924
Comment:
	O primeiro algarismo "7" desta cifra está faltante no Documento do TRE-SC, provavelmente apagado pela rasura na digitalização.
</t>
      </text>
    </comment>
    <comment authorId="2" xr:uid="{200b71d6-9ff0-4c93-8d7f-2bdfc97a2263}" ref="T115">
      <text>
        <t xml:space="preserve">[Threaded comment]
 Your version of Excel allows you to read this threaded comment; however, any edits to it will get removed if the file is opened in a newer version of Excel. Learn more: https://go.microsoft.com/fwlink/?linkid=870924
Comment:
	Valor anotado erroneamente como 44 votos nulos no Documento do TRE-SC, cifra esta corrigida no Documento do TSE.
</t>
      </text>
    </comment>
    <comment authorId="3" xr:uid="{41b354e6-e9de-4c6b-872d-f18527556cfd}" ref="A71">
      <text>
        <t xml:space="preserve">[Threaded comment]
 Your version of Excel allows you to read this threaded comment; however, any edits to it will get removed if the file is opened in a newer version of Excel. Learn more: https://go.microsoft.com/fwlink/?linkid=870924
Comment:
	Por algum motivo, a 28ª ZE é ocultada no Documento do TRE-SC, que lista São Joaquim na 27ª ZE.
</t>
      </text>
    </comment>
    <comment authorId="4" xr:uid="{474f43ae-9d14-4999-9207-2e7e7c9cd755}" ref="Q76">
      <text>
        <t xml:space="preserve">[Threaded comment]
 Your version of Excel allows you to read this threaded comment; however, any edits to it will get removed if the file is opened in a newer version of Excel. Learn more: https://go.microsoft.com/fwlink/?linkid=870924
Comment:
	O primeiro algarismo "1" desta cifra está faltante no Documento do TRE-SC, provavelmente apagado pela rasura na digitalização.
</t>
      </text>
    </comment>
    <comment authorId="5" xr:uid="{53b31858-abab-41f2-aa5f-725608addebc}" ref="R36">
      <text>
        <t xml:space="preserve">[Threaded comment]
 Your version of Excel allows you to read this threaded comment; however, any edits to it will get removed if the file is opened in a newer version of Excel. Learn more: https://go.microsoft.com/fwlink/?linkid=870924
Comment:
	Valor anotado erroneamente como 1901 votos para Ferrari no Documento do TRE-SC - este criou um descrédito de 50 votos no total de votantes, em relação à votação para presidente, e no total de votos de Ferrari no estado, logo foram adicionados esses 50 votos nesta cifra para balancear.
</t>
      </text>
    </comment>
    <comment authorId="6" xr:uid="{61f83d33-f26c-4019-b350-67ca85e99902}" ref="AB116">
      <text>
        <t xml:space="preserve">[Threaded comment]
 Your version of Excel allows you to read this threaded comment; however, any edits to it will get removed if the file is opened in a newer version of Excel. Learn more: https://go.microsoft.com/fwlink/?linkid=870924
Comment:
	Há dois dados diferentes referentes sobre o total de eleitores que diferem da cifra apresentada na planilha: No documento do TSE, acusa-se o número de 573595; já no documento do Exemplar Estatístico do TRE-SC apresenta-se a cifra de 573604 (conferir na 3ª consideração). Como apresentado nesta planilha, a soma do eleitorado dos municípios, tendo em base os números apresentados no documento do TSE, indica 573501 eleitores.
</t>
      </text>
    </comment>
    <comment authorId="7" xr:uid="{66367bf1-aa54-4492-8b2b-31c84ab1a80c}" ref="B121">
      <text>
        <t xml:space="preserve">[Threaded comment]
 Your version of Excel allows you to read this threaded comment; however, any edits to it will get removed if the file is opened in a newer version of Excel. Learn more: https://go.microsoft.com/fwlink/?linkid=870924
Comment:
	Destaque para as imprecisões no eleitorado: No documento do TSE, acusa-se o número de 573.595 eleitores; No mapa de apuração do TRE-SC, datado de 9 de março de 1961 (https://apps.tre-sc.jus.br/e-docsweb/documento/edoc153444/mapa_apuracao_arquivo_1960_81.pdf), indica o eleitorado total de 573.604, assim como já constatado pelo Tribunal em 1962 (verificar 2ª consideração); a soma do eleitorado dos municípios, tendo em base os números apresentados no documento do TSE, indica 573.501 eleitores; e no Painel do TSE, assim como nos Dados Abertos, constam 573.599 eleitores. Para fins de registro, está anotado aqui o valor constatado no Painel.
</t>
      </text>
    </comment>
    <comment authorId="8" xr:uid="{77eb0e4b-91e4-4a9c-b05f-cda3dca33103}" ref="J13">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4918 votantes no município, cifra esta corrigida no Documento do TRE-SC.
Reply:
	Marcado como resuelto
Reply:
	Reabierto
</t>
      </text>
    </comment>
    <comment authorId="9" xr:uid="{895181b6-2e94-4ed0-b449-ce2a4e2a81b7}" ref="B119">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complementarmente corrigido com o documento "Eleições realizadas em 03/10/1960", do TRE-SC (https://apps.tre-sc.jus.br/e-docsweb/documento/edoc153427/mapa_apuracao_arquivo_1960_78_4.pdf).
Obs: Vale constar que o documento do TRE-SC possui também erros de cifras e de disposição das zonas que estão corretamente impressos no documento do TSE.
</t>
      </text>
    </comment>
    <comment authorId="10" xr:uid="{8bdbc5bf-1169-49eb-95d0-3e487a347776}" ref="B61">
      <text>
        <t xml:space="preserve">[Threaded comment]
 Your version of Excel allows you to read this threaded comment; however, any edits to it will get removed if the file is opened in a newer version of Excel. Learn more: https://go.microsoft.com/fwlink/?linkid=870924
Comment:
	Por algum motivo, houve uma confusão na 23ª ZE no Documento do TRE-SC: Apesar de constar apenas o município de Orleans, mas a votação exibida é a de Lauro Müller; A votação das duas cidades aparece normalmente no Documento do TSE.
Reply:
	Marcado como resuelto
Reply:
	Reabierto
</t>
      </text>
    </comment>
    <comment authorId="11" xr:uid="{8e1db645-646c-4f9a-aaef-a349fd89771c}" ref="AB79">
      <text>
        <t xml:space="preserve">[Threaded comment]
 Your version of Excel allows you to read this threaded comment; however, any edits to it will get removed if the file is opened in a newer version of Excel. Learn more: https://go.microsoft.com/fwlink/?linkid=870924
Comment:
	Esta cifra foi anotada erroneamente no documento do TSE como sendo 5497 eleitores, número abaixo dos 5714 votos totais na cidade. A cifra corrigida está presente na relação do eleitorado das cidades que realizaram eleições municipais em 1960, do Exemplar Estatístico do TRE-SC (https://apps.tre-sc.jus.br/e-docsweb/documento/edoc153440/estatisticas_arquivo_1960_80.pdf#search=%22presidente%22).
</t>
      </text>
    </comment>
    <comment authorId="12" xr:uid="{90c897b6-a094-4c05-b635-545a9b3ffe44}" ref="B60">
      <text>
        <t xml:space="preserve">[Threaded comment]
 Your version of Excel allows you to read this threaded comment; however, any edits to it will get removed if the file is opened in a newer version of Excel. Learn more: https://go.microsoft.com/fwlink/?linkid=870924
Comment:
	Por algum motivo, houve uma confusão na 23ª ZE no Documento do TRE-SC: Orleans é a única cidade listada na 23ª ZE, porém a votação exibida é a de Lauro Müller - Orleans estará listada novamente no documento, deste vez na 34ª ZE e com a votação correspondente; A votação na 23ª ZE aparece corretamente no Documento do TSE.
</t>
      </text>
    </comment>
    <comment authorId="13" xr:uid="{9bbe434f-4aba-4f02-863b-44f1c3b0c6f2}" ref="AB35">
      <text>
        <t xml:space="preserve">[Threaded comment]
 Your version of Excel allows you to read this threaded comment; however, any edits to it will get removed if the file is opened in a newer version of Excel. Learn more: https://go.microsoft.com/fwlink/?linkid=870924
Comment:
	Não temos disponível em fontes secundárias o eleitorado de cada zona eleitoral de Florianópólis.
</t>
      </text>
    </comment>
    <comment authorId="14" xr:uid="{a079fcf5-dc13-42e8-aac0-34f2ed438100}" ref="H115">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63 votos nulos no Documento do TRE-SC, cifra esta corrigida no Documento do TSE.
</t>
      </text>
    </comment>
    <comment authorId="15" xr:uid="{a4377b65-74cc-4048-a7c8-b331a24d6de1}" ref="B121">
      <text>
        <t xml:space="preserve">[Threaded comment]
 Your version of Excel allows you to read this threaded comment; however, any edits to it will get removed if the file is opened in a newer version of Excel. Learn more: https://go.microsoft.com/fwlink/?linkid=870924
Comment:
	Um mapa de apuração do TRE-SC, datado de 9 de março de 1961 (https://apps.tre-sc.jus.br/e-docsweb/documento/edoc153444/mapa_apuracao_arquivo_1960_81.pdf), indica o eleitorado total de 573.604 pessoas. Neste documento, porém, é exibida o eleitorado por municípios, que, em comparação com os aqui na planilha presentes, atestam diferenças: Blumenau ~ 21299 (+8), Vidal Ramos ~ 2889 (+7), Grão Pará ~ 1552 (+30), Descanso ~ 1179 (+70), Sombrio ~ 5494 (-3), Urussanga ~ 5156 (-9). Houve também dois números que foram anotados erroneamente que, somando as cifras, cria um crédito de 5020 votos em relação ao total anotado na linha "Total" do documento: Curitibanos ~ 3577 (-5000), Cunha Porã ~ 1483 (-20).
Reply:
	Marcado como resuelto
Reply:
	Reabierto
</t>
      </text>
    </comment>
    <comment authorId="16" xr:uid="{b5e3c442-881f-4e95-abe0-31d2254484ad}" ref="B120">
      <text>
        <t xml:space="preserve">[Threaded comment]
 Your version of Excel allows you to read this threaded comment; however, any edits to it will get removed if the file is opened in a newer version of Excel. Learn more: https://go.microsoft.com/fwlink/?linkid=870924
Comment:
	Réplica da observação presente no documento do TSE: Em 3.9.60, o TRE comunicou o eleitorado apto a votar num total de 581.358, cifra esta constante de vários quadros, já publicados; Em 1.3.62, ratificou o total para 573.595, justificando a diferença com cancelamentos não computados à época da 1ª comunicação.
</t>
      </text>
    </comment>
    <comment authorId="17" xr:uid="{f423b36c-d1b9-42b5-81c8-d65643392b6a}" ref="R74">
      <text>
        <t xml:space="preserve">[Threaded comment]
 Your version of Excel allows you to read this threaded comment; however, any edits to it will get removed if the file is opened in a newer version of Excel. Learn more: https://go.microsoft.com/fwlink/?linkid=870924
Comment:
	Valor anotado erroneamente como 186 votos para Ferrari no Documento do TRE-SC, cifra esta corrigida no Documento do TSE.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tc={3ba9e395-b081-47ae-b73c-57e6028c875f}</author>
    <author>tc={4c637f99-bcf7-4ad8-9344-48748982f3ac}</author>
    <author>tc={6b3dbfd0-0df4-444c-a52f-71b91c0a2e98}</author>
    <author>tc={7ebdc0db-6b3a-4e79-b589-8722f41a7a21}</author>
    <author>tc={964e1bbd-b778-4581-8e07-c47f36f211ce}</author>
    <author>tc={9c62393d-012b-475b-9877-094c9143ee5c}</author>
    <author>tc={9dc4689d-be93-4404-954a-0dff42af8d3e}</author>
    <author>tc={c666a706-b0a2-4dff-9b3c-9ee375fd6807}</author>
    <author>tc={c8d70c32-a0b7-4384-8ce6-07b88bb8a44b}</author>
  </authors>
  <commentList>
    <comment authorId="0" ref="A14">
      <text>
        <t xml:space="preserve">No documento do TRE-PR, registrou-se uma anomalia no valor do eleitorado referente à terceira zona do estado: Esta abrange uma porção da cidade de Curitiba (de 33.194 eleitores), mais o município de Piraquara (de 3.133 eleitores), num total de 36.327 eleitores inscritos. No entanto, o valor total assinalado no documento do TRE-PR é de 38.660, em valor superestimo de 2.333. Isto ocorreu pois, por algum engano, incluiu-se o eleitorado de Campina Grande do Sul, município pertencente à 4ª zona eleitoral do estado e com o exato eleitorado de 2.333. Isto é evidente dado que esse eleitorado não foi adicionado no valor total da terceira zona do referido documento, onde o valor 34.911 é o mesmo da porção isolada de Curitiba.</t>
      </text>
    </comment>
    <comment authorId="0" ref="AB16">
      <text>
        <t xml:space="preserve">Valor anotado erroneamente no documento do TSE como 114.818 eleitores registrados, 10 mil de descrédito, valor este corrigido no Documento do TRE-PR.</t>
      </text>
    </comment>
    <comment authorId="0" ref="B187">
      <text>
        <t xml:space="preserve">Dados extraídos do documento do TSE, "Dados Estatísticos, Volume 5" (https://bibliotecadigital.tse.jus.br/xmlui/handle/bdtse/5308), corrigido com o documento "Boletim final da apuração Nº 20 das Eleições Gerais realizadas nesta circunscrição, em 3 de Outubro de 1960", do TRE-PR (https://apps.tre-pr.jus.br/files/eleicoes-gerais-resultados/tre-pr-eleicoes-gerais-1960.pdf).</t>
      </text>
    </comment>
    <comment authorId="0" ref="B188">
      <text>
        <t xml:space="preserve">Certamente o eleitorado correto registrado no Paraná tenha sido de 885.418 inscritos, número presente no documento do TRE-PR, no Painel do TSE e Dados Abertos - no documento do TSE, consta-se o valor de 875.418 inscritos, justamente pelo descrédito errôneo de 10 mil votos no eleitorado de Curitiba. Porém, há 3 inscritos à menos quando somado o eleitorado dos municípios e, comparando as votações globais das zonas eleitorais, verifica-se que esse erro se deu na 85ª zona: Somando o eleitorado das cidades da zona, a partir dos números presentes no documento do TSE, chega-se a 13.147 inscritos, 3 a menos que os 13.150 anotado no documento do TRE-PR; Isso poderia facilmente ser resolvido se o TRE-PR tivesse anotado o eleitorado por município, o que não foi o caso.
Ademais, há de se apontar também outras diferenças que se pode notar comparando valores entre os documentos do TSE e TRE nas 32ª, 33ª, 58ª e 59ª zonas, entretanto, essas diferenças balanceiam-se entre si e não alteram o resultado total.</t>
      </text>
    </comment>
    <comment authorId="1" xr:uid="{3ba9e395-b081-47ae-b73c-57e6028c875f}" ref="A14">
      <text>
        <t xml:space="preserve">[Threaded comment]
 Your version of Excel allows you to read this threaded comment; however, any edits to it will get removed if the file is opened in a newer version of Excel. Learn more: https://go.microsoft.com/fwlink/?linkid=870924
Comment:
	No documento do TRE-PR, registrou-se uma anomalia no valor do eleitorado referente à terceira zona do estado: Esta abrange uma porção da cidade de Curitiba (de 33.194 eleitores), mais o município de Piraquara (de 3.133 eleitores), num total de 36.327 eleitores inscritos. No entanto, a cifra total assinalada no documento do TRE-PR é de 38.660, em valor superestimo de 2.333. Isto ocorreu pois, por algum engano, incluiu-se o eleitorado de Campina Grande do Sul, município pertencente à 4ª zona eleitoral do estado e com o exato eleitorado de 2.333. Isto é evidente dado que esse eleitorado não foi adicionado no valor total da terceira zona do referido documento, onde a cifra 34.911 é a mesma da porção isolada de Curitiba.
</t>
      </text>
    </comment>
    <comment authorId="2" xr:uid="{4c637f99-bcf7-4ad8-9344-48748982f3ac}" ref="F125">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4269 votos para Adhemar, cifra esta corrigida no Documento do TRE-PR.
</t>
      </text>
    </comment>
    <comment authorId="3" xr:uid="{6b3dbfd0-0df4-444c-a52f-71b91c0a2e98}" ref="B187">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corrigido com o documento "Boletim final da apuração Nº 20 das Eleições Gerais realizadas nesta circunscrição, em 3 de Outubro de 1960", do TRE-PR (https://apps.tre-pr.jus.br/files/eleicoes-gerais-resultados/tre-pr-eleicoes-gerais-1960.pdf).
</t>
      </text>
    </comment>
    <comment authorId="4" xr:uid="{7ebdc0db-6b3a-4e79-b589-8722f41a7a21}" ref="AB16">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114.818 eleitores registrados, 10 mil de descrédito, cifra esta corrigida no Documento do TRE-PR.
Reply:
	Marcado como resuelto
Reply:
	Reabierto
</t>
      </text>
    </comment>
    <comment authorId="5" xr:uid="{964e1bbd-b778-4581-8e07-c47f36f211ce}" ref="AB184">
      <text>
        <t xml:space="preserve">[Threaded comment]
 Your version of Excel allows you to read this threaded comment; however, any edits to it will get removed if the file is opened in a newer version of Excel. Learn more: https://go.microsoft.com/fwlink/?linkid=870924
Comment:
	É praticamente certo que o eleitorado correto no Paraná tenha sido de 885.418 inscritos, cifra presente no documento do TRE-PR e nos Dados Estatísticos Vol.7 - no documento do TSE, consta-se a cifra de 875.418 inscritos, justamente pelo descrédito errôneo de 10 mil votos no eleitorado de Curitiba. Porém, há 3 inscritos escapantes quando somado o eleitorado dos municípios e, comparando as votações globais das zonas eleitorais, verifica-se que ele desbalanceamento se deu na 85ª zona: Somando o eleitorado, a partir dos números presentes no documento do TSE, chega-se a 13.147 inscritos, 3 a menos que os 13.150 anotado no documento do TRE-PR; Isso poderia facilmente ser resolvido se o TRE-PR tivesse anotado o eleitorado por município, o que não foi o caso, infelizmente.
Ademais, há de se apontar também outras diferenças que se pode notar comparando valores nos documentos das 32ª, 33ª, 58ª e 59ª zonas, mas essas diferenças balanceiam-se entre si e não alteram o resultado total.
</t>
      </text>
    </comment>
    <comment authorId="6" xr:uid="{9c62393d-012b-475b-9877-094c9143ee5c}" ref="B188">
      <text>
        <t xml:space="preserve">[Threaded comment]
 Your version of Excel allows you to read this threaded comment; however, any edits to it will get removed if the file is opened in a newer version of Excel. Learn more: https://go.microsoft.com/fwlink/?linkid=870924
Comment:
	Nos Dados Estatísticos: 7º Vol. do TSE (https://bibliotecadigital.tse.jus.br/xmlui/handle/bdtse/5302), consta-se 183.802 votos à Adhemar de Barro, com todos os votos nominais estando de acordo com o documento do TSE.
</t>
      </text>
    </comment>
    <comment authorId="7" xr:uid="{9dc4689d-be93-4404-954a-0dff42af8d3e}" ref="T121">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144 votos nulos, cifra esta corrigida no Documento do TRE-PR.
</t>
      </text>
    </comment>
    <comment authorId="8" xr:uid="{c666a706-b0a2-4dff-9b3c-9ee375fd6807}" ref="B188">
      <text>
        <t xml:space="preserve">[Threaded comment]
 Your version of Excel allows you to read this threaded comment; however, any edits to it will get removed if the file is opened in a newer version of Excel. Learn more: https://go.microsoft.com/fwlink/?linkid=870924
Comment:
	Certamente o eleitorado correto registrado no Paraná tenha sido de 885.418 inscritos, cifra presente no documento do TRE-PR, no Painel do TSE e Dados Abertos - no documento do TSE, consta-se a cifra de 875.418 inscritos, justamente pelo descrédito errôneo de 10 mil votos no eleitorado de Curitiba. Porém, há 3 inscritos escapantes quando somado o eleitorado dos municípios e, comparando as votações globais das zonas eleitorais, verifica-se que esse erro se deu na 85ª zona: Somando o eleitorado das cidades da zona, a partir dos números presentes no documento do TSE, chega-se a 13.147 inscritos, 3 a menos que os 13.150 anotado no documento do TRE-PR; Isso poderia facilmente ser resolvido se o TRE-PR tivesse anotado o eleitorado por município, o que não foi o caso, infelizmente.
Ademais, há de se apontar também outras diferenças que se pode notar comparando valores entre os documentos do TSE e TRE das 32ª, 33ª, 58ª e 59ª zonas, mas essas diferenças balanceiam-se entre si e não alteram o resultado total.
</t>
      </text>
    </comment>
    <comment authorId="9" xr:uid="{c8d70c32-a0b7-4384-8ce6-07b88bb8a44b}" ref="S157">
      <text>
        <t xml:space="preserve">[Threaded comment]
 Your version of Excel allows you to read this threaded comment; however, any edits to it will get removed if the file is opened in a newer version of Excel. Learn more: https://go.microsoft.com/fwlink/?linkid=870924
Comment:
	Valor anotado erroneamente no documento do TSE como 228 votos brancos, cifra esta corrigida no Documento do TRE-PR.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tc={001463e0-12a9-4981-9f03-c46d53dd20e9}</author>
    <author>tc={66c2c869-b9e7-4b7a-a240-611d651d7346}</author>
  </authors>
  <commentList>
    <comment authorId="0" ref="B55">
      <text>
        <t xml:space="preserve">Dados extraídos do documento do TSE, "Dados Estatísticos, Volume 5" (https://bibliotecadigital.tse.jus.br/xmlui/handle/bdtse/5308).</t>
      </text>
    </comment>
    <comment authorId="0" ref="B56">
      <text>
        <t xml:space="preserve">Houve um estranho erro no registro do documento do eleitorado no município de Santa Leopoldina que subestimou o seu valor, ficando menor que o número de votantes - acusa-se o valor de 2.473 inscritos. Somando o número dos eleitorado do Estado, chega-se ao número de 234.556 eleitores, mesmo valor impresso no documento do TSE e 500 à menos que os 235.056 eleitores registrados no Painel do TSE e Dados Abertos. Como dá-se prioridade para o registro no painel, e este valor era o único incongruente, foi adicionado a diferença de 500 eleitores no total dessa cidade.</t>
      </text>
    </comment>
    <comment authorId="1" xr:uid="{001463e0-12a9-4981-9f03-c46d53dd20e9}" ref="B55">
      <text>
        <t xml:space="preserve">[Threaded comment]
 Your version of Excel allows you to read this threaded comment; however, any edits to it will get removed if the file is opened in a newer version of Excel. Learn more: https://go.microsoft.com/fwlink/?linkid=870924
Comment:
	Dados extraídos do documento do TSE, "Dados Estatísticos, Volume 5" (https://bibliotecadigital.tse.jus.br/xmlui/handle/bdtse/5308).
</t>
      </text>
    </comment>
    <comment authorId="2" xr:uid="{66c2c869-b9e7-4b7a-a240-611d651d7346}" ref="B56">
      <text>
        <t xml:space="preserve">[Threaded comment]
 Your version of Excel allows you to read this threaded comment; however, any edits to it will get removed if the file is opened in a newer version of Excel. Learn more: https://go.microsoft.com/fwlink/?linkid=870924
Comment:
	Houve um estranho erro no registro do eleitorado no município de Santa Leopoldina que subestimou o seu valor, ficando menor que o número de votantes. Somando o número dos eleitorado do Estado, chega-se ao número de 234.556 eleitores, mesma cifra impressa no documento do TSE e 500 à menos que os 235.056 eleitores registrados no Painel do TSE e Dados Abertos. Para fins de registro, está anotado aqui o valor impresso no Painel.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tc={61ecb4f4-d5f9-45bd-a370-3ac840aafd88}</author>
  </authors>
  <commentList>
    <comment authorId="0" ref="J13">
      <text>
        <t xml:space="preserve">Esse valor foi erroneamente impresso como "41755" no documento do TSE.</t>
      </text>
    </comment>
    <comment authorId="0" ref="V13">
      <text>
        <t xml:space="preserve">Esse valor foi erroneamente impresso como "41755" no documento do TSE.</t>
      </text>
    </comment>
    <comment authorId="0" ref="B80">
      <text>
        <t xml:space="preserve">Dados extraídos do documento do TSE, "Dados Estatísticos, Volume 5" (https://bibliotecadigital.tse.jus.br/xmlui/handle/bdtse/5308).</t>
      </text>
    </comment>
    <comment authorId="0" ref="B81">
      <text>
        <t xml:space="preserve">Destaque para as imprecisões no eleitorado: O valor do eleitorado total do Estado no documento do TSE, assim como no Painel do TSE e nos Dados Abertos, é de 827.338, ao passo que a soma do eleitorado dos municípios, considerando os valores dispostos na planilha, é de 827.335. Para fins de registro, está anotado aqui o valor impresso neste documento.</t>
      </text>
    </comment>
    <comment authorId="1" xr:uid="{61ecb4f4-d5f9-45bd-a370-3ac840aafd88}" ref="J13">
      <text>
        <t xml:space="preserve">[Threaded comment]
 Your version of Excel allows you to read this threaded comment; however, any edits to it will get removed if the file is opened in a newer version of Excel. Learn more: https://go.microsoft.com/fwlink/?linkid=870924
Comment:
	Esse valor foi erroneamente impresso como "41755" no documento do TSE.
Reply:
	Marcado como resuelto
Reply:
	Reabierto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tc={0c28decc-cf05-4bce-b7c7-e728fe3f8126}</author>
    <author>tc={0e73a72f-a21d-45da-9967-07babbe314c4}</author>
    <author>tc={108cec0f-2b36-4eba-b63d-4339eb8565f5}</author>
    <author>tc={161b7c6e-ccd8-43eb-b492-4ef4f82000e5}</author>
    <author>tc={1c24603f-9519-4478-a16a-2de2c95d4c7a}</author>
    <author>tc={2f50d4d7-4502-41dc-84dc-9e7ecdfcb7c2}</author>
    <author>tc={35455014-5194-433d-bd9b-494871610fe2}</author>
    <author>tc={35491e75-9c21-499f-8da8-ed9cde138a57}</author>
    <author>tc={41661917-f200-48f1-ab9a-f55423442b4c}</author>
    <author>tc={469bd6b4-7884-44af-b9f3-4c54ad6e8620}</author>
    <author>tc={494e883c-2e02-42b7-ad40-5ba7cb26671c}</author>
    <author>tc={4a3582d5-d801-4acd-af2a-b7d1a70df36f}</author>
    <author>tc={4ade3661-d689-4501-adf4-b2c3d3202a7f}</author>
    <author>tc={4ce97cb4-55f0-480a-b8a0-ed0e6e7a9649}</author>
    <author>tc={564ad7f4-b5e6-47fd-918e-42f6be06a2fe}</author>
    <author>tc={6e28a409-aaa0-47d2-bfa7-fdb531b8af63}</author>
    <author>tc={741dbd65-9746-429a-a6b3-9f5a4890aadd}</author>
    <author>tc={8a672403-5fd5-42e1-a8d4-42d78f6d3450}</author>
    <author>tc={a1006474-82c5-4a43-9621-8bee70827076}</author>
    <author>tc={a45a97d2-1133-4d25-a2ec-5fe310a0d335}</author>
    <author>tc={b3cdf610-b24f-41f3-9cb1-b1c53f971ca8}</author>
    <author>tc={c0836918-af5a-43c3-93ee-9af6ee4a1181}</author>
    <author>tc={ca411949-2b23-4b6b-ba1b-a334e33b810d}</author>
    <author>tc={ca80d91e-c2e6-46f3-9579-59acd6a545d9}</author>
    <author>tc={ca8d8dbc-9e1c-4aee-beab-65d954258c9c}</author>
    <author>tc={cdd4505d-f91a-470d-97d5-4500542484e5}</author>
    <author>tc={e57db53e-bda5-40cf-8c6f-232fa98eb4c4}</author>
    <author>tc={eb1cc465-dfa2-45c2-bf03-db4aa169d24d}</author>
    <author>tc={f1feb23f-1412-4d8d-9c29-87505338c270}</author>
    <author>tc={f3b88491-8e54-4371-937c-3afdbacac9bf}</author>
    <author>tc={fa232cda-615f-4515-9377-7d8d1ec9a28e}</author>
  </authors>
  <commentList>
    <comment authorId="0" ref="AB12">
      <text>
        <t xml:space="preserve">Incluso o eleitorado dos demais municípios desta zona eleitoral.</t>
      </text>
    </comment>
    <comment authorId="0" ref="AB16">
      <text>
        <t xml:space="preserve">Incluso o eleitorado dos demais municípios desta zona eleitoral.</t>
      </text>
    </comment>
    <comment authorId="0" ref="AB18">
      <text>
        <t xml:space="preserve">O eleitorado impresso no documento do TSE (no caso, a soma do eleitorado das seis zonas que incluem os votantes dos outros municípios abrangidos) é de 1.271.323 - neste caso, a abstenção é de 178.380 eleitores (85.97% de comparecimento). O eleitorado de 1.202.012 foi extraído da relação dos eleitorados do documento do TRE-SP.</t>
      </text>
    </comment>
    <comment authorId="0" ref="AB19">
      <text>
        <t xml:space="preserve">Número ilegível devido à um erro de impressão nas últimas páginas da lista de eleitorado e comparecimento nos municípios no documento do TRE-SP.</t>
      </text>
    </comment>
    <comment authorId="0" ref="AB20">
      <text>
        <t xml:space="preserve">Valor extraído da relação do eleitorado do documento do TRE-SP.</t>
      </text>
    </comment>
    <comment authorId="0" ref="AB21">
      <text>
        <t xml:space="preserve">Valor extraído da relação do eleitorado do documento do TRE-SP.</t>
      </text>
    </comment>
    <comment authorId="0" ref="AB22">
      <text>
        <t xml:space="preserve">Valor extraído da relação do eleitorado do documento do TRE-SP.</t>
      </text>
    </comment>
    <comment authorId="0" ref="AB23">
      <text>
        <t xml:space="preserve">Valor extraído da relação do eleitorado do documento do TRE-SP.</t>
      </text>
    </comment>
    <comment authorId="0" ref="AB24">
      <text>
        <t xml:space="preserve">Valor extraído da relação do eleitorado do documento do TRE-SP.</t>
      </text>
    </comment>
    <comment authorId="0" ref="AB25">
      <text>
        <t xml:space="preserve">Valor extraído da relação do eleitorado do documento do TRE-SP.</t>
      </text>
    </comment>
    <comment authorId="0" ref="AB26">
      <text>
        <t xml:space="preserve">Valor extraído da relação do eleitorado do documento do TRE-SP.</t>
      </text>
    </comment>
    <comment authorId="0" ref="AB27">
      <text>
        <t xml:space="preserve">Valor extraído da relação do eleitorado do documento do TRE-SP.</t>
      </text>
    </comment>
    <comment authorId="0" ref="AB28">
      <text>
        <t xml:space="preserve">Valor extraído da relação do eleitorado do documento do TRE-SP.</t>
      </text>
    </comment>
    <comment authorId="0" ref="AB29">
      <text>
        <t xml:space="preserve">Valor extraído da relação do eleitorado do documento do TRE-SP.</t>
      </text>
    </comment>
    <comment authorId="0" ref="AB30">
      <text>
        <t xml:space="preserve">Valor extraído da relação do eleitorado do documento do TRE-SP.</t>
      </text>
    </comment>
    <comment authorId="0" ref="AB31">
      <text>
        <t xml:space="preserve">Valor extraído da relação do eleitorado do documento do TRE-SP.</t>
      </text>
    </comment>
    <comment authorId="0" ref="AB35">
      <text>
        <t xml:space="preserve">Número grafado incorretamente no documento do TSE. Será considerada aqui a cifra "3.222".</t>
      </text>
    </comment>
    <comment authorId="0" ref="R263">
      <text>
        <t xml:space="preserve">Cifra grafada incorretamente no documento do TSE.</t>
      </text>
    </comment>
    <comment authorId="0" ref="B524">
      <text>
        <t xml:space="preserve">Dados extraídos do documento do TSE, "Dados Estatísticos, Volume 5" (https://bibliotecadigital.tse.jus.br/xmlui/handle/bdtse/5308), complementarmente corrigido com o documento "Resultados das eleições presidenciais de 3 de outubro de 1960", do TRE-SP, disponível na biblioteca digital do SEADE (https://bibliotecadigital.seade.gov.br/view/singlepage/index.php?pubcod=10014204&amp;parte=1). Vale destacar que neste último documento, as votações nos municípios estão configuradas em valores percentuais.</t>
      </text>
    </comment>
    <comment authorId="0" ref="B525">
      <text>
        <t xml:space="preserve">Destaque para as imprecisões no eleitorado: 
- A soma dos valores do eleitorado disposto no documento do TSE acusa um total de 3.417.729, valor acima do número de 3.412.611 registrado no soma total no documento e no Painel do TSE. 
- No documento do TRE-SP, a relação dos eleitorados dos municípios no primeiro capítulo, datada de 31/08/1960, traz valores discrepantes em todas as cidades em comparação ao outro documento - todavia, devido à uma falha de impressão nas últimas folhas do capítulo, o número total do estado, assim como em outras cidades, está ilegível.
- Foram ocultados os números do eleitorado das demais cidades que englobam a 1ª e a 5ª zona eleitoral, que abrangem porções da cidade de São Paulo, sendo estes englobados e impressos nas linhas do eleitorado das zonas da capital paulista, no documento do TSE, inflacionando o número de eleitores deste município. Foram inclusos, para fins de registro, os eleitorados desses municípios, assim como o total da cidade de São Paulo, presentes no documento do TRE-SP.</t>
      </text>
    </comment>
    <comment authorId="0" ref="B526">
      <text>
        <t xml:space="preserve">Duas cidades paulistas sofreram com problemas jurídicos quanto às suas emancipação à época do pleito, mas foram listadas no mapa de apuração do TSE. Sendo elas:
Osasco - A emancipação desta cidade de São Paulo, inicialmente deflagrada em 1959, padeceu de reveses jurídicos de modo que a sua instalação plena se sucedeu apenas em 1962. Apesar de configurar como distrito da capital durante esse meio tempo, os resultados em Osasco foram anotados separadamente, seja no documento do TSE, seja no documento do TRE-SP. Segue a réplica da nota expressa no documento do TRE-SP: "Munícipio criado pela Lei nº 5.285, de 18/2/959. Foi sustada a realização de eleições municipais pelo acórdão nº 49.136, de 19/9/959 (publicado no Boletim Eleitoral nº 139/2869). Contra essa decisão, foi impetrado mandado de segurança para o Tribunal Superior Eleitoral, onde tomou o nº 159, e do qual aquêle Tribunal não tomou conhecimento, em sessão de 2/10/959 (Boletim Eleitoral nº 145/170). Pelo Boletim Eleitoral nº 150, os dados registrados dêsse município relativos às eleições, incluem-se, ainda, como distrito da Capital".
João Ramalho - A emancipação desta cidade de Quatá, também inicialmente deflagrada em 1959, foi postergada para março de 1961, poucos meses após as eleições de outubro de 1960. Apesar do documento do TRE-SP ter englobado os dados da votação com os de Quatá, o documento do TSE registrou o resultado de João Ramalho separadamente, permanecendo englobado com a antiga sede apenas o eleitorado. Segue a réplica da nota expressa no documento do TRE-SP: "Município criado pela Lei nº 5.285 de 18/2/959. Foi sustada a realização de eleições municipais pelo acórdão 48.900, de 29/7/959, publicado no DOE de 1/8/959. Posteriormente, em face de decisão do Supremo Tribunal Federal, o Tribunal Regional Eleitoral designou o dia 5/3/961 para a primeira eleição nesse município (acórdão nº 50.067, de 19/8/960, publicado no DOE de 23/8/960, Boletim Eleitoral nº 145/170). Os eleitores desse município votaram na Comarca de Quatá, em virtude de não ter sido instalado o município anteriormente à eleição presidencial".
Para fins de registro, essas duas cidades estão presentes nos mapas cartográficos da eleição, presentes na página "Introdução" desse trabalho.</t>
      </text>
    </comment>
    <comment authorId="0" ref="B527">
      <text>
        <t xml:space="preserve">Algumas outras cidades paulistas sofreram com problemas jurídicos à época do pleito, mas os resultados não foram listados em nenhum documento. Seguem as réplicas das notas sobre a situação de cada uma delas:
- Florínea: "Município criado pela Lei nº 2.456, de 30/12/953, teve sua primeira eleição realizada em 30/10/954. Por decisão do Supremo Tribunal Federal, foi julgada inconstitucional sua criação (Representação nº 273, julgada em 24/4/957 - DJU de 3/8/959). Pelo acórdão nº 48.976, de 19/8/959, o Tribunal Regional Eleitoral decidiu que seus eleitores voltavam a pertencer ao município de Assis (Boletim Eleitoral, 139/2860)".
- Rafard: "Município criado pela Lei nº 5.285, de 18/2/959. O Tribunal de Justiça de São Paulo, concedeu mandado de segurança contra sua criação, motivo pelo qual o Tribunal Regional Eleitoral decidiu sustar a realização de eleições nesse município, pelo acórdão nº 48.426, de 4/3/959 (Boletim Eleitoral nº 145/170)".
- Roseira: "Município criado pela Lei nº 5.285, de 18/2/959. Encontra-se na situação de Rafard (mesma decisão citada), Boletim Eleitoral nº 145/170".
- Tarabai: "Município criado pela Lei nº 5.285, de 18/2/959. Encontra-se na situação de Rafard (acórdão nº 48.520, de 6/4/959, publicado no DOE de 9/4/959), Boletim Eleitoral nº 145/170)".
Ainda é possível, entretanto, por meio de publicações dos periódicos da época em acervos, encontrar resultados parciais/extra-oficiais nesses distritos, uma vez que esses periódicos tinham acesso a fontes que forneciam resultados de alguns distritos separadamente de suas sedes.</t>
      </text>
    </comment>
    <comment authorId="1" xr:uid="{0c28decc-cf05-4bce-b7c7-e728fe3f8126}" ref="J64">
      <text>
        <t xml:space="preserve">[Threaded comment]
 Your version of Excel allows you to read this threaded comment; however, any edits to it will get removed if the file is opened in a newer version of Excel. Learn more: https://go.microsoft.com/fwlink/?linkid=870924
Comment:
	1178 nominais SOMA
</t>
      </text>
    </comment>
    <comment authorId="2" xr:uid="{0e73a72f-a21d-45da-9967-07babbe314c4}" ref="H435">
      <text>
        <t xml:space="preserve">[Threaded comment]
 Your version of Excel allows you to read this threaded comment; however, any edits to it will get removed if the file is opened in a newer version of Excel. Learn more: https://go.microsoft.com/fwlink/?linkid=870924
Comment:
	199 VOTOS DOC
</t>
      </text>
    </comment>
    <comment authorId="3" xr:uid="{108cec0f-2b36-4eba-b63d-4339eb8565f5}" ref="J209">
      <text>
        <t xml:space="preserve">[Threaded comment]
 Your version of Excel allows you to read this threaded comment; however, any edits to it will get removed if the file is opened in a newer version of Excel. Learn more: https://go.microsoft.com/fwlink/?linkid=870924
Comment:
	20198 VALOR SOMA
</t>
      </text>
    </comment>
    <comment authorId="4" xr:uid="{161b7c6e-ccd8-43eb-b492-4ef4f82000e5}" ref="J179">
      <text>
        <t xml:space="preserve">[Threaded comment]
 Your version of Excel allows you to read this threaded comment; however, any edits to it will get removed if the file is opened in a newer version of Excel. Learn more: https://go.microsoft.com/fwlink/?linkid=870924
Comment:
	3195 VALOR SOMA
</t>
      </text>
    </comment>
    <comment authorId="5" xr:uid="{1c24603f-9519-4478-a16a-2de2c95d4c7a}" ref="F355">
      <text>
        <t xml:space="preserve">[Threaded comment]
 Your version of Excel allows you to read this threaded comment; however, any edits to it will get removed if the file is opened in a newer version of Excel. Learn more: https://go.microsoft.com/fwlink/?linkid=870924
Comment:
	560 VOTOS DOC
</t>
      </text>
    </comment>
    <comment authorId="6" xr:uid="{2f50d4d7-4502-41dc-84dc-9e7ecdfcb7c2}" ref="J160">
      <text>
        <t xml:space="preserve">[Threaded comment]
 Your version of Excel allows you to read this threaded comment; however, any edits to it will get removed if the file is opened in a newer version of Excel. Learn more: https://go.microsoft.com/fwlink/?linkid=870924
Comment:
	2141 VALOR DOC
</t>
      </text>
    </comment>
    <comment authorId="7" xr:uid="{35455014-5194-433d-bd9b-494871610fe2}" ref="J472">
      <text>
        <t xml:space="preserve">[Threaded comment]
 Your version of Excel allows you to read this threaded comment; however, any edits to it will get removed if the file is opened in a newer version of Excel. Learn more: https://go.microsoft.com/fwlink/?linkid=870924
Comment:
	2998 VALOR SOMA
</t>
      </text>
    </comment>
    <comment authorId="8" xr:uid="{35491e75-9c21-499f-8da8-ed9cde138a57}" ref="D179">
      <text>
        <t xml:space="preserve">[Threaded comment]
 Your version of Excel allows you to read this threaded comment; however, any edits to it will get removed if the file is opened in a newer version of Excel. Learn more: https://go.microsoft.com/fwlink/?linkid=870924
Comment:
	1792 VOTOS DOC
</t>
      </text>
    </comment>
    <comment authorId="9" xr:uid="{41661917-f200-48f1-ab9a-f55423442b4c}" ref="E239">
      <text>
        <t xml:space="preserve">[Threaded comment]
 Your version of Excel allows you to read this threaded comment; however, any edits to it will get removed if the file is opened in a newer version of Excel. Learn more: https://go.microsoft.com/fwlink/?linkid=870924
Comment:
	39 VOTOS DOC
</t>
      </text>
    </comment>
    <comment authorId="10" xr:uid="{469bd6b4-7884-44af-b9f3-4c54ad6e8620}" ref="F472">
      <text>
        <t xml:space="preserve">[Threaded comment]
 Your version of Excel allows you to read this threaded comment; however, any edits to it will get removed if the file is opened in a newer version of Excel. Learn more: https://go.microsoft.com/fwlink/?linkid=870924
Comment:
	695 VOTOS DOC
</t>
      </text>
    </comment>
    <comment authorId="11" xr:uid="{494e883c-2e02-42b7-ad40-5ba7cb26671c}" ref="J158">
      <text>
        <t xml:space="preserve">[Threaded comment]
 Your version of Excel allows you to read this threaded comment; however, any edits to it will get removed if the file is opened in a newer version of Excel. Learn more: https://go.microsoft.com/fwlink/?linkid=870924
Comment:
	849 VALOR SOMA
</t>
      </text>
    </comment>
    <comment authorId="12" xr:uid="{4a3582d5-d801-4acd-af2a-b7d1a70df36f}" ref="J435">
      <text>
        <t xml:space="preserve">[Threaded comment]
 Your version of Excel allows you to read this threaded comment; however, any edits to it will get removed if the file is opened in a newer version of Excel. Learn more: https://go.microsoft.com/fwlink/?linkid=870924
Comment:
	10154 VALOR SOMA
</t>
      </text>
    </comment>
    <comment authorId="13" xr:uid="{4ade3661-d689-4501-adf4-b2c3d3202a7f}" ref="H209">
      <text>
        <t xml:space="preserve">[Threaded comment]
 Your version of Excel allows you to read this threaded comment; however, any edits to it will get removed if the file is opened in a newer version of Excel. Learn more: https://go.microsoft.com/fwlink/?linkid=870924
Comment:
	779 VOTOS DOC
</t>
      </text>
    </comment>
    <comment authorId="14" xr:uid="{4ce97cb4-55f0-480a-b8a0-ed0e6e7a9649}" ref="H158">
      <text>
        <t xml:space="preserve">[Threaded comment]
 Your version of Excel allows you to read this threaded comment; however, any edits to it will get removed if the file is opened in a newer version of Excel. Learn more: https://go.microsoft.com/fwlink/?linkid=870924
Comment:
	8 VOTOS DOC
</t>
      </text>
    </comment>
    <comment authorId="15" xr:uid="{564ad7f4-b5e6-47fd-918e-42f6be06a2fe}" ref="D160">
      <text>
        <t xml:space="preserve">[Threaded comment]
 Your version of Excel allows you to read this threaded comment; however, any edits to it will get removed if the file is opened in a newer version of Excel. Learn more: https://go.microsoft.com/fwlink/?linkid=870924
Comment:
	1103 VALOR DOC
</t>
      </text>
    </comment>
    <comment authorId="16" xr:uid="{6e28a409-aaa0-47d2-bfa7-fdb531b8af63}" ref="J410">
      <text>
        <t xml:space="preserve">[Threaded comment]
 Your version of Excel allows you to read this threaded comment; however, any edits to it will get removed if the file is opened in a newer version of Excel. Learn more: https://go.microsoft.com/fwlink/?linkid=870924
Comment:
	2937 VALOR SOMA
</t>
      </text>
    </comment>
    <comment authorId="17" xr:uid="{741dbd65-9746-429a-a6b3-9f5a4890aadd}" ref="F64">
      <text>
        <t xml:space="preserve">[Threaded comment]
 Your version of Excel allows you to read this threaded comment; however, any edits to it will get removed if the file is opened in a newer version of Excel. Learn more: https://go.microsoft.com/fwlink/?linkid=870924
Comment:
	306 votos no documento
</t>
      </text>
    </comment>
    <comment authorId="18" xr:uid="{8a672403-5fd5-42e1-a8d4-42d78f6d3450}" ref="E444">
      <text>
        <t xml:space="preserve">[Threaded comment]
 Your version of Excel allows you to read this threaded comment; however, any edits to it will get removed if the file is opened in a newer version of Excel. Learn more: https://go.microsoft.com/fwlink/?linkid=870924
Comment:
	121 VOTOS DOC
</t>
      </text>
    </comment>
    <comment authorId="19" xr:uid="{a1006474-82c5-4a43-9621-8bee70827076}" ref="D410">
      <text>
        <t xml:space="preserve">[Threaded comment]
 Your version of Excel allows you to read this threaded comment; however, any edits to it will get removed if the file is opened in a newer version of Excel. Learn more: https://go.microsoft.com/fwlink/?linkid=870924
Comment:
	1750 VOTOS DOC
</t>
      </text>
    </comment>
    <comment authorId="20" xr:uid="{a45a97d2-1133-4d25-a2ec-5fe310a0d335}" ref="H113">
      <text>
        <t xml:space="preserve">[Threaded comment]
 Your version of Excel allows you to read this threaded comment; however, any edits to it will get removed if the file is opened in a newer version of Excel. Learn more: https://go.microsoft.com/fwlink/?linkid=870924
Comment:
	101 VOTOS DOC
</t>
      </text>
    </comment>
    <comment authorId="21" xr:uid="{b3cdf610-b24f-41f3-9cb1-b1c53f971ca8}" ref="D118">
      <text>
        <t xml:space="preserve">[Threaded comment]
 Your version of Excel allows you to read this threaded comment; however, any edits to it will get removed if the file is opened in a newer version of Excel. Learn more: https://go.microsoft.com/fwlink/?linkid=870924
Comment:
	973 votos no documento
</t>
      </text>
    </comment>
    <comment authorId="22" xr:uid="{c0836918-af5a-43c3-93ee-9af6ee4a1181}" ref="J444">
      <text>
        <t xml:space="preserve">[Threaded comment]
 Your version of Excel allows you to read this threaded comment; however, any edits to it will get removed if the file is opened in a newer version of Excel. Learn more: https://go.microsoft.com/fwlink/?linkid=870924
Comment:
	683 VALOR SOMA
</t>
      </text>
    </comment>
    <comment authorId="23" xr:uid="{ca411949-2b23-4b6b-ba1b-a334e33b810d}" ref="J239">
      <text>
        <t xml:space="preserve">[Threaded comment]
 Your version of Excel allows you to read this threaded comment; however, any edits to it will get removed if the file is opened in a newer version of Excel. Learn more: https://go.microsoft.com/fwlink/?linkid=870924
Comment:
	551 VALOR SOMA
</t>
      </text>
    </comment>
    <comment authorId="24" xr:uid="{ca80d91e-c2e6-46f3-9579-59acd6a545d9}" ref="H157">
      <text>
        <t xml:space="preserve">[Threaded comment]
 Your version of Excel allows you to read this threaded comment; however, any edits to it will get removed if the file is opened in a newer version of Excel. Learn more: https://go.microsoft.com/fwlink/?linkid=870924
Comment:
	11 VOTOS DOC
</t>
      </text>
    </comment>
    <comment authorId="25" xr:uid="{ca8d8dbc-9e1c-4aee-beab-65d954258c9c}" ref="J113">
      <text>
        <t xml:space="preserve">[Threaded comment]
 Your version of Excel allows you to read this threaded comment; however, any edits to it will get removed if the file is opened in a newer version of Excel. Learn more: https://go.microsoft.com/fwlink/?linkid=870924
Comment:
	4269 VALOR SOMA
</t>
      </text>
    </comment>
    <comment authorId="26" xr:uid="{cdd4505d-f91a-470d-97d5-4500542484e5}" ref="J464">
      <text>
        <t xml:space="preserve">[Threaded comment]
 Your version of Excel allows you to read this threaded comment; however, any edits to it will get removed if the file is opened in a newer version of Excel. Learn more: https://go.microsoft.com/fwlink/?linkid=870924
Comment:
	1256 VALOR SOMA
</t>
      </text>
    </comment>
    <comment authorId="27" xr:uid="{e57db53e-bda5-40cf-8c6f-232fa98eb4c4}" ref="J157">
      <text>
        <t xml:space="preserve">[Threaded comment]
 Your version of Excel allows you to read this threaded comment; however, any edits to it will get removed if the file is opened in a newer version of Excel. Learn more: https://go.microsoft.com/fwlink/?linkid=870924
Comment:
	5601 VALOR SOMA
</t>
      </text>
    </comment>
    <comment authorId="28" xr:uid="{eb1cc465-dfa2-45c2-bf03-db4aa169d24d}" ref="D464">
      <text>
        <t xml:space="preserve">[Threaded comment]
 Your version of Excel allows you to read this threaded comment; however, any edits to it will get removed if the file is opened in a newer version of Excel. Learn more: https://go.microsoft.com/fwlink/?linkid=870924
Comment:
	610 VOTOS DOC
</t>
      </text>
    </comment>
    <comment authorId="29" xr:uid="{f1feb23f-1412-4d8d-9c29-87505338c270}" ref="J209">
      <text>
        <t xml:space="preserve">[Threaded comment]
 Your version of Excel allows you to read this threaded comment; however, any edits to it will get removed if the file is opened in a newer version of Excel. Learn more: https://go.microsoft.com/fwlink/?linkid=870924
Comment:
	Cifra anotada erroneamente no documento do TSE como sendo "10.197" - Valor corrigido no documento do TRE-SP.
</t>
      </text>
    </comment>
    <comment authorId="30" xr:uid="{f3b88491-8e54-4371-937c-3afdbacac9bf}" ref="J355">
      <text>
        <t xml:space="preserve">[Threaded comment]
 Your version of Excel allows you to read this threaded comment; however, any edits to it will get removed if the file is opened in a newer version of Excel. Learn more: https://go.microsoft.com/fwlink/?linkid=870924
Comment:
	2812 VALOR SOMA
</t>
      </text>
    </comment>
    <comment authorId="31" xr:uid="{fa232cda-615f-4515-9377-7d8d1ec9a28e}" ref="J118">
      <text>
        <t xml:space="preserve">[Threaded comment]
 Your version of Excel allows you to read this threaded comment; however, any edits to it will get removed if the file is opened in a newer version of Excel. Learn more: https://go.microsoft.com/fwlink/?linkid=870924
Comment:
	2005 nominais SOMA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tc={7b9fc6eb-5c7c-4807-807a-6045daf630bd}</author>
  </authors>
  <commentList>
    <comment authorId="0" ref="AB77">
      <text>
        <t xml:space="preserve">Cifra impressa incorretamente no documento do TSE como sendo "27.343".</t>
      </text>
    </comment>
    <comment authorId="0" ref="AB96">
      <text>
        <t xml:space="preserve">Número grafado incorretamente no documento do TSE - mais precisamente o quarto algarismo "5" foi grafado de ponta-cabeça.</t>
      </text>
    </comment>
    <comment authorId="0" ref="J114">
      <text>
        <t xml:space="preserve">Número grafado incorretamente como "1.603".</t>
      </text>
    </comment>
    <comment authorId="0" ref="V114">
      <text>
        <t xml:space="preserve">Número grafado incorretamente como "1.603".</t>
      </text>
    </comment>
    <comment authorId="0" ref="J118">
      <text>
        <t xml:space="preserve">Número grafado incorretamente como "1.203".</t>
      </text>
    </comment>
    <comment authorId="0" ref="V118">
      <text>
        <t xml:space="preserve">Número grafado incorretamente como "1.203".</t>
      </text>
    </comment>
    <comment authorId="0" ref="B137">
      <text>
        <t xml:space="preserve">Na Resolução 142, de 30/04/1956, o TRE-MG criou a 96ª zona eleitoral do Estado de Minas Gerais, abrangendo o município de Espera Feliz, entretanto, por algum motivo, a instalação da nova zona não vingou a Espera Feliz continuou configurando na 60ª zona eleitoral do estado (informação aferida nesta planilha presente no site do TRE-MG, com o histórico de zonas eleitoral por município: https://www.tre-mg.jus.br/eleicoes/panorama-historico-das-eleicoes-em-minas-gerais/arquivos-de-panorama-historico-das-eleicoes-em-mg/tre-mg-historico-das-zonas-eleitorais-por-municipio-atualizacao-2021-07-05). Por esta ocasião, o mapa de apuração do TSE ignorou a 96ª ZE na listagem das zonas.</t>
      </text>
    </comment>
    <comment authorId="0" ref="J166">
      <text>
        <t xml:space="preserve">Número grafado incorretamente no documento do TSE como "3.101".</t>
      </text>
    </comment>
    <comment authorId="0" ref="V166">
      <text>
        <t xml:space="preserve">Número grafado incorretamente no documento do TSE como "3.101".</t>
      </text>
    </comment>
    <comment authorId="0" ref="B311">
      <text>
        <t xml:space="preserve">Na Resolução 84, de 13/02/1954, e na 142, de 30/04/1956, o TRE-MG criou a 249ª zona eleitoral do Estado de Minas Gerais, abrangendo o município de São João da Ponte, entretanto, a instalação da nova zona não vingou e São João da Ponte continuou a configurar na 173ª ZE, apesar de constar que a zona eleitoral foi instalada em 1960, o que pode ter ocorrido apenas após as eleições, dado a ausência da nova zona no documento do TSE (informação aferida nesta planilha presente no site do TRE-MG, com o histórico de zonas eleitoral por município: https://www.tre-mg.jus.br/eleicoes/panorama-historico-das-eleicoes-em-minas-gerais/arquivos-de-panorama-historico-das-eleicoes-em-mg/tre-mg-historico-das-zonas-eleitorais-por-municipio-atualizacao-2021-07-05). Por esta ocasião, o mapa de apuração do TSE ignorou a 249ª ZE na listagem das zonas.</t>
      </text>
    </comment>
    <comment authorId="0" ref="B390">
      <text>
        <t xml:space="preserve">Na Resolução 142, de 30/04/1956, o TRE-MG criou a 137ª zona eleitoral do Estado de Minas Gerais, abrangendo o município de Janaúba, entretanto, por algum motivo, a instalação da nova zona não vingou e Janaúba continuou a configurar na 215ª ZE (informação aferida nesta planilha presente no site do TRE-MG, com o histórico de zonas eleitoral por município: https://www.tre-mg.jus.br/eleicoes/panorama-historico-das-eleicoes-em-minas-gerais/arquivos-de-panorama-historico-das-eleicoes-em-mg/tre-mg-historico-das-zonas-eleitorais-por-municipio-atualizacao-2021-07-05). Por esta ocasião, o mapa de apuração do TSE ignorou a 137ª ZE na listagem das zonas.</t>
      </text>
    </comment>
    <comment authorId="0" ref="AB476">
      <text>
        <t xml:space="preserve">Número grafado incorretamente no documento do TSE - a quarto algarismo "7" foi grafado de ponta-cabeça.</t>
      </text>
    </comment>
    <comment authorId="0" ref="B506">
      <text>
        <t xml:space="preserve">Dados extraídos do documento do TSE, "Dados Estatísticos, Volume 5" (https://bibliotecadigital.tse.jus.br/xmlui/handle/bdtse/5308).</t>
      </text>
    </comment>
    <comment authorId="0" ref="B507">
      <text>
        <t xml:space="preserve">Destaque para as imprecisões no eleitorado: 
- Todas as fontes que registram os números referentes ao eleitores registrados em Minas Gerais apresentam diferenças: A soma dos valores dispostos por município no documento do TSE acusa um total de 2.159.743 eleitores; O valor assinalado no documento do TSE é de 2.151.283; O valor presente no mapa de apuração das eleições governamentais em Minas de 1960 (https://docs.google.com/spreadsheets/d/1pJM6t87qa_ClMq4agvR99Nyc-DdMiA-r/edit?usp=share_link&amp;ouid=103337291745196764531&amp;rtpof=true&amp;sd=true), que também dispõe o eleitorado por cidade - por sinal, com valores completamente discrepantes dos valores do documento do TSE -, aponta para o número de 2.143.705; E o valor presente no Painel do TSE relata 2.143.670. Neste último caso, dá-se preferência ao registro do Painel.</t>
      </text>
    </comment>
    <comment authorId="0" ref="B508">
      <text>
        <t xml:space="preserve">Houve um estranho erro no registro do eleitorado no município de Heliodora, Pôrto Firme, Espinosa e Caraí que subestimou o seu valor, ficando menor que o número de votantes. 
À título de curiosidade, esses são os valores presentes no mapa de apuração das eleições governamentais: Heliodora - 1.294; Pôrto Firme - 2.543; Espinosa - 3.152; Caraí - 4.068.
</t>
      </text>
    </comment>
    <comment authorId="1" xr:uid="{7b9fc6eb-5c7c-4807-807a-6045daf630bd}" ref="AB77">
      <text>
        <t xml:space="preserve">[Threaded comment]
 Your version of Excel allows you to read this threaded comment; however, any edits to it will get removed if the file is opened in a newer version of Excel. Learn more: https://go.microsoft.com/fwlink/?linkid=870924
Comment:
	Cifra impressa incorretamente no documento do TSE como sendo "27.343"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Foi erroneamente registrado no periódico "Correio Braziliense" a votação de 3.334 votos para Lott nas urnas da 1ª Junta - A votação total de Lott no DF, nesse caso, alcançaria 10.235 sufrágios, 209 a menos que os 10.444 registrados pelo TSE. Considerando que a quantidade de votos de Lott e Jango foi igual nas urnas das outras duas juntas, por conseguinte, foi rebalanceiada a cifra da primeira junta.</t>
      </text>
    </comment>
    <comment authorId="0" ref="A35">
      <text>
        <t xml:space="preserve">Os valores de Guarajá-Mirim foram calculados a partir da subtração dos votos totais com os votos da capital. Não foi possível localizar a votação parcial nessa cidade em nenhuma fonte.</t>
      </text>
    </comment>
    <comment authorId="0" ref="B39">
      <text>
        <t xml:space="preserve">Todas as votações aqui dispostas são extraoficias/parciais e foram coletadas em periódicos da época, dado a falta de fontes primárias: 
- As votações nas cidades-satélites/juntas eleitorais do Distrito Federal foram extraídas da edição de 5/10 do jornal "Correio Braziliense", páginas 1 e 6 (http://memoria.bn.gov.br/DocReader/028274_01/1871);
- A votação do município de Porto Velho, Território de Rondônia, foi extraída da edição de 5/10 do jornal "O Jornal", página 4 (http://memoria.bn.gov.br/DocReader/110523_06/7657);
- As votações nos municípios do Acre foram extraídas da edição de 23/10 do jornal "O Acre", página 3 (http://memoria.bn.gov.br/DocReader/764752/6524).
</t>
      </text>
    </comment>
    <comment authorId="0" ref="B40">
      <text>
        <t xml:space="preserve">Não foram localizadas as votações nos municípios dos Territórios do Rio Branco e do Amapá; estão presentes, nos periódicos acessíveis, apenas as parciais de poucas urnas dos municípios de Rio Branco e Macapá.</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9">
      <text>
        <t xml:space="preserve">Foi dividida a disposição dos resultados da Guanabara em dois: A primeira parte reúne os resultados de 3?? seções eleitorais, amostra parcial do total de 2.949 seções do Estado, publicadas nas folhas do periódico "Tribuna da Imprensa", dos dia 6, 7, 10, 11, 12, 13 e 14 de Outubro; A segunda parte possui o resultado final do Estado totalizado pelo TSE.</t>
      </text>
    </comment>
    <comment authorId="0" ref="B241">
      <text>
        <t xml:space="preserve">Por um erro na confecção do jornal, está ocultada a numeração desta seção.</t>
      </text>
    </comment>
    <comment authorId="0" ref="B292">
      <text>
        <t xml:space="preserve">Por um erro na confecção do jornal, está ocultada a numeração desta seção.</t>
      </text>
    </comment>
    <comment authorId="0" ref="B527">
      <text>
        <t xml:space="preserve">Foi dividida a disposição dos resultados da Guanabara em duas partes: A primeira parte reúne os resultados de 374 seções eleitorais, amostra parcial do total de 2.949 seções do Estado, publicadas nas folhas do periódico "Tribuna da Imprensa", dos dia 6, 7, 10, 11, 12, 13 e 14 de Outubro; A segunda parte possui o resultado final do Estado totalizado pelo TSE.</t>
      </text>
    </comment>
    <comment authorId="0" ref="B528">
      <text>
        <t xml:space="preserve">A urna de Fernando de Noronha, na época Território Federal e hoje distrito estadual de Pernambuco, foi englobada na primeira zona eleitoral do Estado da Guanabara nessas eleições, para fins eleitorais. Vários periódicos reportaram o resultado da urna do arquipélago - foi tomado como referência a notícia do "Correio da Manhã" (http://memoria.bn.gov.br/DocReader/089842_07/10837), mas nenhum deles apresentou o eleitorado dessa localidade; os dados referentes ao eleitorado e participação eleitoral na Guanabara estão presentes na página dos resultados globais.</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39">
      <text>
        <t xml:space="preserve">O eleitorado da 41ª ZE, por erro na impressão do documento, está ocultado.</t>
      </text>
    </comment>
    <comment authorId="0" ref="AC40">
      <text>
        <t xml:space="preserve">Abstenção baseada no eleitorado nacional sem a 41ª ZE do Maranhão.</t>
      </text>
    </comment>
  </commentList>
</comments>
</file>

<file path=xl/sharedStrings.xml><?xml version="1.0" encoding="utf-8"?>
<sst xmlns="http://schemas.openxmlformats.org/spreadsheetml/2006/main" count="12414" uniqueCount="3335">
  <si>
    <t>ELEIÇÕES PRESIDENCIAIS - 1960 (MAPA DA APURAÇÃO COMPLETO)</t>
  </si>
  <si>
    <r>
      <rPr>
        <rFont val="Calibri"/>
        <sz val="11.0"/>
      </rPr>
      <t xml:space="preserve">Este documento tem como objetivo digitalizar e disponibilizar a compilação dos mapas de apuração da </t>
    </r>
    <r>
      <rPr>
        <rFont val="Calibri"/>
        <color rgb="FF1155CC"/>
        <sz val="11.0"/>
        <u/>
      </rPr>
      <t>eleição presidencial brasileira de 03/10/1960</t>
    </r>
    <r>
      <rPr>
        <rFont val="Calibri"/>
        <sz val="11.0"/>
      </rPr>
      <t xml:space="preserve">
 - na qual se elegeu Presidente e Vice-Presidente da República em escrutínios separados - nos níveis federal, estadual e municipal,
com a devida depuração e congregação dos dados disponíveis publicamente. A disposição do trabalho foi feita da seguinte maneira:
Foi destinada uma página para as votações de cada unidade federativa existente à época; uma página para as votações no Distrito 
Federal e nos Territórios Nacionais (Acre e Rondônia); uma para as votações parciais por seção eleitoral na Guanabara - antigo
Distrito Federal e atual município do Rio de Janeiro - e por distritos da cidade de São Paulo; e uma para a totalização nacional do pleito.</t>
    </r>
  </si>
  <si>
    <t>FONTES UTILIZADAS</t>
  </si>
  <si>
    <r>
      <rPr>
        <rFont val="Calibri"/>
        <sz val="11.0"/>
      </rPr>
      <t>Para a confecção deste trabalho, foi utilizado, como base para a transcrição, o documento do Tribunal Superior Eleitoral: "</t>
    </r>
    <r>
      <rPr>
        <rFont val="Calibri"/>
        <color rgb="FF1155CC"/>
        <sz val="11.0"/>
        <u/>
      </rPr>
      <t>Dados Estatísticos: 
Eleições Federais, Estaduais, realizadas no Brasil em 1960 e em confronto com anteriores - 5º Volume</t>
    </r>
    <r>
      <rPr>
        <rFont val="Calibri"/>
        <sz val="11.0"/>
      </rPr>
      <t>", publicado pelo Departamento de Imprensa
Nacional em 1963. Tal registro possuí o mapa de apuração das zonas eleitorais e municípios de todas as unidades federativas - faltando apenas os
dos Territórios e das zonas eleitorais da Guanabara -, assim como dados gerais, quadros comparativos, e resultados de eleições contemporâneas à nível 
estadual e municipal; todavia, considerando a magnitude de sua confecção, o documento não escapou de possuir erros das mais diversas naturezas,
tais quais datilografia, rasura e imprecisões. Portanto, preferiu-se recorrer aos mapas de apuração do Tribunal Regional Eleitoral de cada unidade
federativa, na existência destes, dado à maior precisão dos dados presentes nestas referências. Em qualquer caso, seguirá anexado, em cada página,
os documentos referencial e complementar usados na concatenação dos dados.</t>
    </r>
  </si>
  <si>
    <t>PORMENORES</t>
  </si>
  <si>
    <t>- Dos erros mais comuns quantos aos dados presentes no documento do TSE, os mais comum são os de datilografia dos números: ordem dos
algarismos trocada ("232" votos no lugar de "322"), algarismos ocultos ("12" votos no lugar de "112") e erros de reprodução dos votos das
fontes originais (adição/subtração de votos, algarismos "9" lidos e grafados como "0", "3" como "8", etc.); esses casos puderam ser
evidenciados quando comparadas as votações desse documento, estando erradas, com os dados nos documentos dos TRE's, geralmente mais
precisos. Nos casos de falta daqueles, um rebalanceamento nas cidades com votações dispáres (aferidas na desigualdade dos total de votos
entre os escrutínios de presidente e vice) é feito após o término da digitalização dos dados, comparando a diferença do total de votos da
planilha e do TSE com os erros nas votações por cidade. Em todo caso, foram destacadas as cifras que sofreram balanceio em todas as páginas
em esse expediente foi necessário.
- Há dois casos de duas cidades em que uma teve a mesma quantidade de valor acrescentado no total de votos válidos no escrutínio para
presidente em relação ao para vice que a outra teve de valor diminuído na mesma relação, criando um balanceamento no total global do
Estado, apesar da disparidade na votação dos municípios; isso se deu no Estado do Amazonas e no Estado do Ceará. É impossível rebalancear
as votações das cidade nesse caso, dado que não temos fontes secundárias das votações nesses dois estados.
- Por meio do documento do TSE, pôde se registrar um fato curioso em relação ao pleito no Estado do Maranhão: dentre os inúmeros problemas
enfrentandos em sua realização (conferir detalhes nas considerações da página do Estado), um se destaca: a votação da 41ª Zona Eleitoral do
Estado, com sede no município de Vitória do Mearim, não foi enviada ao TSE à tempo e não foi considerada em nenhuma totalização global da
eleição pelo tribunal, sendo registrada apenas nesse documento posteriormente. Para fins de registro foi inclusa essa votação na página
dos resultados globais no total nacional do pleito.
- Em praticamente todos os Estados, houve disparidades com relação ao total somado do eleitorado dos municípios, com os números dispostos
no documento do TSE, com o valor do total registrado no próprio documento e em outras fontes. Nesse caso, foi dado preferência ao valor
registrado no Painel do TSE, fonte mais recente disponível com os dados do pleito.
- Como meio de fonte auxiliar, foram consultados diversos periódicos da época do pleito, disponíveis na Hemeroteca Digital, do site da Biblioteca
Nacional Digital, para complemento e verificação de informações e para colhimento de dados. Cada utilização está referenciada em sua
respectiva página.
- Para qualquer efeito, com os devidos adendos, a malha municipal presente nos mapas cartográficos seguem a listagem do TSE.</t>
  </si>
  <si>
    <t>CANDIDATURAS DA CORRIDA ELEITORAL</t>
  </si>
  <si>
    <t>Abaixo, encontra-se a relação das candidaturas desta eleição:</t>
  </si>
  <si>
    <t>ESCRUTÍNIO</t>
  </si>
  <si>
    <t>CANDIDATO</t>
  </si>
  <si>
    <t>PARTIDO</t>
  </si>
  <si>
    <t>COLIGAÇÃO</t>
  </si>
  <si>
    <t>SITUAÇÃO</t>
  </si>
  <si>
    <t>Presidencial</t>
  </si>
  <si>
    <t>Jânio Quadros</t>
  </si>
  <si>
    <t>Partido Trabalhista Nacional</t>
  </si>
  <si>
    <r>
      <rPr>
        <rFont val="Arial"/>
        <b/>
        <color theme="1"/>
      </rPr>
      <t>PTN</t>
    </r>
    <r>
      <rPr>
        <rFont val="Arial"/>
        <color theme="1"/>
      </rPr>
      <t xml:space="preserve"> / UDN / PL / PR / PDC</t>
    </r>
  </si>
  <si>
    <t>1º LUGAR</t>
  </si>
  <si>
    <t>Marechal Henrique Lott</t>
  </si>
  <si>
    <t>Partido Social Democrático</t>
  </si>
  <si>
    <r>
      <rPr>
        <rFont val="Arial"/>
        <b/>
        <color theme="1"/>
      </rPr>
      <t>PSD</t>
    </r>
    <r>
      <rPr>
        <rFont val="Arial"/>
        <color theme="1"/>
      </rPr>
      <t xml:space="preserve"> / PTB / PST</t>
    </r>
  </si>
  <si>
    <t>2º LUGAR</t>
  </si>
  <si>
    <t>Adhemar de Barros</t>
  </si>
  <si>
    <t>Partido Social Progressista</t>
  </si>
  <si>
    <t>Sem coligação</t>
  </si>
  <si>
    <t>3º LUGAR</t>
  </si>
  <si>
    <t>Vice-
Presidencial</t>
  </si>
  <si>
    <t>João Goulart</t>
  </si>
  <si>
    <t>Partido Trabalhista Brasileiro</t>
  </si>
  <si>
    <r>
      <rPr>
        <rFont val="Arial"/>
        <b/>
        <color theme="1"/>
      </rPr>
      <t>PTB</t>
    </r>
    <r>
      <rPr>
        <rFont val="Arial"/>
        <color theme="1"/>
      </rPr>
      <t xml:space="preserve"> / PSD / PST</t>
    </r>
  </si>
  <si>
    <t>Milton Campos</t>
  </si>
  <si>
    <t>União Democrática Nacional</t>
  </si>
  <si>
    <r>
      <rPr>
        <rFont val="Arial"/>
        <b/>
        <color theme="1"/>
      </rPr>
      <t>UDN</t>
    </r>
    <r>
      <rPr>
        <rFont val="Arial"/>
        <color theme="1"/>
      </rPr>
      <t xml:space="preserve"> / PTN</t>
    </r>
  </si>
  <si>
    <t>Fernando Ferrari</t>
  </si>
  <si>
    <t>Partido Democrata Cristão</t>
  </si>
  <si>
    <r>
      <rPr>
        <rFont val="Arial"/>
        <color theme="1"/>
      </rPr>
      <t xml:space="preserve">Sem coligação (lançado pelo </t>
    </r>
    <r>
      <rPr>
        <rFont val="Arial"/>
        <b/>
        <color theme="1"/>
      </rPr>
      <t>MTR</t>
    </r>
    <r>
      <rPr>
        <rFont val="Arial"/>
        <color theme="1"/>
      </rPr>
      <t>)</t>
    </r>
  </si>
  <si>
    <r>
      <rPr/>
      <t xml:space="preserve">FONTE: </t>
    </r>
    <r>
      <rPr>
        <color rgb="FF1155CC"/>
        <u/>
      </rPr>
      <t>Painel do Resultado da Eleição Presidencial de 1960 - TSE</t>
    </r>
  </si>
  <si>
    <t>MAPAS CARTOGRÁFICOS</t>
  </si>
  <si>
    <t>Links para download:</t>
  </si>
  <si>
    <t>Presidencial (Por município)</t>
  </si>
  <si>
    <t>Vice-presidencial (Por município)</t>
  </si>
  <si>
    <t>Presidencial (Por unidade federativa)</t>
  </si>
  <si>
    <t>Vice-presidencial (Por unidade federativa)</t>
  </si>
  <si>
    <t>Créditos: Criação - Politicando o Brasil</t>
  </si>
  <si>
    <r>
      <rPr>
        <rFont val="Arial"/>
        <color theme="1"/>
      </rPr>
      <t xml:space="preserve">Revisão: </t>
    </r>
    <r>
      <rPr>
        <rFont val="Arial"/>
        <i/>
        <color theme="1"/>
      </rPr>
      <t>inserir o identificador</t>
    </r>
  </si>
  <si>
    <t>MUNICÍPIOS:</t>
  </si>
  <si>
    <t>Jânio</t>
  </si>
  <si>
    <t>Jango</t>
  </si>
  <si>
    <t>Mal. Lott</t>
  </si>
  <si>
    <t>Milton</t>
  </si>
  <si>
    <t>Adhemar</t>
  </si>
  <si>
    <t>Ferrari</t>
  </si>
  <si>
    <t>Empate</t>
  </si>
  <si>
    <t>Anulado</t>
  </si>
  <si>
    <t>Total</t>
  </si>
  <si>
    <t>PRESIDENTE DA REPÚBLICA</t>
  </si>
  <si>
    <t>VICE-PRESIDENTE DA REPÚBLICA</t>
  </si>
  <si>
    <t>Zonas</t>
  </si>
  <si>
    <t>Municípios</t>
  </si>
  <si>
    <t>Brancos</t>
  </si>
  <si>
    <t>Nulos</t>
  </si>
  <si>
    <t>Total (Úteis)</t>
  </si>
  <si>
    <t>Votantes</t>
  </si>
  <si>
    <t>JQ %</t>
  </si>
  <si>
    <t>LO %</t>
  </si>
  <si>
    <t>AD %</t>
  </si>
  <si>
    <t>Vencedor</t>
  </si>
  <si>
    <t>JG %</t>
  </si>
  <si>
    <t>MI %</t>
  </si>
  <si>
    <t>FE %</t>
  </si>
  <si>
    <t>Eleitorado</t>
  </si>
  <si>
    <t>Abstenções</t>
  </si>
  <si>
    <t>% (Participação)</t>
  </si>
  <si>
    <t>1ª</t>
  </si>
  <si>
    <t>Manaus (1ª ZE)</t>
  </si>
  <si>
    <t>2ª</t>
  </si>
  <si>
    <t>Manaus (2ª ZE)</t>
  </si>
  <si>
    <t>-</t>
  </si>
  <si>
    <t>Manaus (Total)</t>
  </si>
  <si>
    <t>3ª</t>
  </si>
  <si>
    <t>Itacotiara</t>
  </si>
  <si>
    <t>Autazes</t>
  </si>
  <si>
    <t>Urucurituba</t>
  </si>
  <si>
    <t>Itapiranga</t>
  </si>
  <si>
    <t>Silves</t>
  </si>
  <si>
    <t>4ª</t>
  </si>
  <si>
    <t>Parintins</t>
  </si>
  <si>
    <t>Barreirinha</t>
  </si>
  <si>
    <t>Urucará</t>
  </si>
  <si>
    <t>Nhamundá</t>
  </si>
  <si>
    <t>5ª</t>
  </si>
  <si>
    <t>Maués</t>
  </si>
  <si>
    <t>6ª</t>
  </si>
  <si>
    <t>Manacapuru</t>
  </si>
  <si>
    <t>7ª</t>
  </si>
  <si>
    <t>Codajás</t>
  </si>
  <si>
    <t>Anori</t>
  </si>
  <si>
    <t>8ª</t>
  </si>
  <si>
    <t>Coari</t>
  </si>
  <si>
    <t>9ª</t>
  </si>
  <si>
    <t>Tefé</t>
  </si>
  <si>
    <t>Japurá</t>
  </si>
  <si>
    <t>Maraã</t>
  </si>
  <si>
    <t>Jumá</t>
  </si>
  <si>
    <t>10ª</t>
  </si>
  <si>
    <t>Fonte Boa</t>
  </si>
  <si>
    <t>Jutai</t>
  </si>
  <si>
    <t>11ª</t>
  </si>
  <si>
    <t>Eirunepé</t>
  </si>
  <si>
    <t>Ipixum</t>
  </si>
  <si>
    <t>Elvira</t>
  </si>
  <si>
    <t>12ª</t>
  </si>
  <si>
    <t>Labrea</t>
  </si>
  <si>
    <t>Pauini</t>
  </si>
  <si>
    <t>13ª</t>
  </si>
  <si>
    <t>Canutama</t>
  </si>
  <si>
    <t>Xapauá</t>
  </si>
  <si>
    <t>14ª</t>
  </si>
  <si>
    <t>Bôca do Acre</t>
  </si>
  <si>
    <t>15ª</t>
  </si>
  <si>
    <t>Borba</t>
  </si>
  <si>
    <t>Aripuanã</t>
  </si>
  <si>
    <t>Nova Olinda do Norte</t>
  </si>
  <si>
    <t>16ª</t>
  </si>
  <si>
    <t>Manicoré</t>
  </si>
  <si>
    <t>17ª</t>
  </si>
  <si>
    <t>Humaitá</t>
  </si>
  <si>
    <t>18ª</t>
  </si>
  <si>
    <t>Barcelos</t>
  </si>
  <si>
    <t>19ª</t>
  </si>
  <si>
    <t>Walpés</t>
  </si>
  <si>
    <t>20ª</t>
  </si>
  <si>
    <t>Benjamin Constant</t>
  </si>
  <si>
    <t>21ª</t>
  </si>
  <si>
    <t>Carauari</t>
  </si>
  <si>
    <t>22ª</t>
  </si>
  <si>
    <t>São Paulo de Olivença</t>
  </si>
  <si>
    <t>Santo Antônio do Içá</t>
  </si>
  <si>
    <t>CONSIDERAÇÕES:</t>
  </si>
  <si>
    <t>!</t>
  </si>
  <si>
    <t>Belém (1ª ZE)</t>
  </si>
  <si>
    <t>28ª</t>
  </si>
  <si>
    <t>Belém (2ª ZE)</t>
  </si>
  <si>
    <t>29ª</t>
  </si>
  <si>
    <t>Belém (3ª ZE)</t>
  </si>
  <si>
    <t>30ª</t>
  </si>
  <si>
    <t>Belém (4ª ZE)*</t>
  </si>
  <si>
    <t>Ilha de Mosqueiro*</t>
  </si>
  <si>
    <t>Belém (4ª ZE - Total)</t>
  </si>
  <si>
    <t>Belém (Total)</t>
  </si>
  <si>
    <t>Acará</t>
  </si>
  <si>
    <t>Tomé-Assu</t>
  </si>
  <si>
    <t>Ananindeua</t>
  </si>
  <si>
    <t>Barcarena</t>
  </si>
  <si>
    <t>Bujaru</t>
  </si>
  <si>
    <t>Cachoeira do Arari</t>
  </si>
  <si>
    <t>Soure</t>
  </si>
  <si>
    <t>Castanhal</t>
  </si>
  <si>
    <t>Anhangá</t>
  </si>
  <si>
    <t>Inhagapi</t>
  </si>
  <si>
    <t>Igarapé-Assu</t>
  </si>
  <si>
    <t>Igarapé-Mirim</t>
  </si>
  <si>
    <t>Abaetetuba</t>
  </si>
  <si>
    <t>Vigia</t>
  </si>
  <si>
    <t>São Caetano de Odivelas</t>
  </si>
  <si>
    <t>Curuça</t>
  </si>
  <si>
    <t>Muaná</t>
  </si>
  <si>
    <t>São Sebastião da Boa Vista</t>
  </si>
  <si>
    <t>Guamá</t>
  </si>
  <si>
    <t>Irituia</t>
  </si>
  <si>
    <t>Capim</t>
  </si>
  <si>
    <t>Cametá</t>
  </si>
  <si>
    <t>Mocajuba</t>
  </si>
  <si>
    <t>Bragança</t>
  </si>
  <si>
    <t>Vizeu</t>
  </si>
  <si>
    <t>Breves</t>
  </si>
  <si>
    <t>Curralinho</t>
  </si>
  <si>
    <t>Portel</t>
  </si>
  <si>
    <t>Araticu</t>
  </si>
  <si>
    <t>16º</t>
  </si>
  <si>
    <t>Afuá</t>
  </si>
  <si>
    <t>Anajás</t>
  </si>
  <si>
    <t>Chaves</t>
  </si>
  <si>
    <t>Altamira</t>
  </si>
  <si>
    <t>Monte Alegre</t>
  </si>
  <si>
    <t>Prainha</t>
  </si>
  <si>
    <t>Almeirim</t>
  </si>
  <si>
    <t>Santarém</t>
  </si>
  <si>
    <t>Alenquer</t>
  </si>
  <si>
    <t>Óbidos</t>
  </si>
  <si>
    <t>Oriximiná</t>
  </si>
  <si>
    <t>Juriti</t>
  </si>
  <si>
    <t>Faro</t>
  </si>
  <si>
    <t>23ª</t>
  </si>
  <si>
    <t>Marabá</t>
  </si>
  <si>
    <t>Itupiranga</t>
  </si>
  <si>
    <t>24ª</t>
  </si>
  <si>
    <t>Conceição do Araguaia</t>
  </si>
  <si>
    <t>25ª</t>
  </si>
  <si>
    <t>Capanema</t>
  </si>
  <si>
    <t>Salinópolis</t>
  </si>
  <si>
    <t>Ourém</t>
  </si>
  <si>
    <t>26ª</t>
  </si>
  <si>
    <t>Gurupá</t>
  </si>
  <si>
    <t>Porto de Moz</t>
  </si>
  <si>
    <t>27ª</t>
  </si>
  <si>
    <t>Ponta de Pedras</t>
  </si>
  <si>
    <t>31ª</t>
  </si>
  <si>
    <t>Maracanã</t>
  </si>
  <si>
    <t>32ª</t>
  </si>
  <si>
    <t>Marapanin</t>
  </si>
  <si>
    <t>33ª</t>
  </si>
  <si>
    <t>Nova Timboteua</t>
  </si>
  <si>
    <t>34ª</t>
  </si>
  <si>
    <t>Itaituba</t>
  </si>
  <si>
    <t>35ª</t>
  </si>
  <si>
    <t>Baião</t>
  </si>
  <si>
    <t>Tucuruí</t>
  </si>
  <si>
    <t>36ª</t>
  </si>
  <si>
    <t>Santa Isabel</t>
  </si>
  <si>
    <t>37ª</t>
  </si>
  <si>
    <t>Mojú</t>
  </si>
  <si>
    <t>!*</t>
  </si>
  <si>
    <t>1ª, 2ª</t>
  </si>
  <si>
    <t>São Luís (Total)</t>
  </si>
  <si>
    <t>3ª e 10ª</t>
  </si>
  <si>
    <t>Caxias (Total)</t>
  </si>
  <si>
    <t>5ª e 6ª</t>
  </si>
  <si>
    <t>Codó</t>
  </si>
  <si>
    <t>Dom Pedro</t>
  </si>
  <si>
    <t>Timbiras</t>
  </si>
  <si>
    <t>Coroatá</t>
  </si>
  <si>
    <t>Pirapemas</t>
  </si>
  <si>
    <t>Pedreiras</t>
  </si>
  <si>
    <t>Esperantinópolis</t>
  </si>
  <si>
    <t>Alto Parnaíba</t>
  </si>
  <si>
    <t>Araioses</t>
  </si>
  <si>
    <t>Magalhães Almeida</t>
  </si>
  <si>
    <t>São Bernardo</t>
  </si>
  <si>
    <t>Bacabal</t>
  </si>
  <si>
    <t>Cururupu</t>
  </si>
  <si>
    <t>Grajaú</t>
  </si>
  <si>
    <t>Amarante do Maranhão</t>
  </si>
  <si>
    <t>Itapecuru-Mirim</t>
  </si>
  <si>
    <t>Anajatuba</t>
  </si>
  <si>
    <t>Cantanhede</t>
  </si>
  <si>
    <t>Pastos Bons</t>
  </si>
  <si>
    <t>Nova Iorque</t>
  </si>
  <si>
    <t>Paraibano</t>
  </si>
  <si>
    <t>Rosário</t>
  </si>
  <si>
    <t>Timon</t>
  </si>
  <si>
    <t>Viana</t>
  </si>
  <si>
    <t>Matinha</t>
  </si>
  <si>
    <t>Barão de Grajaú*</t>
  </si>
  <si>
    <t>45ª</t>
  </si>
  <si>
    <t>Penalva*</t>
  </si>
  <si>
    <t>Cajari*</t>
  </si>
  <si>
    <t>Monção*</t>
  </si>
  <si>
    <t>46ª</t>
  </si>
  <si>
    <t>Presidente Dutra*</t>
  </si>
  <si>
    <t>São Francisco do Maranhão</t>
  </si>
  <si>
    <t>São João dos Patos</t>
  </si>
  <si>
    <t>Balsas</t>
  </si>
  <si>
    <t>Riachão</t>
  </si>
  <si>
    <t>Barra do Corda</t>
  </si>
  <si>
    <t>Brejo</t>
  </si>
  <si>
    <t>Santa Quitéria do Maranhão</t>
  </si>
  <si>
    <t>Buriti</t>
  </si>
  <si>
    <t>Carolina</t>
  </si>
  <si>
    <t>Porto Franco</t>
  </si>
  <si>
    <t>Carutapera</t>
  </si>
  <si>
    <t>Coêlho Neto</t>
  </si>
  <si>
    <t>Duque Bacelar</t>
  </si>
  <si>
    <t>Colinas</t>
  </si>
  <si>
    <t>Mirador</t>
  </si>
  <si>
    <t>São Domingos do Maranhão</t>
  </si>
  <si>
    <t>Guimarães</t>
  </si>
  <si>
    <t>Icatu</t>
  </si>
  <si>
    <t>Axixá</t>
  </si>
  <si>
    <t>Morros</t>
  </si>
  <si>
    <t>Humberto de Campos</t>
  </si>
  <si>
    <t>Primeira Cruz</t>
  </si>
  <si>
    <t>Imperatriz</t>
  </si>
  <si>
    <t>Montes Altos</t>
  </si>
  <si>
    <t>Loreto</t>
  </si>
  <si>
    <t>Benedito Leite</t>
  </si>
  <si>
    <t>Sambaíba</t>
  </si>
  <si>
    <t>São Raimundo das Mangabeiras</t>
  </si>
  <si>
    <t>Ipixuna</t>
  </si>
  <si>
    <t>Parnarama</t>
  </si>
  <si>
    <t>Matões</t>
  </si>
  <si>
    <t>Pinheiro</t>
  </si>
  <si>
    <t>Bequimão</t>
  </si>
  <si>
    <t>Santa Helena</t>
  </si>
  <si>
    <t>Alcântara</t>
  </si>
  <si>
    <t>38ª</t>
  </si>
  <si>
    <t>São Bento</t>
  </si>
  <si>
    <t>Peri-Mirim</t>
  </si>
  <si>
    <t>Cajapió</t>
  </si>
  <si>
    <t>39ª</t>
  </si>
  <si>
    <t>Turiassu</t>
  </si>
  <si>
    <t>Cândido Mendes</t>
  </si>
  <si>
    <t>40ª</t>
  </si>
  <si>
    <t>Tutóia</t>
  </si>
  <si>
    <t>41ª</t>
  </si>
  <si>
    <t>Vitória do Mearim**</t>
  </si>
  <si>
    <t>Arari**</t>
  </si>
  <si>
    <t>Pio XII**</t>
  </si>
  <si>
    <t>42ª</t>
  </si>
  <si>
    <t>Chapadinha</t>
  </si>
  <si>
    <t>Barreirinhas</t>
  </si>
  <si>
    <t>Urbano Santos</t>
  </si>
  <si>
    <t>43ª</t>
  </si>
  <si>
    <t>Pindaré-Mirim</t>
  </si>
  <si>
    <t>44ª</t>
  </si>
  <si>
    <t>Passagem Franca</t>
  </si>
  <si>
    <t>Buriti Bravo</t>
  </si>
  <si>
    <t>Gonçalves Dias</t>
  </si>
  <si>
    <t>Tuntum</t>
  </si>
  <si>
    <t>47ª</t>
  </si>
  <si>
    <t>Ribamar</t>
  </si>
  <si>
    <t>48ª</t>
  </si>
  <si>
    <t>São Vicente Ferrer</t>
  </si>
  <si>
    <t>São João Batista</t>
  </si>
  <si>
    <t>49ª</t>
  </si>
  <si>
    <t>Vitorino Freire</t>
  </si>
  <si>
    <t>Lago da Pedra</t>
  </si>
  <si>
    <t>50ª</t>
  </si>
  <si>
    <t>Vargem Grande</t>
  </si>
  <si>
    <t>São Benedito do Rio Preto</t>
  </si>
  <si>
    <t>Total (Inclui 41ª ZE)**</t>
  </si>
  <si>
    <t>!**</t>
  </si>
  <si>
    <t>Teresina (1ª ZE)</t>
  </si>
  <si>
    <t>Teresina (2ª ZE)</t>
  </si>
  <si>
    <t>Teresina (Total)</t>
  </si>
  <si>
    <t>Parnaíba (1ª ZE)</t>
  </si>
  <si>
    <t>Parnaíba (2ª ZE)</t>
  </si>
  <si>
    <t>Parnaíba (Total)</t>
  </si>
  <si>
    <t>Cocal</t>
  </si>
  <si>
    <t>Luis Correia</t>
  </si>
  <si>
    <t>Oeiras</t>
  </si>
  <si>
    <t>São Francisco do Piauí</t>
  </si>
  <si>
    <t>São José do Peixe</t>
  </si>
  <si>
    <t>Santa Cruz do Piauí</t>
  </si>
  <si>
    <t>Barras</t>
  </si>
  <si>
    <t>Campo Maior</t>
  </si>
  <si>
    <t>Capitão de Campos</t>
  </si>
  <si>
    <t>Amarante</t>
  </si>
  <si>
    <t>Angical do Piauí</t>
  </si>
  <si>
    <t>Floriano</t>
  </si>
  <si>
    <t>Nazaré do Piauí</t>
  </si>
  <si>
    <t>Itaueira</t>
  </si>
  <si>
    <t>Picos</t>
  </si>
  <si>
    <t>Itainópolis</t>
  </si>
  <si>
    <t>Monsenhor Hipólito</t>
  </si>
  <si>
    <t>Piripiri</t>
  </si>
  <si>
    <t>Pedro II</t>
  </si>
  <si>
    <t>São Raimundo Nonato</t>
  </si>
  <si>
    <t>Caracol</t>
  </si>
  <si>
    <t>Uruçuí</t>
  </si>
  <si>
    <t>Bom Jesus</t>
  </si>
  <si>
    <t>Cristino Castro</t>
  </si>
  <si>
    <t>União</t>
  </si>
  <si>
    <t>Miguel Alves</t>
  </si>
  <si>
    <t>Porto</t>
  </si>
  <si>
    <t>Valença do Piauí</t>
  </si>
  <si>
    <t>Elesbão Veloso</t>
  </si>
  <si>
    <t>São Félix do Piauí</t>
  </si>
  <si>
    <t>Pimenteiras</t>
  </si>
  <si>
    <t>Inhumas</t>
  </si>
  <si>
    <t>Jaicós</t>
  </si>
  <si>
    <t>Simões</t>
  </si>
  <si>
    <t>São João do Piauí</t>
  </si>
  <si>
    <t>Piracuruca</t>
  </si>
  <si>
    <t>Corrente</t>
  </si>
  <si>
    <t>Santa Filomena</t>
  </si>
  <si>
    <t>José de Freitas</t>
  </si>
  <si>
    <t>Jerumenha</t>
  </si>
  <si>
    <t>Eliseu Martins</t>
  </si>
  <si>
    <t>Landry Sales</t>
  </si>
  <si>
    <t>Parnaguá</t>
  </si>
  <si>
    <t>Curimatã</t>
  </si>
  <si>
    <t>Luzilândia</t>
  </si>
  <si>
    <t>Matias Olímpio</t>
  </si>
  <si>
    <t>Bertolinía</t>
  </si>
  <si>
    <t>Pio IX</t>
  </si>
  <si>
    <t>São Pedro do Piauí</t>
  </si>
  <si>
    <t>Água Branca</t>
  </si>
  <si>
    <t>Palmerais</t>
  </si>
  <si>
    <t>Altos</t>
  </si>
  <si>
    <t>Beneditinos</t>
  </si>
  <si>
    <t>Buriti dos Lopes</t>
  </si>
  <si>
    <t>Castelo do Piauí</t>
  </si>
  <si>
    <t>Gilbués</t>
  </si>
  <si>
    <t>Monte  Alegre do Piauí</t>
  </si>
  <si>
    <t>Canto do Buriti</t>
  </si>
  <si>
    <t>Simplício Mendes</t>
  </si>
  <si>
    <t>Paulistana</t>
  </si>
  <si>
    <t>Conceição do Canindé</t>
  </si>
  <si>
    <t>São Miguel do Tapuio</t>
  </si>
  <si>
    <t>Fronteiras</t>
  </si>
  <si>
    <t>Esperantina</t>
  </si>
  <si>
    <t>Alto Longá</t>
  </si>
  <si>
    <t>Regeneração</t>
  </si>
  <si>
    <t>Rebeiro Gonçalves</t>
  </si>
  <si>
    <t>Batalha</t>
  </si>
  <si>
    <t>Guadalupe</t>
  </si>
  <si>
    <t>Fortaleza (1ª ZE)</t>
  </si>
  <si>
    <t>Fortaleza (2ª ZE)</t>
  </si>
  <si>
    <t>Fortaleza (3ª ZE)</t>
  </si>
  <si>
    <t>82ª</t>
  </si>
  <si>
    <t>Fortaleza (4ª ZE)</t>
  </si>
  <si>
    <t>83ª</t>
  </si>
  <si>
    <t>Fortaleza (5ª ZE)</t>
  </si>
  <si>
    <t>Fortaleza (Total)</t>
  </si>
  <si>
    <t>Maranguape</t>
  </si>
  <si>
    <t>Palmácia</t>
  </si>
  <si>
    <t>Baturité</t>
  </si>
  <si>
    <t>Capistrano</t>
  </si>
  <si>
    <t>Itapiuna</t>
  </si>
  <si>
    <t>Quixadá</t>
  </si>
  <si>
    <t>Cascavel</t>
  </si>
  <si>
    <t>Beberibe</t>
  </si>
  <si>
    <t>Aracati</t>
  </si>
  <si>
    <t>Russas</t>
  </si>
  <si>
    <t>Palhano</t>
  </si>
  <si>
    <t>Quixeré</t>
  </si>
  <si>
    <t>Jaguaribe</t>
  </si>
  <si>
    <t>Quixeramobim</t>
  </si>
  <si>
    <t>Senador Pompeu</t>
  </si>
  <si>
    <t>Piquet Carneiro</t>
  </si>
  <si>
    <t>Iguatu</t>
  </si>
  <si>
    <t>Lavras da Mangabeira</t>
  </si>
  <si>
    <t>Icó</t>
  </si>
  <si>
    <t>Orós</t>
  </si>
  <si>
    <t>Missão Velha</t>
  </si>
  <si>
    <t>Itapipoca</t>
  </si>
  <si>
    <t>Assaré</t>
  </si>
  <si>
    <t>Tauá</t>
  </si>
  <si>
    <t>Ameiroz</t>
  </si>
  <si>
    <t>Cococí</t>
  </si>
  <si>
    <t>Parambu</t>
  </si>
  <si>
    <t>Crateus</t>
  </si>
  <si>
    <t>Ipu</t>
  </si>
  <si>
    <t>São Benedito</t>
  </si>
  <si>
    <t>Carnaubal</t>
  </si>
  <si>
    <t>Pacujá</t>
  </si>
  <si>
    <t>Uruburetama</t>
  </si>
  <si>
    <t>São Luiz do Curú</t>
  </si>
  <si>
    <t>Sobral</t>
  </si>
  <si>
    <t>Alcântaras</t>
  </si>
  <si>
    <t>Meruoca</t>
  </si>
  <si>
    <t>Granja</t>
  </si>
  <si>
    <t>Martinópole</t>
  </si>
  <si>
    <t>Uruoca</t>
  </si>
  <si>
    <t>Milagres</t>
  </si>
  <si>
    <t>Abaiara</t>
  </si>
  <si>
    <t>Barro</t>
  </si>
  <si>
    <t>Crato</t>
  </si>
  <si>
    <t>Juazeiro do Norte</t>
  </si>
  <si>
    <t>Limoeiro do Norte</t>
  </si>
  <si>
    <t>Alto Santo</t>
  </si>
  <si>
    <t>São João do Jaguaribe</t>
  </si>
  <si>
    <t>Taboleiro do Norte</t>
  </si>
  <si>
    <t>Acaraú</t>
  </si>
  <si>
    <t>Bela Cruz</t>
  </si>
  <si>
    <t>Barbalha</t>
  </si>
  <si>
    <t>Camocim</t>
  </si>
  <si>
    <t>Chaval</t>
  </si>
  <si>
    <t>Canindé</t>
  </si>
  <si>
    <t>Itatira</t>
  </si>
  <si>
    <t>Caridade</t>
  </si>
  <si>
    <t>Paramoti</t>
  </si>
  <si>
    <t>Cedro</t>
  </si>
  <si>
    <t>Viçosa do Ceará</t>
  </si>
  <si>
    <t>São Gonçalo do Amarante</t>
  </si>
  <si>
    <t>Paracuru</t>
  </si>
  <si>
    <t>Trairi</t>
  </si>
  <si>
    <t>Caucaia</t>
  </si>
  <si>
    <t>Campos Sales</t>
  </si>
  <si>
    <t>Independência</t>
  </si>
  <si>
    <t>Novo Oriente</t>
  </si>
  <si>
    <t>Ipueiras</t>
  </si>
  <si>
    <t>Poranga</t>
  </si>
  <si>
    <t>Itapagé</t>
  </si>
  <si>
    <t>Irauçuba</t>
  </si>
  <si>
    <t>Jardim</t>
  </si>
  <si>
    <t>Jucás</t>
  </si>
  <si>
    <t>Cariús</t>
  </si>
  <si>
    <t>Santana do Acaraú</t>
  </si>
  <si>
    <t>Marco</t>
  </si>
  <si>
    <t>Morrinhos</t>
  </si>
  <si>
    <t>Massapê</t>
  </si>
  <si>
    <t>Senador Sá</t>
  </si>
  <si>
    <t>Mombaça</t>
  </si>
  <si>
    <t>Morada Nova</t>
  </si>
  <si>
    <t>Nova Russas</t>
  </si>
  <si>
    <t>Pacajus</t>
  </si>
  <si>
    <t>Pentecoste</t>
  </si>
  <si>
    <t>Apuiarés</t>
  </si>
  <si>
    <t>General Sampaio</t>
  </si>
  <si>
    <t>51ª</t>
  </si>
  <si>
    <t>Pereiro</t>
  </si>
  <si>
    <t>Iracema</t>
  </si>
  <si>
    <t>52ª</t>
  </si>
  <si>
    <t>Redenção</t>
  </si>
  <si>
    <t>53ª</t>
  </si>
  <si>
    <t>Santana do Cariri</t>
  </si>
  <si>
    <t>Nova Olinda</t>
  </si>
  <si>
    <t>54ª</t>
  </si>
  <si>
    <t>Santa Quitéria</t>
  </si>
  <si>
    <t>Batoque</t>
  </si>
  <si>
    <t>55ª</t>
  </si>
  <si>
    <t>Solonópole</t>
  </si>
  <si>
    <t>56ª</t>
  </si>
  <si>
    <t>Ubajara</t>
  </si>
  <si>
    <t>57ª</t>
  </si>
  <si>
    <t>Pacatuba</t>
  </si>
  <si>
    <t>58ª</t>
  </si>
  <si>
    <t>Ipaumirim</t>
  </si>
  <si>
    <t>Baixio</t>
  </si>
  <si>
    <t>Umari</t>
  </si>
  <si>
    <t>59ª</t>
  </si>
  <si>
    <t>Pedra Branca</t>
  </si>
  <si>
    <t>60ª</t>
  </si>
  <si>
    <t>Acopiara</t>
  </si>
  <si>
    <t>61ª</t>
  </si>
  <si>
    <t>Tamboril</t>
  </si>
  <si>
    <t>Monsenhor Tabosa</t>
  </si>
  <si>
    <t>62ª</t>
  </si>
  <si>
    <t>Várzea Alegre</t>
  </si>
  <si>
    <t>63ª</t>
  </si>
  <si>
    <t>Boa Viagem</t>
  </si>
  <si>
    <t>64ª</t>
  </si>
  <si>
    <t>Coreaú</t>
  </si>
  <si>
    <t>Freicheirinha</t>
  </si>
  <si>
    <t>Moraújo</t>
  </si>
  <si>
    <t>65ª</t>
  </si>
  <si>
    <t>Cariré</t>
  </si>
  <si>
    <t>Groairas</t>
  </si>
  <si>
    <t>66ª</t>
  </si>
  <si>
    <t>Aquiraz</t>
  </si>
  <si>
    <t>67ª</t>
  </si>
  <si>
    <t>Araçoiaba</t>
  </si>
  <si>
    <t>68ª</t>
  </si>
  <si>
    <t>Araripe</t>
  </si>
  <si>
    <t>Polengi</t>
  </si>
  <si>
    <t>69ª</t>
  </si>
  <si>
    <t>Aurora</t>
  </si>
  <si>
    <t>70ª</t>
  </si>
  <si>
    <t>Brejo Santo</t>
  </si>
  <si>
    <t>Porteiras</t>
  </si>
  <si>
    <t>Jati</t>
  </si>
  <si>
    <t>Penaforte</t>
  </si>
  <si>
    <t>71ª</t>
  </si>
  <si>
    <t>Cariri-Açu</t>
  </si>
  <si>
    <t>Granjeiro</t>
  </si>
  <si>
    <t>72ª</t>
  </si>
  <si>
    <t>Jaguaretama</t>
  </si>
  <si>
    <t>Jaguaribara</t>
  </si>
  <si>
    <t>73ª</t>
  </si>
  <si>
    <t>Ibiapina</t>
  </si>
  <si>
    <t>Mocambo</t>
  </si>
  <si>
    <t>74ª</t>
  </si>
  <si>
    <t>Guaraciaba do Norte</t>
  </si>
  <si>
    <t>75ª</t>
  </si>
  <si>
    <t>Jaguaruana</t>
  </si>
  <si>
    <t>Itaiçaba</t>
  </si>
  <si>
    <t>76ª</t>
  </si>
  <si>
    <t>Mauriti</t>
  </si>
  <si>
    <t>77ª</t>
  </si>
  <si>
    <t>Pacoti</t>
  </si>
  <si>
    <t>Aratuba</t>
  </si>
  <si>
    <t>Guaramiranga</t>
  </si>
  <si>
    <t>Malungue</t>
  </si>
  <si>
    <t>78ª</t>
  </si>
  <si>
    <t>Farias Brito</t>
  </si>
  <si>
    <t>Altaneiras</t>
  </si>
  <si>
    <t>79ª</t>
  </si>
  <si>
    <t>Raruitaba</t>
  </si>
  <si>
    <t>80ª</t>
  </si>
  <si>
    <t>Saboeiro</t>
  </si>
  <si>
    <t>Aiuaba</t>
  </si>
  <si>
    <t>Antoninha do Norte</t>
  </si>
  <si>
    <t>Catarina</t>
  </si>
  <si>
    <t>81ª</t>
  </si>
  <si>
    <t>Tianguá</t>
  </si>
  <si>
    <t>Natal (1ª ZE)</t>
  </si>
  <si>
    <t>Natal (2ª ZE)</t>
  </si>
  <si>
    <t>Natal (3ª ZE)</t>
  </si>
  <si>
    <t>Natal (4ª ZE)</t>
  </si>
  <si>
    <t>Natal (Total)</t>
  </si>
  <si>
    <t>Parnamirim</t>
  </si>
  <si>
    <t>Macaíba</t>
  </si>
  <si>
    <t>Ceará-Mirim</t>
  </si>
  <si>
    <t>São José de Mipibu</t>
  </si>
  <si>
    <t>Nizia Floresta</t>
  </si>
  <si>
    <t>São Paulo do Pontegi</t>
  </si>
  <si>
    <t>Caiada</t>
  </si>
  <si>
    <t>Goianinha</t>
  </si>
  <si>
    <t>Arêz</t>
  </si>
  <si>
    <t>Várzea</t>
  </si>
  <si>
    <t>João Câmara</t>
  </si>
  <si>
    <t>Barrêto</t>
  </si>
  <si>
    <t>São Bento do Norte</t>
  </si>
  <si>
    <t>Taipú</t>
  </si>
  <si>
    <t>Canguaretama</t>
  </si>
  <si>
    <t>Baia Formosa</t>
  </si>
  <si>
    <t>Pedro Velho</t>
  </si>
  <si>
    <t>Nova Cruz</t>
  </si>
  <si>
    <t>Serra de São Bento</t>
  </si>
  <si>
    <t>Santo Antônio</t>
  </si>
  <si>
    <t>Touros</t>
  </si>
  <si>
    <t>Maxaranguape</t>
  </si>
  <si>
    <t>São José de Campestre</t>
  </si>
  <si>
    <t>Januário Cicco</t>
  </si>
  <si>
    <t>Japi</t>
  </si>
  <si>
    <t>Serra Caiada</t>
  </si>
  <si>
    <t>Tangará</t>
  </si>
  <si>
    <t>Santa Cruz</t>
  </si>
  <si>
    <t>Campo Redondo</t>
  </si>
  <si>
    <t>Coronel Ezequiel</t>
  </si>
  <si>
    <t>Lages Pintada</t>
  </si>
  <si>
    <t>São Bento do Trairí</t>
  </si>
  <si>
    <t>Lages</t>
  </si>
  <si>
    <t>Pedro Avelino</t>
  </si>
  <si>
    <t>Angicos</t>
  </si>
  <si>
    <t>Afonso Bezerra</t>
  </si>
  <si>
    <t>São Tomé</t>
  </si>
  <si>
    <t>Barcelona</t>
  </si>
  <si>
    <t>Sítio Novo</t>
  </si>
  <si>
    <t>Currais Novos</t>
  </si>
  <si>
    <t>Cerro Corá</t>
  </si>
  <si>
    <t>Florânia</t>
  </si>
  <si>
    <t>São Vicente</t>
  </si>
  <si>
    <t>Acarí</t>
  </si>
  <si>
    <t>Carnaúba dos Dantas</t>
  </si>
  <si>
    <t>Cruzêta</t>
  </si>
  <si>
    <t>Jardim do Seridó</t>
  </si>
  <si>
    <t>Ouro Branco</t>
  </si>
  <si>
    <t>Parelhas</t>
  </si>
  <si>
    <t>Caicó</t>
  </si>
  <si>
    <t>Jardim de Piranhas</t>
  </si>
  <si>
    <t>São Fernando</t>
  </si>
  <si>
    <t>Serra Negra do Norte</t>
  </si>
  <si>
    <t>São João do Sabugí</t>
  </si>
  <si>
    <t>Jucurutú</t>
  </si>
  <si>
    <t>Santana dos Matos</t>
  </si>
  <si>
    <t>São Rafael</t>
  </si>
  <si>
    <t>Assu</t>
  </si>
  <si>
    <t>Ipanguassú</t>
  </si>
  <si>
    <t>Macau</t>
  </si>
  <si>
    <t>Pendências</t>
  </si>
  <si>
    <t>Augusto Severo</t>
  </si>
  <si>
    <t>Upanêma</t>
  </si>
  <si>
    <t>Areia Branca</t>
  </si>
  <si>
    <t>Grossos</t>
  </si>
  <si>
    <t>Mossoró (1ª ZE)</t>
  </si>
  <si>
    <t>Mossoró (2ª ZE)</t>
  </si>
  <si>
    <t>Mossoró (Total)</t>
  </si>
  <si>
    <t>Apodí</t>
  </si>
  <si>
    <t>Itaú</t>
  </si>
  <si>
    <t>Caraúbas</t>
  </si>
  <si>
    <t>Umarizal</t>
  </si>
  <si>
    <t>Patu</t>
  </si>
  <si>
    <t>Almino Afonso</t>
  </si>
  <si>
    <t>Martins</t>
  </si>
  <si>
    <t>Portalegre</t>
  </si>
  <si>
    <t>Pau dos Ferros</t>
  </si>
  <si>
    <t>Marcelino Vieira</t>
  </si>
  <si>
    <t>Alexandria</t>
  </si>
  <si>
    <t>Luiz Gomes</t>
  </si>
  <si>
    <t>José da Penha</t>
  </si>
  <si>
    <t>São Miguel</t>
  </si>
  <si>
    <t>João Pessoa (1ª ZE)</t>
  </si>
  <si>
    <t>João Pessoa (2ª ZE)</t>
  </si>
  <si>
    <t>João Pessoa (Total)</t>
  </si>
  <si>
    <t>Santa Rita</t>
  </si>
  <si>
    <t>Cruz do Espírito Santo</t>
  </si>
  <si>
    <t>Sapé</t>
  </si>
  <si>
    <t>Pilar</t>
  </si>
  <si>
    <t>Gurinhém</t>
  </si>
  <si>
    <t>Itabaiana</t>
  </si>
  <si>
    <t>Mamanguape</t>
  </si>
  <si>
    <t>Ingá</t>
  </si>
  <si>
    <t>Serra Redonda</t>
  </si>
  <si>
    <t>Alagoa Grande</t>
  </si>
  <si>
    <t>Guarabira</t>
  </si>
  <si>
    <t>Mulungu</t>
  </si>
  <si>
    <t>Araçagi</t>
  </si>
  <si>
    <t>Areia</t>
  </si>
  <si>
    <t>Remígio</t>
  </si>
  <si>
    <t>Serraria</t>
  </si>
  <si>
    <t>Alagoa Nova</t>
  </si>
  <si>
    <t>Bananeira</t>
  </si>
  <si>
    <t>Dona Inês</t>
  </si>
  <si>
    <t>Borborema</t>
  </si>
  <si>
    <t>Caiçaras</t>
  </si>
  <si>
    <t>Barra da Raiz</t>
  </si>
  <si>
    <t>Campina Grande (1ª ZE)</t>
  </si>
  <si>
    <t>Campina Grande (2ª ZE)</t>
  </si>
  <si>
    <t>Campina Grande (Total)</t>
  </si>
  <si>
    <t>Umbuzeiro</t>
  </si>
  <si>
    <t>Esperança</t>
  </si>
  <si>
    <t>Araruna</t>
  </si>
  <si>
    <t>Cacimba de Dentro</t>
  </si>
  <si>
    <t>Tacima</t>
  </si>
  <si>
    <t>Cabeceiras</t>
  </si>
  <si>
    <t>Carnoió</t>
  </si>
  <si>
    <t>Serra Branca</t>
  </si>
  <si>
    <t>São João do Cariri</t>
  </si>
  <si>
    <t>Congo</t>
  </si>
  <si>
    <t>Soledade</t>
  </si>
  <si>
    <t>Cuité</t>
  </si>
  <si>
    <t>Barra de Santa Rosa</t>
  </si>
  <si>
    <t>Nova Floresta</t>
  </si>
  <si>
    <t>Picuí</t>
  </si>
  <si>
    <t>Pedra Lavrada</t>
  </si>
  <si>
    <t>Cubati</t>
  </si>
  <si>
    <t>Santa Luzia</t>
  </si>
  <si>
    <t>São Mamede</t>
  </si>
  <si>
    <t>Taperoá</t>
  </si>
  <si>
    <t>Patos</t>
  </si>
  <si>
    <t>Monteiro</t>
  </si>
  <si>
    <t>Prata</t>
  </si>
  <si>
    <t>São Sebastião do Umbuzeiro</t>
  </si>
  <si>
    <t>Teixeiras</t>
  </si>
  <si>
    <t>Destêrro</t>
  </si>
  <si>
    <t>Pombal</t>
  </si>
  <si>
    <t>Piancó</t>
  </si>
  <si>
    <t>Catingueira</t>
  </si>
  <si>
    <t>Itaporanga</t>
  </si>
  <si>
    <t>Princesa Isabel</t>
  </si>
  <si>
    <t>Tavares</t>
  </si>
  <si>
    <t>Sousa</t>
  </si>
  <si>
    <t>São José da Lagoa Tapada</t>
  </si>
  <si>
    <t>Catolé do Rocha</t>
  </si>
  <si>
    <t>Jericó</t>
  </si>
  <si>
    <t>Antenor Navarro</t>
  </si>
  <si>
    <t>Brejo da Cruz</t>
  </si>
  <si>
    <t>Bonito de Santa Fé</t>
  </si>
  <si>
    <t>São José de Piranhas</t>
  </si>
  <si>
    <t>Conceição</t>
  </si>
  <si>
    <t>Ibiriá</t>
  </si>
  <si>
    <t>Cajazeiras</t>
  </si>
  <si>
    <t>Sumé</t>
  </si>
  <si>
    <t>Pedras de Fogo</t>
  </si>
  <si>
    <t>Pilões</t>
  </si>
  <si>
    <t>Alagoinhas</t>
  </si>
  <si>
    <t>Pirpirituba</t>
  </si>
  <si>
    <t>Solenea</t>
  </si>
  <si>
    <t>Aroeiras</t>
  </si>
  <si>
    <t>Pocinhos</t>
  </si>
  <si>
    <t>Malta</t>
  </si>
  <si>
    <t>Coremas</t>
  </si>
  <si>
    <t>Miraúna</t>
  </si>
  <si>
    <t>Belém</t>
  </si>
  <si>
    <t>Rio Tinto</t>
  </si>
  <si>
    <t>Joazeirinho</t>
  </si>
  <si>
    <t>Cabedelo</t>
  </si>
  <si>
    <t>Recife (1ª ZE)</t>
  </si>
  <si>
    <t>Recife (2ª ZE)</t>
  </si>
  <si>
    <t>Recife (3ª ZE)</t>
  </si>
  <si>
    <t>Recife (4ª ZE)</t>
  </si>
  <si>
    <t>Recife (5ª ZE)</t>
  </si>
  <si>
    <t>Recife (6ª ZE)</t>
  </si>
  <si>
    <t>Recife (7ª ZE)</t>
  </si>
  <si>
    <t>Recife (8ª ZE)</t>
  </si>
  <si>
    <t>Recife (9ª ZE)</t>
  </si>
  <si>
    <t>Recife (Total)</t>
  </si>
  <si>
    <t>Olinda</t>
  </si>
  <si>
    <t>Jaboatão</t>
  </si>
  <si>
    <t>Paulista</t>
  </si>
  <si>
    <t>São Lourenço da Mata</t>
  </si>
  <si>
    <t>Moreno</t>
  </si>
  <si>
    <t>Cabo de Santo Agostinho</t>
  </si>
  <si>
    <t>Ipojuca</t>
  </si>
  <si>
    <t>Pau D'Alho</t>
  </si>
  <si>
    <t>Vitória de Santo Antão</t>
  </si>
  <si>
    <t>Escador</t>
  </si>
  <si>
    <t>Carpina</t>
  </si>
  <si>
    <t>Glória de Goitá</t>
  </si>
  <si>
    <t>Serinháem</t>
  </si>
  <si>
    <t>Nazaré da Mata</t>
  </si>
  <si>
    <t>Limoeiro</t>
  </si>
  <si>
    <t>Goiana</t>
  </si>
  <si>
    <t>Rio Formoso</t>
  </si>
  <si>
    <t>També</t>
  </si>
  <si>
    <t>Ribeirão</t>
  </si>
  <si>
    <t>Gameleira</t>
  </si>
  <si>
    <t>Gravatá</t>
  </si>
  <si>
    <t>Amaraji</t>
  </si>
  <si>
    <t>Aliança</t>
  </si>
  <si>
    <t>Bom Jardim</t>
  </si>
  <si>
    <t>Surubim</t>
  </si>
  <si>
    <t>Bezerros</t>
  </si>
  <si>
    <t>Timbauba</t>
  </si>
  <si>
    <t>Palmares</t>
  </si>
  <si>
    <t>Água Preta</t>
  </si>
  <si>
    <t>Bonito</t>
  </si>
  <si>
    <t>São Joaquim do Monte</t>
  </si>
  <si>
    <t>Caruaru</t>
  </si>
  <si>
    <t>Barreiros</t>
  </si>
  <si>
    <t>Catende</t>
  </si>
  <si>
    <t>São Caetano</t>
  </si>
  <si>
    <t>Belo Jardim</t>
  </si>
  <si>
    <t>Vertentes</t>
  </si>
  <si>
    <t>Quipapá</t>
  </si>
  <si>
    <t>Altinho</t>
  </si>
  <si>
    <t>Panelas</t>
  </si>
  <si>
    <t>Jurema</t>
  </si>
  <si>
    <t>Taquaritinga do Norte</t>
  </si>
  <si>
    <t>São Bento do Una</t>
  </si>
  <si>
    <t>Canhotinho</t>
  </si>
  <si>
    <t>Brejo da Madre de Deus</t>
  </si>
  <si>
    <t>Pesqueira</t>
  </si>
  <si>
    <t>Garanhus (1ª ZE)</t>
  </si>
  <si>
    <t>111ª</t>
  </si>
  <si>
    <t>Garanhus (2ª ZE)</t>
  </si>
  <si>
    <t>Garanhus (Total)</t>
  </si>
  <si>
    <t>Arco Verde</t>
  </si>
  <si>
    <t>Pedra</t>
  </si>
  <si>
    <t>Correntes</t>
  </si>
  <si>
    <t>Buíque</t>
  </si>
  <si>
    <t>Bom Conselho</t>
  </si>
  <si>
    <t>Sertânia</t>
  </si>
  <si>
    <t>Inajá</t>
  </si>
  <si>
    <t>Águas Belas</t>
  </si>
  <si>
    <t>Custódia</t>
  </si>
  <si>
    <t>Afogados da Ingazeira</t>
  </si>
  <si>
    <t>Flores</t>
  </si>
  <si>
    <t>São José do Egito</t>
  </si>
  <si>
    <t>Triunfo</t>
  </si>
  <si>
    <t>Petrolândia</t>
  </si>
  <si>
    <t>Serra Talhada</t>
  </si>
  <si>
    <t>Floresta</t>
  </si>
  <si>
    <t>Belém de São Francisco</t>
  </si>
  <si>
    <t>São José do Belmonte</t>
  </si>
  <si>
    <t>Salgueiro</t>
  </si>
  <si>
    <t>Serrita</t>
  </si>
  <si>
    <t>Cabrobó</t>
  </si>
  <si>
    <t>Exú</t>
  </si>
  <si>
    <t>Bodocó</t>
  </si>
  <si>
    <t>Santa Maria da Boa Vista</t>
  </si>
  <si>
    <t>Ouricuri</t>
  </si>
  <si>
    <t>Petrolina</t>
  </si>
  <si>
    <t>84ª</t>
  </si>
  <si>
    <t>Araripina</t>
  </si>
  <si>
    <t>85ª</t>
  </si>
  <si>
    <t>Igarassu</t>
  </si>
  <si>
    <t>86ª</t>
  </si>
  <si>
    <t>Agrestina</t>
  </si>
  <si>
    <t>87ª</t>
  </si>
  <si>
    <t>Angelim</t>
  </si>
  <si>
    <t>88ª</t>
  </si>
  <si>
    <t>João Alfredo</t>
  </si>
  <si>
    <t>89ª</t>
  </si>
  <si>
    <t>Lagoa dos Gatos</t>
  </si>
  <si>
    <t>90ª</t>
  </si>
  <si>
    <t>Macaparama</t>
  </si>
  <si>
    <t>91ª</t>
  </si>
  <si>
    <t>Maraial</t>
  </si>
  <si>
    <t>92ª</t>
  </si>
  <si>
    <t>Orobó</t>
  </si>
  <si>
    <t>93ª</t>
  </si>
  <si>
    <t>Vicência</t>
  </si>
  <si>
    <t>94ª</t>
  </si>
  <si>
    <t>Lageado</t>
  </si>
  <si>
    <t>95ª</t>
  </si>
  <si>
    <t>Palmeirina</t>
  </si>
  <si>
    <t>96ª</t>
  </si>
  <si>
    <t>Sanharó</t>
  </si>
  <si>
    <t>97ª</t>
  </si>
  <si>
    <t>Alagoinha</t>
  </si>
  <si>
    <t>98ª</t>
  </si>
  <si>
    <t>Tabira</t>
  </si>
  <si>
    <t>99ª</t>
  </si>
  <si>
    <t>Santa Cruz do Capibaribe</t>
  </si>
  <si>
    <t>100ª</t>
  </si>
  <si>
    <t>Camocim de São Félix</t>
  </si>
  <si>
    <t>101ª</t>
  </si>
  <si>
    <t>Cortês</t>
  </si>
  <si>
    <t>102ª</t>
  </si>
  <si>
    <t>Joaquim Nabuco</t>
  </si>
  <si>
    <t>103ª</t>
  </si>
  <si>
    <t>São Vicente Férrer</t>
  </si>
  <si>
    <t>104ª</t>
  </si>
  <si>
    <t>Riacho das Almas</t>
  </si>
  <si>
    <t>105ª</t>
  </si>
  <si>
    <t>Cupira</t>
  </si>
  <si>
    <t>106ª</t>
  </si>
  <si>
    <t>Poção</t>
  </si>
  <si>
    <t>107ª</t>
  </si>
  <si>
    <t>Carnaíba</t>
  </si>
  <si>
    <t>108ª</t>
  </si>
  <si>
    <t>Tacaratu</t>
  </si>
  <si>
    <t>109ª</t>
  </si>
  <si>
    <t>Itapetim</t>
  </si>
  <si>
    <t>110ª</t>
  </si>
  <si>
    <t>Toritama</t>
  </si>
  <si>
    <t>Eleitorado*</t>
  </si>
  <si>
    <t>Maceió (1ª ZE)</t>
  </si>
  <si>
    <t>Maceió (2ª ZE)</t>
  </si>
  <si>
    <t>Maceió (3ª ZE)</t>
  </si>
  <si>
    <t>Maceió (Total)</t>
  </si>
  <si>
    <t>Anadia</t>
  </si>
  <si>
    <t>Viçosa</t>
  </si>
  <si>
    <t>Pindoba</t>
  </si>
  <si>
    <t>Atalaia</t>
  </si>
  <si>
    <t>Coruripe</t>
  </si>
  <si>
    <t>Murici</t>
  </si>
  <si>
    <t>Palmeiras dos Indios</t>
  </si>
  <si>
    <t>Cacimbinhas</t>
  </si>
  <si>
    <t>Ipaci</t>
  </si>
  <si>
    <t>Pão de Açúcar</t>
  </si>
  <si>
    <t>Guaribas</t>
  </si>
  <si>
    <t>São José da Tapera</t>
  </si>
  <si>
    <t>Passo do Camaragibe</t>
  </si>
  <si>
    <t>Matriz do Camaragibe</t>
  </si>
  <si>
    <t>Penedo</t>
  </si>
  <si>
    <t>Porto Calvo</t>
  </si>
  <si>
    <t>Jacuípe</t>
  </si>
  <si>
    <t>Rio Largo</t>
  </si>
  <si>
    <t>Satuba</t>
  </si>
  <si>
    <t>São José da Laje</t>
  </si>
  <si>
    <t>Ibateguara</t>
  </si>
  <si>
    <t>São. Luís do Quintunde</t>
  </si>
  <si>
    <t>Flexeiras</t>
  </si>
  <si>
    <t>Barra de Santo Antônio</t>
  </si>
  <si>
    <t>São Miguel dos Campos</t>
  </si>
  <si>
    <t>Bôca da Mata</t>
  </si>
  <si>
    <t>Campo Alegre</t>
  </si>
  <si>
    <t>Santana do Ipanema</t>
  </si>
  <si>
    <t>Olho d'Água das Flores</t>
  </si>
  <si>
    <t>Olivença</t>
  </si>
  <si>
    <t>Maravilha</t>
  </si>
  <si>
    <t>Poço das Trincheiras</t>
  </si>
  <si>
    <t>Traipu</t>
  </si>
  <si>
    <t>Girau do Ponciano</t>
  </si>
  <si>
    <t>União dos Palmares</t>
  </si>
  <si>
    <t>Arapiraca</t>
  </si>
  <si>
    <t>Capela</t>
  </si>
  <si>
    <t>Cajueiro</t>
  </si>
  <si>
    <t>Colônia Leopoldina</t>
  </si>
  <si>
    <t>Maragogi</t>
  </si>
  <si>
    <t>Japaratinga</t>
  </si>
  <si>
    <t>Marechal Deodoro</t>
  </si>
  <si>
    <t>Mata Grande</t>
  </si>
  <si>
    <t>Quebrângulo</t>
  </si>
  <si>
    <t>Paulo Jacinto</t>
  </si>
  <si>
    <t>Belo Monte</t>
  </si>
  <si>
    <t>Jacaú dos Homens</t>
  </si>
  <si>
    <t>Igreja Nova</t>
  </si>
  <si>
    <t>Salomé</t>
  </si>
  <si>
    <t>Major Izidro</t>
  </si>
  <si>
    <t>Dois Riachos</t>
  </si>
  <si>
    <t>Piranhas</t>
  </si>
  <si>
    <t>Porto de Pedras</t>
  </si>
  <si>
    <t>São Miguel dos Milagres</t>
  </si>
  <si>
    <t>São Brás</t>
  </si>
  <si>
    <t>Campo Grande</t>
  </si>
  <si>
    <t>Feira Grande</t>
  </si>
  <si>
    <t>Junqueiro</t>
  </si>
  <si>
    <t>Limoeiro de Anadia</t>
  </si>
  <si>
    <t>Porto Real do Colégio</t>
  </si>
  <si>
    <t>Piaçabuçu</t>
  </si>
  <si>
    <t>Feliz Deserto</t>
  </si>
  <si>
    <t>Delmiro Gouveia</t>
  </si>
  <si>
    <t>Aracajú (1ª ZE)**</t>
  </si>
  <si>
    <t>Aracajú (2ªZE)**</t>
  </si>
  <si>
    <t>Aracajú (Total)</t>
  </si>
  <si>
    <t>Barra dos Coqueiros</t>
  </si>
  <si>
    <t>Malhada dos Bois</t>
  </si>
  <si>
    <t>Muribeca</t>
  </si>
  <si>
    <t>Estância</t>
  </si>
  <si>
    <t>Arauá</t>
  </si>
  <si>
    <t>Cristinápols</t>
  </si>
  <si>
    <t>Frei Paulo</t>
  </si>
  <si>
    <t>Carira</t>
  </si>
  <si>
    <t>Pinhão</t>
  </si>
  <si>
    <t>Ribeirópolis</t>
  </si>
  <si>
    <t>Gararú</t>
  </si>
  <si>
    <t>Itabí</t>
  </si>
  <si>
    <t>Itabaianinha</t>
  </si>
  <si>
    <t>Tomar de Gerú</t>
  </si>
  <si>
    <t>Japaratuba</t>
  </si>
  <si>
    <t>Carmópolis</t>
  </si>
  <si>
    <t>Japoatã</t>
  </si>
  <si>
    <t>Lagarto</t>
  </si>
  <si>
    <t>Laranjeiras</t>
  </si>
  <si>
    <t>Nossa Senhora do Socorro</t>
  </si>
  <si>
    <t>Maroim</t>
  </si>
  <si>
    <t>Rosário do Catete</t>
  </si>
  <si>
    <t>Santo Amaro das Brotas</t>
  </si>
  <si>
    <t>Neópolis</t>
  </si>
  <si>
    <t>Brejo Grande</t>
  </si>
  <si>
    <t>Ilha das Flores</t>
  </si>
  <si>
    <t>Nossa Senhora das Dores</t>
  </si>
  <si>
    <t>Cumbé</t>
  </si>
  <si>
    <t>Siriri</t>
  </si>
  <si>
    <t>Propriá</t>
  </si>
  <si>
    <t>Amparo de São Francisco</t>
  </si>
  <si>
    <t>Credro de São João</t>
  </si>
  <si>
    <t>São Cristovão</t>
  </si>
  <si>
    <t>Simão Dias</t>
  </si>
  <si>
    <t>Poço Verde</t>
  </si>
  <si>
    <t>Tobias Barreto</t>
  </si>
  <si>
    <t>Riachuêlo</t>
  </si>
  <si>
    <t>Divina Pastora</t>
  </si>
  <si>
    <t>Malhados</t>
  </si>
  <si>
    <t>Santa Rosa de Lima</t>
  </si>
  <si>
    <t>Itaporanga D'Ajuda</t>
  </si>
  <si>
    <t>Salgado</t>
  </si>
  <si>
    <t>Buquim</t>
  </si>
  <si>
    <t>Pedrinhas</t>
  </si>
  <si>
    <t>Aquidabã</t>
  </si>
  <si>
    <t>Canhoba</t>
  </si>
  <si>
    <t>Gracko Cardoso</t>
  </si>
  <si>
    <t>Riachão do Dantas</t>
  </si>
  <si>
    <t>Santa Luzia do Itanhi</t>
  </si>
  <si>
    <t>Indiaroba</t>
  </si>
  <si>
    <t>Umbauba</t>
  </si>
  <si>
    <t>Pôrto da Fôlha</t>
  </si>
  <si>
    <t>Canindé de São Francisco</t>
  </si>
  <si>
    <t>204*</t>
  </si>
  <si>
    <t>N/A</t>
  </si>
  <si>
    <t>Poço Redondo</t>
  </si>
  <si>
    <t>Campo de Brito</t>
  </si>
  <si>
    <t>Macambira</t>
  </si>
  <si>
    <t>Nossa Senhora da Glória</t>
  </si>
  <si>
    <t>Monte Alegre de Sergipe</t>
  </si>
  <si>
    <t>Salvador (1ª ZE)*</t>
  </si>
  <si>
    <t>Salvador (2ª ZE)*</t>
  </si>
  <si>
    <t>Salvador (3ª ZE)*</t>
  </si>
  <si>
    <t>Salvador (4ª ZE)*</t>
  </si>
  <si>
    <t>Salvador (5ª ZE)*</t>
  </si>
  <si>
    <t>Salvador (6ª ZE)*</t>
  </si>
  <si>
    <t>Salvador (7ª ZE)*</t>
  </si>
  <si>
    <t>Salvador (8ª ZE)*</t>
  </si>
  <si>
    <t>Salvador (9ª ZE)*</t>
  </si>
  <si>
    <t>Salvador (10ª ZE)*</t>
  </si>
  <si>
    <t>Salvador (Total)</t>
  </si>
  <si>
    <t>Candeias</t>
  </si>
  <si>
    <t>Itaparica</t>
  </si>
  <si>
    <t>Camaçari</t>
  </si>
  <si>
    <t>São Sebastião de Passé</t>
  </si>
  <si>
    <t>Mata de São João</t>
  </si>
  <si>
    <t>Catu</t>
  </si>
  <si>
    <t>Pojuca</t>
  </si>
  <si>
    <t>Maragogipe</t>
  </si>
  <si>
    <t>São Felipe</t>
  </si>
  <si>
    <t>Santo Amaro</t>
  </si>
  <si>
    <t>Coração de Maria</t>
  </si>
  <si>
    <t>São Francisco do Conde</t>
  </si>
  <si>
    <t>Cachoeira</t>
  </si>
  <si>
    <t>Conceição da Feira</t>
  </si>
  <si>
    <t>São Félix</t>
  </si>
  <si>
    <t>Cruz das Almas</t>
  </si>
  <si>
    <t>Muritiba</t>
  </si>
  <si>
    <t>Sapeaçu</t>
  </si>
  <si>
    <t>Nazaré</t>
  </si>
  <si>
    <t>Aratuípe</t>
  </si>
  <si>
    <t>Jaguaripe</t>
  </si>
  <si>
    <t>Feira de Santana</t>
  </si>
  <si>
    <t>Santo Estêvão</t>
  </si>
  <si>
    <t>Tanquinho</t>
  </si>
  <si>
    <t>Serrinha</t>
  </si>
  <si>
    <t>Araci</t>
  </si>
  <si>
    <t>Conceição do Coité</t>
  </si>
  <si>
    <t>Santo Luz</t>
  </si>
  <si>
    <t>Valente</t>
  </si>
  <si>
    <t>Esplanada</t>
  </si>
  <si>
    <t>Acajutiba</t>
  </si>
  <si>
    <t>Conde</t>
  </si>
  <si>
    <t>Entre Rios</t>
  </si>
  <si>
    <t>Canavieira</t>
  </si>
  <si>
    <t>Potiragua</t>
  </si>
  <si>
    <t>Jequié</t>
  </si>
  <si>
    <t>Ipiau</t>
  </si>
  <si>
    <t>Ubatã</t>
  </si>
  <si>
    <t>25ª, 26ª</t>
  </si>
  <si>
    <t>Ilhéus</t>
  </si>
  <si>
    <t>e 27ª**</t>
  </si>
  <si>
    <t>26ª**</t>
  </si>
  <si>
    <t>Uruçuca</t>
  </si>
  <si>
    <t>27ª**</t>
  </si>
  <si>
    <t>Itajuípe</t>
  </si>
  <si>
    <t>Coaraci</t>
  </si>
  <si>
    <t>28ª, 29ª</t>
  </si>
  <si>
    <t>Itabuna</t>
  </si>
  <si>
    <t>e 30ª**</t>
  </si>
  <si>
    <t>29ª**</t>
  </si>
  <si>
    <t>Ibiçaraí</t>
  </si>
  <si>
    <t>Itororó</t>
  </si>
  <si>
    <t>Valença</t>
  </si>
  <si>
    <t>Cairu</t>
  </si>
  <si>
    <t>Ituberá</t>
  </si>
  <si>
    <t>Guandu</t>
  </si>
  <si>
    <t>Itacaré</t>
  </si>
  <si>
    <t>Maraú</t>
  </si>
  <si>
    <t>Belmonte</t>
  </si>
  <si>
    <t>Itapebi</t>
  </si>
  <si>
    <t>Pôrto Seguro</t>
  </si>
  <si>
    <t>Santa Cruz Cabrália</t>
  </si>
  <si>
    <t>Caravelas</t>
  </si>
  <si>
    <t>Mucuri</t>
  </si>
  <si>
    <t>Amargosa</t>
  </si>
  <si>
    <t>Brejões</t>
  </si>
  <si>
    <t>Maracás</t>
  </si>
  <si>
    <t>Ubaíra</t>
  </si>
  <si>
    <t>Jequiriçá</t>
  </si>
  <si>
    <t>Andaraí</t>
  </si>
  <si>
    <t>Mucugê</t>
  </si>
  <si>
    <t>Vitória da Conquista</t>
  </si>
  <si>
    <t>Lençóis</t>
  </si>
  <si>
    <t>Ituberaba</t>
  </si>
  <si>
    <t>Ibiquera</t>
  </si>
  <si>
    <t>Castro Alves</t>
  </si>
  <si>
    <t>Conceição do Almeida</t>
  </si>
  <si>
    <t>Inhambupe</t>
  </si>
  <si>
    <t>Sátiro Dias</t>
  </si>
  <si>
    <t>Aporá</t>
  </si>
  <si>
    <t>Senhor do Bonfim</t>
  </si>
  <si>
    <t>Jaguarari</t>
  </si>
  <si>
    <t>Jacobina</t>
  </si>
  <si>
    <t>Juazeiro</t>
  </si>
  <si>
    <t>Barra</t>
  </si>
  <si>
    <t>Rio Real</t>
  </si>
  <si>
    <t>Jandaíra</t>
  </si>
  <si>
    <t>Monte Santo</t>
  </si>
  <si>
    <t>Cansanção</t>
  </si>
  <si>
    <t>Jeremoabo</t>
  </si>
  <si>
    <t>Caripiranga</t>
  </si>
  <si>
    <t>Campo Formoso</t>
  </si>
  <si>
    <t>Pindobaçú</t>
  </si>
  <si>
    <t>Mundo Nôvo</t>
  </si>
  <si>
    <t>Piritiba</t>
  </si>
  <si>
    <t>Morro do Chapéu</t>
  </si>
  <si>
    <t>Utinga</t>
  </si>
  <si>
    <t>Santo Antônio de Jesus</t>
  </si>
  <si>
    <t>São Miguel das Matas</t>
  </si>
  <si>
    <t>Laje</t>
  </si>
  <si>
    <t>Itambé</t>
  </si>
  <si>
    <t>Itapetinga</t>
  </si>
  <si>
    <t>Ituaçu</t>
  </si>
  <si>
    <t>Barra da Estiva</t>
  </si>
  <si>
    <t>Poções</t>
  </si>
  <si>
    <t>Iguaí</t>
  </si>
  <si>
    <t>Ibicuí</t>
  </si>
  <si>
    <t>Condeúba</t>
  </si>
  <si>
    <t>Tremedal</t>
  </si>
  <si>
    <t>Rio de Contas</t>
  </si>
  <si>
    <t>Ipirá</t>
  </si>
  <si>
    <t>Baixa Grande</t>
  </si>
  <si>
    <t>Serra Preta</t>
  </si>
  <si>
    <t>Caetité</t>
  </si>
  <si>
    <t>Igaporã</t>
  </si>
  <si>
    <t>Guanambé</t>
  </si>
  <si>
    <t>Palma de Monte Alto</t>
  </si>
  <si>
    <t>Macaúbas</t>
  </si>
  <si>
    <t>Ibitiára</t>
  </si>
  <si>
    <t>Casa Nova</t>
  </si>
  <si>
    <t>Remanso</t>
  </si>
  <si>
    <t>Pilão Arcado</t>
  </si>
  <si>
    <t>Xique-Xique</t>
  </si>
  <si>
    <t>Gentio do Ouro</t>
  </si>
  <si>
    <t>Central</t>
  </si>
  <si>
    <t>Paratinga</t>
  </si>
  <si>
    <t>Ibotirama</t>
  </si>
  <si>
    <t>Barreiras</t>
  </si>
  <si>
    <t>Angical</t>
  </si>
  <si>
    <t>Bom Jesus da Lapa</t>
  </si>
  <si>
    <t>Carinhanha</t>
  </si>
  <si>
    <t>Côcos</t>
  </si>
  <si>
    <t>Santa Maria da Vitória</t>
  </si>
  <si>
    <t>Coribe</t>
  </si>
  <si>
    <t>Correntina</t>
  </si>
  <si>
    <t>Ubaitaba</t>
  </si>
  <si>
    <t>Irará</t>
  </si>
  <si>
    <t>Santa Inês</t>
  </si>
  <si>
    <t>Jaguaquara</t>
  </si>
  <si>
    <t>Itaquara</t>
  </si>
  <si>
    <t>Itiruçu</t>
  </si>
  <si>
    <t>Camamu</t>
  </si>
  <si>
    <t>Cipó</t>
  </si>
  <si>
    <t>Nova Soure</t>
  </si>
  <si>
    <t>Ribeira do Amparo</t>
  </si>
  <si>
    <t>Tucano</t>
  </si>
  <si>
    <t>Itapicuru</t>
  </si>
  <si>
    <t>Olindina</t>
  </si>
  <si>
    <t>Cícero Dantas</t>
  </si>
  <si>
    <t>Antas</t>
  </si>
  <si>
    <t>Uauá</t>
  </si>
  <si>
    <t>Glória</t>
  </si>
  <si>
    <t>Paulo Afonso</t>
  </si>
  <si>
    <t>Curaçá</t>
  </si>
  <si>
    <t>Chorrochó</t>
  </si>
  <si>
    <t>Mairi</t>
  </si>
  <si>
    <t>Rui Barbosa</t>
  </si>
  <si>
    <t>Macajuba</t>
  </si>
  <si>
    <t>Seabra</t>
  </si>
  <si>
    <t>Palmeiras</t>
  </si>
  <si>
    <t>Brumado</t>
  </si>
  <si>
    <t>Maracâni</t>
  </si>
  <si>
    <t>Encruzilhada</t>
  </si>
  <si>
    <t>Jacaraci</t>
  </si>
  <si>
    <t>Caculé</t>
  </si>
  <si>
    <t>Brotas de Macaúbas</t>
  </si>
  <si>
    <t>Barra do Mendes</t>
  </si>
  <si>
    <t>Irupiara</t>
  </si>
  <si>
    <t>Irecê</t>
  </si>
  <si>
    <t>Sento Sé</t>
  </si>
  <si>
    <t>Santa Rita de Cássia</t>
  </si>
  <si>
    <t>Cotegipe</t>
  </si>
  <si>
    <t>Santana</t>
  </si>
  <si>
    <t>Boa Nova</t>
  </si>
  <si>
    <t>Itagibá</t>
  </si>
  <si>
    <t>Livramento do Brumado</t>
  </si>
  <si>
    <t>Euclides da Cunha</t>
  </si>
  <si>
    <t>Miguel Calmon</t>
  </si>
  <si>
    <t>Nilo Peçanha</t>
  </si>
  <si>
    <t>Piatá</t>
  </si>
  <si>
    <t>Queimadas</t>
  </si>
  <si>
    <t>Itiúba</t>
  </si>
  <si>
    <t>Santa Teresinha</t>
  </si>
  <si>
    <t>Iaçu</t>
  </si>
  <si>
    <t>São Gonçalo dos Campos</t>
  </si>
  <si>
    <t>Mutuípe</t>
  </si>
  <si>
    <t>Ribeira do Pombal</t>
  </si>
  <si>
    <t>112ª</t>
  </si>
  <si>
    <t>Prado</t>
  </si>
  <si>
    <t>Alcobaça</t>
  </si>
  <si>
    <t>Itanhaém</t>
  </si>
  <si>
    <t>Medeiros Neto</t>
  </si>
  <si>
    <t>113ª</t>
  </si>
  <si>
    <t>Riacho de Sant'Ana</t>
  </si>
  <si>
    <t>114ª</t>
  </si>
  <si>
    <t>Riachão de Jacuípe</t>
  </si>
  <si>
    <t>115ª</t>
  </si>
  <si>
    <t>Saúde</t>
  </si>
  <si>
    <t>116ª</t>
  </si>
  <si>
    <t>Una</t>
  </si>
  <si>
    <t>117ª</t>
  </si>
  <si>
    <t>Urandi</t>
  </si>
  <si>
    <t>118ª</t>
  </si>
  <si>
    <t>Oliveira dos Brejinhos</t>
  </si>
  <si>
    <t>Sem eleição</t>
  </si>
  <si>
    <t>Cuiabá</t>
  </si>
  <si>
    <t>Jaciára</t>
  </si>
  <si>
    <t>Acorizal</t>
  </si>
  <si>
    <t>Chapada dos Guimarães</t>
  </si>
  <si>
    <t>Nossa Senhora do Livramento</t>
  </si>
  <si>
    <t>Várzea Grande</t>
  </si>
  <si>
    <t>Aripuanã*</t>
  </si>
  <si>
    <t>Santo Antônio do Leverger</t>
  </si>
  <si>
    <t>Barão de Melgaço</t>
  </si>
  <si>
    <t>Rosário Oeste</t>
  </si>
  <si>
    <t>Barra do Bugres</t>
  </si>
  <si>
    <t>Poconé</t>
  </si>
  <si>
    <t>Poxorêu</t>
  </si>
  <si>
    <t>Mutum</t>
  </si>
  <si>
    <t>Cáceres</t>
  </si>
  <si>
    <t>Mato Grosso</t>
  </si>
  <si>
    <t>Corumbá</t>
  </si>
  <si>
    <t>Ladário</t>
  </si>
  <si>
    <t>Camapuã</t>
  </si>
  <si>
    <t>Corguinho</t>
  </si>
  <si>
    <t>Jaraguary</t>
  </si>
  <si>
    <t>Ribas do Rio Pardo</t>
  </si>
  <si>
    <t>Rochedo</t>
  </si>
  <si>
    <t>Sidrolândia</t>
  </si>
  <si>
    <t>Terenos</t>
  </si>
  <si>
    <t>Três Lagôas</t>
  </si>
  <si>
    <t>Água Clara</t>
  </si>
  <si>
    <t>Aquidauana</t>
  </si>
  <si>
    <t>Nioáque</t>
  </si>
  <si>
    <t>Rio Brilhante</t>
  </si>
  <si>
    <t>Bataguassú</t>
  </si>
  <si>
    <t>Nova Andradina</t>
  </si>
  <si>
    <t>Coxim</t>
  </si>
  <si>
    <t>Rio Verde de Mato Grosso</t>
  </si>
  <si>
    <t>Paranaíba</t>
  </si>
  <si>
    <t>Cassilândia</t>
  </si>
  <si>
    <t>Inocência</t>
  </si>
  <si>
    <t>Guiratinga</t>
  </si>
  <si>
    <t>Tesouro</t>
  </si>
  <si>
    <t>Miranda</t>
  </si>
  <si>
    <t>Maracajú</t>
  </si>
  <si>
    <t>Bela Vista</t>
  </si>
  <si>
    <t>Guia Lopes de Laguna</t>
  </si>
  <si>
    <t>Dourados</t>
  </si>
  <si>
    <t>Carapó</t>
  </si>
  <si>
    <t>Itaporã</t>
  </si>
  <si>
    <t>Ponta-Porã</t>
  </si>
  <si>
    <t>Amambaí</t>
  </si>
  <si>
    <t>Porto Murtinho</t>
  </si>
  <si>
    <t>Diamantino</t>
  </si>
  <si>
    <t>Alto Paraguai</t>
  </si>
  <si>
    <t>Arenápolis</t>
  </si>
  <si>
    <t>Nortelândia</t>
  </si>
  <si>
    <t>Alto Araguaia</t>
  </si>
  <si>
    <t>Alto Garças</t>
  </si>
  <si>
    <t>Itiquira</t>
  </si>
  <si>
    <t>Ponte Branca</t>
  </si>
  <si>
    <t>Barra do Garças</t>
  </si>
  <si>
    <t>Toxixorêu</t>
  </si>
  <si>
    <t>Aparecida do Taboado</t>
  </si>
  <si>
    <t>Rondonópolis</t>
  </si>
  <si>
    <t>Goiânia (1ª ZE)</t>
  </si>
  <si>
    <t>Goiânia (2ª ZE)</t>
  </si>
  <si>
    <t>Goiânia (Total)</t>
  </si>
  <si>
    <t>Goianira</t>
  </si>
  <si>
    <t>Anapólis</t>
  </si>
  <si>
    <t>Brasabrantes</t>
  </si>
  <si>
    <t>Damolândia</t>
  </si>
  <si>
    <t>Goianópolis</t>
  </si>
  <si>
    <t>Nova Veneza</t>
  </si>
  <si>
    <t>Arrais</t>
  </si>
  <si>
    <t>Campos Belos</t>
  </si>
  <si>
    <t>Monte Alegre de Goiás</t>
  </si>
  <si>
    <t>Buriti Alegre</t>
  </si>
  <si>
    <t>Água Limpa</t>
  </si>
  <si>
    <t>Caiapônia</t>
  </si>
  <si>
    <t>Caldas Novas</t>
  </si>
  <si>
    <t>Marzagão</t>
  </si>
  <si>
    <t>Catalão</t>
  </si>
  <si>
    <t>Ouvidor</t>
  </si>
  <si>
    <t>Paranaíba de Goiás</t>
  </si>
  <si>
    <t>Corumbá de Goiás</t>
  </si>
  <si>
    <t>Abadiânia</t>
  </si>
  <si>
    <t>Olhos D'Água</t>
  </si>
  <si>
    <t>Corumbaíba</t>
  </si>
  <si>
    <t>Formosa</t>
  </si>
  <si>
    <t>Cavalcante</t>
  </si>
  <si>
    <t>Nova Roma</t>
  </si>
  <si>
    <t>São João D'Aliança</t>
  </si>
  <si>
    <t>Veadeiros</t>
  </si>
  <si>
    <t>Goiás</t>
  </si>
  <si>
    <t>Aruanã</t>
  </si>
  <si>
    <t>Itapirapiã</t>
  </si>
  <si>
    <t>Jucara</t>
  </si>
  <si>
    <t>Mossamedes</t>
  </si>
  <si>
    <t>Caturaí</t>
  </si>
  <si>
    <t>Ipameri</t>
  </si>
  <si>
    <t>Campo Alegre de Goiás</t>
  </si>
  <si>
    <t>Itaberaí</t>
  </si>
  <si>
    <t>Itambiara</t>
  </si>
  <si>
    <t>Panamá</t>
  </si>
  <si>
    <t>Jaraguá</t>
  </si>
  <si>
    <t>Itaguaru</t>
  </si>
  <si>
    <t>Rianópolis</t>
  </si>
  <si>
    <t>São Francisco de Goiás</t>
  </si>
  <si>
    <t>Jataí</t>
  </si>
  <si>
    <t>Aporé</t>
  </si>
  <si>
    <t>Caçu</t>
  </si>
  <si>
    <t>Itajá</t>
  </si>
  <si>
    <t>Itarumá</t>
  </si>
  <si>
    <t>Serranópolis</t>
  </si>
  <si>
    <t>Luziânia</t>
  </si>
  <si>
    <t>Palmeiras de Goiás</t>
  </si>
  <si>
    <t>Jandóia</t>
  </si>
  <si>
    <t>Mineiros</t>
  </si>
  <si>
    <t>Santa Rita do Araguaia</t>
  </si>
  <si>
    <t>Orizona</t>
  </si>
  <si>
    <t>Pedro Afonso</t>
  </si>
  <si>
    <t>Itacajá</t>
  </si>
  <si>
    <t>Lizarda</t>
  </si>
  <si>
    <t>Piacá</t>
  </si>
  <si>
    <t>Tupirama</t>
  </si>
  <si>
    <t>Tupiratins</t>
  </si>
  <si>
    <t>Piracanjuba</t>
  </si>
  <si>
    <t>Pirenópolis</t>
  </si>
  <si>
    <t>Barro Alto</t>
  </si>
  <si>
    <t>Pires do Rio</t>
  </si>
  <si>
    <t>Cristianópolis</t>
  </si>
  <si>
    <t>Palmelo</t>
  </si>
  <si>
    <t>Pôrto Nacional</t>
  </si>
  <si>
    <t>Brejinho de Nazaré</t>
  </si>
  <si>
    <t>Duerê</t>
  </si>
  <si>
    <t>Gurupí</t>
  </si>
  <si>
    <t>Novo Acôrdo</t>
  </si>
  <si>
    <t>Pium</t>
  </si>
  <si>
    <t>Ponte Alta do Norte</t>
  </si>
  <si>
    <t>Posse</t>
  </si>
  <si>
    <t>Iaciára</t>
  </si>
  <si>
    <t>Mambaí</t>
  </si>
  <si>
    <t>Rio Verde</t>
  </si>
  <si>
    <t>Cachoeira Alta</t>
  </si>
  <si>
    <t>Silvânia</t>
  </si>
  <si>
    <t>Bela Vista de Goiás</t>
  </si>
  <si>
    <t>Tocantinópolis</t>
  </si>
  <si>
    <t>Itaguatins</t>
  </si>
  <si>
    <t>Anicuns</t>
  </si>
  <si>
    <t>Córrego do Ouro</t>
  </si>
  <si>
    <t>Turvânia</t>
  </si>
  <si>
    <t>Baliza</t>
  </si>
  <si>
    <t>Aragarças</t>
  </si>
  <si>
    <t>Bom Jardim de Goiás</t>
  </si>
  <si>
    <t>Cristalina</t>
  </si>
  <si>
    <t>Goindira</t>
  </si>
  <si>
    <t>Nova Aurora</t>
  </si>
  <si>
    <t>Goiatuba</t>
  </si>
  <si>
    <t>Joviânia</t>
  </si>
  <si>
    <t>Itapací</t>
  </si>
  <si>
    <t>Crixás</t>
  </si>
  <si>
    <t>Hidrolina</t>
  </si>
  <si>
    <t>Nova América</t>
  </si>
  <si>
    <t>Pilar de Goiás</t>
  </si>
  <si>
    <t>Natividade</t>
  </si>
  <si>
    <t>Niquelândia</t>
  </si>
  <si>
    <t>Paranã</t>
  </si>
  <si>
    <t>Paraúna</t>
  </si>
  <si>
    <t>São Gabriel de Goiás</t>
  </si>
  <si>
    <t>Pontalina</t>
  </si>
  <si>
    <t>Aloândia</t>
  </si>
  <si>
    <t>Cromínia</t>
  </si>
  <si>
    <t>Mairipotaba</t>
  </si>
  <si>
    <t>Quirinópolis</t>
  </si>
  <si>
    <t>Mateira</t>
  </si>
  <si>
    <t>São Simão</t>
  </si>
  <si>
    <t>São Domingos</t>
  </si>
  <si>
    <t>Galheiros</t>
  </si>
  <si>
    <t>Taguatinga</t>
  </si>
  <si>
    <t>Ponte Alta do Bom Jesus</t>
  </si>
  <si>
    <t>Trindade</t>
  </si>
  <si>
    <t>Uruaçú</t>
  </si>
  <si>
    <t>Amaro Leite</t>
  </si>
  <si>
    <t>Santa Cruz de Goiás</t>
  </si>
  <si>
    <t>Cumarí</t>
  </si>
  <si>
    <t>Anhanguera</t>
  </si>
  <si>
    <t>Iporá</t>
  </si>
  <si>
    <t>Amarinópolis</t>
  </si>
  <si>
    <t>Diorama</t>
  </si>
  <si>
    <t>Israelândia</t>
  </si>
  <si>
    <t>Jaupaci</t>
  </si>
  <si>
    <t>Nerópolis</t>
  </si>
  <si>
    <t>Porangatú</t>
  </si>
  <si>
    <t>Estrêla do Norte</t>
  </si>
  <si>
    <t>Mutunópolis</t>
  </si>
  <si>
    <t>São Miguel do Araguaia</t>
  </si>
  <si>
    <t>Guapó</t>
  </si>
  <si>
    <t>Varjão</t>
  </si>
  <si>
    <t>Itauçú</t>
  </si>
  <si>
    <t>Araçu</t>
  </si>
  <si>
    <t>Uruana</t>
  </si>
  <si>
    <t>Aurilândia</t>
  </si>
  <si>
    <t>Cachoeira de Goiás</t>
  </si>
  <si>
    <t>Ivolândia</t>
  </si>
  <si>
    <t>Maiporá</t>
  </si>
  <si>
    <t>Urutaí</t>
  </si>
  <si>
    <t>Vianópolis</t>
  </si>
  <si>
    <t>Hidrolândia</t>
  </si>
  <si>
    <t>Aragoiania</t>
  </si>
  <si>
    <t>Firminópolis</t>
  </si>
  <si>
    <t>Nazário</t>
  </si>
  <si>
    <t>Petrolina de Goiás</t>
  </si>
  <si>
    <t>Brasilândia</t>
  </si>
  <si>
    <t>Santa Helena de Goiás</t>
  </si>
  <si>
    <t>Leopoldo de Bulhões</t>
  </si>
  <si>
    <t>Edéia</t>
  </si>
  <si>
    <t>Dianópolis</t>
  </si>
  <si>
    <t>Almas</t>
  </si>
  <si>
    <t>563*</t>
  </si>
  <si>
    <t>Araguacema</t>
  </si>
  <si>
    <t>Filadélfia</t>
  </si>
  <si>
    <t>Araguaina</t>
  </si>
  <si>
    <t>Babaçulândia</t>
  </si>
  <si>
    <t>Ceres</t>
  </si>
  <si>
    <t>Carmo do Rio Verde</t>
  </si>
  <si>
    <t>Rialma</t>
  </si>
  <si>
    <t>Peixe</t>
  </si>
  <si>
    <t>Araguaçú</t>
  </si>
  <si>
    <t>Sítio D'Abadia</t>
  </si>
  <si>
    <t>Damianópolis</t>
  </si>
  <si>
    <t>Goianésia</t>
  </si>
  <si>
    <t>Araguatins</t>
  </si>
  <si>
    <t>Xambioá</t>
  </si>
  <si>
    <t>Rupiataba</t>
  </si>
  <si>
    <t>Itapuranga</t>
  </si>
  <si>
    <t>Cristalândia</t>
  </si>
  <si>
    <t>Fazenda Nova</t>
  </si>
  <si>
    <t>Novo Brasil</t>
  </si>
  <si>
    <t>São Luiz de Montes Belos</t>
  </si>
  <si>
    <t>Miracema do Norte</t>
  </si>
  <si>
    <t>Tocantínia</t>
  </si>
  <si>
    <t>1ª e 2ª</t>
  </si>
  <si>
    <t>Pôrto Alegre</t>
  </si>
  <si>
    <t>Guarama</t>
  </si>
  <si>
    <t>Aratiba</t>
  </si>
  <si>
    <t>Espumoso</t>
  </si>
  <si>
    <t>Alegrete</t>
  </si>
  <si>
    <t>Antônio Prado</t>
  </si>
  <si>
    <t>Bagé</t>
  </si>
  <si>
    <t>Lavras do Sul</t>
  </si>
  <si>
    <t>Bento Gonçalves</t>
  </si>
  <si>
    <t>Garibaldi</t>
  </si>
  <si>
    <t>Carlos Barbosa</t>
  </si>
  <si>
    <t>Caçapava do Sul</t>
  </si>
  <si>
    <t>Cachoeira do Sul</t>
  </si>
  <si>
    <t>Restinga Sêca</t>
  </si>
  <si>
    <t>Agudo</t>
  </si>
  <si>
    <t>São Sebastião do Caí</t>
  </si>
  <si>
    <t>Félix</t>
  </si>
  <si>
    <t>Nova Petrópolis</t>
  </si>
  <si>
    <t>Camaquã</t>
  </si>
  <si>
    <t>Candelária</t>
  </si>
  <si>
    <t>Canguçu</t>
  </si>
  <si>
    <t>Carazinho</t>
  </si>
  <si>
    <t>Não-me-toque</t>
  </si>
  <si>
    <t>Tapera</t>
  </si>
  <si>
    <t>Caxias do Sul</t>
  </si>
  <si>
    <t>Cruz Alta</t>
  </si>
  <si>
    <t>Panambi</t>
  </si>
  <si>
    <t>Ibirubá</t>
  </si>
  <si>
    <t>Santa Bárbara do Sul</t>
  </si>
  <si>
    <t>Dom Pedrito</t>
  </si>
  <si>
    <t>Encruzilhada do Sul</t>
  </si>
  <si>
    <t>Erechim</t>
  </si>
  <si>
    <t>São Valentim</t>
  </si>
  <si>
    <t>Erval Grande</t>
  </si>
  <si>
    <t>Estrêla</t>
  </si>
  <si>
    <t>Bom Retiro do Sul</t>
  </si>
  <si>
    <t>Guaporé</t>
  </si>
  <si>
    <t>Casca</t>
  </si>
  <si>
    <t>Muçum</t>
  </si>
  <si>
    <t>Serafim Corrêa</t>
  </si>
  <si>
    <t>Ipuí</t>
  </si>
  <si>
    <t>Santo Augusto</t>
  </si>
  <si>
    <t>Itaqui</t>
  </si>
  <si>
    <t>Jaguarão</t>
  </si>
  <si>
    <t>Jaguarí</t>
  </si>
  <si>
    <t>Júlio de Castilhos</t>
  </si>
  <si>
    <t>Faxinal do Soturno</t>
  </si>
  <si>
    <t>Nova Palma</t>
  </si>
  <si>
    <t>Lagôa Vermelha</t>
  </si>
  <si>
    <t>Samandúva</t>
  </si>
  <si>
    <t>São José do Ouro</t>
  </si>
  <si>
    <t>Lajeado</t>
  </si>
  <si>
    <t>Arroio do Meio</t>
  </si>
  <si>
    <t>Sant'Ana do Livramento</t>
  </si>
  <si>
    <t>Montenegro</t>
  </si>
  <si>
    <t>Palmeira das Missões</t>
  </si>
  <si>
    <t>Chapada</t>
  </si>
  <si>
    <t>Seberí</t>
  </si>
  <si>
    <t>Passo Fundo</t>
  </si>
  <si>
    <t>34ª e 60ª</t>
  </si>
  <si>
    <t>Pelotas</t>
  </si>
  <si>
    <t>Pedro Osório</t>
  </si>
  <si>
    <t>Pinheiro Machado</t>
  </si>
  <si>
    <t>Quaraí</t>
  </si>
  <si>
    <t>Rio Grande</t>
  </si>
  <si>
    <t>São José do Norte</t>
  </si>
  <si>
    <t>Rio Pardo</t>
  </si>
  <si>
    <t>Rosário do Sul</t>
  </si>
  <si>
    <t>Santa Cruz do Sul</t>
  </si>
  <si>
    <t>Venâncio Aires</t>
  </si>
  <si>
    <t>Vera Cruz</t>
  </si>
  <si>
    <t>Santa Maria</t>
  </si>
  <si>
    <t>Santa Rosa</t>
  </si>
  <si>
    <t>Santo Cristo</t>
  </si>
  <si>
    <t>Tuparendí</t>
  </si>
  <si>
    <t>Pôrto Lucena</t>
  </si>
  <si>
    <t>Santa Vitória do Palmar</t>
  </si>
  <si>
    <t>Santiago</t>
  </si>
  <si>
    <t>Santo Ângelo</t>
  </si>
  <si>
    <t>Giruá</t>
  </si>
  <si>
    <t>Guarani das Missões</t>
  </si>
  <si>
    <t>São Borja</t>
  </si>
  <si>
    <t>São Francisco de Paula</t>
  </si>
  <si>
    <t>São Gabriel</t>
  </si>
  <si>
    <t>São Jerônimo</t>
  </si>
  <si>
    <t>General Câmara</t>
  </si>
  <si>
    <t>São Leopoldo</t>
  </si>
  <si>
    <t>Esteio</t>
  </si>
  <si>
    <t>Dois Irmãos</t>
  </si>
  <si>
    <t>Estância Velha</t>
  </si>
  <si>
    <t>São Luiz Gonzaga</t>
  </si>
  <si>
    <t>Cêrro Largo</t>
  </si>
  <si>
    <t>Sobradinho</t>
  </si>
  <si>
    <t>Arvorezinha</t>
  </si>
  <si>
    <t>Taquara</t>
  </si>
  <si>
    <t>Rolante</t>
  </si>
  <si>
    <t>Três Corôas</t>
  </si>
  <si>
    <t>Taquarí</t>
  </si>
  <si>
    <t>Uruguaiana</t>
  </si>
  <si>
    <t>Vacaria</t>
  </si>
  <si>
    <t>Viamão</t>
  </si>
  <si>
    <t>Farroupilha</t>
  </si>
  <si>
    <t>Tapejara</t>
  </si>
  <si>
    <t>Cacequi</t>
  </si>
  <si>
    <t>Canela</t>
  </si>
  <si>
    <t>Gramado</t>
  </si>
  <si>
    <t>Canoas</t>
  </si>
  <si>
    <t>Encantado</t>
  </si>
  <si>
    <t>Roca Sales</t>
  </si>
  <si>
    <t>Flores da Cunha</t>
  </si>
  <si>
    <t>General Vargas</t>
  </si>
  <si>
    <t>Getúlio Vargas</t>
  </si>
  <si>
    <t>Campinas do Sul</t>
  </si>
  <si>
    <t>Gravataí</t>
  </si>
  <si>
    <t>Erval do Sul</t>
  </si>
  <si>
    <t>Iraí</t>
  </si>
  <si>
    <t>Frederico Westphalen</t>
  </si>
  <si>
    <t>Marcelino Ramos</t>
  </si>
  <si>
    <t>Viadutos</t>
  </si>
  <si>
    <t>Machadinho</t>
  </si>
  <si>
    <t>Nova Prata</t>
  </si>
  <si>
    <t>Novo Hamburgo</t>
  </si>
  <si>
    <t>Campo Bom</t>
  </si>
  <si>
    <t>Sapiranha</t>
  </si>
  <si>
    <t>Osório</t>
  </si>
  <si>
    <t>Piratini</t>
  </si>
  <si>
    <t>São Francisco de Assis</t>
  </si>
  <si>
    <t>São Lourenço do Sul</t>
  </si>
  <si>
    <t>São Pedro do Sul</t>
  </si>
  <si>
    <t>São Sapé</t>
  </si>
  <si>
    <t>Sarandí</t>
  </si>
  <si>
    <t>Nonoai</t>
  </si>
  <si>
    <t>Constantina</t>
  </si>
  <si>
    <t>Tapes</t>
  </si>
  <si>
    <t>Tôrres</t>
  </si>
  <si>
    <t>Três Passos</t>
  </si>
  <si>
    <t>Campo Novo</t>
  </si>
  <si>
    <t>Tenente Portela</t>
  </si>
  <si>
    <t>Tupanciretã</t>
  </si>
  <si>
    <t>Veranópolis</t>
  </si>
  <si>
    <t>Três de Maio</t>
  </si>
  <si>
    <t>Horizontina</t>
  </si>
  <si>
    <t>Tucunduva</t>
  </si>
  <si>
    <t>Guaíba</t>
  </si>
  <si>
    <t>Barra do Ribeiro</t>
  </si>
  <si>
    <t>Crissiumal</t>
  </si>
  <si>
    <t>Arrôio Grande</t>
  </si>
  <si>
    <t>Araranguá</t>
  </si>
  <si>
    <t>Sombrio</t>
  </si>
  <si>
    <t>Biguaçu</t>
  </si>
  <si>
    <t>Blumenau</t>
  </si>
  <si>
    <t>Gaspar</t>
  </si>
  <si>
    <t>Pomerode</t>
  </si>
  <si>
    <t>Bom Retiro</t>
  </si>
  <si>
    <t>Urubici</t>
  </si>
  <si>
    <t>Brusque</t>
  </si>
  <si>
    <t>Nova Trento</t>
  </si>
  <si>
    <t>Vidal Ramos</t>
  </si>
  <si>
    <t>Caçador</t>
  </si>
  <si>
    <t>Rio das Antas</t>
  </si>
  <si>
    <t>Campos Novo</t>
  </si>
  <si>
    <t>Canoinhas</t>
  </si>
  <si>
    <t>Concórdia</t>
  </si>
  <si>
    <t>Itá</t>
  </si>
  <si>
    <t>Seára</t>
  </si>
  <si>
    <t>Criciuma</t>
  </si>
  <si>
    <t>Curitibanos</t>
  </si>
  <si>
    <t>Santa Cecília</t>
  </si>
  <si>
    <t>Lebon Régis</t>
  </si>
  <si>
    <t>Florianópolis (1ª ZE)</t>
  </si>
  <si>
    <t>Florianópolis (2ª ZE)</t>
  </si>
  <si>
    <t>Florianópolis (Total)</t>
  </si>
  <si>
    <t>Ibirama</t>
  </si>
  <si>
    <t>Presidente Getúlio</t>
  </si>
  <si>
    <t>Indaial</t>
  </si>
  <si>
    <t>Rodeio</t>
  </si>
  <si>
    <t>Itajaí</t>
  </si>
  <si>
    <t>Camboriú</t>
  </si>
  <si>
    <t>Luiz Alves</t>
  </si>
  <si>
    <t>Penha</t>
  </si>
  <si>
    <t>Ilhota</t>
  </si>
  <si>
    <t>Jaraguá do Sul</t>
  </si>
  <si>
    <t>Guaramirim</t>
  </si>
  <si>
    <t>Corupá</t>
  </si>
  <si>
    <t>Joaçaba</t>
  </si>
  <si>
    <t>Herval do Oeste</t>
  </si>
  <si>
    <t>Água Doce</t>
  </si>
  <si>
    <t>Ponte Serrada</t>
  </si>
  <si>
    <t>Joinville</t>
  </si>
  <si>
    <t>Laguna</t>
  </si>
  <si>
    <t>Imaruí</t>
  </si>
  <si>
    <t>Imbituba</t>
  </si>
  <si>
    <t>Mafra</t>
  </si>
  <si>
    <t>Orleans</t>
  </si>
  <si>
    <t>Lauro Müller</t>
  </si>
  <si>
    <t>Palhoça</t>
  </si>
  <si>
    <t>Santo Amaro da Imperatriz</t>
  </si>
  <si>
    <t>Porto União</t>
  </si>
  <si>
    <t>Rio do Sul</t>
  </si>
  <si>
    <t>Pouso Redondo</t>
  </si>
  <si>
    <t>Rio do Oeste</t>
  </si>
  <si>
    <t>Trombudo Central</t>
  </si>
  <si>
    <t>São Francisco do Sul</t>
  </si>
  <si>
    <t>Araquari</t>
  </si>
  <si>
    <t>São Joaquim</t>
  </si>
  <si>
    <t>São José</t>
  </si>
  <si>
    <t>São Bento do Sul</t>
  </si>
  <si>
    <t>Rio Negrinho</t>
  </si>
  <si>
    <t>Tijucas</t>
  </si>
  <si>
    <t>Porto Belo</t>
  </si>
  <si>
    <t>Timbó</t>
  </si>
  <si>
    <t>Tubarão</t>
  </si>
  <si>
    <t>Jaguaruna</t>
  </si>
  <si>
    <t>Armazém</t>
  </si>
  <si>
    <t>Urussanga</t>
  </si>
  <si>
    <t>Siderópolis</t>
  </si>
  <si>
    <t>Chapecó</t>
  </si>
  <si>
    <t>Campo Erê</t>
  </si>
  <si>
    <t>São Lourenço d'Oeste</t>
  </si>
  <si>
    <t>Videira</t>
  </si>
  <si>
    <t>Capinzal</t>
  </si>
  <si>
    <t>Piratuba</t>
  </si>
  <si>
    <t>Itaiópolis</t>
  </si>
  <si>
    <t>Papanduva</t>
  </si>
  <si>
    <t>Ituporanga</t>
  </si>
  <si>
    <t>Mondai</t>
  </si>
  <si>
    <t>Palmitos</t>
  </si>
  <si>
    <t>São Carlos</t>
  </si>
  <si>
    <t>Cunha Porã</t>
  </si>
  <si>
    <t>Turvo</t>
  </si>
  <si>
    <t>Jacinto Machado</t>
  </si>
  <si>
    <t>Praia Grande</t>
  </si>
  <si>
    <t>Xanxerê</t>
  </si>
  <si>
    <t>Xaxim</t>
  </si>
  <si>
    <t>Fachinal dos Guedes</t>
  </si>
  <si>
    <t>Abelardo Luz</t>
  </si>
  <si>
    <t>Braço do Norte</t>
  </si>
  <si>
    <t>Grão Pará</t>
  </si>
  <si>
    <t>Rio Fortuna</t>
  </si>
  <si>
    <t>São Miguel d'Oeste</t>
  </si>
  <si>
    <t>Descanso</t>
  </si>
  <si>
    <t>Dionísio Cerqueira</t>
  </si>
  <si>
    <t>São José do Cedro</t>
  </si>
  <si>
    <t>Taió</t>
  </si>
  <si>
    <t>Curitiba (1ª ZE)</t>
  </si>
  <si>
    <t>Curitiba (2ª ZE)</t>
  </si>
  <si>
    <t>Curitiba (3ª ZE)</t>
  </si>
  <si>
    <t>Curitiba (4ª ZE)</t>
  </si>
  <si>
    <t>Curitiba (Total)</t>
  </si>
  <si>
    <t>Rio Branco do Sul</t>
  </si>
  <si>
    <t>Piraquara</t>
  </si>
  <si>
    <t>Campina Grande do Sul</t>
  </si>
  <si>
    <t>Paranaguá</t>
  </si>
  <si>
    <t>Guaraqueçaba</t>
  </si>
  <si>
    <t>Antonina</t>
  </si>
  <si>
    <t>Cêrro Azul</t>
  </si>
  <si>
    <t>São José dos Pinhais</t>
  </si>
  <si>
    <t>Tijucas do Sul</t>
  </si>
  <si>
    <t>Guaratuba</t>
  </si>
  <si>
    <t>Campo Largo</t>
  </si>
  <si>
    <t>Lapa</t>
  </si>
  <si>
    <t>Contendas</t>
  </si>
  <si>
    <t>Rio Negro</t>
  </si>
  <si>
    <t>São Mateus do Sul</t>
  </si>
  <si>
    <t>Palmeira</t>
  </si>
  <si>
    <t>Porto Amazonas</t>
  </si>
  <si>
    <t>Ponta Grossa (1ª ZE)</t>
  </si>
  <si>
    <t>Ponta Grossa (2ª ZE)</t>
  </si>
  <si>
    <t>Ponta Grossa (Total)</t>
  </si>
  <si>
    <t>Castro</t>
  </si>
  <si>
    <t>Tibagi</t>
  </si>
  <si>
    <t>Ortigueira</t>
  </si>
  <si>
    <t>Jaguariaíva</t>
  </si>
  <si>
    <t>Arapoti</t>
  </si>
  <si>
    <t>Tomazina</t>
  </si>
  <si>
    <t>Japira</t>
  </si>
  <si>
    <t>Pinhalão</t>
  </si>
  <si>
    <t>Jabotí</t>
  </si>
  <si>
    <t>Wenceslau Braz</t>
  </si>
  <si>
    <t>Siqueira Campos</t>
  </si>
  <si>
    <t>Santo Antônio de Platina</t>
  </si>
  <si>
    <t>Ribeirão Claro</t>
  </si>
  <si>
    <t>Jacarezinho</t>
  </si>
  <si>
    <t>Cambará</t>
  </si>
  <si>
    <t>Cornélio Procópio</t>
  </si>
  <si>
    <t>Léopolis</t>
  </si>
  <si>
    <t>Sertaneja</t>
  </si>
  <si>
    <t>Piraí do Sul</t>
  </si>
  <si>
    <t>Apucarana</t>
  </si>
  <si>
    <t>Borrazópolis</t>
  </si>
  <si>
    <t>Imbituva</t>
  </si>
  <si>
    <t>Prudentópolis</t>
  </si>
  <si>
    <t>Campo Mourão</t>
  </si>
  <si>
    <t>Goio-Erê</t>
  </si>
  <si>
    <t>Palmas</t>
  </si>
  <si>
    <t>Chopinzinho</t>
  </si>
  <si>
    <t>Mangueirinha</t>
  </si>
  <si>
    <t>União da Vitória</t>
  </si>
  <si>
    <t>Cruz Machado</t>
  </si>
  <si>
    <t>Bituruna</t>
  </si>
  <si>
    <t>Irati</t>
  </si>
  <si>
    <t>Assaí</t>
  </si>
  <si>
    <t>Amoreira</t>
  </si>
  <si>
    <t>Ipiranga</t>
  </si>
  <si>
    <t>Mallé</t>
  </si>
  <si>
    <t>Paulo Frontin</t>
  </si>
  <si>
    <t>Pitanga</t>
  </si>
  <si>
    <t>Manoel Ribas</t>
  </si>
  <si>
    <t>Reserva</t>
  </si>
  <si>
    <t>Cândido de Abreu</t>
  </si>
  <si>
    <t>Sertanópolis</t>
  </si>
  <si>
    <t>Primeiro de Maio</t>
  </si>
  <si>
    <t>Londrina (1ª ZE)</t>
  </si>
  <si>
    <t>Londrina (2ª ZE)</t>
  </si>
  <si>
    <t>Londrina (Total)</t>
  </si>
  <si>
    <t>Guarapuava (1ª ZE)</t>
  </si>
  <si>
    <t>Guarapuava (2ª ZE)</t>
  </si>
  <si>
    <t>Guarapuava (Total)</t>
  </si>
  <si>
    <t>Laranjeiras do Sul</t>
  </si>
  <si>
    <t>Guaraniaçú</t>
  </si>
  <si>
    <t>Foz do Iguaçú</t>
  </si>
  <si>
    <t>Clevelândia</t>
  </si>
  <si>
    <t>Bocaiúva do Sul</t>
  </si>
  <si>
    <t>Colombo</t>
  </si>
  <si>
    <t>Almirante Tamandaré</t>
  </si>
  <si>
    <t>Araucária</t>
  </si>
  <si>
    <t>Morretes</t>
  </si>
  <si>
    <t>São João do Triunfo</t>
  </si>
  <si>
    <t>Teixeira Soares</t>
  </si>
  <si>
    <t>Sengês</t>
  </si>
  <si>
    <t>Joaquim Távora</t>
  </si>
  <si>
    <t>Quatiguá</t>
  </si>
  <si>
    <t>Carlópolis</t>
  </si>
  <si>
    <t>Andirá</t>
  </si>
  <si>
    <t>Itambaracá</t>
  </si>
  <si>
    <t>Bandeirantes</t>
  </si>
  <si>
    <t>Santa Mariana</t>
  </si>
  <si>
    <t>Santa Amélia</t>
  </si>
  <si>
    <t>Rolândia</t>
  </si>
  <si>
    <t>Mandaguarí</t>
  </si>
  <si>
    <t>Arapongas</t>
  </si>
  <si>
    <t>Sabaudia</t>
  </si>
  <si>
    <t>Rebouças</t>
  </si>
  <si>
    <t>Rio Azul</t>
  </si>
  <si>
    <t>São Jerônimo da Serra</t>
  </si>
  <si>
    <t>Curiúva</t>
  </si>
  <si>
    <t>Congonhinhas</t>
  </si>
  <si>
    <t>Jaguapitã</t>
  </si>
  <si>
    <t>Centenário do Sul</t>
  </si>
  <si>
    <t>Lupionópolis</t>
  </si>
  <si>
    <t>Santo Inácio</t>
  </si>
  <si>
    <t>Colorado</t>
  </si>
  <si>
    <t>Guaraci</t>
  </si>
  <si>
    <t>Cafeára</t>
  </si>
  <si>
    <t>Itaguajê</t>
  </si>
  <si>
    <t>Porecatú</t>
  </si>
  <si>
    <t>Florestópolis</t>
  </si>
  <si>
    <t>Maringá</t>
  </si>
  <si>
    <t>Mandaguaçú</t>
  </si>
  <si>
    <t>São Jorge</t>
  </si>
  <si>
    <t>Astorga</t>
  </si>
  <si>
    <t>Munhoz de Mello</t>
  </si>
  <si>
    <t>Santa Fé</t>
  </si>
  <si>
    <t>Lobato</t>
  </si>
  <si>
    <t>Iguaraçú</t>
  </si>
  <si>
    <t>Francisco Beltrão</t>
  </si>
  <si>
    <t>Jandáia do Sul</t>
  </si>
  <si>
    <t>Bom Sucesso</t>
  </si>
  <si>
    <t>Nova Esperança</t>
  </si>
  <si>
    <t>Alto Paraná</t>
  </si>
  <si>
    <t>Paranacity</t>
  </si>
  <si>
    <t>São João do Caiuá</t>
  </si>
  <si>
    <t>Floraí</t>
  </si>
  <si>
    <t>Cruzeiro do Sul</t>
  </si>
  <si>
    <t>Paranavaí</t>
  </si>
  <si>
    <t>Tamboára</t>
  </si>
  <si>
    <t>Paraíso do Norte</t>
  </si>
  <si>
    <t>Terra Rica</t>
  </si>
  <si>
    <t>São Carlos do Ivaí</t>
  </si>
  <si>
    <t>Pato Branco</t>
  </si>
  <si>
    <t>Coronel Vivida</t>
  </si>
  <si>
    <t>Peabirú</t>
  </si>
  <si>
    <t>Cruzeiro do Oeste</t>
  </si>
  <si>
    <t>Engenheiro Beltrão</t>
  </si>
  <si>
    <t>Rondon</t>
  </si>
  <si>
    <t>Terra Boa</t>
  </si>
  <si>
    <t>Jussara</t>
  </si>
  <si>
    <t>Cianorte</t>
  </si>
  <si>
    <t>Toledo</t>
  </si>
  <si>
    <t>Guaíra</t>
  </si>
  <si>
    <t>Araruva</t>
  </si>
  <si>
    <t>Faxinal</t>
  </si>
  <si>
    <t>Califórnia</t>
  </si>
  <si>
    <t>Bela Vista do Paraíso</t>
  </si>
  <si>
    <t>Alvorada do Sul</t>
  </si>
  <si>
    <t>Cambé</t>
  </si>
  <si>
    <t>Ibaití</t>
  </si>
  <si>
    <t>Ibiporã</t>
  </si>
  <si>
    <t>Marialva</t>
  </si>
  <si>
    <t>Ribeirão do Pinhal</t>
  </si>
  <si>
    <t>Abatiá</t>
  </si>
  <si>
    <t>Jundiaí do Sul</t>
  </si>
  <si>
    <t>Nova Fátima</t>
  </si>
  <si>
    <t>Barracão</t>
  </si>
  <si>
    <t>Uraí</t>
  </si>
  <si>
    <t>Jataizinho</t>
  </si>
  <si>
    <t>Loanda</t>
  </si>
  <si>
    <t>Querência do Norte</t>
  </si>
  <si>
    <t>Santa Isabel do Ivaí</t>
  </si>
  <si>
    <t>Santa Cruz de Monte Castelo</t>
  </si>
  <si>
    <t>Nova Londrina</t>
  </si>
  <si>
    <t>Vitória</t>
  </si>
  <si>
    <t>Cachoeira do Itapmirim</t>
  </si>
  <si>
    <t>Rio Novo do Sul</t>
  </si>
  <si>
    <t>Castelo</t>
  </si>
  <si>
    <t>Alegre</t>
  </si>
  <si>
    <t>Jeronimo Monteiro</t>
  </si>
  <si>
    <t>Mimoso do Sul</t>
  </si>
  <si>
    <t>Apiacá</t>
  </si>
  <si>
    <t>Colatina</t>
  </si>
  <si>
    <t>Baixo Guandu</t>
  </si>
  <si>
    <t>Afonso Cláudio</t>
  </si>
  <si>
    <t>Santa Leopoldina</t>
  </si>
  <si>
    <t>São José do Calçado</t>
  </si>
  <si>
    <t>Santa Tereza</t>
  </si>
  <si>
    <t>Alfredo Chaves</t>
  </si>
  <si>
    <t>Iconha</t>
  </si>
  <si>
    <t>Guaçuí</t>
  </si>
  <si>
    <t>Ibiraçu</t>
  </si>
  <si>
    <t>Fundão</t>
  </si>
  <si>
    <t>Domingos Martins</t>
  </si>
  <si>
    <t>Itaguaçu</t>
  </si>
  <si>
    <t>Anchieta</t>
  </si>
  <si>
    <t>Iúna</t>
  </si>
  <si>
    <t>Muniz Freire</t>
  </si>
  <si>
    <t>Aracruz</t>
  </si>
  <si>
    <t>São Mateus</t>
  </si>
  <si>
    <t>Itapemirim</t>
  </si>
  <si>
    <t>Barra de São Francisco</t>
  </si>
  <si>
    <t>Guarapari</t>
  </si>
  <si>
    <t>Linhares</t>
  </si>
  <si>
    <t>(Vitória) Cariacica</t>
  </si>
  <si>
    <t>Serra</t>
  </si>
  <si>
    <t>Conceição da Barra</t>
  </si>
  <si>
    <t>Muqui</t>
  </si>
  <si>
    <t>Mantenópolis</t>
  </si>
  <si>
    <t>Nova Venécia</t>
  </si>
  <si>
    <t>Mucurici</t>
  </si>
  <si>
    <t>Espírito Santo</t>
  </si>
  <si>
    <t>Ecoporanga</t>
  </si>
  <si>
    <t>Angra dos Reis</t>
  </si>
  <si>
    <t>Araruama</t>
  </si>
  <si>
    <t>Barra do Piraí</t>
  </si>
  <si>
    <t>Barra Mansa</t>
  </si>
  <si>
    <t>Bom Jesus do Itabapoana</t>
  </si>
  <si>
    <t>Cabo Frio</t>
  </si>
  <si>
    <t>Cambuci</t>
  </si>
  <si>
    <t>8ª, 9ª</t>
  </si>
  <si>
    <t>Campos dos Goytacazes</t>
  </si>
  <si>
    <t>e 10ª</t>
  </si>
  <si>
    <t>Cantagalo</t>
  </si>
  <si>
    <t>Carmo</t>
  </si>
  <si>
    <t>Duque de Caxias</t>
  </si>
  <si>
    <t>Itaboraí</t>
  </si>
  <si>
    <t>Itaguaí</t>
  </si>
  <si>
    <t>Paracambi</t>
  </si>
  <si>
    <t>Itaocara</t>
  </si>
  <si>
    <t>Itaperuna</t>
  </si>
  <si>
    <t>Rio Claro</t>
  </si>
  <si>
    <t>Macaé</t>
  </si>
  <si>
    <t>Magé</t>
  </si>
  <si>
    <t>Marquez de Valença</t>
  </si>
  <si>
    <t>Miracema</t>
  </si>
  <si>
    <t>23ª, 24ª</t>
  </si>
  <si>
    <t>Niterói</t>
  </si>
  <si>
    <t>e 25ª</t>
  </si>
  <si>
    <t>Nova Friburgo</t>
  </si>
  <si>
    <t>Nova Iguaçu</t>
  </si>
  <si>
    <t>Paraíba do Sul</t>
  </si>
  <si>
    <t>Petrópolis</t>
  </si>
  <si>
    <t>e 65ª</t>
  </si>
  <si>
    <t>Piraí</t>
  </si>
  <si>
    <t>Rezende</t>
  </si>
  <si>
    <t>Rio Bonito</t>
  </si>
  <si>
    <t>Santa Maria Madalena</t>
  </si>
  <si>
    <t>Santo Antônio de Pádua</t>
  </si>
  <si>
    <t>São Fidelis</t>
  </si>
  <si>
    <t>São Gonçalo</t>
  </si>
  <si>
    <t>São João da Barra</t>
  </si>
  <si>
    <t>Teresópolis</t>
  </si>
  <si>
    <t>Trajano de Morais</t>
  </si>
  <si>
    <t>Três Rios</t>
  </si>
  <si>
    <t>Vassouras</t>
  </si>
  <si>
    <t>Engenheiro Paulo de Frontim</t>
  </si>
  <si>
    <t>Natividade de Carangola</t>
  </si>
  <si>
    <t>Nilópolis</t>
  </si>
  <si>
    <t>Porciúncula</t>
  </si>
  <si>
    <t>São João de Meriti</t>
  </si>
  <si>
    <t>Volta Redonda</t>
  </si>
  <si>
    <t>Miguel Pereira</t>
  </si>
  <si>
    <t>Cachoeira de Macacu</t>
  </si>
  <si>
    <t>Casemiro de Abreu</t>
  </si>
  <si>
    <t>Conceição do Macabu</t>
  </si>
  <si>
    <t>Cordeiro</t>
  </si>
  <si>
    <t>Duas Barras</t>
  </si>
  <si>
    <t>Mangaratiba</t>
  </si>
  <si>
    <t>Maricá</t>
  </si>
  <si>
    <t>Mendes</t>
  </si>
  <si>
    <t>Paraty</t>
  </si>
  <si>
    <t>Rio das Flores</t>
  </si>
  <si>
    <t>São Pedro D'Aldeia</t>
  </si>
  <si>
    <t>São Sebastião do Alto</t>
  </si>
  <si>
    <t>Sapucaia</t>
  </si>
  <si>
    <t>Saquarema</t>
  </si>
  <si>
    <t>Silva Jardim</t>
  </si>
  <si>
    <t>Sumidouro</t>
  </si>
  <si>
    <t>São Paulo (1ª ZE)</t>
  </si>
  <si>
    <t>São Paulo (2ª ZE)</t>
  </si>
  <si>
    <t>São Paulo (3ª ZE)</t>
  </si>
  <si>
    <t>São Paulo (4ª ZE)</t>
  </si>
  <si>
    <t>São Paulo (5ª ZE)</t>
  </si>
  <si>
    <t>São Paulo (6ª ZE)</t>
  </si>
  <si>
    <t>São Paulo (Total)</t>
  </si>
  <si>
    <t>Taboão da Serra</t>
  </si>
  <si>
    <t>Embu</t>
  </si>
  <si>
    <t>Itapecerica da Serra</t>
  </si>
  <si>
    <t>Barueri</t>
  </si>
  <si>
    <t>Caieiras</t>
  </si>
  <si>
    <t>Cajamar</t>
  </si>
  <si>
    <t>Cotia</t>
  </si>
  <si>
    <t>Franco da Rocha</t>
  </si>
  <si>
    <t>Itapevi</t>
  </si>
  <si>
    <t>Mairiporã</t>
  </si>
  <si>
    <t>Pirapora do Bom Jesus</t>
  </si>
  <si>
    <t>Santana do Parnaíba</t>
  </si>
  <si>
    <t>Osasco (Distrito de São Paulo)*</t>
  </si>
  <si>
    <t>Agudos</t>
  </si>
  <si>
    <t>Amparo</t>
  </si>
  <si>
    <t>Monte Alegre do Sul</t>
  </si>
  <si>
    <t>Andradina</t>
  </si>
  <si>
    <t>Castilho</t>
  </si>
  <si>
    <t>Guaraçaí</t>
  </si>
  <si>
    <t>Muritinga do Sul</t>
  </si>
  <si>
    <t>Apiaí</t>
  </si>
  <si>
    <t>Iporanga</t>
  </si>
  <si>
    <t>Ribeira</t>
  </si>
  <si>
    <t>Araçatuba</t>
  </si>
  <si>
    <t>Paraguaçu Paulista</t>
  </si>
  <si>
    <t>Lutécia</t>
  </si>
  <si>
    <t>Maracaí</t>
  </si>
  <si>
    <t>Oscar Bressane</t>
  </si>
  <si>
    <t>Araraquara</t>
  </si>
  <si>
    <t>Rincão</t>
  </si>
  <si>
    <t>Santa Lúcia</t>
  </si>
  <si>
    <t>Araras</t>
  </si>
  <si>
    <t>Leme</t>
  </si>
  <si>
    <t>Assis</t>
  </si>
  <si>
    <t>Cândido Mota</t>
  </si>
  <si>
    <t>Echaporã</t>
  </si>
  <si>
    <t>Atibaia</t>
  </si>
  <si>
    <t>Bom Jesus dos Perdões</t>
  </si>
  <si>
    <t>Jarinu</t>
  </si>
  <si>
    <t>Nazaré Paulista</t>
  </si>
  <si>
    <t>Avaré</t>
  </si>
  <si>
    <t>Cerqueira Cesar</t>
  </si>
  <si>
    <t>Itai</t>
  </si>
  <si>
    <t>Paranapanema</t>
  </si>
  <si>
    <t>Santa Bárbara do Rio Pardo</t>
  </si>
  <si>
    <t>Bananal</t>
  </si>
  <si>
    <t>Bariri</t>
  </si>
  <si>
    <t>Itaju</t>
  </si>
  <si>
    <t>São José do Barreiro</t>
  </si>
  <si>
    <t>Barretos</t>
  </si>
  <si>
    <t>Colina</t>
  </si>
  <si>
    <t>Colômbia</t>
  </si>
  <si>
    <t>Jaborandi</t>
  </si>
  <si>
    <t>Batatais</t>
  </si>
  <si>
    <t>Altinópolis</t>
  </si>
  <si>
    <t>Jardinópolis</t>
  </si>
  <si>
    <t>Brodosque</t>
  </si>
  <si>
    <t>Bauru</t>
  </si>
  <si>
    <t>Avaí</t>
  </si>
  <si>
    <t>Bebedouro</t>
  </si>
  <si>
    <t>Birigui</t>
  </si>
  <si>
    <t>Bilac</t>
  </si>
  <si>
    <t>Clementina</t>
  </si>
  <si>
    <t>Coroados</t>
  </si>
  <si>
    <t>Gabriel Monteiro</t>
  </si>
  <si>
    <t>Piacatu</t>
  </si>
  <si>
    <t>Santópolis do Aguapeí</t>
  </si>
  <si>
    <t>Botucatu</t>
  </si>
  <si>
    <t>Itatinga</t>
  </si>
  <si>
    <t>Pardinho</t>
  </si>
  <si>
    <t>Bragança Paulista</t>
  </si>
  <si>
    <t>Brotas</t>
  </si>
  <si>
    <t>Torrinha</t>
  </si>
  <si>
    <t>Caçapava</t>
  </si>
  <si>
    <t>Jambeiro</t>
  </si>
  <si>
    <t>Caconde</t>
  </si>
  <si>
    <t>Tapiratiba</t>
  </si>
  <si>
    <t>Cafelândia</t>
  </si>
  <si>
    <t>Júlio Mesquita</t>
  </si>
  <si>
    <t>Cajuru</t>
  </si>
  <si>
    <t>Cássia dos Coqueiros</t>
  </si>
  <si>
    <t>Santo Antônio da Alegria</t>
  </si>
  <si>
    <t>Campinas</t>
  </si>
  <si>
    <t>Cosmópolis</t>
  </si>
  <si>
    <t>Sumaré</t>
  </si>
  <si>
    <t>Valinhos</t>
  </si>
  <si>
    <t>Campos do Jordão</t>
  </si>
  <si>
    <t>Cananéia</t>
  </si>
  <si>
    <t>Capão Bonito</t>
  </si>
  <si>
    <t>Guapiara</t>
  </si>
  <si>
    <t>Capivari</t>
  </si>
  <si>
    <t>Elias Fausto</t>
  </si>
  <si>
    <t>Monte Mor</t>
  </si>
  <si>
    <t>Casa Branca</t>
  </si>
  <si>
    <t>Itobi</t>
  </si>
  <si>
    <t>Tambaú</t>
  </si>
  <si>
    <t>Catanduva</t>
  </si>
  <si>
    <t>Catiguá</t>
  </si>
  <si>
    <t>Ibirá</t>
  </si>
  <si>
    <t>Pindorama</t>
  </si>
  <si>
    <t>Tabapuã</t>
  </si>
  <si>
    <t>Conchas</t>
  </si>
  <si>
    <t>Anhembi</t>
  </si>
  <si>
    <t>Bofete</t>
  </si>
  <si>
    <t>Pereiras</t>
  </si>
  <si>
    <t>Cruzeiro</t>
  </si>
  <si>
    <t>Lavrinhas</t>
  </si>
  <si>
    <t>Cunha</t>
  </si>
  <si>
    <t>Descalvado</t>
  </si>
  <si>
    <t>Dois Córregos</t>
  </si>
  <si>
    <t>Mineiros do Tietê</t>
  </si>
  <si>
    <t>Franca</t>
  </si>
  <si>
    <t>Guapuã</t>
  </si>
  <si>
    <t>São José da Bela Vista</t>
  </si>
  <si>
    <t>Garça</t>
  </si>
  <si>
    <t>Álvaro de Carvalho</t>
  </si>
  <si>
    <t>Alvinlândia</t>
  </si>
  <si>
    <t>Gália</t>
  </si>
  <si>
    <t>Lupércio</t>
  </si>
  <si>
    <t>Guaratinguetá</t>
  </si>
  <si>
    <t>Aparecida</t>
  </si>
  <si>
    <t>Ibitinga</t>
  </si>
  <si>
    <t>Igarapava</t>
  </si>
  <si>
    <t>Buritizal</t>
  </si>
  <si>
    <t>Iguape</t>
  </si>
  <si>
    <t>Jacupiranga</t>
  </si>
  <si>
    <t>Pariquera-Açu</t>
  </si>
  <si>
    <t>Itapetininga</t>
  </si>
  <si>
    <t>Angatuba</t>
  </si>
  <si>
    <t>São Miguel Arcanjo</t>
  </si>
  <si>
    <t>Sarapuí</t>
  </si>
  <si>
    <t>Itapeva</t>
  </si>
  <si>
    <t>Buri</t>
  </si>
  <si>
    <t>Itaberá</t>
  </si>
  <si>
    <t>Ribeirão Branco</t>
  </si>
  <si>
    <t>Itapira</t>
  </si>
  <si>
    <t>Itápolis</t>
  </si>
  <si>
    <t>Nova Europa</t>
  </si>
  <si>
    <t>Tabatinga</t>
  </si>
  <si>
    <t>Taquarituba</t>
  </si>
  <si>
    <t>Ribeirão Vermelho do Sul</t>
  </si>
  <si>
    <t>Itararé</t>
  </si>
  <si>
    <t>Itatiba</t>
  </si>
  <si>
    <t>Itu</t>
  </si>
  <si>
    <t>Cabreúva</t>
  </si>
  <si>
    <t>Indaiatuba</t>
  </si>
  <si>
    <t>Salto</t>
  </si>
  <si>
    <t>Ituperava</t>
  </si>
  <si>
    <t>Guará</t>
  </si>
  <si>
    <t>Miguelópolis</t>
  </si>
  <si>
    <t>Jaboticabal</t>
  </si>
  <si>
    <t>Guariba</t>
  </si>
  <si>
    <t>Pradópolis</t>
  </si>
  <si>
    <t>Taiaçu</t>
  </si>
  <si>
    <t>Taiúva</t>
  </si>
  <si>
    <t>Jacareí</t>
  </si>
  <si>
    <t>Jaú</t>
  </si>
  <si>
    <t>Barra Bonita</t>
  </si>
  <si>
    <t>Bocaina</t>
  </si>
  <si>
    <t>Boracéia</t>
  </si>
  <si>
    <t>Igaraçu do Tietê</t>
  </si>
  <si>
    <t>Itapuí</t>
  </si>
  <si>
    <t>José Bonifácio</t>
  </si>
  <si>
    <t>Jundiaí</t>
  </si>
  <si>
    <t>Vinhedo</t>
  </si>
  <si>
    <t>Limeira</t>
  </si>
  <si>
    <t>Cordeirópolis</t>
  </si>
  <si>
    <t>Iracemápolis</t>
  </si>
  <si>
    <t>Lins</t>
  </si>
  <si>
    <t>Guaiçara</t>
  </si>
  <si>
    <t>Sabino</t>
  </si>
  <si>
    <t>Lorena</t>
  </si>
  <si>
    <t>Piquete</t>
  </si>
  <si>
    <t>Lucélia</t>
  </si>
  <si>
    <t>Inúbia Paulista</t>
  </si>
  <si>
    <t>Marília</t>
  </si>
  <si>
    <t>Ocauçu</t>
  </si>
  <si>
    <t>Oriente</t>
  </si>
  <si>
    <t>Martinópolis</t>
  </si>
  <si>
    <t>Indiana</t>
  </si>
  <si>
    <t>Mirassol</t>
  </si>
  <si>
    <t>Bálsamo</t>
  </si>
  <si>
    <t>Jaci</t>
  </si>
  <si>
    <t>Mirassolândia</t>
  </si>
  <si>
    <t>Neves Paulista</t>
  </si>
  <si>
    <t>Mococa</t>
  </si>
  <si>
    <t>Mogi das Cruzes</t>
  </si>
  <si>
    <t>Ferraz de Vasconcelos</t>
  </si>
  <si>
    <t>Guararema</t>
  </si>
  <si>
    <t>Itaquaquecetuba</t>
  </si>
  <si>
    <t>Poá</t>
  </si>
  <si>
    <t>Suzano</t>
  </si>
  <si>
    <t>Moji-Mirim</t>
  </si>
  <si>
    <t>Arthur Nogueira</t>
  </si>
  <si>
    <t>Conchal</t>
  </si>
  <si>
    <t>Jaguariúna</t>
  </si>
  <si>
    <t>Mogi Guaçu</t>
  </si>
  <si>
    <t>Santo Antônio de Posse</t>
  </si>
  <si>
    <t>Monte Alto</t>
  </si>
  <si>
    <t>Paraíso</t>
  </si>
  <si>
    <t>Pirangi</t>
  </si>
  <si>
    <t>Vista Alegre do Alto</t>
  </si>
  <si>
    <t>Monte Aprazível</t>
  </si>
  <si>
    <t>Buritama</t>
  </si>
  <si>
    <t>Macaubal</t>
  </si>
  <si>
    <t>Nipoã</t>
  </si>
  <si>
    <t>Planalto</t>
  </si>
  <si>
    <t>Polônia</t>
  </si>
  <si>
    <t>Turiúba</t>
  </si>
  <si>
    <t>Nova Granada</t>
  </si>
  <si>
    <t>Palestina</t>
  </si>
  <si>
    <t>Nova Horizonte</t>
  </si>
  <si>
    <t>Irapuã</t>
  </si>
  <si>
    <t>Sales</t>
  </si>
  <si>
    <t>Urupês</t>
  </si>
  <si>
    <t>Olímpia</t>
  </si>
  <si>
    <t>Altair</t>
  </si>
  <si>
    <t>Cajobi</t>
  </si>
  <si>
    <t>Icém</t>
  </si>
  <si>
    <t>Severínia</t>
  </si>
  <si>
    <t>Orlândia</t>
  </si>
  <si>
    <t>Morro Agudo</t>
  </si>
  <si>
    <t>Nuporanga</t>
  </si>
  <si>
    <t>Sales Oliveira</t>
  </si>
  <si>
    <t>Ourinhos</t>
  </si>
  <si>
    <t>Salto Grande</t>
  </si>
  <si>
    <t>Xavantes</t>
  </si>
  <si>
    <t>Palmital</t>
  </si>
  <si>
    <t>Campos Novos Paulista</t>
  </si>
  <si>
    <t>Ibirarema</t>
  </si>
  <si>
    <t>Platina</t>
  </si>
  <si>
    <t>Paraibuna</t>
  </si>
  <si>
    <t>Natividade da Serra</t>
  </si>
  <si>
    <t>Patrocínio Paulista</t>
  </si>
  <si>
    <t>Itirapuã</t>
  </si>
  <si>
    <t>Pederneiras</t>
  </si>
  <si>
    <t>Arealva</t>
  </si>
  <si>
    <t>Iacanga</t>
  </si>
  <si>
    <t>Mocatuba</t>
  </si>
  <si>
    <t>Penápolis</t>
  </si>
  <si>
    <t>Alto Alegre</t>
  </si>
  <si>
    <t>Avanhandava</t>
  </si>
  <si>
    <t>Barbosa</t>
  </si>
  <si>
    <t>Braúna</t>
  </si>
  <si>
    <t>Glicério</t>
  </si>
  <si>
    <t>Luisiânia</t>
  </si>
  <si>
    <t>Pereira Barreto</t>
  </si>
  <si>
    <t>Sud Menucci</t>
  </si>
  <si>
    <t>Piedade</t>
  </si>
  <si>
    <t>Pilar do Sul</t>
  </si>
  <si>
    <t>Tapiraí</t>
  </si>
  <si>
    <t>Pindamonhangaba</t>
  </si>
  <si>
    <t>Pinhal</t>
  </si>
  <si>
    <t>Santo Antônio do Jardim</t>
  </si>
  <si>
    <t>Piracaia</t>
  </si>
  <si>
    <t>Joanópolis</t>
  </si>
  <si>
    <t>Piracicaba</t>
  </si>
  <si>
    <t>Charqueada</t>
  </si>
  <si>
    <t>Rio das Pedras</t>
  </si>
  <si>
    <t>Santa Barbára d'Oeste</t>
  </si>
  <si>
    <t>Piraju</t>
  </si>
  <si>
    <t>Fartura</t>
  </si>
  <si>
    <t>Manduri</t>
  </si>
  <si>
    <t>Óleo</t>
  </si>
  <si>
    <t>Timburi</t>
  </si>
  <si>
    <t>Taguaí</t>
  </si>
  <si>
    <t>Sarutaiá</t>
  </si>
  <si>
    <t>Pirajuí</t>
  </si>
  <si>
    <t>Balbinos</t>
  </si>
  <si>
    <t>Guaratã</t>
  </si>
  <si>
    <t>Pongaí</t>
  </si>
  <si>
    <t>Presidente Alves</t>
  </si>
  <si>
    <t>Reginópolis</t>
  </si>
  <si>
    <t>Urú</t>
  </si>
  <si>
    <t>Pirassununga</t>
  </si>
  <si>
    <t>Pôrto Ferreira</t>
  </si>
  <si>
    <t>Santa Cruz da Conceição</t>
  </si>
  <si>
    <t>Piratininga</t>
  </si>
  <si>
    <t>Cabrália Paulista</t>
  </si>
  <si>
    <t>Pitangueiras</t>
  </si>
  <si>
    <t>Terra Roxa</t>
  </si>
  <si>
    <t>Viradouro</t>
  </si>
  <si>
    <t>Pompéia</t>
  </si>
  <si>
    <t>Herculândia</t>
  </si>
  <si>
    <t>Quintana</t>
  </si>
  <si>
    <t>Pôrto Feliz</t>
  </si>
  <si>
    <t>Boituva</t>
  </si>
  <si>
    <t>Presidente Prudente</t>
  </si>
  <si>
    <t>Alfredo Marcondes</t>
  </si>
  <si>
    <t>Álvares Machado</t>
  </si>
  <si>
    <t>Anhumas</t>
  </si>
  <si>
    <t>Piraposinho</t>
  </si>
  <si>
    <t>Santo Expedito</t>
  </si>
  <si>
    <t>Presidente Venceslau</t>
  </si>
  <si>
    <t>Caiuá</t>
  </si>
  <si>
    <t>Marabá Paulista</t>
  </si>
  <si>
    <t>Presidente Epitácio</t>
  </si>
  <si>
    <t>Promissão</t>
  </si>
  <si>
    <t>Quatá</t>
  </si>
  <si>
    <t>João Ramalho*</t>
  </si>
  <si>
    <t>Queluz</t>
  </si>
  <si>
    <t>Areias</t>
  </si>
  <si>
    <t>Rancharia</t>
  </si>
  <si>
    <t>Iepê</t>
  </si>
  <si>
    <t>Ribeirão Bonito</t>
  </si>
  <si>
    <t>Boa Esperança do Sul</t>
  </si>
  <si>
    <t>Dourado</t>
  </si>
  <si>
    <t>Ribeirão Preto</t>
  </si>
  <si>
    <t>Serrana</t>
  </si>
  <si>
    <t>Cravinhos</t>
  </si>
  <si>
    <t>Analândia</t>
  </si>
  <si>
    <t>Corumbataí</t>
  </si>
  <si>
    <t>Itirapina</t>
  </si>
  <si>
    <t>Santa Gertrudes</t>
  </si>
  <si>
    <t>Santa Adélia</t>
  </si>
  <si>
    <t>Ariranha</t>
  </si>
  <si>
    <t>Itajobi</t>
  </si>
  <si>
    <t>Santa Branca</t>
  </si>
  <si>
    <t>Salesópolis</t>
  </si>
  <si>
    <t>Santa Cruz das Palmeiras</t>
  </si>
  <si>
    <t>Santa Cruz do Rio Pardo</t>
  </si>
  <si>
    <t>Bernardino de Campos</t>
  </si>
  <si>
    <t>Ipauçu</t>
  </si>
  <si>
    <t>São Pedro do Turvo</t>
  </si>
  <si>
    <t>Ubirajara</t>
  </si>
  <si>
    <t>Arujá</t>
  </si>
  <si>
    <t>Igaratá</t>
  </si>
  <si>
    <t>Santa Rita do Passa Quatro</t>
  </si>
  <si>
    <t>Santo Anastácio</t>
  </si>
  <si>
    <t>Mirante do Paranapanema</t>
  </si>
  <si>
    <t>Piquerobi</t>
  </si>
  <si>
    <t>118ª e</t>
  </si>
  <si>
    <t>Santos</t>
  </si>
  <si>
    <t>119ª</t>
  </si>
  <si>
    <t>Cubatão</t>
  </si>
  <si>
    <t>Guarujá</t>
  </si>
  <si>
    <t>Itariri</t>
  </si>
  <si>
    <t>Mongaguá</t>
  </si>
  <si>
    <t>Peruíbe</t>
  </si>
  <si>
    <t>Pedro de Toledo</t>
  </si>
  <si>
    <t>Miracatu</t>
  </si>
  <si>
    <t>Juquiá</t>
  </si>
  <si>
    <t>120ª</t>
  </si>
  <si>
    <t>São Bento do Sapucaí</t>
  </si>
  <si>
    <t>Santo Antônio do Pinhal</t>
  </si>
  <si>
    <t>121ª</t>
  </si>
  <si>
    <t>Ibaté</t>
  </si>
  <si>
    <t>122ª</t>
  </si>
  <si>
    <t>São João da Boa Vista</t>
  </si>
  <si>
    <t>Aguaí</t>
  </si>
  <si>
    <t>Águas da Prata</t>
  </si>
  <si>
    <t>Vargem Grande do Sul</t>
  </si>
  <si>
    <t>123ª</t>
  </si>
  <si>
    <t>São Joaquim da Barra</t>
  </si>
  <si>
    <t>Ipuã</t>
  </si>
  <si>
    <t>124ª</t>
  </si>
  <si>
    <t>São José do Rio Pardo</t>
  </si>
  <si>
    <t>Divinolândia</t>
  </si>
  <si>
    <t>São Sebastião da Grama</t>
  </si>
  <si>
    <t>125ª e</t>
  </si>
  <si>
    <t>São José do Rio Preto</t>
  </si>
  <si>
    <t>126ª</t>
  </si>
  <si>
    <t>Borboleta</t>
  </si>
  <si>
    <t>Guapiaçu</t>
  </si>
  <si>
    <t>Adolfo</t>
  </si>
  <si>
    <t>Cedral</t>
  </si>
  <si>
    <t>Mendonça</t>
  </si>
  <si>
    <t>Nova Aliança</t>
  </si>
  <si>
    <t>Potirendaba</t>
  </si>
  <si>
    <t>Uchoa</t>
  </si>
  <si>
    <t>127ª</t>
  </si>
  <si>
    <t>São José dos Campos</t>
  </si>
  <si>
    <t>Monteiro Lobato</t>
  </si>
  <si>
    <t>128ª</t>
  </si>
  <si>
    <t>São Luiz do Piraítinga</t>
  </si>
  <si>
    <t>Lagoinha</t>
  </si>
  <si>
    <t>129ª</t>
  </si>
  <si>
    <t>São Manoel</t>
  </si>
  <si>
    <t>Areiópolis</t>
  </si>
  <si>
    <t>130ª</t>
  </si>
  <si>
    <t>São Pedro</t>
  </si>
  <si>
    <t>Águas de São Pedro</t>
  </si>
  <si>
    <t>Santa Maria da Serra</t>
  </si>
  <si>
    <t>131ª</t>
  </si>
  <si>
    <t>São Roque</t>
  </si>
  <si>
    <t>Ibiúna</t>
  </si>
  <si>
    <t>Mairinque</t>
  </si>
  <si>
    <t>132ª</t>
  </si>
  <si>
    <t>São Sebastião</t>
  </si>
  <si>
    <t>Caraguatatuba</t>
  </si>
  <si>
    <t>Ilhabela</t>
  </si>
  <si>
    <t>133ª</t>
  </si>
  <si>
    <t>Luiz Antônio</t>
  </si>
  <si>
    <t>Serra Azul</t>
  </si>
  <si>
    <t>134ª</t>
  </si>
  <si>
    <t>Serra Negra</t>
  </si>
  <si>
    <t>Águas de Lindóia</t>
  </si>
  <si>
    <t>135ª</t>
  </si>
  <si>
    <t>Sertãozinho</t>
  </si>
  <si>
    <t>Barrinha</t>
  </si>
  <si>
    <t>Pontal</t>
  </si>
  <si>
    <t>136ª</t>
  </si>
  <si>
    <t>Socorro</t>
  </si>
  <si>
    <t>137ª</t>
  </si>
  <si>
    <t>Sorocaba</t>
  </si>
  <si>
    <t>Araçoiaba da Serra</t>
  </si>
  <si>
    <t>Salto de Pirapora</t>
  </si>
  <si>
    <t>138ª</t>
  </si>
  <si>
    <t>Tanabi</t>
  </si>
  <si>
    <t>Américo de Campos</t>
  </si>
  <si>
    <t>Cosmorama</t>
  </si>
  <si>
    <t>139ª</t>
  </si>
  <si>
    <t>Taquaritinga</t>
  </si>
  <si>
    <t>Cândido Rodrigues</t>
  </si>
  <si>
    <t>Fernando Prestes</t>
  </si>
  <si>
    <t>140ª</t>
  </si>
  <si>
    <t>Tatuí</t>
  </si>
  <si>
    <t>Cesário Lange</t>
  </si>
  <si>
    <t>Guareí</t>
  </si>
  <si>
    <t>Porangaba</t>
  </si>
  <si>
    <t>141ª</t>
  </si>
  <si>
    <t>Taubaté</t>
  </si>
  <si>
    <t>Redenção da Serra</t>
  </si>
  <si>
    <t>Tremembé</t>
  </si>
  <si>
    <t>142ª</t>
  </si>
  <si>
    <t>Tietê</t>
  </si>
  <si>
    <t>Cerquilho</t>
  </si>
  <si>
    <t>Laranjal Paulista</t>
  </si>
  <si>
    <t>143ª</t>
  </si>
  <si>
    <t>Tupã</t>
  </si>
  <si>
    <t>Bastos</t>
  </si>
  <si>
    <t>Parapuã</t>
  </si>
  <si>
    <t>Iacri</t>
  </si>
  <si>
    <t>Rinópolis</t>
  </si>
  <si>
    <t>144ª</t>
  </si>
  <si>
    <t>Ubatuba</t>
  </si>
  <si>
    <t>145ª</t>
  </si>
  <si>
    <t>Cachoeira Paulista</t>
  </si>
  <si>
    <t>Silveiras</t>
  </si>
  <si>
    <t>146ª</t>
  </si>
  <si>
    <t>Valparaíso</t>
  </si>
  <si>
    <t>Bento de Abreu</t>
  </si>
  <si>
    <t>147ª</t>
  </si>
  <si>
    <t>Votuporanga</t>
  </si>
  <si>
    <t>Álvares Florence</t>
  </si>
  <si>
    <t>Cardoso</t>
  </si>
  <si>
    <t>Valentim Gentil</t>
  </si>
  <si>
    <t>148ª</t>
  </si>
  <si>
    <t>Eldorado</t>
  </si>
  <si>
    <t>149ª</t>
  </si>
  <si>
    <t>Dracena</t>
  </si>
  <si>
    <t>Ouro Verde</t>
  </si>
  <si>
    <t>Panorama</t>
  </si>
  <si>
    <t>Paulicéia</t>
  </si>
  <si>
    <t>Santa Mercedes</t>
  </si>
  <si>
    <t>150ª</t>
  </si>
  <si>
    <t>Fernandópolis</t>
  </si>
  <si>
    <t>Estrela d'Oeste</t>
  </si>
  <si>
    <t>Guarani d'Oeste</t>
  </si>
  <si>
    <t>Indiaporã</t>
  </si>
  <si>
    <t>Merediano</t>
  </si>
  <si>
    <t>Populina</t>
  </si>
  <si>
    <t>151ª</t>
  </si>
  <si>
    <t>Guararapes</t>
  </si>
  <si>
    <t>Rubiáeca</t>
  </si>
  <si>
    <t>152ª</t>
  </si>
  <si>
    <t>Jales</t>
  </si>
  <si>
    <t>Dolcinópolis</t>
  </si>
  <si>
    <t>Palmeira d'Oeste</t>
  </si>
  <si>
    <t>Santa Albertina</t>
  </si>
  <si>
    <t>Santa Fé do Sul</t>
  </si>
  <si>
    <t>Três Fronteiras</t>
  </si>
  <si>
    <t>Urânia</t>
  </si>
  <si>
    <t>153ª</t>
  </si>
  <si>
    <t>Mirandópolis</t>
  </si>
  <si>
    <t>Lavínia</t>
  </si>
  <si>
    <t>154ª</t>
  </si>
  <si>
    <t>Pacaembu</t>
  </si>
  <si>
    <t>Flora Rica</t>
  </si>
  <si>
    <t>Flórida Paulista</t>
  </si>
  <si>
    <t>Irapuru</t>
  </si>
  <si>
    <t>Junqueirópolis</t>
  </si>
  <si>
    <t>155ª</t>
  </si>
  <si>
    <t>Pedregulho</t>
  </si>
  <si>
    <t>Rifaina</t>
  </si>
  <si>
    <t>156ª</t>
  </si>
  <si>
    <t>Santo André</t>
  </si>
  <si>
    <t>Mauá</t>
  </si>
  <si>
    <t>Ribeirão Pires</t>
  </si>
  <si>
    <t>157ª</t>
  </si>
  <si>
    <t>Adamantina</t>
  </si>
  <si>
    <t>Mariápolis</t>
  </si>
  <si>
    <t>158ª</t>
  </si>
  <si>
    <t>Americana</t>
  </si>
  <si>
    <t>Nova Odessa</t>
  </si>
  <si>
    <t>159ª</t>
  </si>
  <si>
    <t>Duartina</t>
  </si>
  <si>
    <t>Lucianópolis</t>
  </si>
  <si>
    <t>160ª</t>
  </si>
  <si>
    <t>Getulina</t>
  </si>
  <si>
    <t>Guiambê</t>
  </si>
  <si>
    <t>161ª</t>
  </si>
  <si>
    <t>Lençóis Paulista</t>
  </si>
  <si>
    <t>162ª</t>
  </si>
  <si>
    <t>Nhandeara</t>
  </si>
  <si>
    <t>Floreal</t>
  </si>
  <si>
    <t>Gastão Vidigal</t>
  </si>
  <si>
    <t>Magda</t>
  </si>
  <si>
    <t>163ª</t>
  </si>
  <si>
    <t>Osvaldo Cruz</t>
  </si>
  <si>
    <t>Sagres</t>
  </si>
  <si>
    <t>Salmorão</t>
  </si>
  <si>
    <t>164ª</t>
  </si>
  <si>
    <t>Paulo de Faria</t>
  </si>
  <si>
    <t>Riolândia</t>
  </si>
  <si>
    <t>165ª</t>
  </si>
  <si>
    <t>Presidente Bernardes</t>
  </si>
  <si>
    <t>Sandovalina</t>
  </si>
  <si>
    <t>166ª</t>
  </si>
  <si>
    <t>São Caetano do Sul</t>
  </si>
  <si>
    <t>167ª</t>
  </si>
  <si>
    <t>Regente Feijó</t>
  </si>
  <si>
    <t>Caiabu</t>
  </si>
  <si>
    <t>Taciba</t>
  </si>
  <si>
    <t>168ª</t>
  </si>
  <si>
    <t>General Salgado</t>
  </si>
  <si>
    <t>Auriflama</t>
  </si>
  <si>
    <t>169ª</t>
  </si>
  <si>
    <t>170ª</t>
  </si>
  <si>
    <t>Matão</t>
  </si>
  <si>
    <t>171ª</t>
  </si>
  <si>
    <t>Monte Azul Paulista</t>
  </si>
  <si>
    <t>172ª</t>
  </si>
  <si>
    <t>Registro</t>
  </si>
  <si>
    <t>Sete Barras</t>
  </si>
  <si>
    <t>173ª</t>
  </si>
  <si>
    <t>Santa Rosa do Viterbo</t>
  </si>
  <si>
    <t>174ª</t>
  </si>
  <si>
    <t>São Bernardo do Campo</t>
  </si>
  <si>
    <t>Diadema</t>
  </si>
  <si>
    <t>175ª</t>
  </si>
  <si>
    <t>Tupi Paulista</t>
  </si>
  <si>
    <t>Monte Castelo</t>
  </si>
  <si>
    <t>Nova Guataporanga</t>
  </si>
  <si>
    <t>São João do Pau d'Alho</t>
  </si>
  <si>
    <t>176ª</t>
  </si>
  <si>
    <t>Guarulhos</t>
  </si>
  <si>
    <t>Abaeté</t>
  </si>
  <si>
    <t>Abre Campo</t>
  </si>
  <si>
    <t>Matipó</t>
  </si>
  <si>
    <t>Santa Margarida</t>
  </si>
  <si>
    <t>Açucena</t>
  </si>
  <si>
    <t>Águas Formosas</t>
  </si>
  <si>
    <t>Machacalis</t>
  </si>
  <si>
    <t>Aimorés</t>
  </si>
  <si>
    <t>Aiuruoca</t>
  </si>
  <si>
    <t>Bocaina de Minas</t>
  </si>
  <si>
    <t>Carvalhos</t>
  </si>
  <si>
    <t>Liberdade</t>
  </si>
  <si>
    <t>Passa Vinte</t>
  </si>
  <si>
    <t>Serranos</t>
  </si>
  <si>
    <t>Além-Paraíba</t>
  </si>
  <si>
    <t>Estrêla d'Alva</t>
  </si>
  <si>
    <t>Parapetinga</t>
  </si>
  <si>
    <t>Volta Grande</t>
  </si>
  <si>
    <t>Alfenas</t>
  </si>
  <si>
    <t>Alterosa</t>
  </si>
  <si>
    <t>Serrânia</t>
  </si>
  <si>
    <t>Almenara</t>
  </si>
  <si>
    <t>Rio do Prado</t>
  </si>
  <si>
    <t>Rubim</t>
  </si>
  <si>
    <t>Alpinópolis</t>
  </si>
  <si>
    <t>Alto Rio Dôce</t>
  </si>
  <si>
    <t>Cipotânea</t>
  </si>
  <si>
    <t>Alvinópolis</t>
  </si>
  <si>
    <t>Andradas</t>
  </si>
  <si>
    <t>Andrelândia</t>
  </si>
  <si>
    <t>Piedade do Rio Grande</t>
  </si>
  <si>
    <t>Madre de Deus de Minas</t>
  </si>
  <si>
    <t>Bom Jardim de Minas</t>
  </si>
  <si>
    <t>Carrancas</t>
  </si>
  <si>
    <t>Minduri</t>
  </si>
  <si>
    <t>São Vicente de Minas</t>
  </si>
  <si>
    <t>Antônio Dias</t>
  </si>
  <si>
    <t>Araçuaí</t>
  </si>
  <si>
    <t>Caraí</t>
  </si>
  <si>
    <t>Coronel Murta</t>
  </si>
  <si>
    <t>Itinga</t>
  </si>
  <si>
    <t>Virgem da Lapa</t>
  </si>
  <si>
    <t>Araguarí</t>
  </si>
  <si>
    <t>Indianópolis</t>
  </si>
  <si>
    <t>Araxá</t>
  </si>
  <si>
    <t>Perdizes</t>
  </si>
  <si>
    <t>Santa Juliana</t>
  </si>
  <si>
    <t>Arcos</t>
  </si>
  <si>
    <t>Areado</t>
  </si>
  <si>
    <t>Baependí</t>
  </si>
  <si>
    <t>Cruzília</t>
  </si>
  <si>
    <t>Bambuí</t>
  </si>
  <si>
    <t>Barbacena</t>
  </si>
  <si>
    <t>Antônio Carlos</t>
  </si>
  <si>
    <t>Bias Fortes</t>
  </si>
  <si>
    <t>Oliveira Fortes</t>
  </si>
  <si>
    <t>Paiva</t>
  </si>
  <si>
    <t>Ressaquinha</t>
  </si>
  <si>
    <t>Senhora dos Remédios</t>
  </si>
  <si>
    <t>Barão de Cocais</t>
  </si>
  <si>
    <t>Bom Jesus do Amparo</t>
  </si>
  <si>
    <t>Belo Horizonte (1ª ZE)</t>
  </si>
  <si>
    <t>Belo Horizonte (2ª ZE)</t>
  </si>
  <si>
    <t>Belo Horizonte (3ª ZE)</t>
  </si>
  <si>
    <t>Belo Horizonte (4ª ZE)</t>
  </si>
  <si>
    <t>Belo Horizonte (Total)</t>
  </si>
  <si>
    <t>Belo Vale</t>
  </si>
  <si>
    <t>Moeda</t>
  </si>
  <si>
    <t>Betim</t>
  </si>
  <si>
    <t>Contagem</t>
  </si>
  <si>
    <t>Bicas</t>
  </si>
  <si>
    <t>Pequerí</t>
  </si>
  <si>
    <t>Bôa Esperança</t>
  </si>
  <si>
    <t>Coqueiral</t>
  </si>
  <si>
    <t>Ilicínia</t>
  </si>
  <si>
    <t>Bocaiuva</t>
  </si>
  <si>
    <t>Bom Despacho</t>
  </si>
  <si>
    <t>Araújos</t>
  </si>
  <si>
    <t>Moema</t>
  </si>
  <si>
    <t>Santo Antônio do Amparo</t>
  </si>
  <si>
    <t>São Tiago</t>
  </si>
  <si>
    <t>Bonfim</t>
  </si>
  <si>
    <t>Crucilândia</t>
  </si>
  <si>
    <t>Borda da Mata</t>
  </si>
  <si>
    <t>Botelhos</t>
  </si>
  <si>
    <t>Brasília</t>
  </si>
  <si>
    <t>Brasópolis</t>
  </si>
  <si>
    <t>Brumadinho</t>
  </si>
  <si>
    <t>Bueno Brandão</t>
  </si>
  <si>
    <t>Buenópolis</t>
  </si>
  <si>
    <t>Cabo Verde</t>
  </si>
  <si>
    <t>Divisa Nova</t>
  </si>
  <si>
    <t>Cachoeira de Minas</t>
  </si>
  <si>
    <t>Caeté</t>
  </si>
  <si>
    <t>Caldas</t>
  </si>
  <si>
    <t>Ipuiuna</t>
  </si>
  <si>
    <t>Santa Rita de Caldas</t>
  </si>
  <si>
    <t>Camanducaia</t>
  </si>
  <si>
    <t>Munhoz</t>
  </si>
  <si>
    <t>Cambuí</t>
  </si>
  <si>
    <t>Bom Repouso</t>
  </si>
  <si>
    <t>Córrego do Bom Jesus</t>
  </si>
  <si>
    <t>Cambuquira</t>
  </si>
  <si>
    <t>Campanha</t>
  </si>
  <si>
    <t>Monsenhor Paulo</t>
  </si>
  <si>
    <t>Campestre</t>
  </si>
  <si>
    <t>Campina Verde</t>
  </si>
  <si>
    <t>Iturama</t>
  </si>
  <si>
    <t>Campo Belo</t>
  </si>
  <si>
    <t>Cristais</t>
  </si>
  <si>
    <t>Santana do Jacaré</t>
  </si>
  <si>
    <t>Campos Gerais</t>
  </si>
  <si>
    <t>Campo do Meio</t>
  </si>
  <si>
    <t>Canápolis</t>
  </si>
  <si>
    <t>Centralina</t>
  </si>
  <si>
    <t>Capelinha</t>
  </si>
  <si>
    <t>Água Bôa</t>
  </si>
  <si>
    <t>Carandaí</t>
  </si>
  <si>
    <t>Capela Nova</t>
  </si>
  <si>
    <t>Carangola</t>
  </si>
  <si>
    <t>Faria Lemos</t>
  </si>
  <si>
    <t>Espera Feliz</t>
  </si>
  <si>
    <t>São Francisco do Glória</t>
  </si>
  <si>
    <t>Caratinga</t>
  </si>
  <si>
    <t>Bom Jesus do Galho</t>
  </si>
  <si>
    <t>Carlos Chagas</t>
  </si>
  <si>
    <t>Carmo da Mata</t>
  </si>
  <si>
    <t>Carmo de Minas</t>
  </si>
  <si>
    <t>Dom Viçoso</t>
  </si>
  <si>
    <t>Soledade de Minas</t>
  </si>
  <si>
    <t>Carmo do Cajuru</t>
  </si>
  <si>
    <t>Carmo do Paranaíba</t>
  </si>
  <si>
    <t>Carmo do Rio Claro</t>
  </si>
  <si>
    <t>Conceição da Aparecida</t>
  </si>
  <si>
    <t>Cássia</t>
  </si>
  <si>
    <t>Delfinópolis</t>
  </si>
  <si>
    <t>Cataguases</t>
  </si>
  <si>
    <t>Astolfo Dutra</t>
  </si>
  <si>
    <t>Caxambú</t>
  </si>
  <si>
    <t>Cláudio</t>
  </si>
  <si>
    <t>Conceição das Alagôas</t>
  </si>
  <si>
    <t>Pirajuba</t>
  </si>
  <si>
    <t>Conceição do Mato Dentro</t>
  </si>
  <si>
    <t>Morro do Pilar</t>
  </si>
  <si>
    <t>Conceição do Rio Verde</t>
  </si>
  <si>
    <t>Congonhas</t>
  </si>
  <si>
    <t>Conquista</t>
  </si>
  <si>
    <t>Conselheiro Lafaiete</t>
  </si>
  <si>
    <t>Conselheiro Pena</t>
  </si>
  <si>
    <t>Tumiritinga</t>
  </si>
  <si>
    <t>Coração de Jesus</t>
  </si>
  <si>
    <t>Corinto</t>
  </si>
  <si>
    <t>Coromandel</t>
  </si>
  <si>
    <t>Abadia dos Dourados</t>
  </si>
  <si>
    <t>Coronel Fabriciano</t>
  </si>
  <si>
    <t>Cristina</t>
  </si>
  <si>
    <t>Maria da Fé</t>
  </si>
  <si>
    <t>Curvêlo</t>
  </si>
  <si>
    <t>Felixlândia</t>
  </si>
  <si>
    <t>Diamantina</t>
  </si>
  <si>
    <t>Gouvêa</t>
  </si>
  <si>
    <t>Divino</t>
  </si>
  <si>
    <t>Divinópolis</t>
  </si>
  <si>
    <t>Dom Joaquim</t>
  </si>
  <si>
    <t>Senhora do Pôrto</t>
  </si>
  <si>
    <t>Dom Silvério</t>
  </si>
  <si>
    <t>Dores do Campos</t>
  </si>
  <si>
    <t>Barroso</t>
  </si>
  <si>
    <t>Dôres do Indaiá</t>
  </si>
  <si>
    <t>Estrêla do Indaiá</t>
  </si>
  <si>
    <t>Quartel Geral</t>
  </si>
  <si>
    <t>Eloi Mendes</t>
  </si>
  <si>
    <t>Entre Rios de Minas</t>
  </si>
  <si>
    <t>Desterro de Entre Rios</t>
  </si>
  <si>
    <t>Jeceaba</t>
  </si>
  <si>
    <t>São Braz do Suaçuí</t>
  </si>
  <si>
    <t>Ervália</t>
  </si>
  <si>
    <t>Esmeralda</t>
  </si>
  <si>
    <t>Espinosa</t>
  </si>
  <si>
    <t>Estrêla do Sul</t>
  </si>
  <si>
    <t>Cascalho Rico</t>
  </si>
  <si>
    <t>Eugenópolis</t>
  </si>
  <si>
    <t>Extrema</t>
  </si>
  <si>
    <t>Ferro</t>
  </si>
  <si>
    <t>Formiga</t>
  </si>
  <si>
    <t>Pimenta</t>
  </si>
  <si>
    <t>Francisco Sá</t>
  </si>
  <si>
    <t>Frutal</t>
  </si>
  <si>
    <t>Comendador Gomes</t>
  </si>
  <si>
    <t>Itapagipe</t>
  </si>
  <si>
    <t>Galiléia</t>
  </si>
  <si>
    <t>Governador Valadares</t>
  </si>
  <si>
    <t>Grão Mogol</t>
  </si>
  <si>
    <t>Guanhães</t>
  </si>
  <si>
    <t>Brauna</t>
  </si>
  <si>
    <t>Guapé</t>
  </si>
  <si>
    <t>Guaranésia</t>
  </si>
  <si>
    <t>Guarani</t>
  </si>
  <si>
    <t>Guarará</t>
  </si>
  <si>
    <t>Guaxupé</t>
  </si>
  <si>
    <t>Guia Lopes</t>
  </si>
  <si>
    <t>Vargem Bonita</t>
  </si>
  <si>
    <t>Ibiá</t>
  </si>
  <si>
    <t>Campos Altos</t>
  </si>
  <si>
    <t>Pratinha</t>
  </si>
  <si>
    <t>Ibirací</t>
  </si>
  <si>
    <t>Claraval</t>
  </si>
  <si>
    <t>Iguatama</t>
  </si>
  <si>
    <t>Inhapim</t>
  </si>
  <si>
    <t>Iapú</t>
  </si>
  <si>
    <t>Ipanema</t>
  </si>
  <si>
    <t>Conceição do Ipanema</t>
  </si>
  <si>
    <t>Pocrane</t>
  </si>
  <si>
    <t>Itabira</t>
  </si>
  <si>
    <t>Itabirito</t>
  </si>
  <si>
    <t>Itaguara</t>
  </si>
  <si>
    <t>Itajubá</t>
  </si>
  <si>
    <t>Delfim Moreira</t>
  </si>
  <si>
    <t>Itamarandiba</t>
  </si>
  <si>
    <t>125ª</t>
  </si>
  <si>
    <t>Itambacurí</t>
  </si>
  <si>
    <t>Itamogi</t>
  </si>
  <si>
    <t>Itanhandu</t>
  </si>
  <si>
    <t>Itamonte</t>
  </si>
  <si>
    <t>Itanhomi</t>
  </si>
  <si>
    <t>Itapecirica</t>
  </si>
  <si>
    <t>Itaúna</t>
  </si>
  <si>
    <t>Ituiutaba</t>
  </si>
  <si>
    <t>Capinópolis</t>
  </si>
  <si>
    <t>Santa Vitória</t>
  </si>
  <si>
    <t>Itumirim</t>
  </si>
  <si>
    <t>Itutinga</t>
  </si>
  <si>
    <t>Jaboticatubas</t>
  </si>
  <si>
    <t>Jacinto</t>
  </si>
  <si>
    <t>Jordânia</t>
  </si>
  <si>
    <t>Salto da Divisa</t>
  </si>
  <si>
    <t>Jacuí</t>
  </si>
  <si>
    <t>São Pedro da União</t>
  </si>
  <si>
    <t>Jacutinga</t>
  </si>
  <si>
    <t>Januária</t>
  </si>
  <si>
    <t>Jequerí</t>
  </si>
  <si>
    <t>Jequitinhonha</t>
  </si>
  <si>
    <t>Joaima</t>
  </si>
  <si>
    <t>João Pinheiro</t>
  </si>
  <si>
    <t>142ª e</t>
  </si>
  <si>
    <t>Juiz de Fora</t>
  </si>
  <si>
    <t>Lagoa Dourada</t>
  </si>
  <si>
    <t>Lambarí</t>
  </si>
  <si>
    <t>Jesuânia</t>
  </si>
  <si>
    <t>Lajinha</t>
  </si>
  <si>
    <t>Lavras</t>
  </si>
  <si>
    <t>Luminárias</t>
  </si>
  <si>
    <t>Ribeirão Vermelho</t>
  </si>
  <si>
    <t>Leopoldina</t>
  </si>
  <si>
    <t>Recreio</t>
  </si>
  <si>
    <t>Lima Duarte</t>
  </si>
  <si>
    <t>Luz</t>
  </si>
  <si>
    <t>Córrego Dantas</t>
  </si>
  <si>
    <t>Machado</t>
  </si>
  <si>
    <t>Cana do Reino</t>
  </si>
  <si>
    <t>Malacacheta</t>
  </si>
  <si>
    <t>Manga</t>
  </si>
  <si>
    <t>Manhuaçú</t>
  </si>
  <si>
    <t>Simonésia</t>
  </si>
  <si>
    <t>Manhumirim</t>
  </si>
  <si>
    <t>Presidente Soares</t>
  </si>
  <si>
    <t>Mantena</t>
  </si>
  <si>
    <t>Mendes Pimentel</t>
  </si>
  <si>
    <t>Mar de Espanha</t>
  </si>
  <si>
    <t>Chiador</t>
  </si>
  <si>
    <t>Mariana</t>
  </si>
  <si>
    <t>Mateus Leme</t>
  </si>
  <si>
    <t>Matias Barbosa</t>
  </si>
  <si>
    <t>Santana do Deserto</t>
  </si>
  <si>
    <t>Matozinhos</t>
  </si>
  <si>
    <t>Capim Branco</t>
  </si>
  <si>
    <t>Medina</t>
  </si>
  <si>
    <t>Comercinho</t>
  </si>
  <si>
    <t>Mercês</t>
  </si>
  <si>
    <t>Mesquita</t>
  </si>
  <si>
    <t>Joanésia</t>
  </si>
  <si>
    <t>Minas Novas</t>
  </si>
  <si>
    <t>Turmalina</t>
  </si>
  <si>
    <t>Miradouro</t>
  </si>
  <si>
    <t>Vieiras</t>
  </si>
  <si>
    <t>Miraí</t>
  </si>
  <si>
    <t>Monte Alegre de Minas</t>
  </si>
  <si>
    <t>Monte Azul</t>
  </si>
  <si>
    <t>Mato Verde</t>
  </si>
  <si>
    <t>Monte Belo</t>
  </si>
  <si>
    <t>Monte Carmelo</t>
  </si>
  <si>
    <t>Monte Santo de Minas</t>
  </si>
  <si>
    <t>Arceburgo</t>
  </si>
  <si>
    <t>Montes Claros</t>
  </si>
  <si>
    <t>Juramento</t>
  </si>
  <si>
    <t>São João da Ponte</t>
  </si>
  <si>
    <t>Monte Sião</t>
  </si>
  <si>
    <t>Morada Nova de Minas</t>
  </si>
  <si>
    <t>Muriaé</t>
  </si>
  <si>
    <t>Laranjal</t>
  </si>
  <si>
    <t>Patrocínio de Muiraé</t>
  </si>
  <si>
    <t>177ª</t>
  </si>
  <si>
    <t>178ª</t>
  </si>
  <si>
    <t>Musambinho</t>
  </si>
  <si>
    <t>Juruaia</t>
  </si>
  <si>
    <t>179ª</t>
  </si>
  <si>
    <t>Nanuque</t>
  </si>
  <si>
    <t>180ª</t>
  </si>
  <si>
    <t>Natércia</t>
  </si>
  <si>
    <t>181ª</t>
  </si>
  <si>
    <t>Nepomeceno</t>
  </si>
  <si>
    <t>182ª</t>
  </si>
  <si>
    <t>Nova Era</t>
  </si>
  <si>
    <t>183ª</t>
  </si>
  <si>
    <t>Nova Lima</t>
  </si>
  <si>
    <t>Raposos</t>
  </si>
  <si>
    <t>Rio Acima</t>
  </si>
  <si>
    <t>184ª</t>
  </si>
  <si>
    <t>Nova Ponte</t>
  </si>
  <si>
    <t>185ª</t>
  </si>
  <si>
    <t>Nova Resende</t>
  </si>
  <si>
    <t>186ª</t>
  </si>
  <si>
    <t>Novo Cruzeiro</t>
  </si>
  <si>
    <t>187ª</t>
  </si>
  <si>
    <t>Oliveira</t>
  </si>
  <si>
    <t>Carmópolis de Minas</t>
  </si>
  <si>
    <t>188ª</t>
  </si>
  <si>
    <t>Ouro Fino</t>
  </si>
  <si>
    <t>189ª</t>
  </si>
  <si>
    <t>Ouro Prêto</t>
  </si>
  <si>
    <t>190ª</t>
  </si>
  <si>
    <t>Pains</t>
  </si>
  <si>
    <t>191ª</t>
  </si>
  <si>
    <t>Palma</t>
  </si>
  <si>
    <t>192ª</t>
  </si>
  <si>
    <t>Paracatu</t>
  </si>
  <si>
    <t>Vazante</t>
  </si>
  <si>
    <t>193ª</t>
  </si>
  <si>
    <t>Pará de Minas</t>
  </si>
  <si>
    <t>Pequi</t>
  </si>
  <si>
    <t>São Gonçalo do Pará</t>
  </si>
  <si>
    <t>194ª</t>
  </si>
  <si>
    <t>Paraguaçu</t>
  </si>
  <si>
    <t>Fama</t>
  </si>
  <si>
    <t>195ª</t>
  </si>
  <si>
    <t>Paraisópolis</t>
  </si>
  <si>
    <t>Conceição dos Ouros</t>
  </si>
  <si>
    <t>Sapucaí-Mirim</t>
  </si>
  <si>
    <t>196ª</t>
  </si>
  <si>
    <t>Paraopeba</t>
  </si>
  <si>
    <t>Caetanópolis</t>
  </si>
  <si>
    <t>197ª</t>
  </si>
  <si>
    <t>Passa Quatro</t>
  </si>
  <si>
    <t>198ª</t>
  </si>
  <si>
    <t>Passa Tempo</t>
  </si>
  <si>
    <t>Piracema</t>
  </si>
  <si>
    <t>199ª</t>
  </si>
  <si>
    <t>Passos</t>
  </si>
  <si>
    <t>São João Batista do Glória</t>
  </si>
  <si>
    <t>200ª</t>
  </si>
  <si>
    <t>Patos de Minas</t>
  </si>
  <si>
    <t>201ª</t>
  </si>
  <si>
    <t>Patrocínio</t>
  </si>
  <si>
    <t>Serra do Salitre</t>
  </si>
  <si>
    <t>202ª</t>
  </si>
  <si>
    <t>Peçanha</t>
  </si>
  <si>
    <t>Coroací</t>
  </si>
  <si>
    <t>São José do Jacurí</t>
  </si>
  <si>
    <t>Virgolândia</t>
  </si>
  <si>
    <t>203ª</t>
  </si>
  <si>
    <t>Pedra Azul</t>
  </si>
  <si>
    <t>204ª</t>
  </si>
  <si>
    <t>Pedralva</t>
  </si>
  <si>
    <t>São José do Alegre</t>
  </si>
  <si>
    <t>205ª</t>
  </si>
  <si>
    <t>Pedro Leopoldo</t>
  </si>
  <si>
    <t>Ribeirão das Neves</t>
  </si>
  <si>
    <t>206ª</t>
  </si>
  <si>
    <t>Perdões</t>
  </si>
  <si>
    <t>207ª</t>
  </si>
  <si>
    <t>Piranga</t>
  </si>
  <si>
    <t>Guaraciaba</t>
  </si>
  <si>
    <t>Senhora de Oliveira</t>
  </si>
  <si>
    <t>Pôrto Firme</t>
  </si>
  <si>
    <t>208ª</t>
  </si>
  <si>
    <t>Pirapora</t>
  </si>
  <si>
    <t>Jequitaí</t>
  </si>
  <si>
    <t>Lassance</t>
  </si>
  <si>
    <t>Várzea da Palma</t>
  </si>
  <si>
    <t>209ª</t>
  </si>
  <si>
    <t>Pitangui</t>
  </si>
  <si>
    <t>Maravilhas</t>
  </si>
  <si>
    <t>Martinho Campos</t>
  </si>
  <si>
    <t>Nova Serrana</t>
  </si>
  <si>
    <t>Papagaios</t>
  </si>
  <si>
    <t>210ª</t>
  </si>
  <si>
    <t>Piuí</t>
  </si>
  <si>
    <t>Capitólio</t>
  </si>
  <si>
    <t>211ª</t>
  </si>
  <si>
    <t>Poço Fundo</t>
  </si>
  <si>
    <t>212ª</t>
  </si>
  <si>
    <t>Poços de Caldas</t>
  </si>
  <si>
    <t>213ª</t>
  </si>
  <si>
    <t>Pompeu</t>
  </si>
  <si>
    <t>214ª</t>
  </si>
  <si>
    <t>Ponte Nova</t>
  </si>
  <si>
    <t>Barra Longa</t>
  </si>
  <si>
    <t>Santa Cruz do Escalvado</t>
  </si>
  <si>
    <t>215ª</t>
  </si>
  <si>
    <t>Porteirinha</t>
  </si>
  <si>
    <t>Janaúba</t>
  </si>
  <si>
    <t>216ª</t>
  </si>
  <si>
    <t>Pouso Alegre</t>
  </si>
  <si>
    <t>Congonhal</t>
  </si>
  <si>
    <t>Estiva</t>
  </si>
  <si>
    <t>217ª</t>
  </si>
  <si>
    <t>Pouso Alto</t>
  </si>
  <si>
    <t>São Lourenço</t>
  </si>
  <si>
    <t>Virgínia</t>
  </si>
  <si>
    <t>218ª</t>
  </si>
  <si>
    <t>Prados</t>
  </si>
  <si>
    <t>219ª</t>
  </si>
  <si>
    <t>220ª</t>
  </si>
  <si>
    <t>Presidente Olegário</t>
  </si>
  <si>
    <t>221ª</t>
  </si>
  <si>
    <t>Raul Soares</t>
  </si>
  <si>
    <t>222ª</t>
  </si>
  <si>
    <t>Resende Costa</t>
  </si>
  <si>
    <t>223ª</t>
  </si>
  <si>
    <t>Resplendor</t>
  </si>
  <si>
    <t>Ituêta</t>
  </si>
  <si>
    <t>224ª</t>
  </si>
  <si>
    <t>Rio Casca</t>
  </si>
  <si>
    <t>Santo Antônio do Grama</t>
  </si>
  <si>
    <t>São Pedro dos Ferros</t>
  </si>
  <si>
    <t>225ª</t>
  </si>
  <si>
    <t>Rio Espera</t>
  </si>
  <si>
    <t>226ª</t>
  </si>
  <si>
    <t>Rio Nôvo</t>
  </si>
  <si>
    <t>Piau</t>
  </si>
  <si>
    <t>227ª</t>
  </si>
  <si>
    <t>Rio Paranaíba</t>
  </si>
  <si>
    <t>228ª</t>
  </si>
  <si>
    <t>Rio Pardo de Minas</t>
  </si>
  <si>
    <t>São João do Paraíso</t>
  </si>
  <si>
    <t>229ª</t>
  </si>
  <si>
    <t>Rio Piracicaba</t>
  </si>
  <si>
    <t>230ª</t>
  </si>
  <si>
    <t>Rio Pomba</t>
  </si>
  <si>
    <t>Piraúba</t>
  </si>
  <si>
    <t>Taboleiro</t>
  </si>
  <si>
    <t>231ª</t>
  </si>
  <si>
    <t>Rio Prêto</t>
  </si>
  <si>
    <t>Santa Rita do Jacutinga</t>
  </si>
  <si>
    <t>232ª</t>
  </si>
  <si>
    <t>Rio Vermelho</t>
  </si>
  <si>
    <t>233ª</t>
  </si>
  <si>
    <t>Sabará</t>
  </si>
  <si>
    <t>234ª</t>
  </si>
  <si>
    <t>Sabinópolis</t>
  </si>
  <si>
    <t>Paulistas</t>
  </si>
  <si>
    <t>235ª</t>
  </si>
  <si>
    <t>Sacramento</t>
  </si>
  <si>
    <t>236ª</t>
  </si>
  <si>
    <t>Salinas</t>
  </si>
  <si>
    <t>Taiobeiras</t>
  </si>
  <si>
    <t>237ª</t>
  </si>
  <si>
    <t>Santa Bárbara</t>
  </si>
  <si>
    <t>238ª</t>
  </si>
  <si>
    <t>Baldim</t>
  </si>
  <si>
    <t>Lagôa Santa</t>
  </si>
  <si>
    <t>Vespasiano</t>
  </si>
  <si>
    <t>239ª</t>
  </si>
  <si>
    <t>Santa Maria do Itabira</t>
  </si>
  <si>
    <t>240ª</t>
  </si>
  <si>
    <t>Santa Maria do Suaçuí</t>
  </si>
  <si>
    <t>São Sebastião do Maranhão</t>
  </si>
  <si>
    <t>241ª</t>
  </si>
  <si>
    <t>Santa Rita do Sapucaí</t>
  </si>
  <si>
    <t>Careaçu</t>
  </si>
  <si>
    <t>242ª</t>
  </si>
  <si>
    <t>Santo Antônio do Monte</t>
  </si>
  <si>
    <t>Perdigão</t>
  </si>
  <si>
    <t>Lagôa da Prata</t>
  </si>
  <si>
    <t>243ª</t>
  </si>
  <si>
    <t>Santos Dumont</t>
  </si>
  <si>
    <t>244ª</t>
  </si>
  <si>
    <t>São Domingos do Prata</t>
  </si>
  <si>
    <t>Dionísio</t>
  </si>
  <si>
    <t>Jaguaraçú</t>
  </si>
  <si>
    <t>Marliéria</t>
  </si>
  <si>
    <t>São José do Goiabal</t>
  </si>
  <si>
    <t>245ª</t>
  </si>
  <si>
    <t>São Francisco</t>
  </si>
  <si>
    <t>246ª</t>
  </si>
  <si>
    <t>São Gonçalo do Abaeté</t>
  </si>
  <si>
    <t>247ª</t>
  </si>
  <si>
    <t>São Gonçalo do Sapucaí</t>
  </si>
  <si>
    <t>Heliodora</t>
  </si>
  <si>
    <t>248ª</t>
  </si>
  <si>
    <t>São Gotardo</t>
  </si>
  <si>
    <t>Matutina</t>
  </si>
  <si>
    <t>250ª</t>
  </si>
  <si>
    <t>São João Del-Rei</t>
  </si>
  <si>
    <t>Nazareno</t>
  </si>
  <si>
    <t>Tiradentes</t>
  </si>
  <si>
    <t>251ª</t>
  </si>
  <si>
    <t>São João Evangelista</t>
  </si>
  <si>
    <t>Coluna</t>
  </si>
  <si>
    <t>252ª</t>
  </si>
  <si>
    <t>São João Nepomuceno</t>
  </si>
  <si>
    <t>Descoberto</t>
  </si>
  <si>
    <t>253ª</t>
  </si>
  <si>
    <t>São Romão</t>
  </si>
  <si>
    <t>254ª</t>
  </si>
  <si>
    <t>São Sebastião do Paraíso</t>
  </si>
  <si>
    <t>Capetinga</t>
  </si>
  <si>
    <t>Pratápolis</t>
  </si>
  <si>
    <t>255ª</t>
  </si>
  <si>
    <t>São Tomaz de Aquino</t>
  </si>
  <si>
    <t>256ª</t>
  </si>
  <si>
    <t>Senador Firmino</t>
  </si>
  <si>
    <t>Braz Pires</t>
  </si>
  <si>
    <t>Dôres do Turvo</t>
  </si>
  <si>
    <t>257ª</t>
  </si>
  <si>
    <t>Sêrro</t>
  </si>
  <si>
    <t>258ª</t>
  </si>
  <si>
    <t>Sete Lagôas</t>
  </si>
  <si>
    <t>Cordisburgo</t>
  </si>
  <si>
    <t>Inhaúma</t>
  </si>
  <si>
    <t>Jequitibá</t>
  </si>
  <si>
    <t>Santana de Pirapama</t>
  </si>
  <si>
    <t>259ª</t>
  </si>
  <si>
    <t>Silvianópolis</t>
  </si>
  <si>
    <t>260ª</t>
  </si>
  <si>
    <t>Tarumirim</t>
  </si>
  <si>
    <t>261ª</t>
  </si>
  <si>
    <t>262ª</t>
  </si>
  <si>
    <t>Teófilo Otoni</t>
  </si>
  <si>
    <t>Ataleia</t>
  </si>
  <si>
    <t>Poté</t>
  </si>
  <si>
    <t>Ladainha</t>
  </si>
  <si>
    <t>263ª</t>
  </si>
  <si>
    <t>Tiros</t>
  </si>
  <si>
    <t>264ª</t>
  </si>
  <si>
    <t>Tombos</t>
  </si>
  <si>
    <t>265ª</t>
  </si>
  <si>
    <t>Três Corações</t>
  </si>
  <si>
    <t>266ª</t>
  </si>
  <si>
    <t>Três Pontas</t>
  </si>
  <si>
    <t>267ª</t>
  </si>
  <si>
    <t>Tupaciguara</t>
  </si>
  <si>
    <t>268ª</t>
  </si>
  <si>
    <t>Ubá</t>
  </si>
  <si>
    <t>Guidoval</t>
  </si>
  <si>
    <t>Tocantins</t>
  </si>
  <si>
    <t>269ª</t>
  </si>
  <si>
    <t>Uberaba</t>
  </si>
  <si>
    <t>270ª</t>
  </si>
  <si>
    <t>Água Comprida</t>
  </si>
  <si>
    <t>Campo Florido</t>
  </si>
  <si>
    <t>Veríssimo</t>
  </si>
  <si>
    <t>271ª</t>
  </si>
  <si>
    <t>Uberlândia</t>
  </si>
  <si>
    <t>272ª</t>
  </si>
  <si>
    <t>Unaí</t>
  </si>
  <si>
    <t>273ª</t>
  </si>
  <si>
    <t>Varginha</t>
  </si>
  <si>
    <t>Carmo da Cachoeira</t>
  </si>
  <si>
    <t>274ª</t>
  </si>
  <si>
    <t>Coimbra</t>
  </si>
  <si>
    <t>São Miguel do Anta</t>
  </si>
  <si>
    <t>275ª</t>
  </si>
  <si>
    <t>Virginópolis</t>
  </si>
  <si>
    <t>276ª</t>
  </si>
  <si>
    <t>Visconde do Rio Branco</t>
  </si>
  <si>
    <t>Guiricema</t>
  </si>
  <si>
    <t>Paulo Cândido</t>
  </si>
  <si>
    <t>São Geraldo</t>
  </si>
  <si>
    <t>DISTRITO FEDERAL (BRASÍLIA)</t>
  </si>
  <si>
    <t>Cida
des-
satéli
ties</t>
  </si>
  <si>
    <t>Cidade Livre</t>
  </si>
  <si>
    <t>Planaltina</t>
  </si>
  <si>
    <t>Brasília (Área central)</t>
  </si>
  <si>
    <t>Juntas
Apura
doras</t>
  </si>
  <si>
    <t>1ª Junta</t>
  </si>
  <si>
    <t>2ª Junta</t>
  </si>
  <si>
    <t>3ª Junta</t>
  </si>
  <si>
    <t>TERRITÓRIO DO ACRE</t>
  </si>
  <si>
    <t>Rio Branco</t>
  </si>
  <si>
    <t>Xapuri</t>
  </si>
  <si>
    <t>Brasiléia</t>
  </si>
  <si>
    <t>Sena Madureira</t>
  </si>
  <si>
    <t>Feijó</t>
  </si>
  <si>
    <t>Tarauacá</t>
  </si>
  <si>
    <t>Total (Extroficial)</t>
  </si>
  <si>
    <t>Total (Final do TSE)</t>
  </si>
  <si>
    <t>TERRITÓRIO DE RONDÔNIA</t>
  </si>
  <si>
    <t>Porto Velho</t>
  </si>
  <si>
    <t>Guarajá-Mirim</t>
  </si>
  <si>
    <t>CIDADE DE SÃO PAULO</t>
  </si>
  <si>
    <t>DISTRITOS/SUBDISTRITOS:</t>
  </si>
  <si>
    <t>Distritos/Subdistritos</t>
  </si>
  <si>
    <t>Aclimação</t>
  </si>
  <si>
    <t>Alto da Mooca</t>
  </si>
  <si>
    <t>Artur Alvim</t>
  </si>
  <si>
    <t>Bairro do Limão</t>
  </si>
  <si>
    <t>Barra Funda</t>
  </si>
  <si>
    <t>Belenzinho</t>
  </si>
  <si>
    <t>Brás</t>
  </si>
  <si>
    <t>Butantã</t>
  </si>
  <si>
    <t>Cachoeirinha</t>
  </si>
  <si>
    <t>Campos Eliseos</t>
  </si>
  <si>
    <t>Cangaíba</t>
  </si>
  <si>
    <t>Capela do Socorro</t>
  </si>
  <si>
    <t>Casa Verde</t>
  </si>
  <si>
    <t>Cidade Ademar</t>
  </si>
  <si>
    <t>Cidade Dutra</t>
  </si>
  <si>
    <t>Cidade Mãe do Céu</t>
  </si>
  <si>
    <t>Cidade Vargas</t>
  </si>
  <si>
    <t>Consolação</t>
  </si>
  <si>
    <t>Edu Chaves</t>
  </si>
  <si>
    <t>Ermelino Matarazzo</t>
  </si>
  <si>
    <t>Estação 15 de Novembro</t>
  </si>
  <si>
    <t>Freguesia do Ó</t>
  </si>
  <si>
    <t>Guaianazes</t>
  </si>
  <si>
    <t>Higienópolis</t>
  </si>
  <si>
    <t>Ibirapuera</t>
  </si>
  <si>
    <t>Itaberaba</t>
  </si>
  <si>
    <t>Itaim (S. Miguel Paulista)</t>
  </si>
  <si>
    <t>Itaquera</t>
  </si>
  <si>
    <t>Isolina Mazzei</t>
  </si>
  <si>
    <t>Jaçanã</t>
  </si>
  <si>
    <t>Jaguaré</t>
  </si>
  <si>
    <t>Jardim América</t>
  </si>
  <si>
    <t>Jardim Paulista</t>
  </si>
  <si>
    <t>Jardim Tremembé</t>
  </si>
  <si>
    <t>Lausane Paulista</t>
  </si>
  <si>
    <t>Moinho Velho</t>
  </si>
  <si>
    <t>Mooca</t>
  </si>
  <si>
    <t>Parada Inglesa</t>
  </si>
  <si>
    <t>Parelheiros</t>
  </si>
  <si>
    <t>Pari</t>
  </si>
  <si>
    <t>Parque da Lapa</t>
  </si>
  <si>
    <t>Penha de França</t>
  </si>
  <si>
    <t>Perus</t>
  </si>
  <si>
    <t>Pirituba</t>
  </si>
  <si>
    <t>Sacomã</t>
  </si>
  <si>
    <t>Santa Ifigênia</t>
  </si>
  <si>
    <t>São Miguel Paulista</t>
  </si>
  <si>
    <t>Sé</t>
  </si>
  <si>
    <t>Tatuapé</t>
  </si>
  <si>
    <t>Tucuruvi</t>
  </si>
  <si>
    <t>Vila Alpina</t>
  </si>
  <si>
    <t>Vila Anastácio</t>
  </si>
  <si>
    <t>Vila Bela</t>
  </si>
  <si>
    <t>Vila Brasilândia</t>
  </si>
  <si>
    <t>Vila Buarque</t>
  </si>
  <si>
    <t>Vila California</t>
  </si>
  <si>
    <t>Vila Carrão</t>
  </si>
  <si>
    <t>Vila Dalila</t>
  </si>
  <si>
    <t>Vila dos Remédios</t>
  </si>
  <si>
    <t>Vila Espanhola</t>
  </si>
  <si>
    <t>Vila Esperança</t>
  </si>
  <si>
    <t>Vila Formosa</t>
  </si>
  <si>
    <t>Vila Gustavo</t>
  </si>
  <si>
    <t>Vila Ipojuca</t>
  </si>
  <si>
    <t>Vila Jaguara</t>
  </si>
  <si>
    <t>Vila Leopoldina</t>
  </si>
  <si>
    <t>Vila Madalena</t>
  </si>
  <si>
    <t>Vila Mangalo</t>
  </si>
  <si>
    <t>Vila Maria</t>
  </si>
  <si>
    <t>Vila Mariana</t>
  </si>
  <si>
    <t>Vila Matilde</t>
  </si>
  <si>
    <t>Vila Mazzei</t>
  </si>
  <si>
    <t>Vila Olimpia</t>
  </si>
  <si>
    <t>Vila Palmeira</t>
  </si>
  <si>
    <t>Vila Pómpeia</t>
  </si>
  <si>
    <t>Vila Prudente</t>
  </si>
  <si>
    <t>Vila Romana</t>
  </si>
  <si>
    <t>Vila Santa Maria</t>
  </si>
  <si>
    <t>ESTADO DA GUANABARA (PARCIAL)</t>
  </si>
  <si>
    <t>Seção eleitoral</t>
  </si>
  <si>
    <t>283ª</t>
  </si>
  <si>
    <t>--</t>
  </si>
  <si>
    <t>280ª</t>
  </si>
  <si>
    <t>702ª</t>
  </si>
  <si>
    <t>5/17ª</t>
  </si>
  <si>
    <t>4/11ª</t>
  </si>
  <si>
    <t>6/11ª</t>
  </si>
  <si>
    <t>8/4ª</t>
  </si>
  <si>
    <t>2/30ª</t>
  </si>
  <si>
    <t>420ª</t>
  </si>
  <si>
    <t>421ª</t>
  </si>
  <si>
    <t>2/47ª</t>
  </si>
  <si>
    <t>3/1ª</t>
  </si>
  <si>
    <t>3/6ª</t>
  </si>
  <si>
    <t>2/52ª</t>
  </si>
  <si>
    <t>3/14ª</t>
  </si>
  <si>
    <t>3/7ª</t>
  </si>
  <si>
    <t>5/12ª</t>
  </si>
  <si>
    <t>290ª</t>
  </si>
  <si>
    <t>287ª</t>
  </si>
  <si>
    <t>16/5ª</t>
  </si>
  <si>
    <t>16/19ª</t>
  </si>
  <si>
    <t>7/15ª</t>
  </si>
  <si>
    <t>323ª</t>
  </si>
  <si>
    <t>629ª</t>
  </si>
  <si>
    <t>1210ª</t>
  </si>
  <si>
    <t>829ª</t>
  </si>
  <si>
    <t>618ª</t>
  </si>
  <si>
    <t>8/38ª</t>
  </si>
  <si>
    <t>8/13ª</t>
  </si>
  <si>
    <t>8/33ª</t>
  </si>
  <si>
    <t>12/52ª</t>
  </si>
  <si>
    <t>8/35ª</t>
  </si>
  <si>
    <t>18/1ª</t>
  </si>
  <si>
    <t>5/4ª</t>
  </si>
  <si>
    <t>12/28ª</t>
  </si>
  <si>
    <t>2/18ª</t>
  </si>
  <si>
    <t>15/2ª</t>
  </si>
  <si>
    <t>7/18ª</t>
  </si>
  <si>
    <t>8/23ª</t>
  </si>
  <si>
    <t>6/19ª</t>
  </si>
  <si>
    <t>8/1ª</t>
  </si>
  <si>
    <t>12/24ª</t>
  </si>
  <si>
    <t>12/30ª</t>
  </si>
  <si>
    <t>12/42ª</t>
  </si>
  <si>
    <t>Total (Parcial da 1ª ZE)</t>
  </si>
  <si>
    <t>Total (Parcial da 2ª ZE)</t>
  </si>
  <si>
    <t>Total (Parcial da 3ª ZE)</t>
  </si>
  <si>
    <t>Total (Parcial da 4ª ZE)</t>
  </si>
  <si>
    <t>Total (Parcial da 5ª ZE)</t>
  </si>
  <si>
    <t>Total (Parcial da 6ª ZE)</t>
  </si>
  <si>
    <t>Total (Parcial da 7ª ZE)</t>
  </si>
  <si>
    <t>Total (Parcial da 8ª ZE)</t>
  </si>
  <si>
    <t>Total (Parcial da 9ª ZE)</t>
  </si>
  <si>
    <t>Total (Parcial da 10ª ZE)</t>
  </si>
  <si>
    <t>Total (Parcial da 11ª ZE)</t>
  </si>
  <si>
    <t>Total (Parcial da 12ª ZE)</t>
  </si>
  <si>
    <t>Total (Parcial da 13ª ZE)</t>
  </si>
  <si>
    <t>Total (Parcial da 14ª ZE)</t>
  </si>
  <si>
    <t>Total (Parcial da 15ª ZE)</t>
  </si>
  <si>
    <t>Total (Parcial do Estado inteiro)</t>
  </si>
  <si>
    <t>ESTADO DA GUANABARA (FINAL)</t>
  </si>
  <si>
    <t>Rio de Janeiro</t>
  </si>
  <si>
    <t>Fernando de Noronha*</t>
  </si>
  <si>
    <t>Total (Final do Estado inteiro)</t>
  </si>
  <si>
    <t>Unidades Federativas:</t>
  </si>
  <si>
    <t>Unidades Federativas</t>
  </si>
  <si>
    <t>Estado do Amazonas</t>
  </si>
  <si>
    <t>Estado do Pará</t>
  </si>
  <si>
    <t>Estado do Maranhão</t>
  </si>
  <si>
    <t>Estado do Piauí</t>
  </si>
  <si>
    <t>Estado do Ceará</t>
  </si>
  <si>
    <t>Estado do Rio Grande do Norte</t>
  </si>
  <si>
    <t>Estado da Paraíba</t>
  </si>
  <si>
    <t>Estado de Pernambuco</t>
  </si>
  <si>
    <t>Estado de Alagoas</t>
  </si>
  <si>
    <t>Estado de Sergipe</t>
  </si>
  <si>
    <t>Estado da Bahia</t>
  </si>
  <si>
    <t>Estado do Mato Grosso</t>
  </si>
  <si>
    <t>Estado de Goiás</t>
  </si>
  <si>
    <t>Estado do Rio Grande do Sul</t>
  </si>
  <si>
    <t>Estado de Santa Catarina</t>
  </si>
  <si>
    <t>Estado do Paraná</t>
  </si>
  <si>
    <t>Estado do Espírito Santo</t>
  </si>
  <si>
    <t>Estado do Rio de Janeiro</t>
  </si>
  <si>
    <t>Estado de São Paulo</t>
  </si>
  <si>
    <t>Estado de Minas Gerais</t>
  </si>
  <si>
    <t>Estado da Guanabara</t>
  </si>
  <si>
    <t>Distrito Federal</t>
  </si>
  <si>
    <t>Território do Acre</t>
  </si>
  <si>
    <t>Território de Rondônia</t>
  </si>
  <si>
    <t>Território do Rio Branco</t>
  </si>
  <si>
    <t>Território do Amapá</t>
  </si>
  <si>
    <t>TOTAL NACIONAL</t>
  </si>
  <si>
    <t>Maranhão (Inclui 41ª ZE)*</t>
  </si>
  <si>
    <t>TOTAL NACIONAL*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</si>
</sst>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
  </numFmts>
  <fonts count="27">
    <font>
      <sz val="10.0"/>
      <color rgb="FF000000"/>
      <name val="Arial"/>
      <scheme val="minor"/>
    </font>
    <font>
      <b/>
      <sz val="13.0"/>
      <color rgb="FF000000"/>
      <name val="Lexend"/>
    </font>
    <font/>
    <font>
      <u/>
      <sz val="11.0"/>
      <color rgb="FF0000FF"/>
      <name val="Calibri"/>
    </font>
    <font>
      <b/>
      <sz val="12.0"/>
      <color rgb="FF000000"/>
      <name val="Lexend"/>
    </font>
    <font>
      <b/>
      <sz val="11.0"/>
      <color rgb="FF000000"/>
      <name val="Lexend"/>
    </font>
    <font>
      <sz val="11.0"/>
      <color theme="1"/>
      <name val="Calibri"/>
    </font>
    <font>
      <sz val="10.0"/>
      <color theme="1"/>
      <name val="Arial"/>
      <scheme val="minor"/>
    </font>
    <font>
      <color theme="1"/>
      <name val="Arial"/>
      <scheme val="minor"/>
    </font>
    <font>
      <b/>
      <u/>
      <color rgb="FF0000FF"/>
    </font>
    <font>
      <i/>
      <color theme="1"/>
      <name val="Arial"/>
      <scheme val="minor"/>
    </font>
    <font>
      <b/>
      <color theme="1"/>
      <name val="Arial"/>
      <scheme val="minor"/>
    </font>
    <font>
      <u/>
      <color rgb="FF0000FF"/>
    </font>
    <font>
      <u/>
      <sz val="10.0"/>
      <color rgb="FF0000FF"/>
    </font>
    <font>
      <u/>
      <color theme="1"/>
      <name val="Arial"/>
    </font>
    <font>
      <b/>
      <color theme="1"/>
      <name val="Arial"/>
    </font>
    <font>
      <color theme="1"/>
      <name val="Arial"/>
    </font>
    <font>
      <color rgb="FF999999"/>
      <name val="Arial"/>
    </font>
    <font>
      <i/>
      <color theme="1"/>
      <name val="Arial"/>
    </font>
    <font>
      <b/>
      <sz val="10.0"/>
      <color theme="1"/>
      <name val="Arial"/>
    </font>
    <font>
      <b/>
      <sz val="9.0"/>
      <color theme="1"/>
      <name val="Arial"/>
    </font>
    <font>
      <color rgb="FF000000"/>
      <name val="Arial"/>
    </font>
    <font>
      <color rgb="FFFFFFFF"/>
      <name val="Arial"/>
    </font>
    <font>
      <b/>
      <color rgb="FFFFFFFF"/>
      <name val="Arial"/>
      <scheme val="minor"/>
    </font>
    <font>
      <b/>
      <color rgb="FFFFFFFF"/>
      <name val="Arial"/>
    </font>
    <font>
      <b/>
      <color rgb="FF000000"/>
      <name val="Arial"/>
    </font>
    <font>
      <color rgb="FF000000"/>
      <name val="Arial"/>
      <scheme val="minor"/>
    </font>
  </fonts>
  <fills count="27">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B7B7B7"/>
        <bgColor rgb="FFB7B7B7"/>
      </patternFill>
    </fill>
    <fill>
      <patternFill patternType="solid">
        <fgColor rgb="FFD9D9D9"/>
        <bgColor rgb="FFD9D9D9"/>
      </patternFill>
    </fill>
    <fill>
      <patternFill patternType="solid">
        <fgColor rgb="FF434343"/>
        <bgColor rgb="FF434343"/>
      </patternFill>
    </fill>
    <fill>
      <patternFill patternType="solid">
        <fgColor rgb="FF999999"/>
        <bgColor rgb="FF999999"/>
      </patternFill>
    </fill>
    <fill>
      <patternFill patternType="solid">
        <fgColor rgb="FFFFFFFF"/>
        <bgColor rgb="FFFFFFFF"/>
      </patternFill>
    </fill>
    <fill>
      <patternFill patternType="solid">
        <fgColor rgb="FF62C092"/>
        <bgColor rgb="FF62C092"/>
      </patternFill>
    </fill>
    <fill>
      <patternFill patternType="solid">
        <fgColor rgb="FF93D4B5"/>
        <bgColor rgb="FF93D4B5"/>
      </patternFill>
    </fill>
    <fill>
      <patternFill patternType="solid">
        <fgColor rgb="FFEFF9F4"/>
        <bgColor rgb="FFEFF9F4"/>
      </patternFill>
    </fill>
    <fill>
      <patternFill patternType="solid">
        <fgColor rgb="FF98D6B8"/>
        <bgColor rgb="FF98D6B8"/>
      </patternFill>
    </fill>
    <fill>
      <patternFill patternType="solid">
        <fgColor rgb="FFC2E7D5"/>
        <bgColor rgb="FFC2E7D5"/>
      </patternFill>
    </fill>
    <fill>
      <patternFill patternType="solid">
        <fgColor rgb="FFF1FAF6"/>
        <bgColor rgb="FFF1FAF6"/>
      </patternFill>
    </fill>
    <fill>
      <patternFill patternType="solid">
        <fgColor rgb="FF66C295"/>
        <bgColor rgb="FF66C295"/>
      </patternFill>
    </fill>
    <fill>
      <patternFill patternType="solid">
        <fgColor rgb="FF82CDA8"/>
        <bgColor rgb="FF82CDA8"/>
      </patternFill>
    </fill>
    <fill>
      <patternFill patternType="solid">
        <fgColor rgb="FFFDFEFD"/>
        <bgColor rgb="FFFDFEFD"/>
      </patternFill>
    </fill>
    <fill>
      <patternFill patternType="solid">
        <fgColor rgb="FF57BB8A"/>
        <bgColor rgb="FF57BB8A"/>
      </patternFill>
    </fill>
    <fill>
      <patternFill patternType="solid">
        <fgColor rgb="FFF5FBF8"/>
        <bgColor rgb="FFF5FBF8"/>
      </patternFill>
    </fill>
    <fill>
      <patternFill patternType="solid">
        <fgColor rgb="FF666666"/>
        <bgColor rgb="FF666666"/>
      </patternFill>
    </fill>
    <fill>
      <patternFill patternType="solid">
        <fgColor rgb="FF005528"/>
        <bgColor rgb="FF005528"/>
      </patternFill>
    </fill>
    <fill>
      <patternFill patternType="solid">
        <fgColor rgb="FF216A79"/>
        <bgColor rgb="FF216A79"/>
      </patternFill>
    </fill>
    <fill>
      <patternFill patternType="solid">
        <fgColor rgb="FF2A1F20"/>
        <bgColor rgb="FF2A1F20"/>
      </patternFill>
    </fill>
    <fill>
      <patternFill patternType="solid">
        <fgColor rgb="FF7C1E2B"/>
        <bgColor rgb="FF7C1E2B"/>
      </patternFill>
    </fill>
    <fill>
      <patternFill patternType="solid">
        <fgColor rgb="FF2B396E"/>
        <bgColor rgb="FF2B396E"/>
      </patternFill>
    </fill>
    <fill>
      <patternFill patternType="solid">
        <fgColor rgb="FF80661A"/>
        <bgColor rgb="FF80661A"/>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horizontal="center" readingOrder="0" vertical="center"/>
    </xf>
    <xf borderId="8" fillId="0" fontId="2" numFmtId="0" xfId="0" applyBorder="1" applyFont="1"/>
    <xf borderId="7" fillId="0" fontId="2" numFmtId="0" xfId="0" applyBorder="1" applyFont="1"/>
    <xf borderId="1" fillId="2" fontId="4" numFmtId="0" xfId="0" applyAlignment="1" applyBorder="1" applyFont="1">
      <alignment horizontal="center" readingOrder="0" vertical="center"/>
    </xf>
    <xf borderId="9" fillId="2" fontId="5" numFmtId="0" xfId="0" applyAlignment="1" applyBorder="1" applyFont="1">
      <alignment horizontal="center" readingOrder="0" vertical="center"/>
    </xf>
    <xf borderId="10" fillId="0" fontId="2" numFmtId="0" xfId="0" applyBorder="1" applyFont="1"/>
    <xf borderId="11" fillId="0" fontId="2" numFmtId="0" xfId="0" applyBorder="1" applyFont="1"/>
    <xf borderId="1" fillId="0" fontId="6" numFmtId="0" xfId="0" applyAlignment="1" applyBorder="1" applyFont="1">
      <alignment horizontal="center" readingOrder="0" vertical="center"/>
    </xf>
    <xf borderId="4" fillId="0" fontId="7" numFmtId="0" xfId="0" applyAlignment="1" applyBorder="1" applyFont="1">
      <alignment horizontal="center" readingOrder="0" vertical="center"/>
    </xf>
    <xf borderId="12" fillId="3" fontId="7" numFmtId="0" xfId="0" applyAlignment="1" applyBorder="1" applyFill="1" applyFont="1">
      <alignment horizontal="center" readingOrder="0" vertical="center"/>
    </xf>
    <xf borderId="9" fillId="3" fontId="7" numFmtId="0" xfId="0" applyAlignment="1" applyBorder="1" applyFont="1">
      <alignment horizontal="center" readingOrder="0" vertical="center"/>
    </xf>
    <xf borderId="13" fillId="4" fontId="8" numFmtId="0" xfId="0" applyAlignment="1" applyBorder="1" applyFill="1" applyFont="1">
      <alignment horizontal="center" readingOrder="0" vertical="center"/>
    </xf>
    <xf borderId="9" fillId="0" fontId="9" numFmtId="0" xfId="0" applyAlignment="1" applyBorder="1" applyFont="1">
      <alignment horizontal="left" readingOrder="0"/>
    </xf>
    <xf borderId="9" fillId="0" fontId="10" numFmtId="0" xfId="0" applyAlignment="1" applyBorder="1" applyFont="1">
      <alignment horizontal="left" readingOrder="0"/>
    </xf>
    <xf borderId="9" fillId="0" fontId="8" numFmtId="0" xfId="0" applyAlignment="1" applyBorder="1" applyFont="1">
      <alignment horizontal="left" readingOrder="0"/>
    </xf>
    <xf borderId="12" fillId="0" fontId="8" numFmtId="0" xfId="0" applyAlignment="1" applyBorder="1" applyFont="1">
      <alignment horizontal="center" readingOrder="0"/>
    </xf>
    <xf borderId="14" fillId="0" fontId="2" numFmtId="0" xfId="0" applyBorder="1" applyFont="1"/>
    <xf borderId="15" fillId="0" fontId="2" numFmtId="0" xfId="0" applyBorder="1" applyFont="1"/>
    <xf borderId="9" fillId="0" fontId="11" numFmtId="0" xfId="0" applyAlignment="1" applyBorder="1" applyFont="1">
      <alignment horizontal="left" readingOrder="0"/>
    </xf>
    <xf borderId="9" fillId="0" fontId="12" numFmtId="0" xfId="0" applyAlignment="1" applyBorder="1" applyFont="1">
      <alignment horizontal="center" readingOrder="0"/>
    </xf>
    <xf borderId="9" fillId="3" fontId="13" numFmtId="0" xfId="0" applyAlignment="1" applyBorder="1" applyFont="1">
      <alignment horizontal="center" readingOrder="0" vertical="center"/>
    </xf>
    <xf borderId="0" fillId="0" fontId="14" numFmtId="0" xfId="0" applyAlignment="1" applyFont="1">
      <alignment horizontal="center" readingOrder="0" vertical="bottom"/>
    </xf>
    <xf borderId="0" fillId="0" fontId="8" numFmtId="0" xfId="0" applyAlignment="1" applyFont="1">
      <alignment horizontal="center" readingOrder="0"/>
    </xf>
    <xf borderId="0" fillId="0" fontId="11" numFmtId="0" xfId="0" applyAlignment="1" applyFont="1">
      <alignment horizontal="center"/>
    </xf>
    <xf borderId="9" fillId="5" fontId="11" numFmtId="0" xfId="0" applyAlignment="1" applyBorder="1" applyFill="1" applyFont="1">
      <alignment horizontal="center"/>
    </xf>
    <xf borderId="12" fillId="0" fontId="8" numFmtId="0" xfId="0" applyAlignment="1" applyBorder="1" applyFont="1">
      <alignment horizontal="center"/>
    </xf>
    <xf borderId="0" fillId="0" fontId="8" numFmtId="0" xfId="0" applyAlignment="1" applyFont="1">
      <alignment readingOrder="0"/>
    </xf>
    <xf borderId="9" fillId="6" fontId="15" numFmtId="0" xfId="0" applyAlignment="1" applyBorder="1" applyFill="1" applyFont="1">
      <alignment horizontal="center" readingOrder="0" vertical="bottom"/>
    </xf>
    <xf borderId="9" fillId="7" fontId="15" numFmtId="0" xfId="0" applyAlignment="1" applyBorder="1" applyFill="1" applyFont="1">
      <alignment horizontal="center" readingOrder="0" shrinkToFit="0" vertical="bottom" wrapText="0"/>
    </xf>
    <xf borderId="12" fillId="6" fontId="15" numFmtId="0" xfId="0" applyAlignment="1" applyBorder="1" applyFont="1">
      <alignment horizontal="center" vertical="bottom"/>
    </xf>
    <xf borderId="9" fillId="6" fontId="8" numFmtId="0" xfId="0" applyBorder="1" applyFont="1"/>
    <xf borderId="12" fillId="0" fontId="16" numFmtId="0" xfId="0" applyAlignment="1" applyBorder="1" applyFont="1">
      <alignment horizontal="center" readingOrder="0" vertical="bottom"/>
    </xf>
    <xf borderId="12" fillId="0" fontId="16" numFmtId="0" xfId="0" applyAlignment="1" applyBorder="1" applyFont="1">
      <alignment horizontal="center" vertical="bottom"/>
    </xf>
    <xf borderId="0" fillId="7" fontId="17" numFmtId="0" xfId="0" applyAlignment="1" applyFont="1">
      <alignment horizontal="center" readingOrder="0" vertical="bottom"/>
    </xf>
    <xf borderId="12" fillId="0" fontId="16" numFmtId="3" xfId="0" applyAlignment="1" applyBorder="1" applyFont="1" applyNumberFormat="1">
      <alignment horizontal="center" readingOrder="0" vertical="bottom"/>
    </xf>
    <xf borderId="0" fillId="7" fontId="16" numFmtId="0" xfId="0" applyAlignment="1" applyFont="1">
      <alignment horizontal="center" readingOrder="0" vertical="bottom"/>
    </xf>
    <xf borderId="12" fillId="0" fontId="16" numFmtId="164" xfId="0" applyAlignment="1" applyBorder="1" applyFont="1" applyNumberFormat="1">
      <alignment horizontal="center" readingOrder="0" vertical="bottom"/>
    </xf>
    <xf borderId="0" fillId="7" fontId="8" numFmtId="0" xfId="0" applyFont="1"/>
    <xf borderId="12" fillId="0" fontId="15" numFmtId="0" xfId="0" applyAlignment="1" applyBorder="1" applyFont="1">
      <alignment horizontal="center" readingOrder="0" vertical="bottom"/>
    </xf>
    <xf borderId="12" fillId="5" fontId="16" numFmtId="0" xfId="0" applyAlignment="1" applyBorder="1" applyFont="1">
      <alignment horizontal="center" readingOrder="0" vertical="bottom"/>
    </xf>
    <xf borderId="0" fillId="7" fontId="17" numFmtId="3" xfId="0" applyAlignment="1" applyFont="1" applyNumberFormat="1">
      <alignment horizontal="center" readingOrder="0" vertical="bottom"/>
    </xf>
    <xf borderId="12" fillId="0" fontId="16" numFmtId="0" xfId="0" applyAlignment="1" applyBorder="1" applyFont="1">
      <alignment horizontal="center" vertical="bottom"/>
    </xf>
    <xf borderId="12" fillId="8" fontId="16" numFmtId="10" xfId="0" applyAlignment="1" applyBorder="1" applyFill="1" applyFont="1" applyNumberFormat="1">
      <alignment horizontal="right" vertical="bottom"/>
    </xf>
    <xf borderId="0" fillId="7" fontId="16" numFmtId="3" xfId="0" applyAlignment="1" applyFont="1" applyNumberFormat="1">
      <alignment horizontal="center" readingOrder="0" vertical="bottom"/>
    </xf>
    <xf borderId="12" fillId="0" fontId="16" numFmtId="10" xfId="0" applyAlignment="1" applyBorder="1" applyFont="1" applyNumberFormat="1">
      <alignment horizontal="center" vertical="bottom"/>
    </xf>
    <xf borderId="15" fillId="0" fontId="16" numFmtId="0" xfId="0" applyAlignment="1" applyBorder="1" applyFont="1">
      <alignment horizontal="center" readingOrder="0" vertical="bottom"/>
    </xf>
    <xf borderId="4" fillId="0" fontId="16" numFmtId="0" xfId="0" applyAlignment="1" applyBorder="1" applyFont="1">
      <alignment horizontal="center" readingOrder="0" vertical="bottom"/>
    </xf>
    <xf borderId="0" fillId="7" fontId="8" numFmtId="0" xfId="0" applyAlignment="1" applyFont="1">
      <alignment horizontal="center" readingOrder="0"/>
    </xf>
    <xf borderId="12" fillId="0" fontId="18" numFmtId="0" xfId="0" applyAlignment="1" applyBorder="1" applyFont="1">
      <alignment horizontal="center" readingOrder="0" vertical="bottom"/>
    </xf>
    <xf borderId="13" fillId="0" fontId="15" numFmtId="0" xfId="0" applyAlignment="1" applyBorder="1" applyFont="1">
      <alignment horizontal="center" readingOrder="0" shrinkToFit="0" textRotation="0" vertical="center" wrapText="1"/>
    </xf>
    <xf borderId="12" fillId="0" fontId="16" numFmtId="0" xfId="0" applyAlignment="1" applyBorder="1" applyFont="1">
      <alignment horizontal="center" readingOrder="0" vertical="bottom"/>
    </xf>
    <xf borderId="9" fillId="0" fontId="16" numFmtId="0" xfId="0" applyAlignment="1" applyBorder="1" applyFont="1">
      <alignment horizontal="center" readingOrder="0" vertical="bottom"/>
    </xf>
    <xf borderId="12" fillId="0" fontId="16" numFmtId="0" xfId="0" applyAlignment="1" applyBorder="1" applyFont="1">
      <alignment horizontal="center" vertical="bottom"/>
    </xf>
    <xf borderId="9" fillId="0" fontId="16" numFmtId="0" xfId="0" applyAlignment="1" applyBorder="1" applyFont="1">
      <alignment horizontal="center" vertical="bottom"/>
    </xf>
    <xf borderId="13" fillId="0" fontId="15" numFmtId="0" xfId="0" applyAlignment="1" applyBorder="1" applyFont="1">
      <alignment horizontal="center" readingOrder="0" vertical="center"/>
    </xf>
    <xf borderId="12" fillId="8" fontId="16" numFmtId="10" xfId="0" applyAlignment="1" applyBorder="1" applyFont="1" applyNumberFormat="1">
      <alignment horizontal="center" vertical="bottom"/>
    </xf>
    <xf borderId="12" fillId="0" fontId="15" numFmtId="0" xfId="0" applyAlignment="1" applyBorder="1" applyFont="1">
      <alignment horizontal="center" readingOrder="0" shrinkToFit="0" vertical="bottom" wrapText="0"/>
    </xf>
    <xf borderId="12" fillId="5" fontId="16" numFmtId="0" xfId="0" applyAlignment="1" applyBorder="1" applyFont="1">
      <alignment horizontal="center" readingOrder="0" shrinkToFit="0" vertical="bottom" wrapText="0"/>
    </xf>
    <xf borderId="12" fillId="5" fontId="16" numFmtId="0" xfId="0" applyAlignment="1" applyBorder="1" applyFont="1">
      <alignment horizontal="center" vertical="bottom"/>
    </xf>
    <xf borderId="13" fillId="0" fontId="15" numFmtId="0" xfId="0" applyAlignment="1" applyBorder="1" applyFont="1">
      <alignment horizontal="center" readingOrder="0" shrinkToFit="0" vertical="center" wrapText="0"/>
    </xf>
    <xf borderId="13" fillId="0" fontId="16" numFmtId="0" xfId="0" applyAlignment="1" applyBorder="1" applyFont="1">
      <alignment horizontal="center" readingOrder="0" vertical="bottom"/>
    </xf>
    <xf borderId="11" fillId="0" fontId="16" numFmtId="0" xfId="0" applyAlignment="1" applyBorder="1" applyFont="1">
      <alignment horizontal="center" readingOrder="0" vertical="bottom"/>
    </xf>
    <xf borderId="9" fillId="5" fontId="15" numFmtId="0" xfId="0" applyAlignment="1" applyBorder="1" applyFont="1">
      <alignment horizontal="center" readingOrder="0" vertical="bottom"/>
    </xf>
    <xf borderId="6" fillId="0" fontId="16" numFmtId="0" xfId="0" applyAlignment="1" applyBorder="1" applyFont="1">
      <alignment horizontal="center" vertical="bottom"/>
    </xf>
    <xf borderId="11" fillId="0" fontId="16" numFmtId="0" xfId="0" applyAlignment="1" applyBorder="1" applyFont="1">
      <alignment horizontal="center" vertical="bottom"/>
    </xf>
    <xf borderId="11" fillId="0" fontId="18" numFmtId="0" xfId="0" applyAlignment="1" applyBorder="1" applyFont="1">
      <alignment horizontal="center" readingOrder="0" vertical="bottom"/>
    </xf>
    <xf borderId="0" fillId="8" fontId="8" numFmtId="0" xfId="0" applyFont="1"/>
    <xf borderId="12" fillId="5" fontId="11" numFmtId="0" xfId="0" applyAlignment="1" applyBorder="1" applyFont="1">
      <alignment horizontal="center" readingOrder="0"/>
    </xf>
    <xf borderId="0" fillId="0" fontId="11" numFmtId="0" xfId="0" applyAlignment="1" applyFont="1">
      <alignment horizontal="center" readingOrder="0"/>
    </xf>
    <xf borderId="12" fillId="0" fontId="11" numFmtId="0" xfId="0" applyAlignment="1" applyBorder="1" applyFont="1">
      <alignment horizontal="center" readingOrder="0"/>
    </xf>
    <xf borderId="0" fillId="0" fontId="16" numFmtId="0" xfId="0" applyAlignment="1" applyFont="1">
      <alignment horizontal="center" readingOrder="0" vertical="bottom"/>
    </xf>
    <xf borderId="11" fillId="5" fontId="16" numFmtId="0" xfId="0" applyAlignment="1" applyBorder="1" applyFont="1">
      <alignment horizontal="center" readingOrder="0" vertical="bottom"/>
    </xf>
    <xf borderId="8" fillId="7" fontId="16" numFmtId="3" xfId="0" applyAlignment="1" applyBorder="1" applyFont="1" applyNumberFormat="1">
      <alignment vertical="bottom"/>
    </xf>
    <xf borderId="11" fillId="8" fontId="16" numFmtId="10" xfId="0" applyAlignment="1" applyBorder="1" applyFont="1" applyNumberFormat="1">
      <alignment horizontal="right" vertical="bottom"/>
    </xf>
    <xf borderId="11" fillId="0" fontId="16" numFmtId="0" xfId="0" applyAlignment="1" applyBorder="1" applyFont="1">
      <alignment horizontal="center" vertical="bottom"/>
    </xf>
    <xf borderId="11" fillId="0" fontId="16" numFmtId="10" xfId="0" applyAlignment="1" applyBorder="1" applyFont="1" applyNumberFormat="1">
      <alignment horizontal="center" vertical="bottom"/>
    </xf>
    <xf borderId="0" fillId="0" fontId="16" numFmtId="0" xfId="0" applyAlignment="1" applyFont="1">
      <alignment readingOrder="0" vertical="bottom"/>
    </xf>
    <xf borderId="0" fillId="0" fontId="16" numFmtId="0" xfId="0" applyAlignment="1" applyFont="1">
      <alignment vertical="bottom"/>
    </xf>
    <xf borderId="0" fillId="7" fontId="8" numFmtId="0" xfId="0" applyAlignment="1" applyFont="1">
      <alignment horizontal="center"/>
    </xf>
    <xf borderId="13" fillId="0" fontId="15" numFmtId="0" xfId="0" applyAlignment="1" applyBorder="1" applyFont="1">
      <alignment horizontal="center" readingOrder="0" vertical="bottom"/>
    </xf>
    <xf borderId="3" fillId="5" fontId="16" numFmtId="0" xfId="0" applyAlignment="1" applyBorder="1" applyFont="1">
      <alignment horizontal="center" readingOrder="0" vertical="center"/>
    </xf>
    <xf borderId="13" fillId="0" fontId="16" numFmtId="0" xfId="0" applyAlignment="1" applyBorder="1" applyFont="1">
      <alignment horizontal="center" readingOrder="0" vertical="center"/>
    </xf>
    <xf borderId="13" fillId="0" fontId="16" numFmtId="0" xfId="0" applyAlignment="1" applyBorder="1" applyFont="1">
      <alignment horizontal="center" vertical="center"/>
    </xf>
    <xf borderId="13" fillId="8" fontId="16" numFmtId="10" xfId="0" applyAlignment="1" applyBorder="1" applyFont="1" applyNumberFormat="1">
      <alignment horizontal="right" vertical="center"/>
    </xf>
    <xf borderId="13" fillId="0" fontId="8" numFmtId="0" xfId="0" applyAlignment="1" applyBorder="1" applyFont="1">
      <alignment horizontal="center" vertical="center"/>
    </xf>
    <xf borderId="0" fillId="7" fontId="16" numFmtId="3" xfId="0" applyAlignment="1" applyFont="1" applyNumberFormat="1">
      <alignment horizontal="center" readingOrder="0" vertical="center"/>
    </xf>
    <xf borderId="0" fillId="7" fontId="8" numFmtId="0" xfId="0" applyAlignment="1" applyFont="1">
      <alignment horizontal="center" readingOrder="0" vertical="center"/>
    </xf>
    <xf borderId="13" fillId="0" fontId="16" numFmtId="10" xfId="0" applyAlignment="1" applyBorder="1" applyFont="1" applyNumberFormat="1">
      <alignment horizontal="center" vertical="center"/>
    </xf>
    <xf borderId="15" fillId="0" fontId="15" numFmtId="0" xfId="0" applyAlignment="1" applyBorder="1" applyFont="1">
      <alignment horizontal="center" readingOrder="0" vertical="bottom"/>
    </xf>
    <xf borderId="14" fillId="0" fontId="15" numFmtId="0" xfId="0" applyAlignment="1" applyBorder="1" applyFont="1">
      <alignment horizontal="center" readingOrder="0" vertical="center"/>
    </xf>
    <xf borderId="11" fillId="0" fontId="16" numFmtId="0" xfId="0" applyAlignment="1" applyBorder="1" applyFont="1">
      <alignment horizontal="center" readingOrder="0" vertical="bottom"/>
    </xf>
    <xf borderId="11" fillId="0" fontId="16" numFmtId="10" xfId="0" applyAlignment="1" applyBorder="1" applyFont="1" applyNumberFormat="1">
      <alignment horizontal="right" vertical="bottom"/>
    </xf>
    <xf borderId="8" fillId="7" fontId="16" numFmtId="3" xfId="0" applyAlignment="1" applyBorder="1" applyFont="1" applyNumberFormat="1">
      <alignment horizontal="center"/>
    </xf>
    <xf borderId="8" fillId="7" fontId="16" numFmtId="0" xfId="0" applyAlignment="1" applyBorder="1" applyFont="1">
      <alignment horizontal="center" vertical="bottom"/>
    </xf>
    <xf borderId="12" fillId="0" fontId="15" numFmtId="0" xfId="0" applyAlignment="1" applyBorder="1" applyFont="1">
      <alignment horizontal="center" readingOrder="0"/>
    </xf>
    <xf borderId="3" fillId="0" fontId="16" numFmtId="0" xfId="0" applyAlignment="1" applyBorder="1" applyFont="1">
      <alignment horizontal="center" readingOrder="0" vertical="center"/>
    </xf>
    <xf borderId="3" fillId="0" fontId="16" numFmtId="0" xfId="0" applyAlignment="1" applyBorder="1" applyFont="1">
      <alignment horizontal="center" vertical="center"/>
    </xf>
    <xf borderId="3" fillId="0" fontId="16" numFmtId="10" xfId="0" applyAlignment="1" applyBorder="1" applyFont="1" applyNumberFormat="1">
      <alignment horizontal="right" vertical="center"/>
    </xf>
    <xf borderId="3" fillId="0" fontId="16" numFmtId="0" xfId="0" applyAlignment="1" applyBorder="1" applyFont="1">
      <alignment horizontal="center" vertical="center"/>
    </xf>
    <xf borderId="3" fillId="0" fontId="16" numFmtId="10" xfId="0" applyAlignment="1" applyBorder="1" applyFont="1" applyNumberFormat="1">
      <alignment horizontal="center" vertical="center"/>
    </xf>
    <xf borderId="8" fillId="7" fontId="16" numFmtId="3" xfId="0" applyAlignment="1" applyBorder="1" applyFont="1" applyNumberFormat="1">
      <alignment horizontal="center" vertical="bottom"/>
    </xf>
    <xf borderId="15" fillId="0" fontId="16" numFmtId="0" xfId="0" applyAlignment="1" applyBorder="1" applyFont="1">
      <alignment horizontal="center" vertical="bottom"/>
    </xf>
    <xf borderId="0" fillId="0" fontId="8" numFmtId="0" xfId="0" applyAlignment="1" applyFont="1">
      <alignment horizontal="center"/>
    </xf>
    <xf borderId="12" fillId="0" fontId="15" numFmtId="0" xfId="0" applyAlignment="1" applyBorder="1" applyFont="1">
      <alignment horizontal="center" readingOrder="0" vertical="center"/>
    </xf>
    <xf borderId="0" fillId="0" fontId="15" numFmtId="0" xfId="0" applyAlignment="1" applyFont="1">
      <alignment horizontal="center" readingOrder="0" vertical="bottom"/>
    </xf>
    <xf borderId="0" fillId="0" fontId="15" numFmtId="0" xfId="0" applyAlignment="1" applyFont="1">
      <alignment horizontal="center" vertical="bottom"/>
    </xf>
    <xf borderId="0" fillId="8" fontId="8" numFmtId="0" xfId="0" applyAlignment="1" applyFont="1">
      <alignment readingOrder="0"/>
    </xf>
    <xf borderId="12" fillId="0" fontId="18" numFmtId="0" xfId="0" applyAlignment="1" applyBorder="1" applyFont="1">
      <alignment horizontal="center" vertical="bottom"/>
    </xf>
    <xf borderId="14" fillId="7" fontId="16" numFmtId="0" xfId="0" applyAlignment="1" applyBorder="1" applyFont="1">
      <alignment vertical="bottom"/>
    </xf>
    <xf borderId="14" fillId="7" fontId="16" numFmtId="0" xfId="0" applyAlignment="1" applyBorder="1" applyFont="1">
      <alignment vertical="bottom"/>
    </xf>
    <xf borderId="14" fillId="7" fontId="16" numFmtId="3" xfId="0" applyAlignment="1" applyBorder="1" applyFont="1" applyNumberFormat="1">
      <alignment vertical="bottom"/>
    </xf>
    <xf borderId="14" fillId="7" fontId="16" numFmtId="3" xfId="0" applyAlignment="1" applyBorder="1" applyFont="1" applyNumberFormat="1">
      <alignment horizontal="center" vertical="bottom"/>
    </xf>
    <xf borderId="12" fillId="8" fontId="18" numFmtId="0" xfId="0" applyAlignment="1" applyBorder="1" applyFont="1">
      <alignment horizontal="center" readingOrder="0" vertical="bottom"/>
    </xf>
    <xf borderId="0" fillId="0" fontId="16" numFmtId="3" xfId="0" applyAlignment="1" applyFont="1" applyNumberFormat="1">
      <alignment horizontal="center" readingOrder="0" vertical="bottom"/>
    </xf>
    <xf borderId="0" fillId="0" fontId="16" numFmtId="10" xfId="0" applyAlignment="1" applyFont="1" applyNumberFormat="1">
      <alignment horizontal="center" vertical="bottom"/>
    </xf>
    <xf borderId="0" fillId="0" fontId="16" numFmtId="10" xfId="0" applyAlignment="1" applyFont="1" applyNumberFormat="1">
      <alignment horizontal="center" vertical="center"/>
    </xf>
    <xf borderId="13" fillId="5" fontId="16" numFmtId="0" xfId="0" applyAlignment="1" applyBorder="1" applyFont="1">
      <alignment horizontal="center" readingOrder="0" vertical="center"/>
    </xf>
    <xf borderId="0" fillId="7" fontId="17" numFmtId="3" xfId="0" applyAlignment="1" applyFont="1" applyNumberFormat="1">
      <alignment horizontal="center" readingOrder="0" vertical="center"/>
    </xf>
    <xf borderId="0" fillId="0" fontId="8" numFmtId="0" xfId="0" applyAlignment="1" applyFont="1">
      <alignment vertical="center"/>
    </xf>
    <xf borderId="15" fillId="0" fontId="15" numFmtId="0" xfId="0" applyAlignment="1" applyBorder="1" applyFont="1">
      <alignment horizontal="center" readingOrder="0" vertical="center"/>
    </xf>
    <xf borderId="15" fillId="5" fontId="16" numFmtId="0" xfId="0" applyAlignment="1" applyBorder="1" applyFont="1">
      <alignment horizontal="center" vertical="bottom"/>
    </xf>
    <xf borderId="15" fillId="5" fontId="16" numFmtId="0" xfId="0" applyAlignment="1" applyBorder="1" applyFont="1">
      <alignment horizontal="center" readingOrder="0" vertical="bottom"/>
    </xf>
    <xf borderId="12" fillId="8" fontId="16" numFmtId="4" xfId="0" applyAlignment="1" applyBorder="1" applyFont="1" applyNumberFormat="1">
      <alignment horizontal="center" readingOrder="0" vertical="bottom"/>
    </xf>
    <xf borderId="15" fillId="0" fontId="16" numFmtId="0" xfId="0" applyAlignment="1" applyBorder="1" applyFont="1">
      <alignment horizontal="center" readingOrder="0" vertical="bottom"/>
    </xf>
    <xf borderId="12" fillId="0" fontId="16" numFmtId="0" xfId="0" applyAlignment="1" applyBorder="1" applyFont="1">
      <alignment horizontal="center" readingOrder="0" vertical="center"/>
    </xf>
    <xf borderId="0" fillId="7" fontId="16" numFmtId="3" xfId="0" applyAlignment="1" applyFont="1" applyNumberFormat="1">
      <alignment vertical="bottom"/>
    </xf>
    <xf borderId="0" fillId="7" fontId="16" numFmtId="3" xfId="0" applyAlignment="1" applyFont="1" applyNumberFormat="1">
      <alignment horizontal="center" vertical="bottom"/>
    </xf>
    <xf borderId="0" fillId="0" fontId="16" numFmtId="0" xfId="0" applyAlignment="1" applyFont="1">
      <alignment horizontal="center" vertical="bottom"/>
    </xf>
    <xf borderId="0" fillId="0" fontId="8" numFmtId="165" xfId="0" applyFont="1" applyNumberFormat="1"/>
    <xf borderId="0" fillId="0" fontId="8" numFmtId="0" xfId="0" applyAlignment="1" applyFont="1">
      <alignment readingOrder="0" vertical="center"/>
    </xf>
    <xf borderId="0" fillId="0" fontId="8" numFmtId="10" xfId="0" applyFont="1" applyNumberFormat="1"/>
    <xf borderId="0" fillId="0" fontId="8" numFmtId="10" xfId="0" applyAlignment="1" applyFont="1" applyNumberFormat="1">
      <alignment readingOrder="0"/>
    </xf>
    <xf borderId="9" fillId="5" fontId="11" numFmtId="0" xfId="0" applyAlignment="1" applyBorder="1" applyFont="1">
      <alignment horizontal="center" readingOrder="0"/>
    </xf>
    <xf borderId="12" fillId="6" fontId="8" numFmtId="0" xfId="0" applyBorder="1" applyFont="1"/>
    <xf borderId="9" fillId="0" fontId="16" numFmtId="0" xfId="0" applyAlignment="1" applyBorder="1" applyFont="1">
      <alignment horizontal="center" readingOrder="0" vertical="bottom"/>
    </xf>
    <xf borderId="0" fillId="0" fontId="19" numFmtId="0" xfId="0" applyAlignment="1" applyFont="1">
      <alignment horizontal="center" readingOrder="0" shrinkToFit="0" textRotation="0" vertical="center" wrapText="1"/>
    </xf>
    <xf borderId="9" fillId="5" fontId="16" numFmtId="0" xfId="0" applyAlignment="1" applyBorder="1" applyFont="1">
      <alignment horizontal="center" readingOrder="0" vertical="bottom"/>
    </xf>
    <xf borderId="13" fillId="0" fontId="20" numFmtId="0" xfId="0" applyAlignment="1" applyBorder="1" applyFont="1">
      <alignment horizontal="center" readingOrder="0" vertical="center"/>
    </xf>
    <xf borderId="12" fillId="8" fontId="18" numFmtId="10" xfId="0" applyAlignment="1" applyBorder="1" applyFont="1" applyNumberFormat="1">
      <alignment horizontal="right" vertical="bottom"/>
    </xf>
    <xf borderId="9" fillId="6" fontId="16" numFmtId="0" xfId="0" applyAlignment="1" applyBorder="1" applyFont="1">
      <alignment vertical="bottom"/>
    </xf>
    <xf borderId="9" fillId="7" fontId="15" numFmtId="0" xfId="0" applyAlignment="1" applyBorder="1" applyFont="1">
      <alignment horizontal="center" shrinkToFit="0" vertical="bottom" wrapText="0"/>
    </xf>
    <xf borderId="12" fillId="6" fontId="16" numFmtId="0" xfId="0" applyAlignment="1" applyBorder="1" applyFont="1">
      <alignment vertical="bottom"/>
    </xf>
    <xf borderId="9" fillId="0" fontId="16" numFmtId="0" xfId="0" applyAlignment="1" applyBorder="1" applyFont="1">
      <alignment horizontal="center" vertical="bottom"/>
    </xf>
    <xf borderId="0" fillId="7" fontId="16" numFmtId="0" xfId="0" applyAlignment="1" applyFont="1">
      <alignment vertical="bottom"/>
    </xf>
    <xf borderId="12" fillId="0" fontId="16" numFmtId="164" xfId="0" applyAlignment="1" applyBorder="1" applyFont="1" applyNumberFormat="1">
      <alignment horizontal="center" vertical="bottom"/>
    </xf>
    <xf borderId="12" fillId="9" fontId="16" numFmtId="10" xfId="0" applyAlignment="1" applyBorder="1" applyFill="1" applyFont="1" applyNumberFormat="1">
      <alignment horizontal="right" vertical="bottom"/>
    </xf>
    <xf borderId="12" fillId="10" fontId="16" numFmtId="10" xfId="0" applyAlignment="1" applyBorder="1" applyFill="1" applyFont="1" applyNumberFormat="1">
      <alignment horizontal="right" vertical="bottom"/>
    </xf>
    <xf borderId="12" fillId="11" fontId="16" numFmtId="10" xfId="0" applyAlignment="1" applyBorder="1" applyFill="1" applyFont="1" applyNumberFormat="1">
      <alignment horizontal="right" vertical="bottom"/>
    </xf>
    <xf borderId="12" fillId="12" fontId="16" numFmtId="10" xfId="0" applyAlignment="1" applyBorder="1" applyFill="1" applyFont="1" applyNumberFormat="1">
      <alignment horizontal="right" vertical="bottom"/>
    </xf>
    <xf borderId="12" fillId="13" fontId="16" numFmtId="10" xfId="0" applyAlignment="1" applyBorder="1" applyFill="1" applyFont="1" applyNumberFormat="1">
      <alignment horizontal="right" vertical="bottom"/>
    </xf>
    <xf borderId="12" fillId="14" fontId="16" numFmtId="10" xfId="0" applyAlignment="1" applyBorder="1" applyFill="1" applyFont="1" applyNumberFormat="1">
      <alignment horizontal="right" vertical="bottom"/>
    </xf>
    <xf borderId="12" fillId="0" fontId="18" numFmtId="0" xfId="0" applyAlignment="1" applyBorder="1" applyFont="1">
      <alignment horizontal="center" vertical="bottom"/>
    </xf>
    <xf borderId="12" fillId="15" fontId="18" numFmtId="10" xfId="0" applyAlignment="1" applyBorder="1" applyFill="1" applyFont="1" applyNumberFormat="1">
      <alignment horizontal="right" vertical="bottom"/>
    </xf>
    <xf borderId="12" fillId="16" fontId="18" numFmtId="10" xfId="0" applyAlignment="1" applyBorder="1" applyFill="1" applyFont="1" applyNumberFormat="1">
      <alignment horizontal="right" vertical="bottom"/>
    </xf>
    <xf borderId="12" fillId="17" fontId="18" numFmtId="10" xfId="0" applyAlignment="1" applyBorder="1" applyFill="1" applyFont="1" applyNumberFormat="1">
      <alignment horizontal="right" vertical="bottom"/>
    </xf>
    <xf borderId="12" fillId="18" fontId="18" numFmtId="10" xfId="0" applyAlignment="1" applyBorder="1" applyFill="1" applyFont="1" applyNumberFormat="1">
      <alignment horizontal="right" vertical="bottom"/>
    </xf>
    <xf borderId="12" fillId="19" fontId="18" numFmtId="10" xfId="0" applyAlignment="1" applyBorder="1" applyFill="1" applyFont="1" applyNumberFormat="1">
      <alignment horizontal="right" vertical="bottom"/>
    </xf>
    <xf borderId="0" fillId="7" fontId="21" numFmtId="3" xfId="0" applyAlignment="1" applyFont="1" applyNumberFormat="1">
      <alignment horizontal="center" readingOrder="0" vertical="bottom"/>
    </xf>
    <xf borderId="9" fillId="5" fontId="16" numFmtId="0" xfId="0" applyAlignment="1" applyBorder="1" applyFont="1">
      <alignment horizontal="center" vertical="bottom"/>
    </xf>
    <xf borderId="0" fillId="20" fontId="16" numFmtId="0" xfId="0" applyAlignment="1" applyFill="1" applyFont="1">
      <alignment vertical="bottom"/>
    </xf>
    <xf borderId="0" fillId="20" fontId="22" numFmtId="3" xfId="0" applyAlignment="1" applyFont="1" applyNumberFormat="1">
      <alignment horizontal="center" vertical="bottom"/>
    </xf>
    <xf borderId="0" fillId="20" fontId="23" numFmtId="0" xfId="0" applyAlignment="1" applyFont="1">
      <alignment horizontal="center"/>
    </xf>
    <xf borderId="0" fillId="20" fontId="23" numFmtId="0" xfId="0" applyAlignment="1" applyFont="1">
      <alignment horizontal="center" readingOrder="0"/>
    </xf>
    <xf borderId="12" fillId="0" fontId="21" numFmtId="0" xfId="0" applyAlignment="1" applyBorder="1" applyFont="1">
      <alignment horizontal="center" readingOrder="0" vertical="bottom"/>
    </xf>
    <xf borderId="12" fillId="21" fontId="22" numFmtId="10" xfId="0" applyAlignment="1" applyBorder="1" applyFill="1" applyFont="1" applyNumberFormat="1">
      <alignment horizontal="center" vertical="bottom"/>
    </xf>
    <xf borderId="12" fillId="22" fontId="22" numFmtId="10" xfId="0" applyAlignment="1" applyBorder="1" applyFill="1" applyFont="1" applyNumberFormat="1">
      <alignment horizontal="center" vertical="bottom"/>
    </xf>
    <xf borderId="12" fillId="23" fontId="22" numFmtId="10" xfId="0" applyAlignment="1" applyBorder="1" applyFill="1" applyFont="1" applyNumberFormat="1">
      <alignment horizontal="center" vertical="bottom"/>
    </xf>
    <xf borderId="12" fillId="0" fontId="21" numFmtId="0" xfId="0" applyAlignment="1" applyBorder="1" applyFont="1">
      <alignment horizontal="center" vertical="bottom"/>
    </xf>
    <xf borderId="11" fillId="0" fontId="21" numFmtId="0" xfId="0" applyAlignment="1" applyBorder="1" applyFont="1">
      <alignment horizontal="center" vertical="bottom"/>
    </xf>
    <xf borderId="12" fillId="24" fontId="22" numFmtId="10" xfId="0" applyAlignment="1" applyBorder="1" applyFill="1" applyFont="1" applyNumberFormat="1">
      <alignment horizontal="center" vertical="bottom"/>
    </xf>
    <xf borderId="12" fillId="25" fontId="22" numFmtId="10" xfId="0" applyAlignment="1" applyBorder="1" applyFill="1" applyFont="1" applyNumberFormat="1">
      <alignment horizontal="center" vertical="bottom"/>
    </xf>
    <xf borderId="12" fillId="26" fontId="22" numFmtId="10" xfId="0" applyAlignment="1" applyBorder="1" applyFill="1" applyFont="1" applyNumberFormat="1">
      <alignment horizontal="center" vertical="bottom"/>
    </xf>
    <xf borderId="9" fillId="0" fontId="16" numFmtId="10" xfId="0" applyAlignment="1" applyBorder="1" applyFont="1" applyNumberFormat="1">
      <alignment horizontal="center" vertical="bottom"/>
    </xf>
    <xf borderId="7" fillId="0" fontId="15" numFmtId="0" xfId="0" applyAlignment="1" applyBorder="1" applyFont="1">
      <alignment horizontal="center" readingOrder="0" vertical="bottom"/>
    </xf>
    <xf borderId="0" fillId="7" fontId="17" numFmtId="3" xfId="0" applyAlignment="1" applyFont="1" applyNumberFormat="1">
      <alignment horizontal="center" vertical="bottom"/>
    </xf>
    <xf borderId="11" fillId="0" fontId="21" numFmtId="0" xfId="0" applyAlignment="1" applyBorder="1" applyFont="1">
      <alignment horizontal="center" readingOrder="0" vertical="bottom"/>
    </xf>
    <xf borderId="0" fillId="7" fontId="8" numFmtId="3" xfId="0" applyAlignment="1" applyFont="1" applyNumberFormat="1">
      <alignment horizontal="center" readingOrder="0"/>
    </xf>
    <xf borderId="0" fillId="7" fontId="8" numFmtId="3" xfId="0" applyAlignment="1" applyFont="1" applyNumberFormat="1">
      <alignment horizontal="center"/>
    </xf>
    <xf borderId="0" fillId="7" fontId="8" numFmtId="3" xfId="0" applyAlignment="1" applyFont="1" applyNumberFormat="1">
      <alignment readingOrder="0"/>
    </xf>
    <xf borderId="12" fillId="0" fontId="21" numFmtId="0" xfId="0" applyAlignment="1" applyBorder="1" applyFont="1">
      <alignment horizontal="center" vertical="bottom"/>
    </xf>
    <xf borderId="12" fillId="21" fontId="24" numFmtId="10" xfId="0" applyAlignment="1" applyBorder="1" applyFont="1" applyNumberFormat="1">
      <alignment horizontal="center" vertical="bottom"/>
    </xf>
    <xf borderId="12" fillId="0" fontId="11" numFmtId="0" xfId="0" applyAlignment="1" applyBorder="1" applyFont="1">
      <alignment horizontal="center"/>
    </xf>
    <xf borderId="12" fillId="0" fontId="25" numFmtId="0" xfId="0" applyAlignment="1" applyBorder="1" applyFont="1">
      <alignment horizontal="center" readingOrder="0" vertical="bottom"/>
    </xf>
    <xf borderId="12" fillId="24" fontId="24" numFmtId="10" xfId="0" applyAlignment="1" applyBorder="1" applyFont="1" applyNumberFormat="1">
      <alignment horizontal="center" vertical="bottom"/>
    </xf>
    <xf borderId="0" fillId="0" fontId="26" numFmtId="0" xfId="0" applyAlignment="1" applyFont="1">
      <alignment horizontal="center" readingOrder="0"/>
    </xf>
    <xf borderId="0" fillId="0" fontId="21" numFmtId="0" xfId="0" applyAlignment="1" applyFont="1">
      <alignment horizontal="center" readingOrder="0" vertical="bottom"/>
    </xf>
    <xf borderId="0" fillId="0" fontId="26" numFmtId="0" xfId="0" applyFont="1"/>
    <xf borderId="12" fillId="0" fontId="16" numFmtId="49" xfId="0" applyAlignment="1" applyBorder="1" applyFont="1" applyNumberForma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olitica Latino Americana" id="{d8d717e9-d33b-46cd-a128-2c7213de166d}" providerId="google-sheets"/>
  <x18tc:person displayName="josivaldo araujo" id="{7872001d-9c63-420c-bd9a-b80bd75ec628}" providerId="google-sheets"/>
  <x18tc:person displayName="soycubero 2021" id="{207ecb8d-08ee-4cf4-9ff8-0ccea21fe316}" providerId="google-sheets"/>
  <x18tc:person displayName="O Brasileiro" id="{a3bd1d8b-1aa4-4489-b033-3ee21523424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10-28T16:30:22.00" personId="{a3bd1d8b-1aa4-4489-b033-3ee215234248}" id="{47f1e7c6-3877-4eef-938d-8f11fda3affa}" done="0">
    <x18tc:text xml:space="preserve">- Walpés e Benjamin Constant tiveram suas votações anuladas no computo final do TSE, apesar de existirem votações em jornais da época.</x18tc:text>
  </x18tc:threadedComment>
  <x18tc:threadedComment ref="A1" dT="2024-01-15T03:42:46.00" personId="{d8d717e9-d33b-46cd-a128-2c7213de166d}" id="{6d1de5ff-1d60-47fa-be94-bc654bc3964d}" parentId="{47f1e7c6-3877-4eef-938d-8f11fda3affa}">
    <x18tc:text xml:space="preserve">Marcado como resuelto</x18tc:text>
  </x18tc:threadedComment>
  <x18tc:threadedComment ref="A1" dT="2024-06-30T23:43:52.00" personId="{a3bd1d8b-1aa4-4489-b033-3ee215234248}" id="{4c9bf3a4-3f39-47c1-ab5d-533c6eca5cc1}" parentId="{47f1e7c6-3877-4eef-938d-8f11fda3affa}">
    <x18tc:text xml:space="preserve">Reabierto</x18tc:text>
  </x18tc:threadedComment>
  <x18tc:threadedComment ref="A1" dT="2024-03-23T18:03:09.00" personId="{a3bd1d8b-1aa4-4489-b033-3ee215234248}" id="{bd749b38-0259-40d7-986f-4859afaa74bb}" done="1">
    <x18tc:text xml:space="preserve">Votos nominais de acordo com os Dados Estatísticos: 7º Vol. do TSE (https://bibliotecadigital.tse.jus.br/xmlui/handle/bdtse/5302). O número assinalado do eleitorado 943.317 -- diferença esta explanada na observação à seguir.</x18tc:text>
    <x18tc:extLst>
      <ext uri="{F7C98A9C-CBB3-438F-8F68-D28B6AF4A901}">
        <xltc2:checksum/>
        <xltc2:hyperlink startIndex="68" length="60" url="https://bibliotecadigital.tse.jus.br/xmlui/handle/bdtse/5302"/>
      </ext>
    </x18tc:extLst>
  </x18tc:threadedComment>
  <x18tc:threadedComment ref="A1" dT="2024-03-23T15:23:06.00" personId="{a3bd1d8b-1aa4-4489-b033-3ee215234248}" id="{2a357930-b8fb-4aad-a71b-9a32ec7da76a}" done="1">
    <x18tc:text xml:space="preserve">Réplica da observação presente no documento do TSE: O TRE da Bahia, à época da eleição de 3.10.60, comunicou que o total de eleitores aptos a votar era de 943.317, cifra que já consta de várias publicações dêste Tribunal. Em ofício nº 227, de 10.5.62, declara ser mencionado total de apenas 930.875 eleitores.</x18tc:text>
  </x18tc:threadedComment>
  <x18tc:threadedComment ref="A1" dT="2023-10-31T01:32:37.00" personId="{a3bd1d8b-1aa4-4489-b033-3ee215234248}" id="{47e2fd8d-62da-4f41-b20d-a043157769ca}" done="1">
    <x18tc:text xml:space="preserve">A página 37 do documento do TSE está cortada, ocultando o eleitorado dos municípios da 38ª (a partir de Cajapió) até a 50ª zona eleitoral, incluindo dos municípios com as votações englobadas. Não foram localizados, até o momento, os dados em fontes secundárias.</x18tc:text>
  </x18tc:threadedComment>
  <x18tc:threadedComment ref="A1" dT="2024-03-23T17:05:23.00" personId="{a3bd1d8b-1aa4-4489-b033-3ee215234248}" id="{beb5e8d7-c28f-4107-b522-a005b93bfa1d}" done="1">
    <x18tc:text xml:space="preserve">Votos nominais e eleitorado de acordo com os Dados Estatísticos: 7º Vol. do TSE (https://bibliotecadigital.tse.jus.br/xmlui/handle/bdtse/5302).</x18tc:text>
    <x18tc:extLst>
      <ext uri="{F7C98A9C-CBB3-438F-8F68-D28B6AF4A901}">
        <xltc2:checksum/>
        <xltc2:hyperlink startIndex="81" length="60" url="https://bibliotecadigital.tse.jus.br/xmlui/handle/bdtse/5302"/>
      </ext>
    </x18tc:extLst>
  </x18tc:threadedComment>
  <x18tc:threadedComment ref="A1" dT="2025-01-24T23:43:39.00" personId="{a3bd1d8b-1aa4-4489-b033-3ee215234248}" id="{fa813151-4ac8-44f4-9279-b2947de970cd}" done="1">
    <x18tc:text xml:space="preserve">Houve um estranho erro no registro do eleitorado no município de Almas que subestimou o seu valor, ficando menor que o número de votantes. Até o momento, não temos fontes secundárias para corrigir esse dado.</x18tc:text>
  </x18tc:threadedComment>
  <x18tc:threadedComment ref="A1" dT="2024-03-23T17:38:22.00" personId="{a3bd1d8b-1aa4-4489-b033-3ee215234248}" id="{b37f3bfd-5583-4bc9-9d3d-72a89d8532ce}" done="1">
    <x18tc:text xml:space="preserve">Nos Dados Estatísticos: 7º Vol. do TSE (https://bibliotecadigital.tse.jus.br/xmlui/handle/bdtse/5302), consta-se um eleitorado de 278.087 pessoas e 83.466 votos à Milton Campos, com todos os outros votos nominais estando de acordo.</x18tc:text>
    <x18tc:extLst>
      <ext uri="{F7C98A9C-CBB3-438F-8F68-D28B6AF4A901}">
        <xltc2:checksum/>
        <xltc2:hyperlink startIndex="40" length="60" url="https://bibliotecadigital.tse.jus.br/xmlui/handle/bdtse/5302"/>
      </ext>
    </x18tc:extLst>
  </x18tc:threadedComment>
  <x18tc:threadedComment ref="A1" dT="2024-01-31T20:30:12.00" personId="{a3bd1d8b-1aa4-4489-b033-3ee215234248}" id="{4dcba5d3-0cc3-4ccb-9439-ab5b8fb97169}" done="1">
    <x18tc:text xml:space="preserve">Os dados totais (sem considerar a 41ª ZE) e da capital São Luís correspondem aos presentes na documentação do TRE-MA (https://www.justicaeleitoral.jus.br/++theme++justica_eleitoral/pdfjs/web/viewer.html?file=https://www.justicaeleitoral.jus.br/arquivos/tre-ma-informacoes-das-eleicoes-1945-a-1962/@@download/file/TRE-MA-informacoes-das-eleicoes-1945-a-1962.pdf).</x18tc:text>
    <x18tc:extLst>
      <ext uri="{F7C98A9C-CBB3-438F-8F68-D28B6AF4A901}">
        <xltc2:checksum/>
        <xltc2:hyperlink startIndex="118" length="242" url="https://www.justicaeleitoral.jus.br/++theme++justica_eleitoral/pdfjs/web/viewer.html?file=https://www.justicaeleitoral.jus.br/arquivos/tre-ma-informacoes-das-eleicoes-1945-a-1962/@@download/file/TRE-MA-informacoes-das-eleicoes-1945-a-1962.pdf"/>
      </ext>
    </x18tc:extLst>
  </x18tc:threadedComment>
  <x18tc:threadedComment ref="A1" dT="2024-03-23T17:12:36.00" personId="{a3bd1d8b-1aa4-4489-b033-3ee215234248}" id="{1df2b40d-f28a-47be-bd27-d2fe2da099fc}" done="1">
    <x18tc:text xml:space="preserve">Há uma leve diferença destes dados para com os apresentados nos Dados Estatísticos: 7º Vol. do TSE (https://bibliotecadigital.tse.jus.br/xmlui/handle/bdtse/5302), este que excluem os votos da 41ª zona eleitoral: 35.773 votos configuram para Milton Campos, ao passo que 61.966 configuram para Fernando Ferrari.</x18tc:text>
    <x18tc:extLst>
      <ext uri="{F7C98A9C-CBB3-438F-8F68-D28B6AF4A901}">
        <xltc2:checksum/>
        <xltc2:hyperlink startIndex="100" length="60" url="https://bibliotecadigital.tse.jus.br/xmlui/handle/bdtse/5302"/>
      </ext>
    </x18tc:extLst>
  </x18tc:threadedComment>
  <x18tc:threadedComment ref="A1" dT="2024-03-23T17:18:23.00" personId="{a3bd1d8b-1aa4-4489-b033-3ee215234248}" id="{a8df17b1-b091-4df5-82ef-7aba47016d3a}" done="1">
    <x18tc:text xml:space="preserve">Nos Dados Estatísticos: 7º Vol. do TSE (https://bibliotecadigital.tse.jus.br/xmlui/handle/bdtse/5302), consta-se 34.720 votos à Milton Campos, com todos os outros valores (votos nominais e eleitorado) estando de acordo.</x18tc:text>
    <x18tc:extLst>
      <ext uri="{F7C98A9C-CBB3-438F-8F68-D28B6AF4A901}">
        <xltc2:checksum/>
        <xltc2:hyperlink startIndex="40" length="60" url="https://bibliotecadigital.tse.jus.br/xmlui/handle/bdtse/5302"/>
      </ext>
    </x18tc:extLst>
  </x18tc:threadedComment>
  <x18tc:threadedComment ref="A1" dT="2024-04-27T15:59:16.00" personId="{a3bd1d8b-1aa4-4489-b033-3ee215234248}" id="{d12343e7-9866-4594-aa7d-58199cf41c35}" done="1">
    <x18tc:text xml:space="preserve">Na edição do dia 7 de Outubro, o periódico "Jornal do Dia" exibiu resultados de várias urnas da primeira e segunda zona eleitoral da capital. Considerando que Jânio e Ferrari venceram na maioria delas com ligeira vantagem, é seguro considerar vitória de ambos nas duas zonas. (https://memoria.bn.br/DocReader/DocReader.aspx?bib=098230&amp;pesq=J%C3%A2nio%20Quadros%20Zona%20Resultados&amp;pasta=ano%20196&amp;hf=memoria.bn.br&amp;pagfis=42802). Já no caso de Canoas, não foi localizado até o momento nenhum vestígio do resultado por zona em fontes secundárias.</x18tc:text>
    <x18tc:extLst>
      <ext uri="{F7C98A9C-CBB3-438F-8F68-D28B6AF4A901}">
        <xltc2:checksum/>
        <xltc2:hyperlink startIndex="277" length="149" url="https://memoria.bn.br/DocReader/DocReader.aspx?bib=098230&amp;pesq=J%C3%A2nio%20Quadros%20Zona%20Resultados&amp;pasta=ano%20196&amp;hf=memoria.bn.br&amp;pagfis=42802"/>
      </ext>
    </x18tc:extLst>
  </x18tc:threadedComment>
  <x18tc:threadedComment ref="A1" dT="2023-11-09T13:57:18.00" personId="{a3bd1d8b-1aa4-4489-b033-3ee215234248}" id="{219fd1f8-d5a6-4795-89eb-4511952dcd1b}" done="1">
    <x18tc:text xml:space="preserve">Foram erroneamente calculados os votos totais de Ferrari e Milton no documento do TSE, criando uma divergência entre estes e os dados da planilha. Curiosamente, o desbalanceio não alterou o número total de votantes.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0" dT="2024-03-23T17:01:09.00" personId="{a3bd1d8b-1aa4-4489-b033-3ee215234248}" id="{b4c8b67f-0c72-4dad-8797-180988d28697}" done="1">
    <x18tc:text xml:space="preserve">Votos nominais de acordo com os Dados Estatísticos: 7º Vol. do TSE (https://bibliotecadigital.tse.jus.br/xmlui/handle/bdtse/5302). Por algum motivo, as cifras dos eleitorais neste documento estão superestimadas em todas as eleições.</x18tc:text>
    <x18tc:extLst>
      <ext uri="{F7C98A9C-CBB3-438F-8F68-D28B6AF4A901}">
        <xltc2:checksum/>
        <xltc2:hyperlink startIndex="68" length="60" url="https://bibliotecadigital.tse.jus.br/xmlui/handle/bdtse/5302"/>
      </ext>
    </x18tc:extLst>
  </x18tc:threadedComment>
  <x18tc:threadedComment ref="V33" dT="2023-08-20T03:30:05.00" personId="{a3bd1d8b-1aa4-4489-b033-3ee215234248}" id="{560c4f1b-1e44-49c4-b818-cf690bad1dad}" done="1">
    <x18tc:text xml:space="preserve">Desregulação do total de votantes: +14 votos.</x18tc:text>
  </x18tc:threadedComment>
  <x18tc:threadedComment ref="V34" dT="2023-08-20T03:31:29.00" personId="{a3bd1d8b-1aa4-4489-b033-3ee215234248}" id="{d531c69d-e841-404c-be22-9b30900a9b1a}" done="1">
    <x18tc:text xml:space="preserve">Desregulação do total de votantes: -14 votos.</x18tc:text>
  </x18tc:threadedComment>
  <x18tc:threadedComment ref="AB15" dT="2023-10-28T21:12:08.00" personId="{a3bd1d8b-1aa4-4489-b033-3ee215234248}" id="{0c789a8b-120e-42d6-9bd6-aec81f0e55b9}" done="1">
    <x18tc:text xml:space="preserve">Somando o eleitorado das duas zonas de Manaus, acusa-se a cifra de 50580 eleitores, 3 votos à mais do que registrado no documento do TSE. Ou houve erro no cálculo no documento ou o eleitorado das zonas foi anotado erroneamente.</x18tc:text>
  </x18tc:threadedComment>
  <x18tc:threadedComment ref="B58" dT="2025-01-21T16:42:58.00" personId="{a3bd1d8b-1aa4-4489-b033-3ee215234248}" id="{89a2c5d4-c38e-4572-9341-7f067a9328b0}"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B50" dT="2023-10-28T17:12:33.00" personId="{a3bd1d8b-1aa4-4489-b033-3ee215234248}" id="{87cd8ad9-3b87-411b-8044-3d0cac6b710f}" done="1">
    <x18tc:text xml:space="preserve">Atual cidade de São Gabriel da Cachoeira.</x18tc:text>
  </x18tc:threadedComment>
  <x18tc:threadedComment ref="B50" dT="2024-01-15T03:42:37.00" personId="{d8d717e9-d33b-46cd-a128-2c7213de166d}" id="{0255762c-3a06-4bf1-86cc-8d3ade112192}" parentId="{87cd8ad9-3b87-411b-8044-3d0cac6b710f}">
    <x18tc:text xml:space="preserve">Marcado como resuelto</x18tc:text>
  </x18tc:threadedComment>
  <x18tc:threadedComment ref="B50" dT="2024-06-30T23:44:33.00" personId="{a3bd1d8b-1aa4-4489-b033-3ee215234248}" id="{14906a19-2e74-47ee-a443-9d8d72bb752b}" parentId="{87cd8ad9-3b87-411b-8044-3d0cac6b710f}">
    <x18tc:text xml:space="preserve">Reabierto</x18tc:text>
  </x18tc:threadedComment>
  <x18tc:threadedComment ref="B60" dT="2025-01-22T22:14:56.00" personId="{a3bd1d8b-1aa4-4489-b033-3ee215234248}" id="{5b90137b-9012-493f-afdd-8d5a689de31f}" done="1">
    <x18tc:text xml:space="preserve">Destaque para as imprecisões no eleitorado: A soma do eleitorado das duas zonas eleitorais de Manaus resulta em 50.580 eleitores, ao passo que a cifra registrada no documento do TSE acusa 50.577; Já no interior, a soma é de 41.298, enquanto no documento acusa-se 41.352 eleitores. No total do estado, o resultado é de 91.878, ao passo que no documento, assim como em outras fontes oficias, e 91.929. Para fins de registro, estão anotados aqui os valores impressos neste documento.</x18tc:text>
  </x18tc:threadedComment>
  <x18tc:threadedComment ref="E8" dT="2023-11-02T00:03:18.00" personId="{a3bd1d8b-1aa4-4489-b033-3ee215234248}" id="{f2f60367-10c3-43ee-92bf-a03ba77d32fa}" done="1">
    <x18tc:text xml:space="preserve">Japurá e Jutaí deram 100% dos votos válidos à Lott e Jango.</x18tc:text>
  </x18tc:threadedComment>
  <x18tc:threadedComment ref="B59" dT="2023-10-28T18:23:37.00" personId="{a3bd1d8b-1aa4-4489-b033-3ee215234248}" id="{cfd12196-b3ff-41f3-bd33-318220458fda}" done="1">
    <x18tc:text xml:space="preserve">4 municípios amazonenses, todos emancipados em 1956, não constam no mapa de apuração do documento do TSE, sendo eles: Airão, Careiro, Santa Isabel do Rio Negro e Atalaia do Norte. Considera-se que as votações nessas cidades foram anexadas aos seus antigos municípios-sedes, uma vez que o mesmo recurso foi empregado no mapa de apuração do Mato Grosso deste documento.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1" dT="2025-01-23T00:01:46.00" personId="{a3bd1d8b-1aa4-4489-b033-3ee215234248}" id="{36309721-4b37-48b2-adf4-42efc3dd4f2a}"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B82" dT="2023-11-10T23:55:27.00" personId="{a3bd1d8b-1aa4-4489-b033-3ee215234248}" id="{08c6245a-bb14-43a6-aa04-b148af480bde}" done="1">
    <x18tc:text xml:space="preserve">Os dados totais correspondem aos presentes na documentação do TRE-PA (https://www.justicaeleitoral.jus.br/++theme++justica_eleitoral/pdfjs/web/viewer.html?file=https://www.justicaeleitoral.jus.br/arquivos/tre-pa-resultado-das-eleicoes-gerais-no-para-1945/@@download/file/tre-pa-resultado-eleicoes-gerais-no-para-de-1945-a-2006.pdf)</x18tc:text>
    <x18tc:extLst>
      <ext uri="{F7C98A9C-CBB3-438F-8F68-D28B6AF4A901}">
        <xltc2:checksum/>
        <xltc2:hyperlink startIndex="70" length="260" url="https://www.justicaeleitoral.jus.br/++theme++justica_eleitoral/pdfjs/web/viewer.html?file=https://www.justicaeleitoral.jus.br/arquivos/tre-pa-resultado-das-eleicoes-gerais-no-para-1945/@@download/file/tre-pa-resultado-eleicoes-gerais-no-para-de-1945-a-2006.pdf"/>
      </ext>
    </x18tc:extLst>
  </x18tc:threadedComment>
  <x18tc:threadedComment ref="B15" dT="2023-10-29T19:00:47.00" personId="{a3bd1d8b-1aa4-4489-b033-3ee215234248}" id="{f02b364d-0854-49ee-b0ad-9a8995143f25}" done="1">
    <x18tc:text xml:space="preserve">Sede no distrito de Icoáraci.</x18tc:text>
  </x18tc:threadedComment>
  <x18tc:threadedComment ref="B81" dT="2023-10-29T17:28:29.00" personId="{a3bd1d8b-1aa4-4489-b033-3ee215234248}" id="{792f2a38-b90f-47f9-af2c-a5444ff56bba}" done="1">
    <x18tc:text xml:space="preserve">A Ilha de Mosqueiro, de Belém, foi listada como sendo um município autônomo, não sendo contabilizada na votação total da capital no documento do TSE, mesmo estando configurado, na época corrente, como distrito da cidade. Assim sendo, os dados de Mosqueiro foram adicionados à 4ª zona eleitoral de Belém.</x18tc:text>
  </x18tc:threadedComment>
  <x18tc:threadedComment ref="B82" dT="2025-01-22T23:55:47.00" personId="{a3bd1d8b-1aa4-4489-b033-3ee215234248}" id="{02a4716a-fded-4de2-aaea-87a6b7e7ebaf}" done="1">
    <x18tc:text xml:space="preserve">Votação em Belém: A 4ª zona eleitoral da cidade compreende dois distritos da cidade: Icoáraci (distrito-sede) e a Ilha de Mosqueiro (listada como "Mosqueira" no documento). Por algum motivo, a votação da Ilha de Mosqueiro foi contada como município separado da capital no mapa de apuração no documento do TSE; aqui, as votações foram agregadas.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1" dT="2025-01-23T03:21:21.00" personId="{a3bd1d8b-1aa4-4489-b033-3ee215234248}" id="{27236dee-d94e-4cf8-aa8a-57f4046f9bfd}" done="1">
    <x18tc:text xml:space="preserve">Réplica da observação presente no documento do TSE: Não foi incluída no resultado geral do Estado a votação da Zona de Vitória do Mearim (41ª), por não ter sido enviada no devido tempo.
A de se destacar esse caso: todavia não foram contabilizadas nem pelo TRE-MA nem pelo TRE no resultado total nacional, essas votações puderam ser incluídas neste documento produzido posteriormente. Para fins de registro, foi reservada uma linha nesta página com os resultados do Estado e outra na página dos resultados nacionais com a votação da 41ª ZE inclusa em ambas.</x18tc:text>
  </x18tc:threadedComment>
  <x18tc:threadedComment ref="B109" dT="2023-10-29T20:43:38.00" personId="{a3bd1d8b-1aa4-4489-b033-3ee215234248}" id="{e4909fab-0a32-4a26-af9b-be446ce5ab78}" done="1">
    <x18tc:text xml:space="preserve">Não foram anotados os resultados por zona eleitoral de São Luís e Caxias no documento do TSE, e não se localiza os resultados em fontes secundárias disponíveis. Nos contentemos, por enquanto, com os dados totais.</x18tc:text>
  </x18tc:threadedComment>
  <x18tc:threadedComment ref="AB30" dT="2023-10-29T21:20:16.00" personId="{a3bd1d8b-1aa4-4489-b033-3ee215234248}" id="{163ec52c-af01-4f82-83d0-64fafe40d284}" done="1">
    <x18tc:text xml:space="preserve">Número ilegível.</x18tc:text>
  </x18tc:threadedComment>
  <x18tc:threadedComment ref="B109" dT="2025-01-23T02:59:24.00" personId="{a3bd1d8b-1aa4-4489-b033-3ee215234248}" id="{a415571d-7b8d-49b4-a918-529805a3f420}"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AB30" dT="2025-01-23T00:10:53.00" personId="{a3bd1d8b-1aa4-4489-b033-3ee215234248}" id="{0b4e8f0b-bff6-4fb9-b9a1-31aa4fa28b72}" done="1">
    <x18tc:text xml:space="preserve">O terceiro algarismo ("2") está grafado incorretamente no documento do TSE.</x18tc:text>
  </x18tc:threadedComment>
  <x18tc:threadedComment ref="G7" dT="2023-11-02T00:07:43.00" personId="{a3bd1d8b-1aa4-4489-b033-3ee215234248}" id="{3cd1300c-a6d5-4abc-93f0-edb240d1230c}" done="1">
    <x18tc:text xml:space="preserve">João Goulart obteve 100% dos votos nos municípios de Duque Bacelar e Benedito Leite.</x18tc:text>
  </x18tc:threadedComment>
  <x18tc:threadedComment ref="B111" dT="2023-10-31T00:45:46.00" personId="{a3bd1d8b-1aa4-4489-b033-3ee215234248}" id="{2d30ba06-fca9-453e-807d-5f2c2bf45ae1}" done="1">
    <x18tc:text xml:space="preserve">A página 37 do documento do TSE está cortada, ocultando o eleitorado dos municípios da 38ª (a partir de Cajapió) até a 50ª zona eleitoral, incluindo dos municípios com as votações englobadas. Não foram localizados, até o momento, os dados em fontes secundárias.</x18tc:text>
  </x18tc:threadedComment>
  <x18tc:threadedComment ref="B110" dT="2023-10-30T00:43:18.00" personId="{a3bd1d8b-1aa4-4489-b033-3ee215234248}" id="{88dd8242-36e4-4d60-9bf1-5755e9efc82d}" done="1">
    <x18tc:text xml:space="preserve">O TRE-MA não recebeu os mapas totalizadores dos municípios de Barão de Grajaú, Penalva, Cajari, Monção e Presidente Dutra, mantendo os dados englobados na totalização dos resultados enviados ao TSE. Não foram localizadas, por enquanto, as votações separadas em fontes secundárias.</x18tc:text>
  </x18tc:threadedComment>
  <x18tc:threadedComment ref="B110" dT="2023-10-30T00:43:31.00" personId="{a3bd1d8b-1aa4-4489-b033-3ee215234248}" id="{1e6999f0-9266-476d-a8d5-b3f594f4da57}" parentId="{88dd8242-36e4-4d60-9bf1-5755e9efc82d}">
    <x18tc:text xml:space="preserve">Marcado como resuelto</x18tc:text>
  </x18tc:threadedComment>
  <x18tc:threadedComment ref="B110" dT="2023-10-31T13:26:02.00" personId="{7872001d-9c63-420c-bd9a-b80bd75ec628}" id="{d1852e6a-c122-449a-8a31-bcf61131fb0b}" parentId="{88dd8242-36e4-4d60-9bf1-5755e9efc82d}">
    <x18tc:text xml:space="preserve">Reabierto</x18tc:text>
  </x18tc:threadedComment>
  <x18tc:threadedComment ref="B110" dT="2023-10-30T00:46:50.00" personId="{a3bd1d8b-1aa4-4489-b033-3ee215234248}" id="{ae00c8f7-14ed-4820-8d8d-8c037f915697}" done="1">
    <x18tc:text xml:space="preserve">Réplica da observação presente no documento do TSE: Os resultados referentes aos municípios pertencentes às 21ª, 45ª e 46ª Zonas [Barão de Grajaú, Penalva, Cajari, Monção e Presidente Dutra] se acham englobados, no final dêste quadro, em virtude de não haver o T.R.E. [enviado (trecho cortado no documento)] os respectivos mapas totalizadores. 
Não foram localizadas, até o momento, as votações separadas em fontes secundárias - salvo algumas parciais presentes nos jornais Pacotilha: O Globo do dia 06/10 (https://memoria.bn.gov.br/DocReader/DocReader.aspx?bib=123846&amp;Pesq=J%c3%a2nio%20Resultado&amp;pagfis=11315).</x18tc:text>
    <x18tc:extLst>
      <ext uri="{F7C98A9C-CBB3-438F-8F68-D28B6AF4A901}">
        <xltc2:checksum/>
        <xltc2:hyperlink startIndex="507" length="102" url="https://memoria.bn.gov.br/DocReader/DocReader.aspx?bib=123846&amp;Pesq=J%c3%a2nio%20Resultado&amp;pagfis=11315"/>
      </ext>
    </x18tc:extLs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0" dT="2023-11-11T00:34:59.00" personId="{a3bd1d8b-1aa4-4489-b033-3ee215234248}" id="{f3825076-7f4f-4347-8601-1eb8f93c0e1a}" done="1">
    <x18tc:text xml:space="preserve">Dados extraídos do documento do TRE-PI, "Eleições 1960 - Resultado por município para Presidente e Vice-Presidente da República" (https://www.justicaeleitoral.jus.br/++theme++justica_eleitoral/pdfjs/web/viewer.html?file=https://www.justicaeleitoral.jus.br/arquivos/tre-pi-resultado-eleicao-para-presidente-vice-presidente-1960-por-municipio/@@download/file/tre-pi-resultado-eleicao-para-presidente-e-vice-presidente-da-republica-1960-por-municipio.pdf).</x18tc:text>
    <x18tc:extLst>
      <ext uri="{F7C98A9C-CBB3-438F-8F68-D28B6AF4A901}">
        <xltc2:checksum/>
        <xltc2:hyperlink startIndex="130" length="321" url="https://www.justicaeleitoral.jus.br/++theme++justica_eleitoral/pdfjs/web/viewer.html?file=https://www.justicaeleitoral.jus.br/arquivos/tre-pi-resultado-eleicao-para-presidente-vice-presidente-1960-por-municipio/@@download/file/tre-pi-resultado-eleicao-para-presidente-e-vice-presidente-da-republica-1960-por-municipio.pdf"/>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32" dT="2023-11-16T01:27:00.00" personId="{a3bd1d8b-1aa4-4489-b033-3ee215234248}" id="{287be273-a4a9-41aa-99ca-89dae0c848d6}" done="1">
    <x18tc:text xml:space="preserve">Desregulação do total de votantes: -100 votos.</x18tc:text>
  </x18tc:threadedComment>
  <x18tc:threadedComment ref="B163" dT="2025-01-23T15:46:10.00" personId="{a3bd1d8b-1aa4-4489-b033-3ee215234248}" id="{06290423-a387-4383-a3b6-0b1b1d53e373}" done="1">
    <x18tc:text xml:space="preserve">Destaque para as imprecisões no eleitorado: No total do Estado, foi registrado o número de 668.703 eleitores no documento e em outras fontes oficias, ao passo que a soma dos números do eleitorado da capital e dos municípios do interior nele dispostos é de 668.253. Para fins de registro, está anotado aqui o valor impresso neste documento.</x18tc:text>
  </x18tc:threadedComment>
  <x18tc:threadedComment ref="B43" dT="2023-11-16T02:06:42.00" personId="{a3bd1d8b-1aa4-4489-b033-3ee215234248}" id="{2c03c62d-1e0e-480c-8cc4-66edf2cc374f}" done="1">
    <x18tc:text xml:space="preserve">Cococí foi município emancipado entre os anos de 1957 e 1965. Emancipado pela lei estadual nº 3858, participou das eleições estaduais de 1958 e 1962 e votou pra presidente apenas em 1960, além de ter possuído apenas dois prefeitos. Extinto município, é atualmente distrito de Parambu e está praticamente inabitado.</x18tc:text>
  </x18tc:threadedComment>
  <x18tc:threadedComment ref="J16" dT="2023-11-15T23:26:13.00" personId="{a3bd1d8b-1aa4-4489-b033-3ee215234248}" id="{d1a55453-3150-4cc7-a3d2-18820c16d619}" done="1">
    <x18tc:text xml:space="preserve">O número de votantes nesta zona foi erroneamente assinalado como 26344 no documento do TSE.</x18tc:text>
  </x18tc:threadedComment>
  <x18tc:threadedComment ref="V27" dT="2024-01-29T16:02:57.00" personId="{a3bd1d8b-1aa4-4489-b033-3ee215234248}" id="{e3e6cda7-c025-4a22-b373-48a9d2951ddf}" done="1">
    <x18tc:text xml:space="preserve">Desregulação do total de votantes: +100 votos.</x18tc:text>
  </x18tc:threadedComment>
  <x18tc:threadedComment ref="AB159" dT="2024-01-29T16:23:09.00" personId="{a3bd1d8b-1aa4-4489-b033-3ee215234248}" id="{fb97f14d-d4b8-47bb-bbcd-dee0bd12bea7}" done="1">
    <x18tc:text xml:space="preserve">No documento do TSE, está anotado o eleitorado de 668703 pessoas, valor reforçado nos Dados Estatísticos: 7º Vol. (https://bibliotecadigital.tse.jus.br/xmlui/handle/bdtse/5302), mas a soma do eleitorado dos municípios é de 668253 pessoas. Por falta de fontes secundárias, nos contentemos com o resultado da soma.</x18tc:text>
    <x18tc:extLst>
      <ext uri="{F7C98A9C-CBB3-438F-8F68-D28B6AF4A901}">
        <xltc2:checksum/>
        <xltc2:hyperlink startIndex="115" length="60" url="https://bibliotecadigital.tse.jus.br/xmlui/handle/bdtse/5302"/>
      </ext>
    </x18tc:extLst>
  </x18tc:threadedComment>
  <x18tc:threadedComment ref="G27" dT="2023-12-07T01:20:56.00" personId="{a3bd1d8b-1aa4-4489-b033-3ee215234248}" id="{54d34959-a331-4ca7-835d-aa53f3dfa701}" done="1">
    <x18tc:text xml:space="preserve">No documento do TSE foi somado, erroneamente, um voto a mais nos votos brancos deste município.</x18tc:text>
  </x18tc:threadedComment>
  <x18tc:threadedComment ref="B110" dT="2024-01-29T20:41:11.00" personId="{a3bd1d8b-1aa4-4489-b033-3ee215234248}" id="{938323b7-f3e7-40bc-92f2-83a4aa5a4712}" done="1">
    <x18tc:text xml:space="preserve">Atual município de Hidrolândia.</x18tc:text>
  </x18tc:threadedComment>
  <x18tc:threadedComment ref="B162" dT="2024-03-23T17:29:15.00" personId="{a3bd1d8b-1aa4-4489-b033-3ee215234248}" id="{51d93022-243f-4e14-bcc9-4b66c885cce0}"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2" dT="2024-01-30T02:25:41.00" personId="{a3bd1d8b-1aa4-4489-b033-3ee215234248}" id="{d3e45e0f-39a5-4ffd-8ff9-9a842652378c}" done="1">
    <x18tc:text xml:space="preserve">Valor erroneamente anotado como 635 votos no documento do TSE.</x18tc:text>
  </x18tc:threadedComment>
  <x18tc:threadedComment ref="E60" dT="2024-01-30T02:24:20.00" personId="{a3bd1d8b-1aa4-4489-b033-3ee215234248}" id="{ae97df97-c14e-4150-9702-01bf96b66e4f}" done="1">
    <x18tc:text xml:space="preserve">Valor erroneamente anotado como 669 votos no documento do TSE.</x18tc:text>
  </x18tc:threadedComment>
  <x18tc:threadedComment ref="J80" dT="2024-01-30T01:10:23.00" personId="{a3bd1d8b-1aa4-4489-b033-3ee215234248}" id="{d40f5499-e78a-4335-94ae-c0c8d77d063a}" done="1">
    <x18tc:text xml:space="preserve">Valor anotado erroneamente no documento do TSE. Neste, consta 2004 eleitores que compareceram.</x18tc:text>
  </x18tc:threadedComment>
  <x18tc:threadedComment ref="B104" dT="2025-01-23T22:05:37.00" personId="{a3bd1d8b-1aa4-4489-b033-3ee215234248}" id="{6a09856d-58e2-4267-97bd-380ae42b519e}"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B105" dT="2024-01-31T16:20:38.00" personId="{a3bd1d8b-1aa4-4489-b033-3ee215234248}" id="{db276fa1-cb18-477d-b771-cf2002682ee3}" done="1">
    <x18tc:text xml:space="preserve">Destaque para alguns erros nas anotações dos dados finais do documento do TSE: As somas dos votos brancos e nulos na eleição para vice-presidente acusam, respectivamente, 18.215 e 5.294 votos, e o total do eleitorado acusa a cifra de 278.087. Diverge, porém, a soma do eleitorado dos municípios (que resulta em 278.027) e dos brancos e nulos (quem resultam em 18.159 e 5.350 votos, respectivamente) deste números, e no caso desses últimos, há um desbalanceio de 56 votos a mais no primeiro que supre o déficit de 56 votos no último, igualando a soma deles com os votos nominais com o eleitorado votante de 225.588. Para fins de registro, estão anotados aqui os valores impressos neste documento.</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78" dT="2024-01-31T23:23:50.00" personId="{a3bd1d8b-1aa4-4489-b033-3ee215234248}" id="{8fcad8e4-fabe-40e7-937e-77ac726be31a}" done="1">
    <x18tc:text xml:space="preserve">Desregulação do total de votantes: +65 votos.</x18tc:text>
  </x18tc:threadedComment>
  <x18tc:threadedComment ref="V79" dT="2024-01-31T23:24:02.00" personId="{a3bd1d8b-1aa4-4489-b033-3ee215234248}" id="{26311b90-419e-48f5-8e4a-e62eb02a2693}" done="1">
    <x18tc:text xml:space="preserve">Desregulação do total de votantes: -65 votos.</x18tc:text>
  </x18tc:threadedComment>
  <x18tc:threadedComment ref="S58" dT="2024-01-31T23:32:12.00" personId="{a3bd1d8b-1aa4-4489-b033-3ee215234248}" id="{a7d927a2-80c0-4f51-8f25-879e9be3a57f}" done="1">
    <x18tc:text xml:space="preserve">Erroneamente, foram anotados apenas 14 votos em branco na cidade de São Mamede no documento do TSE na eleição para vice, o que causou um desregulamento na soma do total de votantes do municípios e um déficit no total de votos brancos do estado.</x18tc:text>
  </x18tc:threadedComment>
  <x18tc:threadedComment ref="B104" dT="2025-01-27T00:31:50.00" personId="{a3bd1d8b-1aa4-4489-b033-3ee215234248}" id="{548378c8-e014-419d-a17c-1ccfb6590f99}" done="1">
    <x18tc:text xml:space="preserve">Destaque para as imprecisões no eleitorado: O valor do eleitorado total do Estado no Painel do TSE e nos Dados Abertos é de 352.357, ao passo que a soma do eleitorado dos municípios, assim como no documento do TSE, é de 353.371. Para fins de registro, está anotado aqui o valor constatado no Painel.</x18tc:text>
  </x18tc:threadedComment>
  <x18tc:threadedComment ref="B103" dT="2024-03-23T17:46:04.00" personId="{a3bd1d8b-1aa4-4489-b033-3ee215234248}" id="{0b6850af-affd-4f4d-afa4-5bbb7b314c42}"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A88" dT="2024-01-31T23:02:19.00" personId="{a3bd1d8b-1aa4-4489-b033-3ee215234248}" id="{c636dee5-3154-4399-b0ca-d331224747cb}" done="1">
    <x18tc:text xml:space="preserve">Erroneamente assinalada como "146ª ZE" no documento do TSE.</x18tc:text>
  </x18tc:threadedComment>
  <x18tc:threadedComment ref="A88" dT="2025-01-24T00:14:49.00" personId="{a3bd1d8b-1aa4-4489-b033-3ee215234248}" id="{361f6130-9a01-4826-bd19-2ab81e17f255}" parentId="{c636dee5-3154-4399-b0ca-d331224747cb}">
    <x18tc:text xml:space="preserve">Marcado como resuelto</x18tc:text>
  </x18tc:threadedComment>
  <x18tc:threadedComment ref="A88" dT="2025-01-24T00:17:29.00" personId="{a3bd1d8b-1aa4-4489-b033-3ee215234248}" id="{6f6d622c-4fed-47b1-872a-5445da5e4950}" parentId="{c636dee5-3154-4399-b0ca-d331224747cb}">
    <x18tc:text xml:space="preserve">Reabierto</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9" dT="2024-03-23T17:49:13.00" personId="{a3bd1d8b-1aa4-4489-b033-3ee215234248}" id="{87a7ce33-52e9-4bf7-9f54-0aa66c049ee6}" done="1">
    <x18tc:text xml:space="preserve">Votos nominais de acordo com os Dados Estatísticos: 7º Vol. do TSE (https://bibliotecadigital.tse.jus.br/xmlui/handle/bdtse/5302).</x18tc:text>
    <x18tc:extLst>
      <ext uri="{F7C98A9C-CBB3-438F-8F68-D28B6AF4A901}">
        <xltc2:checksum/>
        <xltc2:hyperlink startIndex="68" length="60" url="https://bibliotecadigital.tse.jus.br/xmlui/handle/bdtse/5302"/>
      </ext>
    </x18tc:extLst>
  </x18tc:threadedComment>
  <x18tc:threadedComment ref="B129" dT="2025-01-24T01:20:23.00" personId="{a3bd1d8b-1aa4-4489-b033-3ee215234248}" id="{cd8aff8b-f583-44b3-b272-07ccce838d6e}" done="1">
    <x18tc:text xml:space="preserve">Destaque para a imprecisão do eleitorado do Estado: O resultado da soma do eleitorado dos municípios é de 676.199, ao passo que outras cifras referentes sobre o total de eleitores estão presentes em documentos oficiais: No documento do TSE, acusa-se o número de 676.169; já no documento do TRE-PE e no Painel do TSE, acusa-se o número de 676.133. Para fins de registro, foi assinalado neste trabalho a última cifra.</x18tc:text>
  </x18tc:threadedComment>
  <x18tc:threadedComment ref="AB125" dT="2024-02-08T17:58:39.00" personId="{a3bd1d8b-1aa4-4489-b033-3ee215234248}" id="{3720ee5e-a97e-4205-ba40-7c6177703881}" done="1">
    <x18tc:text xml:space="preserve">Há dois dados diferentes referentes sobre o total de eleitores que diferem da cifra apresentada na planilha: No documento do TSE e nos Dados Estatísticos, acusa-se o número de 676169; já no documento do TRE-PE, acusa-se o número de 676133. Como apresentado nesta planilha, a soma do eleitorado dos municípios indica 676199 eleitores. Nos contentemos com esse dado.</x18tc:text>
  </x18tc:threadedComment>
  <x18tc:threadedComment ref="B128" dT="2024-02-08T18:00:08.00" personId="{a3bd1d8b-1aa4-4489-b033-3ee215234248}" id="{a68f808e-5953-4501-b63b-faa40be27d50}" done="1">
    <x18tc:text xml:space="preserve">Dados extraídos do documento do TRE-PE, "Relatório Final das Eleições de 1955-1960-1963-1965" (https://acervo.tre-pe.jus.br/index.php/relatorio-final-das-eleic-oes-de-1955-1960-1963-1965-pdf).</x18tc:text>
    <x18tc:extLst>
      <ext uri="{F7C98A9C-CBB3-438F-8F68-D28B6AF4A901}">
        <xltc2:checksum/>
        <xltc2:hyperlink startIndex="95" length="95" url="https://acervo.tre-pe.jus.br/index.php/relatorio-final-das-eleic-oes-de-1955-1960-1963-1965-pdf"/>
      </ext>
    </x18tc:extLs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5" dT="2024-03-23T16:43:12.00" personId="{a3bd1d8b-1aa4-4489-b033-3ee215234248}" id="{3c287040-d3b7-4036-8e1f-02195924d9f9}"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B86" dT="2025-01-24T01:50:11.00" personId="{a3bd1d8b-1aa4-4489-b033-3ee215234248}" id="{351de39f-7efb-4e2a-bbeb-3f75035be08e}" done="1">
    <x18tc:text xml:space="preserve">Há de se destacar que o eleitorado no estado de Alagoa foi disposto por zona eleitoral.</x18tc:text>
  </x18tc:threadedComment>
  <x18tc:threadedComment ref="AB15" dT="2024-02-16T20:57:43.00" personId="{a3bd1d8b-1aa4-4489-b033-3ee215234248}" id="{1676bed7-f1e9-47db-9f13-9148c2b67bd5}" done="1">
    <x18tc:text xml:space="preserve">Anotado erroneamente como 34000 eleitores no documento do TSE.</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9" dT="2024-03-23T17:54:40.00" personId="{a3bd1d8b-1aa4-4489-b033-3ee215234248}" id="{199e9329-ebee-481c-beb5-44a74d52a733}"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B82" dT="2025-01-24T22:02:38.00" personId="{a3bd1d8b-1aa4-4489-b033-3ee215234248}" id="{58115c92-ec4d-4e71-9b05-61d5577e8050}" done="1">
    <x18tc:text xml:space="preserve">A sede da 1ª ZE de Aracaju fica na Zona Norte da cidade, enquanto a sede da 2ªZE fica na Zona Sul.</x18tc:text>
  </x18tc:threadedComment>
  <x18tc:threadedComment ref="B81" dT="2025-01-24T22:01:09.00" personId="{a3bd1d8b-1aa4-4489-b033-3ee215234248}" id="{79bb85ba-86c5-4d06-b6dd-04b5ae498cc3}" done="1">
    <x18tc:text xml:space="preserve">Houve um estranho erro no registro do eleitorado no município de Canindé de São Francisco que subestimou o seu valor, ficando menor que o número de votantes. Até o momento, não temos fontes secundárias para corrigir esse dado.</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2" dT="2025-01-24T02:14:14.00" personId="{a3bd1d8b-1aa4-4489-b033-3ee215234248}" id="{5d321ea1-9eec-40a0-9c58-2fe90da30c8b}" done="1">
    <x18tc:text xml:space="preserve">Réplica da observação presente no documento do TSE: O TRE da Bahia, à época da eleição de 3.10.60, comunicou que o total de eleitores aptos a votar era de 943.317, cifra que já consta de várias publicações dêste Tribunal. Em ofício nº 227, de 10.5.62, declara ser mencionado total de apenas 930.875 eleitores.
Pelo fato da maior parte das fontes oficias, incluindo o Painel do TSE, apontar para o número de 943.317 eleitores, esta cifra foi anotada neste trabalho.</x18tc:text>
  </x18tc:threadedComment>
  <x18tc:threadedComment ref="E136" dT="2024-03-23T15:14:53.00" personId="{a3bd1d8b-1aa4-4489-b033-3ee215234248}" id="{adb01356-6eca-47a6-bf7c-3cd7f10b83b1}" done="1">
    <x18tc:text xml:space="preserve">Foram subtraídos equivocamente 1000 votos de Lott neste município no documento do TSE.</x18tc:text>
  </x18tc:threadedComment>
  <x18tc:threadedComment ref="D91" dT="2024-03-23T15:11:40.00" personId="{a3bd1d8b-1aa4-4489-b033-3ee215234248}" id="{9fcda20d-a888-4e5e-8162-cb0075b4c863}" done="1">
    <x18tc:text xml:space="preserve">Foram adicionados  equivocamente 4 votos para Jânio neste no documento do TSE.</x18tc:text>
  </x18tc:threadedComment>
  <x18tc:threadedComment ref="E116" dT="2024-03-23T15:18:43.00" personId="{a3bd1d8b-1aa4-4489-b033-3ee215234248}" id="{f20cc27a-f6ae-4c36-ac0d-e63af879f030}" done="1">
    <x18tc:text xml:space="preserve">Anotado equivocamente no documento do TSE como "1239" votos para Lott.</x18tc:text>
  </x18tc:threadedComment>
  <x18tc:threadedComment ref="B224" dT="2024-03-18T19:24:18.00" personId="{a3bd1d8b-1aa4-4489-b033-3ee215234248}" id="{e2ee10e3-d8e6-479e-a33e-f511c7effce9}" done="1">
    <x18tc:text xml:space="preserve">Corrigido os municípios das zonas 25ª à 30ª, com auxílio do zoneamento do TSE de 1962 (https://bibliotecadigital.tse.jus.br/xmlui/handle/bdtse/5309).</x18tc:text>
    <x18tc:extLst>
      <ext uri="{F7C98A9C-CBB3-438F-8F68-D28B6AF4A901}">
        <xltc2:checksum/>
        <xltc2:hyperlink startIndex="87" length="60" url="https://bibliotecadigital.tse.jus.br/xmlui/handle/bdtse/5309"/>
      </ext>
    </x18tc:extLst>
  </x18tc:threadedComment>
  <x18tc:threadedComment ref="B223" dT="2024-03-17T20:11:50.00" personId="{a3bd1d8b-1aa4-4489-b033-3ee215234248}" id="{45d7a80b-cdad-4e96-a880-179546705c3e}" done="1">
    <x18tc:text xml:space="preserve">Localidades das zonas eleitorais de Salvador, com auxílio do zoneamento do TSE de 1962 (https://bibliotecadigital.tse.jus.br/xmlui/handle/bdtse/5309), para fins de orientação: 1ª - Vitória; 2ª - São Pedro; 3ª - Santo Antônio; 4ª - Sé, Conceição da Praia e Pilar; 5ª - Nazaré e Paço; 6ª - Brotas; 7ª - Santana; 8ª - Mares; 9ª - Penha; 10ª - Bairros subúrbios.</x18tc:text>
    <x18tc:extLst>
      <ext uri="{F7C98A9C-CBB3-438F-8F68-D28B6AF4A901}">
        <xltc2:checksum/>
        <xltc2:hyperlink startIndex="88" length="60" url="https://bibliotecadigital.tse.jus.br/xmlui/handle/bdtse/5309"/>
      </ext>
    </x18tc:extLst>
  </x18tc:threadedComment>
  <x18tc:threadedComment ref="B221" dT="2025-01-24T02:13:15.00" personId="{a3bd1d8b-1aa4-4489-b033-3ee215234248}" id="{510ab81e-7d48-46ec-98de-8665b463748f}"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 ref="J132" dT="2024-03-22T22:00:37.00" personId="{a3bd1d8b-1aa4-4489-b033-3ee215234248}" id="{9ae5c1b9-e0e0-49fa-8103-37c8871a98fe}" done="1">
    <x18tc:text xml:space="preserve">Anotado equivocamente no documento do TSE como "645" eleitores.</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1" dT="2025-01-24T20:50:20.00" personId="{a3bd1d8b-1aa4-4489-b033-3ee215234248}" id="{4bd6dae9-a394-4469-8473-989d040a5dea}" done="1">
    <x18tc:text xml:space="preserve">Houve uma anomalia nos dados de MT presentes no documento do TSE: Se registrou neste documento, as votações globais de algumas zonas eleitorais, não estando separadas, como normalmente, por cidade - o caso mais notável é o da votação da 1ª Zona Eleitoral (que comporta 7 municípios), que foi englobada e disposta no documento como sendo a votação do município de Cuiabá; Para a correção desses dados, foi necessário o apelo aos mapas de apuração do documento produzido pelo TRE-MT, que dispõem corretamente a votação das cidades.</x18tc:text>
  </x18tc:threadedComment>
  <x18tc:threadedComment ref="B81" dT="2024-03-27T20:43:27.00" personId="{a3bd1d8b-1aa4-4489-b033-3ee215234248}" id="{c24c1cd7-1d47-4238-9f3d-955c2ce72738}" done="1">
    <x18tc:text xml:space="preserve">Votos nominais e eleitorado de acordo com os Dados Estatísticos: 7º Vol. do TSE (https://bibliotecadigital.tse.jus.br/xmlui/handle/bdtse/5302).</x18tc:text>
    <x18tc:extLst>
      <ext uri="{F7C98A9C-CBB3-438F-8F68-D28B6AF4A901}">
        <xltc2:checksum/>
        <xltc2:hyperlink startIndex="81" length="60" url="https://bibliotecadigital.tse.jus.br/xmlui/handle/bdtse/5302"/>
      </ext>
    </x18tc:extLst>
  </x18tc:threadedComment>
  <x18tc:threadedComment ref="B80" dT="2024-03-27T20:57:20.00" personId="{a3bd1d8b-1aa4-4489-b033-3ee215234248}" id="{776ac75c-a4ac-4a2a-a757-3ee51a935fbf}" done="1">
    <x18tc:text xml:space="preserve">Dados extraídos do documento do TRE-MT, "Resultado Geral das Eleições de 3 de Outubro de 1960 para Presidente, Vice-Presidente da República, Governador, Vice Governador do Estado" (https://drive.google.com/file/d/1UKWalR7_UoQMF_j8kPJJdqNIB42j-Gdr/view).</x18tc:text>
    <x18tc:extLst>
      <ext uri="{F7C98A9C-CBB3-438F-8F68-D28B6AF4A901}">
        <xltc2:checksum/>
        <xltc2:hyperlink startIndex="181" length="70" url="https://drive.google.com/file/d/1UKWalR7_UoQMF_j8kPJJdqNIB42j-Gdr/view"/>
      </ext>
    </x18tc:extLst>
  </x18tc:threadedComment>
  <x18tc:threadedComment ref="AB69" dT="2024-03-26T19:29:44.00" personId="{a3bd1d8b-1aa4-4489-b033-3ee215234248}" id="{66d7b18b-bf84-4503-b532-68810b46508b}" done="1">
    <x18tc:text xml:space="preserve">Esta cifra foi impresso incorretamente como "1739" no documento do TRE-MT.</x18tc:text>
  </x18tc:threadedComment>
  <x18tc:threadedComment ref="AB59" dT="2024-03-26T19:28:35.00" personId="{a3bd1d8b-1aa4-4489-b033-3ee215234248}" id="{58803fc1-3ea1-4083-a333-08eea76f815d}" done="1">
    <x18tc:text xml:space="preserve">Não existe, tanto no documento do TSE quanto no documento do TRE-MT, o eleitorado dos município de Carapó e de Dourados separados.</x18tc:text>
  </x18tc:threadedComment>
  <x18tc:threadedComment ref="B83" dT="2024-03-25T20:53:02.00" personId="{a3bd1d8b-1aa4-4489-b033-3ee215234248}" id="{cd657df8-f80d-4b59-b16d-7391ffb888bf}" done="1">
    <x18tc:text xml:space="preserve">Há uma cidade do Estado onde não foi realizado o pleito: Aripuanã, cidade no norte do Estado e subordinada à 1ª Zona Eleitoral, sendo raros casos de municípios do país onde, mesmo emancipado, não ocorriam eleições dentro de sua jurisdição. A primeira eleição realizada no município foi em 1978.</x18tc:text>
  </x18tc:threadedComment>
  <x18tc:threadedComment ref="B28" dT="2024-03-25T20:33:02.00" personId="{a3bd1d8b-1aa4-4489-b033-3ee215234248}" id="{b32abc2d-e3b6-4c8a-975e-4461702e79ca}" done="1">
    <x18tc:text xml:space="preserve">Atual município de "Vila Bela da Santíssima Trindade"</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154" dT="2024-04-09T19:06:06.00" personId="{a3bd1d8b-1aa4-4489-b033-3ee215234248}" id="{cf2d0492-5a54-493b-9a7a-09399950f879}" done="1">
    <x18tc:text xml:space="preserve">Valor anotado erroneamente no documento do TSE. Neste, consta 897 votos nominais nas eleições de titular e vice.</x18tc:text>
  </x18tc:threadedComment>
  <x18tc:threadedComment ref="B198" dT="2025-01-24T23:52:07.00" personId="{a3bd1d8b-1aa4-4489-b033-3ee215234248}" id="{2d431784-e618-4655-9387-5d67ec2c5d68}" done="1">
    <x18tc:text xml:space="preserve">Houve um estranho erro no registro do eleitorado no município de Almas que subestimou o seu valor, ficando menor que o número de votantes. Até o momento, não temos fontes secundárias para corrigir esse dado.</x18tc:text>
  </x18tc:threadedComment>
  <x18tc:threadedComment ref="AB170" dT="2024-04-09T19:19:54.00" personId="{a3bd1d8b-1aa4-4489-b033-3ee215234248}" id="{88b04a40-ee53-4e61-be79-5988eecd5c78}" done="1">
    <x18tc:text xml:space="preserve">Esta cifra foi anotada como sendo 563 eleitores, número abaixo dos 571 votos totais na cidade. Não se tem disponível até o momento nenhuma fonte secundária para a correção. (Obs: Tentar conseguir algum documento do TRE-GO.)</x18tc:text>
  </x18tc:threadedComment>
  <x18tc:threadedComment ref="AB193" dT="2024-04-13T16:11:09.00" personId="{a3bd1d8b-1aa4-4489-b033-3ee215234248}" id="{635252bb-9b6c-498e-afcb-0f7dfdb3dffd}" done="1">
    <x18tc:text xml:space="preserve">Há dois dados diferentes referentes sobre o total de eleitores que diferem da cifra apresentada na planilha: No documento do TSE, indica a cifra de 408174, já nos Dados Estatísticos, acusa o número de 407667, ao mesmo passo que a soma do eleitorado dos municípios resulta em 408222 eleitores; Mesmo esta é problemática: o eleitorado do município de Almas (69ª ZE) é registrado no documento do TSE como sendo de 563, número abaixo do comparecimento, e a cifra do eleitorado de Pirenópolis (26ª ZE) está parcialmente ilegível. Até que achemos outras fontes para corrigi-la, nos contentemos com o dado da soma.</x18tc:text>
  </x18tc:threadedComment>
  <x18tc:threadedComment ref="B13" dT="2024-04-09T19:49:03.00" personId="{a3bd1d8b-1aa4-4489-b033-3ee215234248}" id="{d731b4fd-f298-443c-96ab-4b2191951b42}" done="1">
    <x18tc:text xml:space="preserve">Sede no distrito de Campinas.</x18tc:text>
  </x18tc:threadedComment>
  <x18tc:threadedComment ref="B197" dT="2025-01-24T23:48:17.00" personId="{a3bd1d8b-1aa4-4489-b033-3ee215234248}" id="{8f472db7-f800-4b2b-9a06-2bb799b2e35b}" done="1">
    <x18tc:text xml:space="preserve">Destaque para as imprecisões no eleitorado: O valor do eleitorado total do Estado no documento do TSE é de 408.654, ao passo que a soma do eleitorado dos municípios, considerando os valores dispostos na planilha, é de 407.659. O número total de eleitores da capital, de 47.094, foi também superestimado e registrado como sendo de 56.094. Para fins de registro, está anotado aqui o valor impresso neste documento.</x18tc:text>
  </x18tc:threadedComment>
  <x18tc:threadedComment ref="D39" dT="2024-04-09T19:46:59.00" personId="{a3bd1d8b-1aa4-4489-b033-3ee215234248}" id="{3e58d9aa-6174-43a7-b3c1-8527d6ff716e}" done="1">
    <x18tc:text xml:space="preserve">Valor anotado erroneamente no documento do TSE. Neste, consta 7 votos para Jânio.</x18tc:text>
  </x18tc:threadedComment>
  <x18tc:threadedComment ref="F39" dT="2024-04-09T19:47:13.00" personId="{a3bd1d8b-1aa4-4489-b033-3ee215234248}" id="{b008f217-b6f5-42b4-addd-a2a00c7cd800}" done="1">
    <x18tc:text xml:space="preserve">Valor anotado erroneamente no documento do TSE. Neste, consta 6 votos para Adhemar.</x18tc:text>
  </x18tc:threadedComment>
  <x18tc:threadedComment ref="AB79" dT="2024-04-08T23:09:30.00" personId="{a3bd1d8b-1aa4-4489-b033-3ee215234248}" id="{ced6585b-0d86-4f8c-91c5-f7b4958bdf60}" done="1">
    <x18tc:text xml:space="preserve">Número parcialmente ilegível; mais precisamente o terceiro algarismo está borrado. Foi considerada na planilha a cifra 3757.</x18tc:text>
  </x18tc:threadedComment>
  <x18tc:threadedComment ref="P36" dT="2024-04-08T22:39:36.00" personId="{a3bd1d8b-1aa4-4489-b033-3ee215234248}" id="{36415cfd-c7e9-4b7d-b4fa-19afe4d08e83}" done="1">
    <x18tc:text xml:space="preserve">Valor anotado erroneamente no documento do TSE. Neste, consta 454 votos para Jango.</x18tc:text>
  </x18tc:threadedComment>
  <x18tc:threadedComment ref="T190" dT="2024-04-09T19:53:57.00" personId="{a3bd1d8b-1aa4-4489-b033-3ee215234248}" id="{08e08204-54aa-4d74-b431-698d7b0aaa10}" done="1">
    <x18tc:text xml:space="preserve">Valor anotado erroneamente no documento do TSE. Neste, consta 191 votos nulos.</x18tc:text>
  </x18tc:threadedComment>
  <x18tc:threadedComment ref="S103" dT="2024-04-09T19:51:56.00" personId="{a3bd1d8b-1aa4-4489-b033-3ee215234248}" id="{9198853e-25aa-4f91-ab0b-794f1c4fee0b}" done="1">
    <x18tc:text xml:space="preserve">Valor anotado erroneamente no documento do TSE. Neste, consta 213 votos brancos.</x18tc:text>
  </x18tc:threadedComment>
  <x18tc:threadedComment ref="T12" dT="2024-04-08T21:21:49.00" personId="{a3bd1d8b-1aa4-4489-b033-3ee215234248}" id="{d6c6a587-26e3-49ca-8b53-6c4aeee85867}" done="1">
    <x18tc:text xml:space="preserve">Valor anotado erroneamente no documento do TSE. Neste, consta 696 votos nulos.</x18tc:text>
  </x18tc:threadedComment>
  <x18tc:threadedComment ref="AB45" dT="2025-01-26T23:09:04.00" personId="{a3bd1d8b-1aa4-4489-b033-3ee215234248}" id="{8f626a36-5526-489d-bada-a5efeaf05750}" done="1">
    <x18tc:text xml:space="preserve">O quarto algarismo ("5") está grafado incorretamente no documento do TSE.</x18tc:text>
  </x18tc:threadedComment>
  <x18tc:threadedComment ref="B196" dT="2024-04-13T16:34:12.00" personId="{a3bd1d8b-1aa4-4489-b033-3ee215234248}" id="{68df7b06-65e5-48e7-8c53-5a7748b5c6d7}"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82" dT="2024-04-23T19:20:47.00" personId="{a3bd1d8b-1aa4-4489-b033-3ee215234248}" id="{d30cb413-8407-4698-bab9-e6ba6582aaab}" done="1">
    <x18tc:text xml:space="preserve">Valor anotado erroneamente no documento do TSE como 537 votos nulos, cifra esta corrigida no Banco de Dados Eleitorais do NUPERGS.</x18tc:text>
  </x18tc:threadedComment>
  <x18tc:threadedComment ref="E81" dT="2024-04-23T19:13:53.00" personId="{a3bd1d8b-1aa4-4489-b033-3ee215234248}" id="{8e9a8277-ca27-4a08-a3f6-575119221c5b}" done="1">
    <x18tc:text xml:space="preserve">Valor anotado erroneamente no documento do TSE como 301 votos para Lott, cifra esta corrigida no Banco de Dados Eleitorais do NUPERGS.</x18tc:text>
  </x18tc:threadedComment>
  <x18tc:threadedComment ref="R146" dT="2024-04-23T22:22:00.00" personId="{a3bd1d8b-1aa4-4489-b033-3ee215234248}" id="{dc14f4e4-c1a3-48e2-9df6-e2d711ff3301}" done="1">
    <x18tc:text xml:space="preserve">Valor anotado erroneamente no documento do TSE como 1422 votos para Ferrari, cifra esta corrigida no Banco de Dados Eleitorais do NUPERGS.</x18tc:text>
  </x18tc:threadedComment>
  <x18tc:threadedComment ref="T128" dT="2024-04-23T22:11:57.00" personId="{a3bd1d8b-1aa4-4489-b033-3ee215234248}" id="{00e1b4cc-521d-44bc-9994-ab4b5202220b}" done="1">
    <x18tc:text xml:space="preserve">Valor anotado erroneamente no documento do TSE como 90 votos nulos, cifra esta corrigida no Banco de Dados Eleitorais do NUPERGS.</x18tc:text>
  </x18tc:threadedComment>
  <x18tc:threadedComment ref="A12" dT="2024-04-23T21:40:23.00" personId="{a3bd1d8b-1aa4-4489-b033-3ee215234248}" id="{9ab675a7-001a-4818-bff4-5f862be602aa}" done="1">
    <x18tc:text xml:space="preserve">Na edição do dia 7 de Outubro, o periódico "Jornal do Dia" exibiu resultados de várias urnas da primeira e segunda zona eleitoral da capital. Considerando que Jânio e Ferrari venceram na maioria delas com ligeira vantagem, é seguro, tendo em vista esses dados, a vitória de ambos nas duas. (https://memoria.bn.br/DocReader/DocReader.aspx?bib=098230&amp;pesq=J%C3%A2nio%20Quadros%20Zona%20Resultados&amp;pasta=ano%20196&amp;hf=memoria.bn.br&amp;pagfis=42802)</x18tc:text>
    <x18tc:extLst>
      <ext uri="{F7C98A9C-CBB3-438F-8F68-D28B6AF4A901}">
        <xltc2:checksum/>
        <xltc2:hyperlink startIndex="291" length="149" url="https://memoria.bn.br/DocReader/DocReader.aspx?bib=098230&amp;pesq=J%C3%A2nio%20Quadros%20Zona%20Resultados&amp;pasta=ano%20196&amp;hf=memoria.bn.br&amp;pagfis=42802"/>
      </ext>
    </x18tc:extLst>
  </x18tc:threadedComment>
  <x18tc:threadedComment ref="A12" dT="2024-04-27T15:58:13.00" personId="{a3bd1d8b-1aa4-4489-b033-3ee215234248}" id="{fc3068b1-91a9-4b59-8846-8596a39f3312}" parentId="{9ab675a7-001a-4818-bff4-5f862be602aa}">
    <x18tc:text xml:space="preserve">Marcado como resuelto</x18tc:text>
  </x18tc:threadedComment>
  <x18tc:threadedComment ref="A12" dT="2024-06-30T23:44:57.00" personId="{a3bd1d8b-1aa4-4489-b033-3ee215234248}" id="{116760df-e79b-48a8-bf6c-fc3ab38e1823}" parentId="{9ab675a7-001a-4818-bff4-5f862be602aa}">
    <x18tc:text xml:space="preserve">Reabierto</x18tc:text>
  </x18tc:threadedComment>
  <x18tc:threadedComment ref="E115" dT="2024-04-23T21:56:05.00" personId="{a3bd1d8b-1aa4-4489-b033-3ee215234248}" id="{5f94978c-ea3e-4f82-9b66-c24d764b3f86}" done="1">
    <x18tc:text xml:space="preserve">Valor anotado erroneamente no documento do TSE como 1025 votos para Lott, cifra esta corrigida no Banco de Dados Eleitorais do NUPERGS.</x18tc:text>
  </x18tc:threadedComment>
  <x18tc:threadedComment ref="B167" dT="2024-04-27T15:52:16.00" personId="{a3bd1d8b-1aa4-4489-b033-3ee215234248}" id="{120ca34a-4e41-4587-8001-6711e1453008}" done="1">
    <x18tc:text xml:space="preserve">Dados extraídos do documento do TSE, "Dados Estatísticos, Volume 5" (https://bibliotecadigital.tse.jus.br/xmlui/handle/bdtse/5308), corrigidos com auxílio do Banco de Dados Eleitorais do NUPERGS (https://www.ufrgs.br/nupergs/banco/index.php).</x18tc:text>
    <x18tc:extLst>
      <ext uri="{F7C98A9C-CBB3-438F-8F68-D28B6AF4A901}">
        <xltc2:checksum/>
        <xltc2:hyperlink startIndex="69" length="60" url="https://bibliotecadigital.tse.jus.br/xmlui/handle/bdtse/5308"/>
        <xltc2:hyperlink startIndex="196" length="44" url="https://www.ufrgs.br/nupergs/banco/index.php"/>
      </ext>
    </x18tc:extLst>
  </x18tc:threadedComment>
  <x18tc:threadedComment ref="AB164" dT="2024-04-27T15:48:53.00" personId="{a3bd1d8b-1aa4-4489-b033-3ee215234248}" id="{72450c66-a2f3-479e-beb1-2bbf2ae8f9dc}" done="1">
    <x18tc:text xml:space="preserve">Há dois dados diferentes referentes sobre o total de eleitores que diferem da cifra apresentada na planilha: No documento do TSE, acusa-se o número de 1403740; já no documento dos Dados Estatísticos Vol.7, apresenta-se a cifra de 1409310. Como apresentado nesta planilha, a soma do eleitorado dos municípios (excluídos Nova Palma e Serafim Corrêa, que não foram contabilizados em nenhuma fonte, aparentemente) indica 1403919 eleitores. Nos contentemos com esse dado.</x18tc:text>
  </x18tc:threadedComment>
  <x18tc:threadedComment ref="B168" dT="2024-04-27T15:51:13.00" personId="{a3bd1d8b-1aa4-4489-b033-3ee215234248}" id="{a9f53f0a-3f03-4260-8df1-b7e5d6b7fd39}" done="1">
    <x18tc:text xml:space="preserve">Nos Dados Estatísticos: 7º Vol. do TSE (https://bibliotecadigital.tse.jus.br/xmlui/handle/bdtse/5302), consta-se 541.031 votos à Jânio Quadros, com todos os outros valores (votos nominais e eleitorado) estando de acordo.</x18tc:text>
    <x18tc:extLst>
      <ext uri="{F7C98A9C-CBB3-438F-8F68-D28B6AF4A901}">
        <xltc2:checksum/>
        <xltc2:hyperlink startIndex="40" length="60" url="https://bibliotecadigital.tse.jus.br/xmlui/handle/bdtse/5302"/>
      </ext>
    </x18tc:extLst>
  </x18tc:threadedComment>
  <x18tc:threadedComment ref="AB51" dT="2024-04-27T15:38:16.00" personId="{a3bd1d8b-1aa4-4489-b033-3ee215234248}" id="{45fbef4c-aad3-422a-b7b7-1f5e79167582}" done="1">
    <x18tc:text xml:space="preserve">Dado faltante no documento do TSE e no Banco de Dados Eleitorais do NUPERGS.</x18tc:text>
  </x18tc:threadedComment>
  <x18tc:threadedComment ref="AB59" dT="2024-04-27T15:38:22.00" personId="{a3bd1d8b-1aa4-4489-b033-3ee215234248}" id="{b9908106-e9dd-47ed-bed2-32354cc63aff}" done="1">
    <x18tc:text xml:space="preserve">Dado faltante no documento do TSE e no Banco de Dados Eleitorais do NUPERGS.</x18tc:text>
  </x18tc:threadedComment>
  <x18tc:threadedComment ref="AB34" dT="2024-04-27T15:36:29.00" personId="{a3bd1d8b-1aa4-4489-b033-3ee215234248}" id="{30a24900-3848-42ea-89ce-1872e809b778}" done="1">
    <x18tc:text xml:space="preserve">Dado faltante no Banco de Dados Eleitorais do NUPERGS.</x18tc:text>
  </x18tc:threadedComment>
  <x18tc:threadedComment ref="G59" dT="2024-04-22T23:16:45.00" personId="{a3bd1d8b-1aa4-4489-b033-3ee215234248}" id="{800da621-52c7-4bc0-b107-f2fd681b9a8b}" done="1">
    <x18tc:text xml:space="preserve">Valor anotado erroneamente no documento do TSE como 236 votos brancos, cifra esta corrigida no Banco de Dados Eleitorais do NUPERGS.</x18tc:text>
  </x18tc:threadedComment>
  <x18tc:threadedComment ref="D90" dT="2024-04-23T19:25:13.00" personId="{a3bd1d8b-1aa4-4489-b033-3ee215234248}" id="{ae651c36-d3cf-4c5c-a780-628ea3034ed2}" done="1">
    <x18tc:text xml:space="preserve">Valor anotado erroneamente no documento do TSE como 1951 votos para Jânio, cifra esta corrigida no Banco de Dados Eleitorais do NUPERGS.</x18tc:text>
  </x18tc:threadedComment>
  <x18tc:threadedComment ref="AB126" dT="2024-04-27T15:36:16.00" personId="{a3bd1d8b-1aa4-4489-b033-3ee215234248}" id="{21a7abf7-2cbb-4a3c-af7c-cacc60827670}" done="1">
    <x18tc:text xml:space="preserve">Dado faltante no Banco de Dados Eleitorais do NUPERGS.</x18tc:text>
  </x18tc:threadedComment>
  <x18tc:threadedComment ref="B168" dT="2025-01-26T23:26:39.00" personId="{a3bd1d8b-1aa4-4489-b033-3ee215234248}" id="{f9133094-5e23-46c9-b382-8ff34280404c}" done="1">
    <x18tc:text xml:space="preserve">Destaque para as imprecisões no eleitorado: O valor do eleitorado total do Estado no documento do TSE é de 1.403.740, ao passo que a soma do eleitorado dos municípios (excluídos Nova Palma e Serafim Corrêa), é de 1.403.919, porém, no Painel do TSE e nos Dados Abertos, registram-se 1.409.310 (provavelmente incluídos os eleitorados das três cidades citada acima). Para fins de registro, está anotado aqui o valor constatado no Painel.</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35" dT="2025-01-27T00:45:10.00" personId="{a3bd1d8b-1aa4-4489-b033-3ee215234248}" id="{9bbe434f-4aba-4f02-863b-44f1c3b0c6f2}" done="1">
    <x18tc:text xml:space="preserve">Não temos disponível em fontes secundárias o eleitorado de cada zona eleitoral de Florianópólis.</x18tc:text>
  </x18tc:threadedComment>
  <x18tc:threadedComment ref="T115" dT="2024-05-02T22:52:26.00" personId="{a3bd1d8b-1aa4-4489-b033-3ee215234248}" id="{200b71d6-9ff0-4c93-8d7f-2bdfc97a2263}" done="1">
    <x18tc:text xml:space="preserve">Valor anotado erroneamente como 44 votos nulos no Documento do TRE-SC, cifra esta corrigida no Documento do TSE.</x18tc:text>
  </x18tc:threadedComment>
  <x18tc:threadedComment ref="J13" dT="2024-05-02T20:49:12.00" personId="{a3bd1d8b-1aa4-4489-b033-3ee215234248}" id="{77eb0e4b-91e4-4a9c-b05f-cda3dca33103}" done="1">
    <x18tc:text xml:space="preserve">Valor anotado erroneamente no documento do TSE como 4918 votantes no município, cifra esta corrigida no Documento do TRE-SC.</x18tc:text>
  </x18tc:threadedComment>
  <x18tc:threadedComment ref="J13" dT="2025-01-26T23:56:22.00" personId="{a3bd1d8b-1aa4-4489-b033-3ee215234248}" id="{af7d4d8e-ae22-4cdb-9b00-e9e029b51a55}" parentId="{77eb0e4b-91e4-4a9c-b05f-cda3dca33103}">
    <x18tc:text xml:space="preserve">Marcado como resuelto</x18tc:text>
  </x18tc:threadedComment>
  <x18tc:threadedComment ref="J13" dT="2025-01-26T23:57:49.00" personId="{a3bd1d8b-1aa4-4489-b033-3ee215234248}" id="{05c1184d-2899-4fe0-91e6-8d22a04b959f}" parentId="{77eb0e4b-91e4-4a9c-b05f-cda3dca33103}">
    <x18tc:text xml:space="preserve">Reabierto</x18tc:text>
  </x18tc:threadedComment>
  <x18tc:threadedComment ref="R36" dT="2024-05-03T18:46:53.00" personId="{a3bd1d8b-1aa4-4489-b033-3ee215234248}" id="{53b31858-abab-41f2-aa5f-725608addebc}" done="1">
    <x18tc:text xml:space="preserve">Valor anotado erroneamente como 1901 votos para Ferrari no Documento do TRE-SC - este criou um descrédito de 50 votos no total de votantes, em relação à votação para presidente, e no total de votos de Ferrari no estado, logo foram adicionados esses 50 votos nesta cifra para balancear.</x18tc:text>
  </x18tc:threadedComment>
  <x18tc:threadedComment ref="Q36" dT="2024-05-02T21:10:13.00" personId="{a3bd1d8b-1aa4-4489-b033-3ee215234248}" id="{06382ab4-28cb-43ab-aac1-dfa207239d87}" done="1">
    <x18tc:text xml:space="preserve">O primeiro algarismo "7" desta cifra está faltante no Documento do TRE-SC, provavelmente apagado pela rasura na digitalização.</x18tc:text>
  </x18tc:threadedComment>
  <x18tc:threadedComment ref="B61" dT="2024-05-02T21:43:46.00" personId="{a3bd1d8b-1aa4-4489-b033-3ee215234248}" id="{8bdbc5bf-1169-49eb-95d0-3e487a347776}" done="1">
    <x18tc:text xml:space="preserve">Por algum motivo, houve uma confusão na 23ª ZE no Documento do TRE-SC: Apesar de constar apenas o município de Orleans, mas a votação exibida é a de Lauro Müller; A votação das duas cidades aparece normalmente no Documento do TSE.</x18tc:text>
  </x18tc:threadedComment>
  <x18tc:threadedComment ref="B61" dT="2024-05-02T22:20:47.00" personId="{a3bd1d8b-1aa4-4489-b033-3ee215234248}" id="{b3a350c1-0367-483e-9ca0-4a2e7a40d044}" parentId="{8bdbc5bf-1169-49eb-95d0-3e487a347776}">
    <x18tc:text xml:space="preserve">Marcado como resuelto</x18tc:text>
  </x18tc:threadedComment>
  <x18tc:threadedComment ref="B61" dT="2024-06-30T23:45:18.00" personId="{a3bd1d8b-1aa4-4489-b033-3ee215234248}" id="{7a86a33a-acda-4a90-97b9-7c0139cb17ce}" parentId="{8bdbc5bf-1169-49eb-95d0-3e487a347776}">
    <x18tc:text xml:space="preserve">Reabierto</x18tc:text>
  </x18tc:threadedComment>
  <x18tc:threadedComment ref="A71" dT="2024-05-02T21:50:02.00" personId="{a3bd1d8b-1aa4-4489-b033-3ee215234248}" id="{41b354e6-e9de-4c6b-872d-f18527556cfd}" done="1">
    <x18tc:text xml:space="preserve">Por algum motivo, a 28ª ZE é ocultada no Documento do TRE-SC, que lista São Joaquim na 27ª ZE.</x18tc:text>
  </x18tc:threadedComment>
  <x18tc:threadedComment ref="H115" dT="2024-05-02T22:51:31.00" personId="{a3bd1d8b-1aa4-4489-b033-3ee215234248}" id="{a079fcf5-dc13-42e8-aac0-34f2ed438100}" done="1">
    <x18tc:text xml:space="preserve">Valor anotado erroneamente no documento do TSE como 63 votos nulos no Documento do TRE-SC, cifra esta corrigida no Documento do TSE.</x18tc:text>
  </x18tc:threadedComment>
  <x18tc:threadedComment ref="Q76" dT="2024-05-02T22:10:10.00" personId="{a3bd1d8b-1aa4-4489-b033-3ee215234248}" id="{474f43ae-9d14-4999-9207-2e7e7c9cd755}" done="1">
    <x18tc:text xml:space="preserve">O primeiro algarismo "1" desta cifra está faltante no Documento do TRE-SC, provavelmente apagado pela rasura na digitalização.</x18tc:text>
  </x18tc:threadedComment>
  <x18tc:threadedComment ref="R74" dT="2024-05-02T22:14:28.00" personId="{a3bd1d8b-1aa4-4489-b033-3ee215234248}" id="{f423b36c-d1b9-42b5-81c8-d65643392b6a}" done="1">
    <x18tc:text xml:space="preserve">Valor anotado erroneamente como 186 votos para Ferrari no Documento do TRE-SC, cifra esta corrigida no Documento do TSE.</x18tc:text>
  </x18tc:threadedComment>
  <x18tc:threadedComment ref="B60" dT="2024-05-02T22:20:44.00" personId="{a3bd1d8b-1aa4-4489-b033-3ee215234248}" id="{90c897b6-a094-4c05-b635-545a9b3ffe44}" done="1">
    <x18tc:text xml:space="preserve">Por algum motivo, houve uma confusão na 23ª ZE no Documento do TRE-SC: Orleans é a única cidade listada na 23ª ZE, porém a votação exibida é a de Lauro Müller - Orleans estará listada novamente no documento, deste vez na 34ª ZE e com a votação correspondente; A votação na 23ª ZE aparece corretamente no Documento do TSE.</x18tc:text>
  </x18tc:threadedComment>
  <x18tc:threadedComment ref="B121" dT="2025-01-27T00:57:40.00" personId="{a3bd1d8b-1aa4-4489-b033-3ee215234248}" id="{66367bf1-aa54-4492-8b2b-31c84ab1a80c}" done="1">
    <x18tc:text xml:space="preserve">Destaque para as imprecisões no eleitorado: No documento do TSE, acusa-se o número de 573.595 eleitores; No mapa de apuração do TRE-SC, datado de 9 de março de 1961 (https://apps.tre-sc.jus.br/e-docsweb/documento/edoc153444/mapa_apuracao_arquivo_1960_81.pdf), indica o eleitorado total de 573.604, assim como já constatado pelo Tribunal em 1962 (verificar 2ª consideração); a soma do eleitorado dos municípios, tendo em base os números apresentados no documento do TSE, indica 573.501 eleitores; e no Painel do TSE, assim como nos Dados Abertos, constam 573.599 eleitores. Para fins de registro, está anotado aqui o valor constatado no Painel.</x18tc:text>
    <x18tc:extLst>
      <ext uri="{F7C98A9C-CBB3-438F-8F68-D28B6AF4A901}">
        <xltc2:checksum/>
        <xltc2:hyperlink startIndex="166" length="91" url="https://apps.tre-sc.jus.br/e-docsweb/documento/edoc153444/mapa_apuracao_arquivo_1960_81.pdf"/>
      </ext>
    </x18tc:extLst>
  </x18tc:threadedComment>
  <x18tc:threadedComment ref="AB116" dT="2024-05-08T20:11:19.00" personId="{a3bd1d8b-1aa4-4489-b033-3ee215234248}" id="{61f83d33-f26c-4019-b350-67ca85e99902}" done="1">
    <x18tc:text xml:space="preserve">Há dois dados diferentes referentes sobre o total de eleitores que diferem da cifra apresentada na planilha: No documento do TSE, acusa-se o número de 573595; já no documento do Exemplar Estatístico do TRE-SC apresenta-se a cifra de 573604 (conferir na 3ª consideração). Como apresentado nesta planilha, a soma do eleitorado dos municípios, tendo em base os números apresentados no documento do TSE, indica 573501 eleitores.</x18tc:text>
  </x18tc:threadedComment>
  <x18tc:threadedComment ref="B121" dT="2024-05-08T22:00:33.00" personId="{a3bd1d8b-1aa4-4489-b033-3ee215234248}" id="{a4377b65-74cc-4048-a7c8-b331a24d6de1}" done="1">
    <x18tc:text xml:space="preserve">Um mapa de apuração do TRE-SC, datado de 9 de março de 1961 (https://apps.tre-sc.jus.br/e-docsweb/documento/edoc153444/mapa_apuracao_arquivo_1960_81.pdf), indica o eleitorado total de 573.604 pessoas. Neste documento, porém, é exibida o eleitorado por municípios, que, em comparação com os aqui na planilha presentes, atestam diferenças: Blumenau ~ 21299 (+8), Vidal Ramos ~ 2889 (+7), Grão Pará ~ 1552 (+30), Descanso ~ 1179 (+70), Sombrio ~ 5494 (-3), Urussanga ~ 5156 (-9). Houve também dois números que foram anotados erroneamente que, somando as cifras, cria um crédito de 5020 votos em relação ao total anotado na linha "Total" do documento: Curitibanos ~ 3577 (-5000), Cunha Porã ~ 1483 (-20).</x18tc:text>
    <x18tc:extLst>
      <ext uri="{F7C98A9C-CBB3-438F-8F68-D28B6AF4A901}">
        <xltc2:checksum/>
        <xltc2:hyperlink startIndex="61" length="91" url="https://apps.tre-sc.jus.br/e-docsweb/documento/edoc153444/mapa_apuracao_arquivo_1960_81.pdf"/>
      </ext>
    </x18tc:extLst>
  </x18tc:threadedComment>
  <x18tc:threadedComment ref="B121" dT="2024-06-30T23:27:15.00" personId="{207ecb8d-08ee-4cf4-9ff8-0ccea21fe316}" id="{193256cb-7724-44fa-ab10-fd13d5fb5749}" parentId="{a4377b65-74cc-4048-a7c8-b331a24d6de1}">
    <x18tc:text xml:space="preserve">Marcado como resuelto</x18tc:text>
  </x18tc:threadedComment>
  <x18tc:threadedComment ref="B121" dT="2024-06-30T23:45:34.00" personId="{a3bd1d8b-1aa4-4489-b033-3ee215234248}" id="{2fbafa4b-50d6-4f38-aea7-4ebbf0d0f7f2}" parentId="{a4377b65-74cc-4048-a7c8-b331a24d6de1}">
    <x18tc:text xml:space="preserve">Reabierto</x18tc:text>
  </x18tc:threadedComment>
  <x18tc:threadedComment ref="B120" dT="2024-05-08T21:30:21.00" personId="{a3bd1d8b-1aa4-4489-b033-3ee215234248}" id="{b5e3c442-881f-4e95-abe0-31d2254484ad}" done="1">
    <x18tc:text xml:space="preserve">Réplica da observação presente no documento do TSE: Em 3.9.60, o TRE comunicou o eleitorado apto a votar num total de 581.358, cifra esta constante de vários quadros, já publicados; Em 1.3.62, ratificou o total para 573.595, justificando a diferença com cancelamentos não computados à época da 1ª comunicação.</x18tc:text>
  </x18tc:threadedComment>
  <x18tc:threadedComment ref="B119" dT="2024-05-08T21:16:37.00" personId="{a3bd1d8b-1aa4-4489-b033-3ee215234248}" id="{895181b6-2e94-4ed0-b449-ce2a4e2a81b7}" done="1">
    <x18tc:text xml:space="preserve">Dados extraídos do documento do TSE, "Dados Estatísticos, Volume 5" (https://bibliotecadigital.tse.jus.br/xmlui/handle/bdtse/5308), complementarmente corrigido com o documento "Eleições realizadas em 03/10/1960", do TRE-SC (https://apps.tre-sc.jus.br/e-docsweb/documento/edoc153427/mapa_apuracao_arquivo_1960_78_4.pdf).
Obs: Vale constar que o documento do TRE-SC possui também erros de cifras e de disposição das zonas que estão corretamente impressos no documento do TSE.</x18tc:text>
    <x18tc:extLst>
      <ext uri="{F7C98A9C-CBB3-438F-8F68-D28B6AF4A901}">
        <xltc2:checksum/>
        <xltc2:hyperlink startIndex="69" length="60" url="https://bibliotecadigital.tse.jus.br/xmlui/handle/bdtse/5308"/>
        <xltc2:hyperlink startIndex="224" length="93" url="https://apps.tre-sc.jus.br/e-docsweb/documento/edoc153427/mapa_apuracao_arquivo_1960_78_4.pdf"/>
      </ext>
    </x18tc:extLst>
  </x18tc:threadedComment>
  <x18tc:threadedComment ref="AB79" dT="2024-05-08T19:32:34.00" personId="{a3bd1d8b-1aa4-4489-b033-3ee215234248}" id="{8e1db645-646c-4f9a-aaef-a349fd89771c}" done="1">
    <x18tc:text xml:space="preserve">Esta cifra foi anotada erroneamente no documento do TSE como sendo 5497 eleitores, número abaixo dos 5714 votos totais na cidade. A cifra corrigida está presente na relação do eleitorado das cidades que realizaram eleições municipais em 1960, do Exemplar Estatístico do TRE-SC (https://apps.tre-sc.jus.br/e-docsweb/documento/edoc153440/estatisticas_arquivo_1960_80.pdf#search=%22presidente%22).</x18tc:text>
    <x18tc:extLst>
      <ext uri="{F7C98A9C-CBB3-438F-8F68-D28B6AF4A901}">
        <xltc2:checksum/>
        <xltc2:hyperlink startIndex="278" length="114" url="https://apps.tre-sc.jus.br/e-docsweb/documento/edoc153440/estatisticas_arquivo_1960_80.pdf#search=%22presidente%22"/>
      </ext>
    </x18tc:extLs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88" dT="2025-01-27T01:39:53.00" personId="{a3bd1d8b-1aa4-4489-b033-3ee215234248}" id="{c666a706-b0a2-4dff-9b3c-9ee375fd6807}" done="1">
    <x18tc:text xml:space="preserve">Certamente o eleitorado correto registrado no Paraná tenha sido de 885.418 inscritos, cifra presente no documento do TRE-PR, no Painel do TSE e Dados Abertos - no documento do TSE, consta-se a cifra de 875.418 inscritos, justamente pelo descrédito errôneo de 10 mil votos no eleitorado de Curitiba. Porém, há 3 inscritos escapantes quando somado o eleitorado dos municípios e, comparando as votações globais das zonas eleitorais, verifica-se que esse erro se deu na 85ª zona: Somando o eleitorado das cidades da zona, a partir dos números presentes no documento do TSE, chega-se a 13.147 inscritos, 3 a menos que os 13.150 anotado no documento do TRE-PR; Isso poderia facilmente ser resolvido se o TRE-PR tivesse anotado o eleitorado por município, o que não foi o caso, infelizmente.
Ademais, há de se apontar também outras diferenças que se pode notar comparando valores entre os documentos do TSE e TRE das 32ª, 33ª, 58ª e 59ª zonas, mas essas diferenças balanceiam-se entre si e não alteram o resultado total.</x18tc:text>
  </x18tc:threadedComment>
  <x18tc:threadedComment ref="B187" dT="2024-05-20T17:10:01.00" personId="{a3bd1d8b-1aa4-4489-b033-3ee215234248}" id="{6b3dbfd0-0df4-444c-a52f-71b91c0a2e98}" done="1">
    <x18tc:text xml:space="preserve">Dados extraídos do documento do TSE, "Dados Estatísticos, Volume 5" (https://bibliotecadigital.tse.jus.br/xmlui/handle/bdtse/5308), corrigido com o documento "Boletim final da apuração Nº 20 das Eleições Gerais realizadas nesta circunscrição, em 3 de Outubro de 1960", do TRE-PR (https://apps.tre-pr.jus.br/files/eleicoes-gerais-resultados/tre-pr-eleicoes-gerais-1960.pdf).</x18tc:text>
    <x18tc:extLst>
      <ext uri="{F7C98A9C-CBB3-438F-8F68-D28B6AF4A901}">
        <xltc2:checksum/>
        <xltc2:hyperlink startIndex="69" length="60" url="https://bibliotecadigital.tse.jus.br/xmlui/handle/bdtse/5308"/>
        <xltc2:hyperlink startIndex="280" length="91" url="https://apps.tre-pr.jus.br/files/eleicoes-gerais-resultados/tre-pr-eleicoes-gerais-1960.pdf"/>
      </ext>
    </x18tc:extLst>
  </x18tc:threadedComment>
  <x18tc:threadedComment ref="AB184" dT="2024-05-20T03:31:17.00" personId="{a3bd1d8b-1aa4-4489-b033-3ee215234248}" id="{964e1bbd-b778-4581-8e07-c47f36f211ce}" done="1">
    <x18tc:text xml:space="preserve">É praticamente certo que o eleitorado correto no Paraná tenha sido de 885.418 inscritos, cifra presente no documento do TRE-PR e nos Dados Estatísticos Vol.7 - no documento do TSE, consta-se a cifra de 875.418 inscritos, justamente pelo descrédito errôneo de 10 mil votos no eleitorado de Curitiba. Porém, há 3 inscritos escapantes quando somado o eleitorado dos municípios e, comparando as votações globais das zonas eleitorais, verifica-se que ele desbalanceamento se deu na 85ª zona: Somando o eleitorado, a partir dos números presentes no documento do TSE, chega-se a 13.147 inscritos, 3 a menos que os 13.150 anotado no documento do TRE-PR; Isso poderia facilmente ser resolvido se o TRE-PR tivesse anotado o eleitorado por município, o que não foi o caso, infelizmente.
Ademais, há de se apontar também outras diferenças que se pode notar comparando valores nos documentos das 32ª, 33ª, 58ª e 59ª zonas, mas essas diferenças balanceiam-se entre si e não alteram o resultado total.</x18tc:text>
  </x18tc:threadedComment>
  <x18tc:threadedComment ref="A14" dT="2024-05-20T02:01:31.00" personId="{a3bd1d8b-1aa4-4489-b033-3ee215234248}" id="{3ba9e395-b081-47ae-b73c-57e6028c875f}" done="1">
    <x18tc:text xml:space="preserve">No documento do TRE-PR, registrou-se uma anomalia no valor do eleitorado referente à terceira zona do estado: Esta abrange uma porção da cidade de Curitiba (de 33.194 eleitores), mais o município de Piraquara (de 3.133 eleitores), num total de 36.327 eleitores inscritos. No entanto, a cifra total assinalada no documento do TRE-PR é de 38.660, em valor superestimo de 2.333. Isto ocorreu pois, por algum engano, incluiu-se o eleitorado de Campina Grande do Sul, município pertencente à 4ª zona eleitoral do estado e com o exato eleitorado de 2.333. Isto é evidente dado que esse eleitorado não foi adicionado no valor total da terceira zona do referido documento, onde a cifra 34.911 é a mesma da porção isolada de Curitiba.</x18tc:text>
  </x18tc:threadedComment>
  <x18tc:threadedComment ref="B188" dT="2024-05-20T17:08:41.00" personId="{a3bd1d8b-1aa4-4489-b033-3ee215234248}" id="{9c62393d-012b-475b-9877-094c9143ee5c}" done="1">
    <x18tc:text xml:space="preserve">Nos Dados Estatísticos: 7º Vol. do TSE (https://bibliotecadigital.tse.jus.br/xmlui/handle/bdtse/5302), consta-se 183.802 votos à Adhemar de Barro, com todos os votos nominais estando de acordo com o documento do TSE.</x18tc:text>
    <x18tc:extLst>
      <ext uri="{F7C98A9C-CBB3-438F-8F68-D28B6AF4A901}">
        <xltc2:checksum/>
        <xltc2:hyperlink startIndex="40" length="60" url="https://bibliotecadigital.tse.jus.br/xmlui/handle/bdtse/5302"/>
      </ext>
    </x18tc:extLst>
  </x18tc:threadedComment>
  <x18tc:threadedComment ref="T121" dT="2024-05-19T23:59:33.00" personId="{a3bd1d8b-1aa4-4489-b033-3ee215234248}" id="{9dc4689d-be93-4404-954a-0dff42af8d3e}" done="1">
    <x18tc:text xml:space="preserve">Valor anotado erroneamente no documento do TSE como 144 votos nulos, cifra esta corrigida no Documento do TRE-PR.</x18tc:text>
  </x18tc:threadedComment>
  <x18tc:threadedComment ref="F125" dT="2024-05-20T00:04:23.00" personId="{a3bd1d8b-1aa4-4489-b033-3ee215234248}" id="{4c637f99-bcf7-4ad8-9344-48748982f3ac}" done="1">
    <x18tc:text xml:space="preserve">Valor anotado erroneamente no documento do TSE como 4269 votos para Adhemar, cifra esta corrigida no Documento do TRE-PR.</x18tc:text>
  </x18tc:threadedComment>
  <x18tc:threadedComment ref="S157" dT="2024-05-20T00:31:25.00" personId="{a3bd1d8b-1aa4-4489-b033-3ee215234248}" id="{c8d70c32-a0b7-4384-8ce6-07b88bb8a44b}" done="1">
    <x18tc:text xml:space="preserve">Valor anotado erroneamente no documento do TSE como 228 votos brancos, cifra esta corrigida no Documento do TRE-PR.</x18tc:text>
  </x18tc:threadedComment>
  <x18tc:threadedComment ref="AB16" dT="2024-05-18T20:04:05.00" personId="{a3bd1d8b-1aa4-4489-b033-3ee215234248}" id="{7ebdc0db-6b3a-4e79-b589-8722f41a7a21}" done="1">
    <x18tc:text xml:space="preserve">Valor anotado erroneamente no documento do TSE como 114.818 eleitores registrados, 10 mil de descrédito, cifra esta corrigida no Documento do TRE-PR.</x18tc:text>
  </x18tc:threadedComment>
  <x18tc:threadedComment ref="AB16" dT="2025-01-27T01:22:21.00" personId="{a3bd1d8b-1aa4-4489-b033-3ee215234248}" id="{29ada54e-f223-4bac-a5eb-f41ef8017e11}" parentId="{7ebdc0db-6b3a-4e79-b589-8722f41a7a21}">
    <x18tc:text xml:space="preserve">Marcado como resuelto</x18tc:text>
  </x18tc:threadedComment>
  <x18tc:threadedComment ref="AB16" dT="2025-01-27T01:25:37.00" personId="{a3bd1d8b-1aa4-4489-b033-3ee215234248}" id="{37305cb5-dc14-4e4d-b08b-b42c6bc1b007}" parentId="{7ebdc0db-6b3a-4e79-b589-8722f41a7a21}">
    <x18tc:text xml:space="preserve">Reabierto</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6" dT="2025-01-27T21:12:02.00" personId="{a3bd1d8b-1aa4-4489-b033-3ee215234248}" id="{66c2c869-b9e7-4b7a-a240-611d651d7346}" done="1">
    <x18tc:text xml:space="preserve">Houve um estranho erro no registro do eleitorado no município de Santa Leopoldina que subestimou o seu valor, ficando menor que o número de votantes. Somando o número dos eleitorado do Estado, chega-se ao número de 234.556 eleitores, mesma cifra impressa no documento do TSE e 500 à menos que os 235.056 eleitores registrados no Painel do TSE e Dados Abertos. Para fins de registro, está anotado aqui o valor impresso no Painel.</x18tc:text>
  </x18tc:threadedComment>
  <x18tc:threadedComment ref="B55" dT="2025-01-27T03:26:31.00" personId="{a3bd1d8b-1aa4-4489-b033-3ee215234248}" id="{001463e0-12a9-4981-9f03-c46d53dd20e9}" done="1">
    <x18tc:text xml:space="preserve">Dados extraídos do documento do TSE, "Dados Estatísticos, Volume 5" (https://bibliotecadigital.tse.jus.br/xmlui/handle/bdtse/5308).</x18tc:text>
    <x18tc:extLst>
      <ext uri="{F7C98A9C-CBB3-438F-8F68-D28B6AF4A901}">
        <xltc2:checksum/>
        <xltc2:hyperlink startIndex="69" length="60" url="https://bibliotecadigital.tse.jus.br/xmlui/handle/bdtse/5308"/>
      </ext>
    </x18tc:extLs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3" dT="2025-01-27T23:59:13.00" personId="{a3bd1d8b-1aa4-4489-b033-3ee215234248}" id="{61ecb4f4-d5f9-45bd-a370-3ac840aafd88}" done="1">
    <x18tc:text xml:space="preserve">Esse valor foi erroneamente impresso como "41755" no documento do TSE.</x18tc:text>
  </x18tc:threadedComment>
  <x18tc:threadedComment ref="J13" dT="2025-01-28T02:16:36.00" personId="{a3bd1d8b-1aa4-4489-b033-3ee215234248}" id="{e81e3fed-979e-47c3-b1c3-ef31966e59a0}" parentId="{61ecb4f4-d5f9-45bd-a370-3ac840aafd88}">
    <x18tc:text xml:space="preserve">Marcado como resuelto</x18tc:text>
  </x18tc:threadedComment>
  <x18tc:threadedComment ref="J13" dT="2025-01-28T02:18:26.00" personId="{a3bd1d8b-1aa4-4489-b033-3ee215234248}" id="{adf4f951-24ac-4f7b-87ba-fb913b353179}" parentId="{61ecb4f4-d5f9-45bd-a370-3ac840aafd88}">
    <x18tc:text xml:space="preserve">Reabierto</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09" dT="2025-02-09T19:32:46.00" personId="{a3bd1d8b-1aa4-4489-b033-3ee215234248}" id="{108cec0f-2b36-4eba-b63d-4339eb8565f5}" done="1">
    <x18tc:text xml:space="preserve">20198 VALOR SOMA</x18tc:text>
  </x18tc:threadedComment>
  <x18tc:threadedComment ref="H209" dT="2025-02-09T19:32:34.00" personId="{a3bd1d8b-1aa4-4489-b033-3ee215234248}" id="{4ade3661-d689-4501-adf4-b2c3d3202a7f}" done="1">
    <x18tc:text xml:space="preserve">779 VOTOS DOC</x18tc:text>
  </x18tc:threadedComment>
  <x18tc:threadedComment ref="H157" dT="2025-02-09T01:02:19.00" personId="{a3bd1d8b-1aa4-4489-b033-3ee215234248}" id="{ca80d91e-c2e6-46f3-9579-59acd6a545d9}" done="1">
    <x18tc:text xml:space="preserve">11 VOTOS DOC</x18tc:text>
  </x18tc:threadedComment>
  <x18tc:threadedComment ref="J157" dT="2025-02-09T01:02:36.00" personId="{a3bd1d8b-1aa4-4489-b033-3ee215234248}" id="{e57db53e-bda5-40cf-8c6f-232fa98eb4c4}" done="1">
    <x18tc:text xml:space="preserve">5601 VALOR SOMA</x18tc:text>
  </x18tc:threadedComment>
  <x18tc:threadedComment ref="F355" dT="2025-02-10T22:11:55.00" personId="{a3bd1d8b-1aa4-4489-b033-3ee215234248}" id="{1c24603f-9519-4478-a16a-2de2c95d4c7a}" done="1">
    <x18tc:text xml:space="preserve">560 VOTOS DOC</x18tc:text>
  </x18tc:threadedComment>
  <x18tc:threadedComment ref="J355" dT="2025-02-10T22:11:33.00" personId="{a3bd1d8b-1aa4-4489-b033-3ee215234248}" id="{f3b88491-8e54-4371-937c-3afdbacac9bf}" done="1">
    <x18tc:text xml:space="preserve">2812 VALOR SOMA</x18tc:text>
  </x18tc:threadedComment>
  <x18tc:threadedComment ref="E239" dT="2025-02-09T23:04:04.00" personId="{a3bd1d8b-1aa4-4489-b033-3ee215234248}" id="{41661917-f200-48f1-ab9a-f55423442b4c}" done="1">
    <x18tc:text xml:space="preserve">39 VOTOS DOC</x18tc:text>
  </x18tc:threadedComment>
  <x18tc:threadedComment ref="F472" dT="2025-02-12T20:28:58.00" personId="{a3bd1d8b-1aa4-4489-b033-3ee215234248}" id="{469bd6b4-7884-44af-b9f3-4c54ad6e8620}" done="1">
    <x18tc:text xml:space="preserve">695 VOTOS DOC</x18tc:text>
  </x18tc:threadedComment>
  <x18tc:threadedComment ref="J64" dT="2025-02-06T23:55:10.00" personId="{a3bd1d8b-1aa4-4489-b033-3ee215234248}" id="{0c28decc-cf05-4bce-b7c7-e728fe3f8126}" done="1">
    <x18tc:text xml:space="preserve">1178 nominais SOMA</x18tc:text>
  </x18tc:threadedComment>
  <x18tc:threadedComment ref="J472" dT="2025-02-12T20:28:21.00" personId="{a3bd1d8b-1aa4-4489-b033-3ee215234248}" id="{35455014-5194-433d-bd9b-494871610fe2}" done="1">
    <x18tc:text xml:space="preserve">2998 VALOR SOMA</x18tc:text>
  </x18tc:threadedComment>
  <x18tc:threadedComment ref="J239" dT="2025-02-09T23:04:15.00" personId="{a3bd1d8b-1aa4-4489-b033-3ee215234248}" id="{ca411949-2b23-4b6b-ba1b-a334e33b810d}" done="1">
    <x18tc:text xml:space="preserve">551 VALOR SOMA</x18tc:text>
  </x18tc:threadedComment>
  <x18tc:threadedComment ref="J209" dT="2025-01-30T23:36:25.00" personId="{a3bd1d8b-1aa4-4489-b033-3ee215234248}" id="{f1feb23f-1412-4d8d-9c29-87505338c270}" done="1">
    <x18tc:text xml:space="preserve">Cifra anotada erroneamente no documento do TSE como sendo "10.197" - Valor corrigido no documento do TRE-SP.</x18tc:text>
  </x18tc:threadedComment>
  <x18tc:threadedComment ref="E444" dT="2025-02-11T23:30:52.00" personId="{a3bd1d8b-1aa4-4489-b033-3ee215234248}" id="{8a672403-5fd5-42e1-a8d4-42d78f6d3450}" done="1">
    <x18tc:text xml:space="preserve">121 VOTOS DOC</x18tc:text>
  </x18tc:threadedComment>
  <x18tc:threadedComment ref="J444" dT="2025-02-11T23:30:35.00" personId="{a3bd1d8b-1aa4-4489-b033-3ee215234248}" id="{c0836918-af5a-43c3-93ee-9af6ee4a1181}" done="1">
    <x18tc:text xml:space="preserve">683 VALOR SOMA</x18tc:text>
  </x18tc:threadedComment>
  <x18tc:threadedComment ref="J435" dT="2025-02-11T23:20:38.00" personId="{a3bd1d8b-1aa4-4489-b033-3ee215234248}" id="{4a3582d5-d801-4acd-af2a-b7d1a70df36f}" done="1">
    <x18tc:text xml:space="preserve">10154 VALOR SOMA</x18tc:text>
  </x18tc:threadedComment>
  <x18tc:threadedComment ref="H435" dT="2025-02-11T23:20:27.00" personId="{a3bd1d8b-1aa4-4489-b033-3ee215234248}" id="{0e73a72f-a21d-45da-9967-07babbe314c4}" done="1">
    <x18tc:text xml:space="preserve">199 VOTOS DOC</x18tc:text>
  </x18tc:threadedComment>
  <x18tc:threadedComment ref="D464" dT="2025-02-12T20:10:39.00" personId="{a3bd1d8b-1aa4-4489-b033-3ee215234248}" id="{eb1cc465-dfa2-45c2-bf03-db4aa169d24d}" done="1">
    <x18tc:text xml:space="preserve">610 VOTOS DOC</x18tc:text>
  </x18tc:threadedComment>
  <x18tc:threadedComment ref="J464" dT="2025-02-12T20:10:31.00" personId="{a3bd1d8b-1aa4-4489-b033-3ee215234248}" id="{cdd4505d-f91a-470d-97d5-4500542484e5}" done="1">
    <x18tc:text xml:space="preserve">1256 VALOR SOMA</x18tc:text>
  </x18tc:threadedComment>
  <x18tc:threadedComment ref="D179" dT="2025-02-09T01:50:07.00" personId="{a3bd1d8b-1aa4-4489-b033-3ee215234248}" id="{35491e75-9c21-499f-8da8-ed9cde138a57}" done="1">
    <x18tc:text xml:space="preserve">1792 VOTOS DOC</x18tc:text>
  </x18tc:threadedComment>
  <x18tc:threadedComment ref="J179" dT="2025-02-09T01:50:17.00" personId="{a3bd1d8b-1aa4-4489-b033-3ee215234248}" id="{161b7c6e-ccd8-43eb-b492-4ef4f82000e5}" done="1">
    <x18tc:text xml:space="preserve">3195 VALOR SOMA</x18tc:text>
  </x18tc:threadedComment>
  <x18tc:threadedComment ref="J158" dT="2025-02-09T01:04:49.00" personId="{a3bd1d8b-1aa4-4489-b033-3ee215234248}" id="{494e883c-2e02-42b7-ad40-5ba7cb26671c}" done="1">
    <x18tc:text xml:space="preserve">849 VALOR SOMA</x18tc:text>
  </x18tc:threadedComment>
  <x18tc:threadedComment ref="D160" dT="2025-02-12T21:24:58.00" personId="{a3bd1d8b-1aa4-4489-b033-3ee215234248}" id="{564ad7f4-b5e6-47fd-918e-42f6be06a2fe}" done="1">
    <x18tc:text xml:space="preserve">1103 VALOR DOC</x18tc:text>
  </x18tc:threadedComment>
  <x18tc:threadedComment ref="J160" dT="2025-02-09T01:48:17.00" personId="{a3bd1d8b-1aa4-4489-b033-3ee215234248}" id="{2f50d4d7-4502-41dc-84dc-9e7ecdfcb7c2}" done="1">
    <x18tc:text xml:space="preserve">2141 VALOR DOC</x18tc:text>
  </x18tc:threadedComment>
  <x18tc:threadedComment ref="D118" dT="2025-02-08T02:10:42.00" personId="{a3bd1d8b-1aa4-4489-b033-3ee215234248}" id="{b3cdf610-b24f-41f3-9cb1-b1c53f971ca8}" done="1">
    <x18tc:text xml:space="preserve">973 votos no documento</x18tc:text>
  </x18tc:threadedComment>
  <x18tc:threadedComment ref="H158" dT="2025-02-09T01:04:39.00" personId="{a3bd1d8b-1aa4-4489-b033-3ee215234248}" id="{4ce97cb4-55f0-480a-b8a0-ed0e6e7a9649}" done="1">
    <x18tc:text xml:space="preserve">8 VOTOS DOC</x18tc:text>
  </x18tc:threadedComment>
  <x18tc:threadedComment ref="F64" dT="2025-02-07T23:29:05.00" personId="{a3bd1d8b-1aa4-4489-b033-3ee215234248}" id="{741dbd65-9746-429a-a6b3-9f5a4890aadd}" done="1">
    <x18tc:text xml:space="preserve">306 votos no documento</x18tc:text>
  </x18tc:threadedComment>
  <x18tc:threadedComment ref="H113" dT="2025-02-12T21:28:11.00" personId="{a3bd1d8b-1aa4-4489-b033-3ee215234248}" id="{a45a97d2-1133-4d25-a2ec-5fe310a0d335}" done="1">
    <x18tc:text xml:space="preserve">101 VOTOS DOC</x18tc:text>
  </x18tc:threadedComment>
  <x18tc:threadedComment ref="J118" dT="2025-02-08T02:11:44.00" personId="{a3bd1d8b-1aa4-4489-b033-3ee215234248}" id="{fa232cda-615f-4515-9377-7d8d1ec9a28e}" done="1">
    <x18tc:text xml:space="preserve">2005 nominais SOMA</x18tc:text>
  </x18tc:threadedComment>
  <x18tc:threadedComment ref="D410" dT="2025-02-11T22:49:33.00" personId="{a3bd1d8b-1aa4-4489-b033-3ee215234248}" id="{a1006474-82c5-4a43-9621-8bee70827076}" done="1">
    <x18tc:text xml:space="preserve">1750 VOTOS DOC</x18tc:text>
  </x18tc:threadedComment>
  <x18tc:threadedComment ref="J113" dT="2025-02-08T02:28:50.00" personId="{a3bd1d8b-1aa4-4489-b033-3ee215234248}" id="{ca8d8dbc-9e1c-4aee-beab-65d954258c9c}" done="1">
    <x18tc:text xml:space="preserve">4269 VALOR SOMA</x18tc:text>
  </x18tc:threadedComment>
  <x18tc:threadedComment ref="J410" dT="2025-02-11T22:49:18.00" personId="{a3bd1d8b-1aa4-4489-b033-3ee215234248}" id="{6e28a409-aaa0-47d2-bfa7-fdb531b8af63}" done="1">
    <x18tc:text xml:space="preserve">2937 VALOR SOMA</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77" dT="2025-02-21T20:33:05.00" personId="{a3bd1d8b-1aa4-4489-b033-3ee215234248}" id="{7b9fc6eb-5c7c-4807-807a-6045daf630bd}" done="1">
    <x18tc:text xml:space="preserve">Cifra impressa incorretamente no documento do TSE como sendo "27.343"</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pt.wikipedia.org/wiki/Fernando_Ferrari" TargetMode="External"/><Relationship Id="rId10" Type="http://schemas.openxmlformats.org/officeDocument/2006/relationships/hyperlink" Target="https://pt.wikipedia.org/wiki/Milton_Campos" TargetMode="External"/><Relationship Id="rId13" Type="http://schemas.openxmlformats.org/officeDocument/2006/relationships/hyperlink" Target="https://www.mediafire.com/file/z6plndmww1vvb52/%252817%2529_Mapa_presidencial_por_mun%25C3%25ADcipio_%25281960%2529.svg/file" TargetMode="External"/><Relationship Id="rId12" Type="http://schemas.openxmlformats.org/officeDocument/2006/relationships/hyperlink" Target="https://app.powerbi.com/view?r=eyJrIjoiMWNiMzI4NmYtNmYwOS00YjQ0LTk2NTAtYjRmYmIxMTQ5NDZhIiwidCI6ImFiNzcyYzYzLWViMzgtNGIxZS1iZWY3LTdiNjBlZDhhY2RmMSJ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t.wikipedia.org/wiki/Elei%C3%A7%C3%A3o_presidencial_no_Brasil_em_1960" TargetMode="External"/><Relationship Id="rId9" Type="http://schemas.openxmlformats.org/officeDocument/2006/relationships/hyperlink" Target="https://pt.wikipedia.org/wiki/Jo%C3%A3o_Goulart" TargetMode="External"/><Relationship Id="rId15" Type="http://schemas.openxmlformats.org/officeDocument/2006/relationships/hyperlink" Target="https://www.mediafire.com/file/9t255uzr5ga1f5u/Mapa_presidencial_por_unidade_federativa_%25281960%2529.svg/file" TargetMode="External"/><Relationship Id="rId14" Type="http://schemas.openxmlformats.org/officeDocument/2006/relationships/hyperlink" Target="https://www.mediafire.com/file/0xef40phquu68s5/%252818%2529_Mapa_vice-presidencial_por_mun%25C3%25ADcipio_%25281960%2529.svg/file" TargetMode="External"/><Relationship Id="rId17" Type="http://schemas.openxmlformats.org/officeDocument/2006/relationships/hyperlink" Target="mailto:cttpoliticandoobrasil@gmail.com" TargetMode="External"/><Relationship Id="rId16" Type="http://schemas.openxmlformats.org/officeDocument/2006/relationships/hyperlink" Target="https://www.mediafire.com/file/q00o0mhi0vfbc39/Mapa_vice-presidencial_por_unidade_federativa_%25281960%2529.svg/file" TargetMode="External"/><Relationship Id="rId5" Type="http://schemas.openxmlformats.org/officeDocument/2006/relationships/hyperlink" Target="https://drive.google.com/file/d/1A9GMYbh4Fumovaf4xgjy0K8encXMQUDP/view?usp=drive_link" TargetMode="External"/><Relationship Id="rId19" Type="http://schemas.openxmlformats.org/officeDocument/2006/relationships/vmlDrawing" Target="../drawings/vmlDrawing1.vml"/><Relationship Id="rId6" Type="http://schemas.openxmlformats.org/officeDocument/2006/relationships/hyperlink" Target="https://pt.wikipedia.org/wiki/J%C3%A2nio_Quadros" TargetMode="External"/><Relationship Id="rId18" Type="http://schemas.openxmlformats.org/officeDocument/2006/relationships/drawing" Target="../drawings/drawing1.xml"/><Relationship Id="rId7" Type="http://schemas.openxmlformats.org/officeDocument/2006/relationships/hyperlink" Target="https://pt.wikipedia.org/wiki/Henrique_Teixeira_Lott" TargetMode="External"/><Relationship Id="rId8" Type="http://schemas.openxmlformats.org/officeDocument/2006/relationships/hyperlink" Target="https://pt.wikipedia.org/wiki/Ademar_de_Barros"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0.xml"/><Relationship Id="rId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1.xml"/><Relationship Id="rId5"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2.xml"/><Relationship Id="rId5"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13.xml"/><Relationship Id="rId5"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14.xml"/><Relationship Id="rId5"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15.xml"/><Relationship Id="rId5"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16.xml"/><Relationship Id="rId5"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17.xml"/><Relationship Id="rId5"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18.xml"/><Relationship Id="rId5"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19.xml"/><Relationship Id="rId5"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20.xml"/><Relationship Id="rId5"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21.xml"/><Relationship Id="rId5"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3" max="3" width="11.5"/>
    <col customWidth="1" min="9" max="9" width="15.63"/>
  </cols>
  <sheetData>
    <row r="1" ht="11.25" customHeight="1">
      <c r="A1" s="1" t="s">
        <v>0</v>
      </c>
      <c r="B1" s="2"/>
      <c r="C1" s="2"/>
      <c r="D1" s="2"/>
      <c r="E1" s="2"/>
      <c r="F1" s="2"/>
      <c r="G1" s="2"/>
      <c r="H1" s="2"/>
      <c r="I1" s="3"/>
    </row>
    <row r="2" ht="12.75" customHeight="1">
      <c r="A2" s="4"/>
      <c r="B2" s="5"/>
      <c r="C2" s="5"/>
      <c r="D2" s="5"/>
      <c r="E2" s="5"/>
      <c r="F2" s="5"/>
      <c r="G2" s="5"/>
      <c r="H2" s="5"/>
      <c r="I2" s="6"/>
    </row>
    <row r="3" ht="17.25" customHeight="1">
      <c r="A3" s="7" t="s">
        <v>1</v>
      </c>
      <c r="I3" s="8"/>
    </row>
    <row r="4" ht="17.25" customHeight="1">
      <c r="A4" s="9"/>
      <c r="I4" s="8"/>
    </row>
    <row r="5" ht="17.25" customHeight="1">
      <c r="A5" s="9"/>
      <c r="I5" s="8"/>
    </row>
    <row r="6" ht="17.25" customHeight="1">
      <c r="A6" s="9"/>
      <c r="I6" s="8"/>
    </row>
    <row r="7" ht="13.5" customHeight="1">
      <c r="A7" s="9"/>
      <c r="I7" s="8"/>
    </row>
    <row r="8" ht="11.25" customHeight="1">
      <c r="A8" s="4"/>
      <c r="B8" s="5"/>
      <c r="C8" s="5"/>
      <c r="D8" s="5"/>
      <c r="E8" s="5"/>
      <c r="F8" s="5"/>
      <c r="G8" s="5"/>
      <c r="H8" s="5"/>
      <c r="I8" s="6"/>
    </row>
    <row r="11">
      <c r="A11" s="10" t="s">
        <v>2</v>
      </c>
      <c r="B11" s="2"/>
      <c r="C11" s="2"/>
      <c r="D11" s="2"/>
      <c r="E11" s="2"/>
      <c r="F11" s="2"/>
      <c r="G11" s="2"/>
      <c r="H11" s="2"/>
      <c r="I11" s="3"/>
    </row>
    <row r="12">
      <c r="A12" s="4"/>
      <c r="B12" s="5"/>
      <c r="C12" s="5"/>
      <c r="D12" s="5"/>
      <c r="E12" s="5"/>
      <c r="F12" s="5"/>
      <c r="G12" s="5"/>
      <c r="H12" s="5"/>
      <c r="I12" s="6"/>
    </row>
    <row r="13" ht="21.75" customHeight="1">
      <c r="A13" s="7" t="s">
        <v>3</v>
      </c>
      <c r="I13" s="8"/>
    </row>
    <row r="14">
      <c r="A14" s="9"/>
      <c r="I14" s="8"/>
    </row>
    <row r="15">
      <c r="A15" s="9"/>
      <c r="I15" s="8"/>
    </row>
    <row r="16">
      <c r="A16" s="9"/>
      <c r="I16" s="8"/>
    </row>
    <row r="17">
      <c r="A17" s="9"/>
      <c r="I17" s="8"/>
    </row>
    <row r="18" ht="23.25" customHeight="1">
      <c r="A18" s="9"/>
      <c r="I18" s="8"/>
    </row>
    <row r="19">
      <c r="A19" s="4"/>
      <c r="B19" s="5"/>
      <c r="C19" s="5"/>
      <c r="D19" s="5"/>
      <c r="E19" s="5"/>
      <c r="F19" s="5"/>
      <c r="G19" s="5"/>
      <c r="H19" s="5"/>
      <c r="I19" s="6"/>
    </row>
    <row r="20" ht="18.75" customHeight="1">
      <c r="A20" s="11" t="s">
        <v>4</v>
      </c>
      <c r="B20" s="12"/>
      <c r="C20" s="12"/>
      <c r="D20" s="12"/>
      <c r="E20" s="12"/>
      <c r="F20" s="12"/>
      <c r="G20" s="12"/>
      <c r="H20" s="12"/>
      <c r="I20" s="13"/>
    </row>
    <row r="21">
      <c r="A21" s="14" t="s">
        <v>5</v>
      </c>
      <c r="B21" s="2"/>
      <c r="C21" s="2"/>
      <c r="D21" s="2"/>
      <c r="E21" s="2"/>
      <c r="F21" s="2"/>
      <c r="G21" s="2"/>
      <c r="H21" s="2"/>
      <c r="I21" s="3"/>
    </row>
    <row r="22">
      <c r="A22" s="9"/>
      <c r="I22" s="8"/>
    </row>
    <row r="23">
      <c r="A23" s="9"/>
      <c r="I23" s="8"/>
    </row>
    <row r="24">
      <c r="A24" s="9"/>
      <c r="I24" s="8"/>
    </row>
    <row r="25">
      <c r="A25" s="9"/>
      <c r="I25" s="8"/>
    </row>
    <row r="26">
      <c r="A26" s="9"/>
      <c r="I26" s="8"/>
    </row>
    <row r="27">
      <c r="A27" s="9"/>
      <c r="I27" s="8"/>
    </row>
    <row r="28">
      <c r="A28" s="9"/>
      <c r="I28" s="8"/>
    </row>
    <row r="29">
      <c r="A29" s="9"/>
      <c r="I29" s="8"/>
    </row>
    <row r="30">
      <c r="A30" s="9"/>
      <c r="I30" s="8"/>
    </row>
    <row r="31">
      <c r="A31" s="9"/>
      <c r="I31" s="8"/>
    </row>
    <row r="32">
      <c r="A32" s="9"/>
      <c r="I32" s="8"/>
    </row>
    <row r="33">
      <c r="A33" s="9"/>
      <c r="I33" s="8"/>
    </row>
    <row r="34">
      <c r="A34" s="9"/>
      <c r="I34" s="8"/>
    </row>
    <row r="35">
      <c r="A35" s="9"/>
      <c r="I35" s="8"/>
    </row>
    <row r="36">
      <c r="A36" s="9"/>
      <c r="I36" s="8"/>
    </row>
    <row r="37">
      <c r="A37" s="9"/>
      <c r="I37" s="8"/>
    </row>
    <row r="38">
      <c r="A38" s="9"/>
      <c r="I38" s="8"/>
    </row>
    <row r="39">
      <c r="A39" s="9"/>
      <c r="I39" s="8"/>
    </row>
    <row r="40">
      <c r="A40" s="9"/>
      <c r="I40" s="8"/>
    </row>
    <row r="41">
      <c r="A41" s="4"/>
      <c r="B41" s="5"/>
      <c r="C41" s="5"/>
      <c r="D41" s="5"/>
      <c r="E41" s="5"/>
      <c r="F41" s="5"/>
      <c r="G41" s="5"/>
      <c r="H41" s="5"/>
      <c r="I41" s="6"/>
    </row>
    <row r="44">
      <c r="A44" s="10" t="s">
        <v>6</v>
      </c>
      <c r="B44" s="2"/>
      <c r="C44" s="2"/>
      <c r="D44" s="2"/>
      <c r="E44" s="2"/>
      <c r="F44" s="2"/>
      <c r="G44" s="2"/>
      <c r="H44" s="2"/>
      <c r="I44" s="3"/>
    </row>
    <row r="45">
      <c r="A45" s="4"/>
      <c r="B45" s="5"/>
      <c r="C45" s="5"/>
      <c r="D45" s="5"/>
      <c r="E45" s="5"/>
      <c r="F45" s="5"/>
      <c r="G45" s="5"/>
      <c r="H45" s="5"/>
      <c r="I45" s="6"/>
    </row>
    <row r="46" ht="17.25" customHeight="1">
      <c r="A46" s="15" t="s">
        <v>7</v>
      </c>
      <c r="B46" s="5"/>
      <c r="C46" s="5"/>
      <c r="D46" s="5"/>
      <c r="E46" s="5"/>
      <c r="F46" s="5"/>
      <c r="G46" s="5"/>
      <c r="H46" s="5"/>
      <c r="I46" s="6"/>
    </row>
    <row r="47">
      <c r="A47" s="16" t="s">
        <v>8</v>
      </c>
      <c r="B47" s="17" t="s">
        <v>9</v>
      </c>
      <c r="C47" s="13"/>
      <c r="D47" s="17" t="s">
        <v>10</v>
      </c>
      <c r="E47" s="13"/>
      <c r="F47" s="17" t="s">
        <v>11</v>
      </c>
      <c r="G47" s="12"/>
      <c r="H47" s="13"/>
      <c r="I47" s="16" t="s">
        <v>12</v>
      </c>
    </row>
    <row r="48">
      <c r="A48" s="18" t="s">
        <v>13</v>
      </c>
      <c r="B48" s="19" t="s">
        <v>14</v>
      </c>
      <c r="C48" s="13"/>
      <c r="D48" s="20" t="s">
        <v>15</v>
      </c>
      <c r="E48" s="13"/>
      <c r="F48" s="21" t="s">
        <v>16</v>
      </c>
      <c r="G48" s="12"/>
      <c r="H48" s="13"/>
      <c r="I48" s="22" t="s">
        <v>17</v>
      </c>
    </row>
    <row r="49">
      <c r="A49" s="23"/>
      <c r="B49" s="19" t="s">
        <v>18</v>
      </c>
      <c r="C49" s="13"/>
      <c r="D49" s="20" t="s">
        <v>19</v>
      </c>
      <c r="E49" s="13"/>
      <c r="F49" s="21" t="s">
        <v>20</v>
      </c>
      <c r="G49" s="12"/>
      <c r="H49" s="13"/>
      <c r="I49" s="22" t="s">
        <v>21</v>
      </c>
    </row>
    <row r="50">
      <c r="A50" s="24"/>
      <c r="B50" s="19" t="s">
        <v>22</v>
      </c>
      <c r="C50" s="13"/>
      <c r="D50" s="20" t="s">
        <v>23</v>
      </c>
      <c r="E50" s="13"/>
      <c r="F50" s="25" t="s">
        <v>24</v>
      </c>
      <c r="G50" s="12"/>
      <c r="H50" s="13"/>
      <c r="I50" s="22" t="s">
        <v>25</v>
      </c>
    </row>
    <row r="51">
      <c r="A51" s="18" t="s">
        <v>26</v>
      </c>
      <c r="B51" s="19" t="s">
        <v>27</v>
      </c>
      <c r="C51" s="13"/>
      <c r="D51" s="20" t="s">
        <v>28</v>
      </c>
      <c r="E51" s="13"/>
      <c r="F51" s="21" t="s">
        <v>29</v>
      </c>
      <c r="G51" s="12"/>
      <c r="H51" s="13"/>
      <c r="I51" s="22" t="s">
        <v>17</v>
      </c>
    </row>
    <row r="52">
      <c r="A52" s="23"/>
      <c r="B52" s="19" t="s">
        <v>30</v>
      </c>
      <c r="C52" s="13"/>
      <c r="D52" s="20" t="s">
        <v>31</v>
      </c>
      <c r="E52" s="13"/>
      <c r="F52" s="21" t="s">
        <v>32</v>
      </c>
      <c r="G52" s="12"/>
      <c r="H52" s="13"/>
      <c r="I52" s="22" t="s">
        <v>21</v>
      </c>
    </row>
    <row r="53">
      <c r="A53" s="24"/>
      <c r="B53" s="19" t="s">
        <v>33</v>
      </c>
      <c r="C53" s="13"/>
      <c r="D53" s="20" t="s">
        <v>34</v>
      </c>
      <c r="E53" s="13"/>
      <c r="F53" s="21" t="s">
        <v>35</v>
      </c>
      <c r="G53" s="12"/>
      <c r="H53" s="13"/>
      <c r="I53" s="22" t="s">
        <v>25</v>
      </c>
    </row>
    <row r="54">
      <c r="A54" s="26" t="s">
        <v>36</v>
      </c>
      <c r="B54" s="12"/>
      <c r="C54" s="12"/>
      <c r="D54" s="12"/>
      <c r="E54" s="12"/>
      <c r="F54" s="12"/>
      <c r="G54" s="12"/>
      <c r="H54" s="12"/>
      <c r="I54" s="13"/>
    </row>
    <row r="57">
      <c r="A57" s="10" t="s">
        <v>37</v>
      </c>
      <c r="B57" s="2"/>
      <c r="C57" s="2"/>
      <c r="D57" s="2"/>
      <c r="E57" s="2"/>
      <c r="F57" s="2"/>
      <c r="G57" s="2"/>
      <c r="H57" s="2"/>
      <c r="I57" s="3"/>
    </row>
    <row r="58">
      <c r="A58" s="4"/>
      <c r="B58" s="5"/>
      <c r="C58" s="5"/>
      <c r="D58" s="5"/>
      <c r="E58" s="5"/>
      <c r="F58" s="5"/>
      <c r="G58" s="5"/>
      <c r="H58" s="5"/>
      <c r="I58" s="6"/>
    </row>
    <row r="59">
      <c r="A59" s="15" t="s">
        <v>38</v>
      </c>
      <c r="B59" s="5"/>
      <c r="C59" s="5"/>
      <c r="D59" s="5"/>
      <c r="E59" s="5"/>
      <c r="F59" s="5"/>
      <c r="G59" s="5"/>
      <c r="H59" s="5"/>
      <c r="I59" s="6"/>
    </row>
    <row r="60">
      <c r="A60" s="27" t="s">
        <v>39</v>
      </c>
      <c r="B60" s="12"/>
      <c r="C60" s="12"/>
      <c r="D60" s="12"/>
      <c r="E60" s="13"/>
      <c r="F60" s="27" t="s">
        <v>40</v>
      </c>
      <c r="G60" s="12"/>
      <c r="H60" s="12"/>
      <c r="I60" s="13"/>
    </row>
    <row r="61">
      <c r="A61" s="27" t="s">
        <v>41</v>
      </c>
      <c r="B61" s="12"/>
      <c r="C61" s="12"/>
      <c r="D61" s="12"/>
      <c r="E61" s="13"/>
      <c r="F61" s="27" t="s">
        <v>42</v>
      </c>
      <c r="G61" s="12"/>
      <c r="H61" s="12"/>
      <c r="I61" s="13"/>
    </row>
    <row r="63">
      <c r="A63" s="28" t="s">
        <v>43</v>
      </c>
    </row>
    <row r="64">
      <c r="A64" s="29" t="s">
        <v>44</v>
      </c>
    </row>
  </sheetData>
  <mergeCells count="40">
    <mergeCell ref="A1:I2"/>
    <mergeCell ref="A3:I8"/>
    <mergeCell ref="A11:I12"/>
    <mergeCell ref="A13:I19"/>
    <mergeCell ref="A20:I20"/>
    <mergeCell ref="A21:I41"/>
    <mergeCell ref="A44:I45"/>
    <mergeCell ref="B48:C48"/>
    <mergeCell ref="B49:C49"/>
    <mergeCell ref="A51:A53"/>
    <mergeCell ref="B51:C51"/>
    <mergeCell ref="B52:C52"/>
    <mergeCell ref="B53:C53"/>
    <mergeCell ref="D49:E49"/>
    <mergeCell ref="F49:H49"/>
    <mergeCell ref="A46:I46"/>
    <mergeCell ref="B47:C47"/>
    <mergeCell ref="D47:E47"/>
    <mergeCell ref="F47:H47"/>
    <mergeCell ref="A48:A50"/>
    <mergeCell ref="D48:E48"/>
    <mergeCell ref="F48:H48"/>
    <mergeCell ref="F50:H50"/>
    <mergeCell ref="B50:C50"/>
    <mergeCell ref="D50:E50"/>
    <mergeCell ref="D51:E51"/>
    <mergeCell ref="F51:H51"/>
    <mergeCell ref="D52:E52"/>
    <mergeCell ref="F52:H52"/>
    <mergeCell ref="D53:E53"/>
    <mergeCell ref="A61:E61"/>
    <mergeCell ref="A63:D63"/>
    <mergeCell ref="A64:D64"/>
    <mergeCell ref="F53:H53"/>
    <mergeCell ref="A54:I54"/>
    <mergeCell ref="A57:I58"/>
    <mergeCell ref="A59:I59"/>
    <mergeCell ref="A60:E60"/>
    <mergeCell ref="F60:I60"/>
    <mergeCell ref="F61:I61"/>
  </mergeCells>
  <hyperlinks>
    <hyperlink r:id="rId4" ref="A3"/>
    <hyperlink r:id="rId5" ref="A13"/>
    <hyperlink r:id="rId6" ref="B48"/>
    <hyperlink r:id="rId7" ref="B49"/>
    <hyperlink r:id="rId8" ref="B50"/>
    <hyperlink r:id="rId9" ref="B51"/>
    <hyperlink r:id="rId10" ref="B52"/>
    <hyperlink r:id="rId11" ref="B53"/>
    <hyperlink r:id="rId12" ref="A54"/>
    <hyperlink r:id="rId13" ref="A60"/>
    <hyperlink r:id="rId14" ref="F60"/>
    <hyperlink r:id="rId15" ref="A61"/>
    <hyperlink r:id="rId16" ref="F61"/>
    <hyperlink r:id="rId17" ref="A63"/>
  </hyperlinks>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32">
        <f t="shared" ref="E3:E7" si="1">IF(COUNTIF($N$15:$N$54,$D3)=0,"-",COUNTIF($N$15:$N$54,$D3))</f>
        <v>4</v>
      </c>
      <c r="F3" s="32" t="s">
        <v>47</v>
      </c>
      <c r="G3" s="32">
        <f t="shared" ref="G3:G7" si="2">IF(COUNTIF($Z$15:$Z$54,$F3)=0,"-",COUNTIF($Z$15:$Z$54,$F3))</f>
        <v>37</v>
      </c>
    </row>
    <row r="4">
      <c r="D4" s="32" t="s">
        <v>48</v>
      </c>
      <c r="E4" s="32">
        <f t="shared" si="1"/>
        <v>34</v>
      </c>
      <c r="F4" s="32" t="s">
        <v>49</v>
      </c>
      <c r="G4" s="32" t="str">
        <f t="shared" si="2"/>
        <v>-</v>
      </c>
    </row>
    <row r="5">
      <c r="D5" s="32" t="s">
        <v>50</v>
      </c>
      <c r="E5" s="32" t="str">
        <f t="shared" si="1"/>
        <v>-</v>
      </c>
      <c r="F5" s="32" t="s">
        <v>51</v>
      </c>
      <c r="G5" s="32">
        <f t="shared" si="2"/>
        <v>1</v>
      </c>
    </row>
    <row r="6">
      <c r="D6" s="32" t="s">
        <v>52</v>
      </c>
      <c r="E6" s="32" t="str">
        <f t="shared" si="1"/>
        <v>-</v>
      </c>
      <c r="F6" s="32" t="s">
        <v>52</v>
      </c>
      <c r="G6" s="32" t="str">
        <f t="shared" si="2"/>
        <v>-</v>
      </c>
    </row>
    <row r="7">
      <c r="D7" s="32" t="s">
        <v>53</v>
      </c>
      <c r="E7" s="32">
        <f t="shared" si="1"/>
        <v>2</v>
      </c>
      <c r="F7" s="32" t="s">
        <v>53</v>
      </c>
      <c r="G7" s="32">
        <f t="shared" si="2"/>
        <v>2</v>
      </c>
    </row>
    <row r="8">
      <c r="D8" s="32" t="s">
        <v>54</v>
      </c>
      <c r="E8" s="32">
        <f>SUM(E3:E7)</f>
        <v>40</v>
      </c>
      <c r="F8" s="32" t="s">
        <v>54</v>
      </c>
      <c r="G8" s="32">
        <f>SUM(G3:G7)</f>
        <v>40</v>
      </c>
    </row>
    <row r="10">
      <c r="A10" s="33"/>
    </row>
    <row r="11">
      <c r="A11" s="34"/>
      <c r="B11" s="12"/>
      <c r="C11" s="13"/>
      <c r="D11" s="35" t="s">
        <v>55</v>
      </c>
      <c r="E11" s="12"/>
      <c r="F11" s="12"/>
      <c r="G11" s="12"/>
      <c r="H11" s="12"/>
      <c r="I11" s="12"/>
      <c r="J11" s="12"/>
      <c r="K11" s="12"/>
      <c r="L11" s="12"/>
      <c r="M11" s="12"/>
      <c r="N11" s="13"/>
      <c r="O11" s="36"/>
      <c r="P11" s="35" t="s">
        <v>56</v>
      </c>
      <c r="Q11" s="12"/>
      <c r="R11" s="12"/>
      <c r="S11" s="12"/>
      <c r="T11" s="12"/>
      <c r="U11" s="12"/>
      <c r="V11" s="12"/>
      <c r="W11" s="12"/>
      <c r="X11" s="12"/>
      <c r="Y11" s="12"/>
      <c r="Z11" s="13"/>
      <c r="AA11" s="37"/>
      <c r="AB11" s="12"/>
      <c r="AC11" s="12"/>
      <c r="AD11" s="13"/>
    </row>
    <row r="12">
      <c r="A12" s="38" t="s">
        <v>57</v>
      </c>
      <c r="B12" s="39" t="s">
        <v>58</v>
      </c>
      <c r="C12" s="40"/>
      <c r="D12" s="38" t="s">
        <v>46</v>
      </c>
      <c r="E12" s="38" t="s">
        <v>48</v>
      </c>
      <c r="F12" s="38" t="s">
        <v>50</v>
      </c>
      <c r="G12" s="38" t="s">
        <v>59</v>
      </c>
      <c r="H12" s="38" t="s">
        <v>60</v>
      </c>
      <c r="I12" s="41" t="s">
        <v>61</v>
      </c>
      <c r="J12" s="41" t="s">
        <v>62</v>
      </c>
      <c r="K12" s="38" t="s">
        <v>63</v>
      </c>
      <c r="L12" s="38" t="s">
        <v>64</v>
      </c>
      <c r="M12" s="38" t="s">
        <v>65</v>
      </c>
      <c r="N12" s="38" t="s">
        <v>66</v>
      </c>
      <c r="O12" s="42"/>
      <c r="P12" s="38" t="s">
        <v>47</v>
      </c>
      <c r="Q12" s="38" t="s">
        <v>49</v>
      </c>
      <c r="R12" s="38" t="s">
        <v>51</v>
      </c>
      <c r="S12" s="38" t="s">
        <v>59</v>
      </c>
      <c r="T12" s="38" t="s">
        <v>60</v>
      </c>
      <c r="U12" s="41" t="s">
        <v>61</v>
      </c>
      <c r="V12" s="41" t="s">
        <v>62</v>
      </c>
      <c r="W12" s="43" t="s">
        <v>67</v>
      </c>
      <c r="X12" s="43" t="s">
        <v>68</v>
      </c>
      <c r="Y12" s="43" t="s">
        <v>69</v>
      </c>
      <c r="Z12" s="38" t="s">
        <v>66</v>
      </c>
      <c r="AA12" s="44"/>
      <c r="AB12" s="41" t="s">
        <v>70</v>
      </c>
      <c r="AC12" s="41" t="s">
        <v>71</v>
      </c>
      <c r="AD12" s="41" t="s">
        <v>72</v>
      </c>
    </row>
    <row r="13">
      <c r="A13" s="45" t="s">
        <v>73</v>
      </c>
      <c r="B13" s="46" t="s">
        <v>74</v>
      </c>
      <c r="C13" s="47"/>
      <c r="D13" s="38">
        <v>10370.0</v>
      </c>
      <c r="E13" s="38">
        <v>9767.0</v>
      </c>
      <c r="F13" s="38">
        <v>958.0</v>
      </c>
      <c r="G13" s="38">
        <v>457.0</v>
      </c>
      <c r="H13" s="38">
        <v>853.0</v>
      </c>
      <c r="I13" s="48">
        <f t="shared" ref="I13:I55" si="3">SUM(D13:F13)</f>
        <v>21095</v>
      </c>
      <c r="J13" s="48">
        <f t="shared" ref="J13:J14" si="4">SUM(G13:I13)</f>
        <v>22405</v>
      </c>
      <c r="K13" s="49">
        <f t="shared" ref="K13:K49" si="5">D13/I13</f>
        <v>0.4915856838</v>
      </c>
      <c r="L13" s="49">
        <f t="shared" ref="L13:L49" si="6">E13/I13</f>
        <v>0.4630007111</v>
      </c>
      <c r="M13" s="49">
        <f t="shared" ref="M13:M49" si="7">F13/I13</f>
        <v>0.04541360512</v>
      </c>
      <c r="N13" s="32" t="str">
        <f t="shared" ref="N13:N55" si="8">IF(LARGE(D13:F13,1)=0,$D$7,IF(LARGE(D13:F13,1)=LARGE(D13:F13,2),$D$6,IF(LARGE(D13:F13,1)=D13,$D$3,IF(LARGE(D13:F13,1)=E13,$D$4,IF(LARGE(D13:F13,1)=F13,$D$5)))))</f>
        <v>Jânio</v>
      </c>
      <c r="O13" s="50"/>
      <c r="P13" s="38">
        <v>10170.0</v>
      </c>
      <c r="Q13" s="38">
        <v>2929.0</v>
      </c>
      <c r="R13" s="38">
        <v>7382.0</v>
      </c>
      <c r="S13" s="38">
        <v>1314.0</v>
      </c>
      <c r="T13" s="38">
        <v>610.0</v>
      </c>
      <c r="U13" s="48">
        <f t="shared" ref="U13:U55" si="9">SUM(P13:R13)</f>
        <v>20481</v>
      </c>
      <c r="V13" s="48">
        <f t="shared" ref="V13:V14" si="10">SUM(S13:U13)</f>
        <v>22405</v>
      </c>
      <c r="W13" s="49">
        <f t="shared" ref="W13:W49" si="11">P13/U13</f>
        <v>0.4965577853</v>
      </c>
      <c r="X13" s="49">
        <f t="shared" ref="X13:X49" si="12">Q13/U13</f>
        <v>0.1430105952</v>
      </c>
      <c r="Y13" s="49">
        <f t="shared" ref="Y13:Y49" si="13">R13/U13</f>
        <v>0.3604316195</v>
      </c>
      <c r="Z13" s="32" t="str">
        <f t="shared" ref="Z13:Z55" si="14">IF(LARGE(P13:R13,1)=0,$F$7,IF(LARGE(P13:R13,1)=LARGE(P13:R13,2),$F$6,IF(LARGE(P13:R13,1)=P13,$F$3,IF(LARGE(P13:R13,1)=Q13,$F$4,IF(LARGE(P13:R13,1)=R13,$F$5)))))</f>
        <v>Jango</v>
      </c>
      <c r="AA13" s="44"/>
      <c r="AB13" s="38">
        <v>29072.0</v>
      </c>
      <c r="AC13" s="48">
        <f t="shared" ref="AC13:AC32" si="15">AB13-V13</f>
        <v>6667</v>
      </c>
      <c r="AD13" s="51">
        <f t="shared" ref="AD13:AD32" si="16">V13/AB13</f>
        <v>0.7706728123</v>
      </c>
    </row>
    <row r="14">
      <c r="A14" s="45" t="s">
        <v>75</v>
      </c>
      <c r="B14" s="46" t="s">
        <v>76</v>
      </c>
      <c r="C14" s="47"/>
      <c r="D14" s="38">
        <v>6670.0</v>
      </c>
      <c r="E14" s="38">
        <v>7068.0</v>
      </c>
      <c r="F14" s="38">
        <v>512.0</v>
      </c>
      <c r="G14" s="38">
        <v>250.0</v>
      </c>
      <c r="H14" s="38">
        <v>376.0</v>
      </c>
      <c r="I14" s="48">
        <f t="shared" si="3"/>
        <v>14250</v>
      </c>
      <c r="J14" s="48">
        <f t="shared" si="4"/>
        <v>14876</v>
      </c>
      <c r="K14" s="49">
        <f t="shared" si="5"/>
        <v>0.4680701754</v>
      </c>
      <c r="L14" s="49">
        <f t="shared" si="6"/>
        <v>0.496</v>
      </c>
      <c r="M14" s="49">
        <f t="shared" si="7"/>
        <v>0.03592982456</v>
      </c>
      <c r="N14" s="32" t="str">
        <f t="shared" si="8"/>
        <v>Mal. Lott</v>
      </c>
      <c r="O14" s="50"/>
      <c r="P14" s="38">
        <v>6663.0</v>
      </c>
      <c r="Q14" s="38">
        <v>2489.0</v>
      </c>
      <c r="R14" s="38">
        <v>4800.0</v>
      </c>
      <c r="S14" s="38">
        <v>642.0</v>
      </c>
      <c r="T14" s="38">
        <v>282.0</v>
      </c>
      <c r="U14" s="48">
        <f t="shared" si="9"/>
        <v>13952</v>
      </c>
      <c r="V14" s="48">
        <f t="shared" si="10"/>
        <v>14876</v>
      </c>
      <c r="W14" s="49">
        <f t="shared" si="11"/>
        <v>0.4775659404</v>
      </c>
      <c r="X14" s="49">
        <f t="shared" si="12"/>
        <v>0.1783973624</v>
      </c>
      <c r="Y14" s="49">
        <f t="shared" si="13"/>
        <v>0.3440366972</v>
      </c>
      <c r="Z14" s="32" t="str">
        <f t="shared" si="14"/>
        <v>Jango</v>
      </c>
      <c r="AA14" s="44"/>
      <c r="AB14" s="38">
        <v>21508.0</v>
      </c>
      <c r="AC14" s="48">
        <f t="shared" si="15"/>
        <v>6632</v>
      </c>
      <c r="AD14" s="51">
        <f t="shared" si="16"/>
        <v>0.6916496187</v>
      </c>
    </row>
    <row r="15">
      <c r="A15" s="45" t="s">
        <v>77</v>
      </c>
      <c r="B15" s="46" t="s">
        <v>78</v>
      </c>
      <c r="C15" s="47"/>
      <c r="D15" s="38">
        <v>17040.0</v>
      </c>
      <c r="E15" s="38">
        <v>16835.0</v>
      </c>
      <c r="F15" s="38">
        <v>1470.0</v>
      </c>
      <c r="G15" s="38">
        <v>707.0</v>
      </c>
      <c r="H15" s="38">
        <v>1229.0</v>
      </c>
      <c r="I15" s="48">
        <f t="shared" si="3"/>
        <v>35345</v>
      </c>
      <c r="J15" s="48">
        <f>J13+J14</f>
        <v>37281</v>
      </c>
      <c r="K15" s="49">
        <f t="shared" si="5"/>
        <v>0.4821049653</v>
      </c>
      <c r="L15" s="49">
        <f t="shared" si="6"/>
        <v>0.4763049936</v>
      </c>
      <c r="M15" s="49">
        <f t="shared" si="7"/>
        <v>0.04159004102</v>
      </c>
      <c r="N15" s="32" t="str">
        <f t="shared" si="8"/>
        <v>Jânio</v>
      </c>
      <c r="O15" s="50" t="s">
        <v>77</v>
      </c>
      <c r="P15" s="52">
        <v>16833.0</v>
      </c>
      <c r="Q15" s="52">
        <v>5418.0</v>
      </c>
      <c r="R15" s="53">
        <v>12182.0</v>
      </c>
      <c r="S15" s="38">
        <v>1956.0</v>
      </c>
      <c r="T15" s="38">
        <v>892.0</v>
      </c>
      <c r="U15" s="48">
        <f t="shared" si="9"/>
        <v>34433</v>
      </c>
      <c r="V15" s="38">
        <f>V13+V14</f>
        <v>37281</v>
      </c>
      <c r="W15" s="49">
        <f t="shared" si="11"/>
        <v>0.4888624285</v>
      </c>
      <c r="X15" s="49">
        <f t="shared" si="12"/>
        <v>0.1573490547</v>
      </c>
      <c r="Y15" s="49">
        <f t="shared" si="13"/>
        <v>0.3537885168</v>
      </c>
      <c r="Z15" s="32" t="str">
        <f t="shared" si="14"/>
        <v>Jango</v>
      </c>
      <c r="AA15" s="54" t="s">
        <v>77</v>
      </c>
      <c r="AB15" s="55">
        <v>50577.0</v>
      </c>
      <c r="AC15" s="48">
        <f t="shared" si="15"/>
        <v>13296</v>
      </c>
      <c r="AD15" s="51">
        <f t="shared" si="16"/>
        <v>0.7371137078</v>
      </c>
    </row>
    <row r="16">
      <c r="A16" s="56" t="s">
        <v>79</v>
      </c>
      <c r="B16" s="46" t="s">
        <v>80</v>
      </c>
      <c r="C16" s="47"/>
      <c r="D16" s="38">
        <v>1031.0</v>
      </c>
      <c r="E16" s="38">
        <v>1198.0</v>
      </c>
      <c r="F16" s="38">
        <v>86.0</v>
      </c>
      <c r="G16" s="38">
        <v>95.0</v>
      </c>
      <c r="H16" s="38">
        <v>111.0</v>
      </c>
      <c r="I16" s="48">
        <f t="shared" si="3"/>
        <v>2315</v>
      </c>
      <c r="J16" s="48">
        <f t="shared" ref="J16:J55" si="17">SUM(G16:I16)</f>
        <v>2521</v>
      </c>
      <c r="K16" s="49">
        <f t="shared" si="5"/>
        <v>0.4453563715</v>
      </c>
      <c r="L16" s="49">
        <f t="shared" si="6"/>
        <v>0.5174946004</v>
      </c>
      <c r="M16" s="49">
        <f t="shared" si="7"/>
        <v>0.03714902808</v>
      </c>
      <c r="N16" s="32" t="str">
        <f t="shared" si="8"/>
        <v>Mal. Lott</v>
      </c>
      <c r="O16" s="50" t="s">
        <v>77</v>
      </c>
      <c r="P16" s="57">
        <v>1529.0</v>
      </c>
      <c r="Q16" s="57">
        <v>354.0</v>
      </c>
      <c r="R16" s="58">
        <v>307.0</v>
      </c>
      <c r="S16" s="38">
        <v>259.0</v>
      </c>
      <c r="T16" s="38">
        <v>72.0</v>
      </c>
      <c r="U16" s="48">
        <f t="shared" si="9"/>
        <v>2190</v>
      </c>
      <c r="V16" s="48">
        <f t="shared" ref="V16:V55" si="18">SUM(S16:U16)</f>
        <v>2521</v>
      </c>
      <c r="W16" s="49">
        <f t="shared" si="11"/>
        <v>0.698173516</v>
      </c>
      <c r="X16" s="49">
        <f t="shared" si="12"/>
        <v>0.1616438356</v>
      </c>
      <c r="Y16" s="49">
        <f t="shared" si="13"/>
        <v>0.1401826484</v>
      </c>
      <c r="Z16" s="32" t="str">
        <f t="shared" si="14"/>
        <v>Jango</v>
      </c>
      <c r="AA16" s="54" t="s">
        <v>77</v>
      </c>
      <c r="AB16" s="38">
        <v>4064.0</v>
      </c>
      <c r="AC16" s="48">
        <f t="shared" si="15"/>
        <v>1543</v>
      </c>
      <c r="AD16" s="51">
        <f t="shared" si="16"/>
        <v>0.6203248031</v>
      </c>
    </row>
    <row r="17">
      <c r="A17" s="23"/>
      <c r="B17" s="46" t="s">
        <v>81</v>
      </c>
      <c r="C17" s="47"/>
      <c r="D17" s="38">
        <v>172.0</v>
      </c>
      <c r="E17" s="38">
        <v>249.0</v>
      </c>
      <c r="F17" s="38">
        <v>34.0</v>
      </c>
      <c r="G17" s="38">
        <v>25.0</v>
      </c>
      <c r="H17" s="38">
        <v>26.0</v>
      </c>
      <c r="I17" s="48">
        <f t="shared" si="3"/>
        <v>455</v>
      </c>
      <c r="J17" s="48">
        <f t="shared" si="17"/>
        <v>506</v>
      </c>
      <c r="K17" s="49">
        <f t="shared" si="5"/>
        <v>0.378021978</v>
      </c>
      <c r="L17" s="49">
        <f t="shared" si="6"/>
        <v>0.5472527473</v>
      </c>
      <c r="M17" s="49">
        <f t="shared" si="7"/>
        <v>0.07472527473</v>
      </c>
      <c r="N17" s="32" t="str">
        <f t="shared" si="8"/>
        <v>Mal. Lott</v>
      </c>
      <c r="O17" s="50" t="s">
        <v>77</v>
      </c>
      <c r="P17" s="57">
        <v>327.0</v>
      </c>
      <c r="Q17" s="57">
        <v>47.0</v>
      </c>
      <c r="R17" s="58">
        <v>47.0</v>
      </c>
      <c r="S17" s="38">
        <v>66.0</v>
      </c>
      <c r="T17" s="38">
        <v>19.0</v>
      </c>
      <c r="U17" s="48">
        <f t="shared" si="9"/>
        <v>421</v>
      </c>
      <c r="V17" s="48">
        <f t="shared" si="18"/>
        <v>506</v>
      </c>
      <c r="W17" s="49">
        <f t="shared" si="11"/>
        <v>0.7767220903</v>
      </c>
      <c r="X17" s="49">
        <f t="shared" si="12"/>
        <v>0.1116389549</v>
      </c>
      <c r="Y17" s="49">
        <f t="shared" si="13"/>
        <v>0.1116389549</v>
      </c>
      <c r="Z17" s="32" t="str">
        <f t="shared" si="14"/>
        <v>Jango</v>
      </c>
      <c r="AA17" s="54" t="s">
        <v>77</v>
      </c>
      <c r="AB17" s="38">
        <v>1300.0</v>
      </c>
      <c r="AC17" s="48">
        <f t="shared" si="15"/>
        <v>794</v>
      </c>
      <c r="AD17" s="51">
        <f t="shared" si="16"/>
        <v>0.3892307692</v>
      </c>
    </row>
    <row r="18">
      <c r="A18" s="23"/>
      <c r="B18" s="46" t="s">
        <v>82</v>
      </c>
      <c r="C18" s="47"/>
      <c r="D18" s="38">
        <v>128.0</v>
      </c>
      <c r="E18" s="38">
        <v>566.0</v>
      </c>
      <c r="F18" s="38">
        <v>9.0</v>
      </c>
      <c r="G18" s="38">
        <v>28.0</v>
      </c>
      <c r="H18" s="38">
        <v>67.0</v>
      </c>
      <c r="I18" s="48">
        <f t="shared" si="3"/>
        <v>703</v>
      </c>
      <c r="J18" s="48">
        <f t="shared" si="17"/>
        <v>798</v>
      </c>
      <c r="K18" s="49">
        <f t="shared" si="5"/>
        <v>0.1820768137</v>
      </c>
      <c r="L18" s="49">
        <f t="shared" si="6"/>
        <v>0.8051209104</v>
      </c>
      <c r="M18" s="49">
        <f t="shared" si="7"/>
        <v>0.01280227596</v>
      </c>
      <c r="N18" s="32" t="str">
        <f t="shared" si="8"/>
        <v>Mal. Lott</v>
      </c>
      <c r="O18" s="50" t="s">
        <v>77</v>
      </c>
      <c r="P18" s="57">
        <v>561.0</v>
      </c>
      <c r="Q18" s="57">
        <v>34.0</v>
      </c>
      <c r="R18" s="58">
        <v>68.0</v>
      </c>
      <c r="S18" s="38">
        <v>85.0</v>
      </c>
      <c r="T18" s="38">
        <v>50.0</v>
      </c>
      <c r="U18" s="48">
        <f t="shared" si="9"/>
        <v>663</v>
      </c>
      <c r="V18" s="48">
        <f t="shared" si="18"/>
        <v>798</v>
      </c>
      <c r="W18" s="49">
        <f t="shared" si="11"/>
        <v>0.8461538462</v>
      </c>
      <c r="X18" s="49">
        <f t="shared" si="12"/>
        <v>0.05128205128</v>
      </c>
      <c r="Y18" s="49">
        <f t="shared" si="13"/>
        <v>0.1025641026</v>
      </c>
      <c r="Z18" s="32" t="str">
        <f t="shared" si="14"/>
        <v>Jango</v>
      </c>
      <c r="AA18" s="54" t="s">
        <v>77</v>
      </c>
      <c r="AB18" s="38">
        <v>1005.0</v>
      </c>
      <c r="AC18" s="48">
        <f t="shared" si="15"/>
        <v>207</v>
      </c>
      <c r="AD18" s="51">
        <f t="shared" si="16"/>
        <v>0.7940298507</v>
      </c>
    </row>
    <row r="19">
      <c r="A19" s="23"/>
      <c r="B19" s="46" t="s">
        <v>83</v>
      </c>
      <c r="C19" s="47"/>
      <c r="D19" s="38">
        <v>79.0</v>
      </c>
      <c r="E19" s="38">
        <v>246.0</v>
      </c>
      <c r="F19" s="38">
        <v>11.0</v>
      </c>
      <c r="G19" s="38">
        <v>27.0</v>
      </c>
      <c r="H19" s="38">
        <v>21.0</v>
      </c>
      <c r="I19" s="48">
        <f t="shared" si="3"/>
        <v>336</v>
      </c>
      <c r="J19" s="48">
        <f t="shared" si="17"/>
        <v>384</v>
      </c>
      <c r="K19" s="49">
        <f t="shared" si="5"/>
        <v>0.2351190476</v>
      </c>
      <c r="L19" s="49">
        <f t="shared" si="6"/>
        <v>0.7321428571</v>
      </c>
      <c r="M19" s="49">
        <f t="shared" si="7"/>
        <v>0.03273809524</v>
      </c>
      <c r="N19" s="32" t="str">
        <f t="shared" si="8"/>
        <v>Mal. Lott</v>
      </c>
      <c r="O19" s="50" t="s">
        <v>77</v>
      </c>
      <c r="P19" s="57">
        <v>281.0</v>
      </c>
      <c r="Q19" s="57">
        <v>19.0</v>
      </c>
      <c r="R19" s="58">
        <v>10.0</v>
      </c>
      <c r="S19" s="38">
        <v>59.0</v>
      </c>
      <c r="T19" s="38">
        <v>15.0</v>
      </c>
      <c r="U19" s="48">
        <f t="shared" si="9"/>
        <v>310</v>
      </c>
      <c r="V19" s="48">
        <f t="shared" si="18"/>
        <v>384</v>
      </c>
      <c r="W19" s="49">
        <f t="shared" si="11"/>
        <v>0.9064516129</v>
      </c>
      <c r="X19" s="49">
        <f t="shared" si="12"/>
        <v>0.06129032258</v>
      </c>
      <c r="Y19" s="49">
        <f t="shared" si="13"/>
        <v>0.03225806452</v>
      </c>
      <c r="Z19" s="32" t="str">
        <f t="shared" si="14"/>
        <v>Jango</v>
      </c>
      <c r="AA19" s="54" t="s">
        <v>77</v>
      </c>
      <c r="AB19" s="38">
        <v>839.0</v>
      </c>
      <c r="AC19" s="48">
        <f t="shared" si="15"/>
        <v>455</v>
      </c>
      <c r="AD19" s="51">
        <f t="shared" si="16"/>
        <v>0.4576877235</v>
      </c>
    </row>
    <row r="20">
      <c r="A20" s="24"/>
      <c r="B20" s="46" t="s">
        <v>84</v>
      </c>
      <c r="C20" s="47"/>
      <c r="D20" s="38">
        <v>71.0</v>
      </c>
      <c r="E20" s="38">
        <v>135.0</v>
      </c>
      <c r="F20" s="38">
        <v>12.0</v>
      </c>
      <c r="G20" s="38">
        <v>12.0</v>
      </c>
      <c r="H20" s="38">
        <v>8.0</v>
      </c>
      <c r="I20" s="48">
        <f t="shared" si="3"/>
        <v>218</v>
      </c>
      <c r="J20" s="48">
        <f t="shared" si="17"/>
        <v>238</v>
      </c>
      <c r="K20" s="49">
        <f t="shared" si="5"/>
        <v>0.3256880734</v>
      </c>
      <c r="L20" s="49">
        <f t="shared" si="6"/>
        <v>0.619266055</v>
      </c>
      <c r="M20" s="49">
        <f t="shared" si="7"/>
        <v>0.05504587156</v>
      </c>
      <c r="N20" s="32" t="str">
        <f t="shared" si="8"/>
        <v>Mal. Lott</v>
      </c>
      <c r="O20" s="50" t="s">
        <v>77</v>
      </c>
      <c r="P20" s="59">
        <v>188.0</v>
      </c>
      <c r="Q20" s="59">
        <v>7.0</v>
      </c>
      <c r="R20" s="60">
        <v>8.0</v>
      </c>
      <c r="S20" s="38">
        <v>25.0</v>
      </c>
      <c r="T20" s="38">
        <v>10.0</v>
      </c>
      <c r="U20" s="48">
        <f t="shared" si="9"/>
        <v>203</v>
      </c>
      <c r="V20" s="48">
        <f t="shared" si="18"/>
        <v>238</v>
      </c>
      <c r="W20" s="49">
        <f t="shared" si="11"/>
        <v>0.9261083744</v>
      </c>
      <c r="X20" s="49">
        <f t="shared" si="12"/>
        <v>0.03448275862</v>
      </c>
      <c r="Y20" s="49">
        <f t="shared" si="13"/>
        <v>0.039408867</v>
      </c>
      <c r="Z20" s="32" t="str">
        <f t="shared" si="14"/>
        <v>Jango</v>
      </c>
      <c r="AA20" s="54" t="s">
        <v>77</v>
      </c>
      <c r="AB20" s="38">
        <v>500.0</v>
      </c>
      <c r="AC20" s="48">
        <f t="shared" si="15"/>
        <v>262</v>
      </c>
      <c r="AD20" s="51">
        <f t="shared" si="16"/>
        <v>0.476</v>
      </c>
    </row>
    <row r="21">
      <c r="A21" s="61" t="s">
        <v>85</v>
      </c>
      <c r="B21" s="46" t="s">
        <v>86</v>
      </c>
      <c r="C21" s="47"/>
      <c r="D21" s="38">
        <v>597.0</v>
      </c>
      <c r="E21" s="38">
        <v>1736.0</v>
      </c>
      <c r="F21" s="38">
        <v>104.0</v>
      </c>
      <c r="G21" s="38">
        <v>54.0</v>
      </c>
      <c r="H21" s="38">
        <v>157.0</v>
      </c>
      <c r="I21" s="48">
        <f t="shared" si="3"/>
        <v>2437</v>
      </c>
      <c r="J21" s="48">
        <f t="shared" si="17"/>
        <v>2648</v>
      </c>
      <c r="K21" s="49">
        <f t="shared" si="5"/>
        <v>0.2449733279</v>
      </c>
      <c r="L21" s="49">
        <f t="shared" si="6"/>
        <v>0.7123512515</v>
      </c>
      <c r="M21" s="49">
        <f t="shared" si="7"/>
        <v>0.0426754206</v>
      </c>
      <c r="N21" s="32" t="str">
        <f t="shared" si="8"/>
        <v>Mal. Lott</v>
      </c>
      <c r="O21" s="50" t="s">
        <v>77</v>
      </c>
      <c r="P21" s="59">
        <v>1772.0</v>
      </c>
      <c r="Q21" s="59">
        <v>188.0</v>
      </c>
      <c r="R21" s="60">
        <v>232.0</v>
      </c>
      <c r="S21" s="38">
        <v>299.0</v>
      </c>
      <c r="T21" s="38">
        <v>157.0</v>
      </c>
      <c r="U21" s="48">
        <f t="shared" si="9"/>
        <v>2192</v>
      </c>
      <c r="V21" s="48">
        <f t="shared" si="18"/>
        <v>2648</v>
      </c>
      <c r="W21" s="49">
        <f t="shared" si="11"/>
        <v>0.8083941606</v>
      </c>
      <c r="X21" s="49">
        <f t="shared" si="12"/>
        <v>0.08576642336</v>
      </c>
      <c r="Y21" s="49">
        <f t="shared" si="13"/>
        <v>0.1058394161</v>
      </c>
      <c r="Z21" s="32" t="str">
        <f t="shared" si="14"/>
        <v>Jango</v>
      </c>
      <c r="AA21" s="54" t="s">
        <v>77</v>
      </c>
      <c r="AB21" s="38">
        <v>3377.0</v>
      </c>
      <c r="AC21" s="48">
        <f t="shared" si="15"/>
        <v>729</v>
      </c>
      <c r="AD21" s="51">
        <f t="shared" si="16"/>
        <v>0.7841279242</v>
      </c>
    </row>
    <row r="22">
      <c r="A22" s="23"/>
      <c r="B22" s="46" t="s">
        <v>87</v>
      </c>
      <c r="C22" s="47"/>
      <c r="D22" s="38">
        <v>243.0</v>
      </c>
      <c r="E22" s="38">
        <v>594.0</v>
      </c>
      <c r="F22" s="38">
        <v>30.0</v>
      </c>
      <c r="G22" s="38">
        <v>53.0</v>
      </c>
      <c r="H22" s="38">
        <v>65.0</v>
      </c>
      <c r="I22" s="48">
        <f t="shared" si="3"/>
        <v>867</v>
      </c>
      <c r="J22" s="48">
        <f t="shared" si="17"/>
        <v>985</v>
      </c>
      <c r="K22" s="49">
        <f t="shared" si="5"/>
        <v>0.2802768166</v>
      </c>
      <c r="L22" s="49">
        <f t="shared" si="6"/>
        <v>0.6851211073</v>
      </c>
      <c r="M22" s="49">
        <f t="shared" si="7"/>
        <v>0.03460207612</v>
      </c>
      <c r="N22" s="32" t="str">
        <f t="shared" si="8"/>
        <v>Mal. Lott</v>
      </c>
      <c r="O22" s="50" t="s">
        <v>77</v>
      </c>
      <c r="P22" s="57">
        <v>418.0</v>
      </c>
      <c r="Q22" s="57">
        <v>327.0</v>
      </c>
      <c r="R22" s="58">
        <v>45.0</v>
      </c>
      <c r="S22" s="38">
        <v>130.0</v>
      </c>
      <c r="T22" s="38">
        <v>65.0</v>
      </c>
      <c r="U22" s="48">
        <f t="shared" si="9"/>
        <v>790</v>
      </c>
      <c r="V22" s="48">
        <f t="shared" si="18"/>
        <v>985</v>
      </c>
      <c r="W22" s="49">
        <f t="shared" si="11"/>
        <v>0.5291139241</v>
      </c>
      <c r="X22" s="49">
        <f t="shared" si="12"/>
        <v>0.4139240506</v>
      </c>
      <c r="Y22" s="49">
        <f t="shared" si="13"/>
        <v>0.05696202532</v>
      </c>
      <c r="Z22" s="32" t="str">
        <f t="shared" si="14"/>
        <v>Jango</v>
      </c>
      <c r="AA22" s="54" t="s">
        <v>77</v>
      </c>
      <c r="AB22" s="38">
        <v>1312.0</v>
      </c>
      <c r="AC22" s="48">
        <f t="shared" si="15"/>
        <v>327</v>
      </c>
      <c r="AD22" s="51">
        <f t="shared" si="16"/>
        <v>0.7507621951</v>
      </c>
    </row>
    <row r="23">
      <c r="A23" s="23"/>
      <c r="B23" s="46" t="s">
        <v>88</v>
      </c>
      <c r="C23" s="47"/>
      <c r="D23" s="38">
        <v>321.0</v>
      </c>
      <c r="E23" s="48">
        <v>402.0</v>
      </c>
      <c r="F23" s="48">
        <v>13.0</v>
      </c>
      <c r="G23" s="38">
        <v>11.0</v>
      </c>
      <c r="H23" s="38">
        <v>43.0</v>
      </c>
      <c r="I23" s="48">
        <f t="shared" si="3"/>
        <v>736</v>
      </c>
      <c r="J23" s="48">
        <f t="shared" si="17"/>
        <v>790</v>
      </c>
      <c r="K23" s="49">
        <f t="shared" si="5"/>
        <v>0.4361413043</v>
      </c>
      <c r="L23" s="49">
        <f t="shared" si="6"/>
        <v>0.5461956522</v>
      </c>
      <c r="M23" s="49">
        <f t="shared" si="7"/>
        <v>0.01766304348</v>
      </c>
      <c r="N23" s="32" t="str">
        <f t="shared" si="8"/>
        <v>Mal. Lott</v>
      </c>
      <c r="O23" s="50" t="s">
        <v>77</v>
      </c>
      <c r="P23" s="57">
        <v>534.0</v>
      </c>
      <c r="Q23" s="57">
        <v>66.0</v>
      </c>
      <c r="R23" s="58">
        <v>55.0</v>
      </c>
      <c r="S23" s="38">
        <v>92.0</v>
      </c>
      <c r="T23" s="38">
        <v>43.0</v>
      </c>
      <c r="U23" s="48">
        <f t="shared" si="9"/>
        <v>655</v>
      </c>
      <c r="V23" s="48">
        <f t="shared" si="18"/>
        <v>790</v>
      </c>
      <c r="W23" s="49">
        <f t="shared" si="11"/>
        <v>0.8152671756</v>
      </c>
      <c r="X23" s="49">
        <f t="shared" si="12"/>
        <v>0.1007633588</v>
      </c>
      <c r="Y23" s="49">
        <f t="shared" si="13"/>
        <v>0.08396946565</v>
      </c>
      <c r="Z23" s="32" t="str">
        <f t="shared" si="14"/>
        <v>Jango</v>
      </c>
      <c r="AA23" s="54" t="s">
        <v>77</v>
      </c>
      <c r="AB23" s="38">
        <v>998.0</v>
      </c>
      <c r="AC23" s="48">
        <f t="shared" si="15"/>
        <v>208</v>
      </c>
      <c r="AD23" s="51">
        <f t="shared" si="16"/>
        <v>0.7915831663</v>
      </c>
    </row>
    <row r="24">
      <c r="A24" s="24"/>
      <c r="B24" s="46" t="s">
        <v>89</v>
      </c>
      <c r="C24" s="47"/>
      <c r="D24" s="38">
        <v>36.0</v>
      </c>
      <c r="E24" s="48">
        <v>194.0</v>
      </c>
      <c r="F24" s="48">
        <v>8.0</v>
      </c>
      <c r="G24" s="38">
        <v>7.0</v>
      </c>
      <c r="H24" s="38">
        <v>23.0</v>
      </c>
      <c r="I24" s="48">
        <f t="shared" si="3"/>
        <v>238</v>
      </c>
      <c r="J24" s="48">
        <f t="shared" si="17"/>
        <v>268</v>
      </c>
      <c r="K24" s="49">
        <f t="shared" si="5"/>
        <v>0.1512605042</v>
      </c>
      <c r="L24" s="49">
        <f t="shared" si="6"/>
        <v>0.8151260504</v>
      </c>
      <c r="M24" s="49">
        <f t="shared" si="7"/>
        <v>0.03361344538</v>
      </c>
      <c r="N24" s="32" t="str">
        <f t="shared" si="8"/>
        <v>Mal. Lott</v>
      </c>
      <c r="O24" s="50" t="s">
        <v>77</v>
      </c>
      <c r="P24" s="57">
        <v>202.0</v>
      </c>
      <c r="Q24" s="57">
        <v>9.0</v>
      </c>
      <c r="R24" s="58">
        <v>8.0</v>
      </c>
      <c r="S24" s="38">
        <v>26.0</v>
      </c>
      <c r="T24" s="38">
        <v>23.0</v>
      </c>
      <c r="U24" s="48">
        <f t="shared" si="9"/>
        <v>219</v>
      </c>
      <c r="V24" s="48">
        <f t="shared" si="18"/>
        <v>268</v>
      </c>
      <c r="W24" s="49">
        <f t="shared" si="11"/>
        <v>0.9223744292</v>
      </c>
      <c r="X24" s="49">
        <f t="shared" si="12"/>
        <v>0.04109589041</v>
      </c>
      <c r="Y24" s="49">
        <f t="shared" si="13"/>
        <v>0.03652968037</v>
      </c>
      <c r="Z24" s="32" t="str">
        <f t="shared" si="14"/>
        <v>Jango</v>
      </c>
      <c r="AA24" s="54" t="s">
        <v>77</v>
      </c>
      <c r="AB24" s="38">
        <v>447.0</v>
      </c>
      <c r="AC24" s="48">
        <f t="shared" si="15"/>
        <v>179</v>
      </c>
      <c r="AD24" s="51">
        <f t="shared" si="16"/>
        <v>0.5995525727</v>
      </c>
    </row>
    <row r="25">
      <c r="A25" s="45" t="s">
        <v>90</v>
      </c>
      <c r="B25" s="46" t="s">
        <v>91</v>
      </c>
      <c r="C25" s="47"/>
      <c r="D25" s="38">
        <v>837.0</v>
      </c>
      <c r="E25" s="48">
        <v>820.0</v>
      </c>
      <c r="F25" s="38">
        <v>39.0</v>
      </c>
      <c r="G25" s="38">
        <v>85.0</v>
      </c>
      <c r="H25" s="38">
        <v>71.0</v>
      </c>
      <c r="I25" s="48">
        <f t="shared" si="3"/>
        <v>1696</v>
      </c>
      <c r="J25" s="48">
        <f t="shared" si="17"/>
        <v>1852</v>
      </c>
      <c r="K25" s="49">
        <f t="shared" si="5"/>
        <v>0.4935141509</v>
      </c>
      <c r="L25" s="49">
        <f t="shared" si="6"/>
        <v>0.483490566</v>
      </c>
      <c r="M25" s="49">
        <f t="shared" si="7"/>
        <v>0.02299528302</v>
      </c>
      <c r="N25" s="32" t="str">
        <f t="shared" si="8"/>
        <v>Jânio</v>
      </c>
      <c r="O25" s="50" t="s">
        <v>77</v>
      </c>
      <c r="P25" s="57">
        <v>819.0</v>
      </c>
      <c r="Q25" s="57">
        <v>667.0</v>
      </c>
      <c r="R25" s="58">
        <v>90.0</v>
      </c>
      <c r="S25" s="38">
        <v>221.0</v>
      </c>
      <c r="T25" s="38">
        <v>55.0</v>
      </c>
      <c r="U25" s="48">
        <f t="shared" si="9"/>
        <v>1576</v>
      </c>
      <c r="V25" s="48">
        <f t="shared" si="18"/>
        <v>1852</v>
      </c>
      <c r="W25" s="49">
        <f t="shared" si="11"/>
        <v>0.5196700508</v>
      </c>
      <c r="X25" s="49">
        <f t="shared" si="12"/>
        <v>0.4232233503</v>
      </c>
      <c r="Y25" s="49">
        <f t="shared" si="13"/>
        <v>0.05710659898</v>
      </c>
      <c r="Z25" s="32" t="str">
        <f t="shared" si="14"/>
        <v>Jango</v>
      </c>
      <c r="AA25" s="54" t="s">
        <v>77</v>
      </c>
      <c r="AB25" s="38">
        <v>2792.0</v>
      </c>
      <c r="AC25" s="48">
        <f t="shared" si="15"/>
        <v>940</v>
      </c>
      <c r="AD25" s="51">
        <f t="shared" si="16"/>
        <v>0.6633237822</v>
      </c>
    </row>
    <row r="26">
      <c r="A26" s="45" t="s">
        <v>92</v>
      </c>
      <c r="B26" s="46" t="s">
        <v>93</v>
      </c>
      <c r="C26" s="47"/>
      <c r="D26" s="38">
        <v>415.0</v>
      </c>
      <c r="E26" s="48">
        <v>845.0</v>
      </c>
      <c r="F26" s="38">
        <v>16.0</v>
      </c>
      <c r="G26" s="38">
        <v>38.0</v>
      </c>
      <c r="H26" s="38">
        <v>31.0</v>
      </c>
      <c r="I26" s="48">
        <f t="shared" si="3"/>
        <v>1276</v>
      </c>
      <c r="J26" s="48">
        <f t="shared" si="17"/>
        <v>1345</v>
      </c>
      <c r="K26" s="49">
        <f t="shared" si="5"/>
        <v>0.3252351097</v>
      </c>
      <c r="L26" s="49">
        <f t="shared" si="6"/>
        <v>0.6622257053</v>
      </c>
      <c r="M26" s="49">
        <f t="shared" si="7"/>
        <v>0.01253918495</v>
      </c>
      <c r="N26" s="32" t="str">
        <f t="shared" si="8"/>
        <v>Mal. Lott</v>
      </c>
      <c r="O26" s="50" t="s">
        <v>77</v>
      </c>
      <c r="P26" s="57">
        <v>915.0</v>
      </c>
      <c r="Q26" s="57">
        <v>205.0</v>
      </c>
      <c r="R26" s="58">
        <v>93.0</v>
      </c>
      <c r="S26" s="38">
        <v>113.0</v>
      </c>
      <c r="T26" s="38">
        <v>19.0</v>
      </c>
      <c r="U26" s="48">
        <f t="shared" si="9"/>
        <v>1213</v>
      </c>
      <c r="V26" s="48">
        <f t="shared" si="18"/>
        <v>1345</v>
      </c>
      <c r="W26" s="49">
        <f t="shared" si="11"/>
        <v>0.7543281121</v>
      </c>
      <c r="X26" s="49">
        <f t="shared" si="12"/>
        <v>0.1690024732</v>
      </c>
      <c r="Y26" s="49">
        <f t="shared" si="13"/>
        <v>0.07666941467</v>
      </c>
      <c r="Z26" s="32" t="str">
        <f t="shared" si="14"/>
        <v>Jango</v>
      </c>
      <c r="AA26" s="54" t="s">
        <v>77</v>
      </c>
      <c r="AB26" s="38">
        <v>1580.0</v>
      </c>
      <c r="AC26" s="48">
        <f t="shared" si="15"/>
        <v>235</v>
      </c>
      <c r="AD26" s="51">
        <f t="shared" si="16"/>
        <v>0.8512658228</v>
      </c>
    </row>
    <row r="27">
      <c r="A27" s="61" t="s">
        <v>94</v>
      </c>
      <c r="B27" s="46" t="s">
        <v>95</v>
      </c>
      <c r="C27" s="47"/>
      <c r="D27" s="38">
        <v>87.0</v>
      </c>
      <c r="E27" s="48">
        <v>341.0</v>
      </c>
      <c r="F27" s="48">
        <v>20.0</v>
      </c>
      <c r="G27" s="38">
        <v>27.0</v>
      </c>
      <c r="H27" s="38">
        <v>15.0</v>
      </c>
      <c r="I27" s="48">
        <f t="shared" si="3"/>
        <v>448</v>
      </c>
      <c r="J27" s="48">
        <f t="shared" si="17"/>
        <v>490</v>
      </c>
      <c r="K27" s="49">
        <f t="shared" si="5"/>
        <v>0.1941964286</v>
      </c>
      <c r="L27" s="49">
        <f t="shared" si="6"/>
        <v>0.7611607143</v>
      </c>
      <c r="M27" s="49">
        <f t="shared" si="7"/>
        <v>0.04464285714</v>
      </c>
      <c r="N27" s="32" t="str">
        <f t="shared" si="8"/>
        <v>Mal. Lott</v>
      </c>
      <c r="O27" s="50" t="s">
        <v>77</v>
      </c>
      <c r="P27" s="57">
        <v>295.0</v>
      </c>
      <c r="Q27" s="57">
        <v>51.0</v>
      </c>
      <c r="R27" s="58">
        <v>46.0</v>
      </c>
      <c r="S27" s="38">
        <v>94.0</v>
      </c>
      <c r="T27" s="38">
        <v>4.0</v>
      </c>
      <c r="U27" s="48">
        <f t="shared" si="9"/>
        <v>392</v>
      </c>
      <c r="V27" s="48">
        <f t="shared" si="18"/>
        <v>490</v>
      </c>
      <c r="W27" s="49">
        <f t="shared" si="11"/>
        <v>0.7525510204</v>
      </c>
      <c r="X27" s="49">
        <f t="shared" si="12"/>
        <v>0.1301020408</v>
      </c>
      <c r="Y27" s="49">
        <f t="shared" si="13"/>
        <v>0.1173469388</v>
      </c>
      <c r="Z27" s="32" t="str">
        <f t="shared" si="14"/>
        <v>Jango</v>
      </c>
      <c r="AA27" s="54" t="s">
        <v>77</v>
      </c>
      <c r="AB27" s="38">
        <v>853.0</v>
      </c>
      <c r="AC27" s="48">
        <f t="shared" si="15"/>
        <v>363</v>
      </c>
      <c r="AD27" s="51">
        <f t="shared" si="16"/>
        <v>0.5744431419</v>
      </c>
    </row>
    <row r="28">
      <c r="A28" s="24"/>
      <c r="B28" s="46" t="s">
        <v>96</v>
      </c>
      <c r="C28" s="47"/>
      <c r="D28" s="38">
        <v>121.0</v>
      </c>
      <c r="E28" s="48">
        <v>223.0</v>
      </c>
      <c r="F28" s="48">
        <v>6.0</v>
      </c>
      <c r="G28" s="38">
        <v>21.0</v>
      </c>
      <c r="H28" s="38">
        <v>45.0</v>
      </c>
      <c r="I28" s="48">
        <f t="shared" si="3"/>
        <v>350</v>
      </c>
      <c r="J28" s="48">
        <f t="shared" si="17"/>
        <v>416</v>
      </c>
      <c r="K28" s="49">
        <f t="shared" si="5"/>
        <v>0.3457142857</v>
      </c>
      <c r="L28" s="49">
        <f t="shared" si="6"/>
        <v>0.6371428571</v>
      </c>
      <c r="M28" s="49">
        <f t="shared" si="7"/>
        <v>0.01714285714</v>
      </c>
      <c r="N28" s="32" t="str">
        <f t="shared" si="8"/>
        <v>Mal. Lott</v>
      </c>
      <c r="O28" s="50" t="s">
        <v>77</v>
      </c>
      <c r="P28" s="57">
        <v>236.0</v>
      </c>
      <c r="Q28" s="57">
        <v>39.0</v>
      </c>
      <c r="R28" s="58">
        <v>54.0</v>
      </c>
      <c r="S28" s="38">
        <v>51.0</v>
      </c>
      <c r="T28" s="38">
        <v>36.0</v>
      </c>
      <c r="U28" s="48">
        <f t="shared" si="9"/>
        <v>329</v>
      </c>
      <c r="V28" s="48">
        <f t="shared" si="18"/>
        <v>416</v>
      </c>
      <c r="W28" s="49">
        <f t="shared" si="11"/>
        <v>0.717325228</v>
      </c>
      <c r="X28" s="49">
        <f t="shared" si="12"/>
        <v>0.1185410334</v>
      </c>
      <c r="Y28" s="49">
        <f t="shared" si="13"/>
        <v>0.1641337386</v>
      </c>
      <c r="Z28" s="32" t="str">
        <f t="shared" si="14"/>
        <v>Jango</v>
      </c>
      <c r="AA28" s="54" t="s">
        <v>77</v>
      </c>
      <c r="AB28" s="38">
        <v>874.0</v>
      </c>
      <c r="AC28" s="48">
        <f t="shared" si="15"/>
        <v>458</v>
      </c>
      <c r="AD28" s="51">
        <f t="shared" si="16"/>
        <v>0.47597254</v>
      </c>
    </row>
    <row r="29">
      <c r="A29" s="45" t="s">
        <v>97</v>
      </c>
      <c r="B29" s="46" t="s">
        <v>98</v>
      </c>
      <c r="C29" s="47"/>
      <c r="D29" s="38">
        <v>171.0</v>
      </c>
      <c r="E29" s="48">
        <v>654.0</v>
      </c>
      <c r="F29" s="48">
        <v>45.0</v>
      </c>
      <c r="G29" s="38">
        <v>29.0</v>
      </c>
      <c r="H29" s="38">
        <v>53.0</v>
      </c>
      <c r="I29" s="48">
        <f t="shared" si="3"/>
        <v>870</v>
      </c>
      <c r="J29" s="48">
        <f t="shared" si="17"/>
        <v>952</v>
      </c>
      <c r="K29" s="49">
        <f t="shared" si="5"/>
        <v>0.1965517241</v>
      </c>
      <c r="L29" s="49">
        <f t="shared" si="6"/>
        <v>0.7517241379</v>
      </c>
      <c r="M29" s="49">
        <f t="shared" si="7"/>
        <v>0.05172413793</v>
      </c>
      <c r="N29" s="32" t="str">
        <f t="shared" si="8"/>
        <v>Mal. Lott</v>
      </c>
      <c r="O29" s="50" t="s">
        <v>77</v>
      </c>
      <c r="P29" s="57">
        <v>625.0</v>
      </c>
      <c r="Q29" s="57">
        <v>115.0</v>
      </c>
      <c r="R29" s="58">
        <v>78.0</v>
      </c>
      <c r="S29" s="38">
        <v>114.0</v>
      </c>
      <c r="T29" s="38">
        <v>20.0</v>
      </c>
      <c r="U29" s="48">
        <f t="shared" si="9"/>
        <v>818</v>
      </c>
      <c r="V29" s="48">
        <f t="shared" si="18"/>
        <v>952</v>
      </c>
      <c r="W29" s="49">
        <f t="shared" si="11"/>
        <v>0.7640586797</v>
      </c>
      <c r="X29" s="49">
        <f t="shared" si="12"/>
        <v>0.1405867971</v>
      </c>
      <c r="Y29" s="49">
        <f t="shared" si="13"/>
        <v>0.09535452323</v>
      </c>
      <c r="Z29" s="32" t="str">
        <f t="shared" si="14"/>
        <v>Jango</v>
      </c>
      <c r="AA29" s="54" t="s">
        <v>77</v>
      </c>
      <c r="AB29" s="38">
        <v>1512.0</v>
      </c>
      <c r="AC29" s="48">
        <f t="shared" si="15"/>
        <v>560</v>
      </c>
      <c r="AD29" s="51">
        <f t="shared" si="16"/>
        <v>0.6296296296</v>
      </c>
    </row>
    <row r="30">
      <c r="A30" s="61" t="s">
        <v>99</v>
      </c>
      <c r="B30" s="46" t="s">
        <v>100</v>
      </c>
      <c r="C30" s="47"/>
      <c r="D30" s="38">
        <v>102.0</v>
      </c>
      <c r="E30" s="48">
        <v>980.0</v>
      </c>
      <c r="F30" s="48">
        <v>24.0</v>
      </c>
      <c r="G30" s="38">
        <v>0.0</v>
      </c>
      <c r="H30" s="38">
        <v>131.0</v>
      </c>
      <c r="I30" s="48">
        <f t="shared" si="3"/>
        <v>1106</v>
      </c>
      <c r="J30" s="48">
        <f t="shared" si="17"/>
        <v>1237</v>
      </c>
      <c r="K30" s="49">
        <f t="shared" si="5"/>
        <v>0.09222423146</v>
      </c>
      <c r="L30" s="49">
        <f t="shared" si="6"/>
        <v>0.8860759494</v>
      </c>
      <c r="M30" s="49">
        <f t="shared" si="7"/>
        <v>0.02169981917</v>
      </c>
      <c r="N30" s="32" t="str">
        <f t="shared" si="8"/>
        <v>Mal. Lott</v>
      </c>
      <c r="O30" s="50" t="s">
        <v>77</v>
      </c>
      <c r="P30" s="57">
        <v>610.0</v>
      </c>
      <c r="Q30" s="57">
        <v>378.0</v>
      </c>
      <c r="R30" s="58">
        <v>75.0</v>
      </c>
      <c r="S30" s="38">
        <v>22.0</v>
      </c>
      <c r="T30" s="38">
        <v>152.0</v>
      </c>
      <c r="U30" s="48">
        <f t="shared" si="9"/>
        <v>1063</v>
      </c>
      <c r="V30" s="48">
        <f t="shared" si="18"/>
        <v>1237</v>
      </c>
      <c r="W30" s="49">
        <f t="shared" si="11"/>
        <v>0.5738476011</v>
      </c>
      <c r="X30" s="49">
        <f t="shared" si="12"/>
        <v>0.3555973659</v>
      </c>
      <c r="Y30" s="49">
        <f t="shared" si="13"/>
        <v>0.07055503293</v>
      </c>
      <c r="Z30" s="32" t="str">
        <f t="shared" si="14"/>
        <v>Jango</v>
      </c>
      <c r="AA30" s="54" t="s">
        <v>77</v>
      </c>
      <c r="AB30" s="38">
        <v>1552.0</v>
      </c>
      <c r="AC30" s="48">
        <f t="shared" si="15"/>
        <v>315</v>
      </c>
      <c r="AD30" s="51">
        <f t="shared" si="16"/>
        <v>0.7970360825</v>
      </c>
    </row>
    <row r="31">
      <c r="A31" s="23"/>
      <c r="B31" s="46" t="s">
        <v>101</v>
      </c>
      <c r="C31" s="47"/>
      <c r="D31" s="38">
        <v>0.0</v>
      </c>
      <c r="E31" s="48">
        <v>61.0</v>
      </c>
      <c r="F31" s="48">
        <v>0.0</v>
      </c>
      <c r="G31" s="38">
        <v>0.0</v>
      </c>
      <c r="H31" s="38">
        <v>0.0</v>
      </c>
      <c r="I31" s="48">
        <f t="shared" si="3"/>
        <v>61</v>
      </c>
      <c r="J31" s="48">
        <f t="shared" si="17"/>
        <v>61</v>
      </c>
      <c r="K31" s="49">
        <f t="shared" si="5"/>
        <v>0</v>
      </c>
      <c r="L31" s="49">
        <f t="shared" si="6"/>
        <v>1</v>
      </c>
      <c r="M31" s="49">
        <f t="shared" si="7"/>
        <v>0</v>
      </c>
      <c r="N31" s="32" t="str">
        <f t="shared" si="8"/>
        <v>Mal. Lott</v>
      </c>
      <c r="O31" s="50" t="s">
        <v>77</v>
      </c>
      <c r="P31" s="57">
        <v>61.0</v>
      </c>
      <c r="Q31" s="57">
        <v>0.0</v>
      </c>
      <c r="R31" s="58">
        <v>0.0</v>
      </c>
      <c r="S31" s="38">
        <v>0.0</v>
      </c>
      <c r="T31" s="38">
        <v>0.0</v>
      </c>
      <c r="U31" s="48">
        <f t="shared" si="9"/>
        <v>61</v>
      </c>
      <c r="V31" s="48">
        <f t="shared" si="18"/>
        <v>61</v>
      </c>
      <c r="W31" s="49">
        <f t="shared" si="11"/>
        <v>1</v>
      </c>
      <c r="X31" s="49">
        <f t="shared" si="12"/>
        <v>0</v>
      </c>
      <c r="Y31" s="49">
        <f t="shared" si="13"/>
        <v>0</v>
      </c>
      <c r="Z31" s="32" t="str">
        <f t="shared" si="14"/>
        <v>Jango</v>
      </c>
      <c r="AA31" s="54" t="s">
        <v>77</v>
      </c>
      <c r="AB31" s="38">
        <v>100.0</v>
      </c>
      <c r="AC31" s="48">
        <f t="shared" si="15"/>
        <v>39</v>
      </c>
      <c r="AD31" s="51">
        <f t="shared" si="16"/>
        <v>0.61</v>
      </c>
    </row>
    <row r="32">
      <c r="A32" s="23"/>
      <c r="B32" s="46" t="s">
        <v>102</v>
      </c>
      <c r="C32" s="47"/>
      <c r="D32" s="38">
        <v>24.0</v>
      </c>
      <c r="E32" s="48">
        <v>54.0</v>
      </c>
      <c r="F32" s="48">
        <v>0.0</v>
      </c>
      <c r="G32" s="38">
        <v>0.0</v>
      </c>
      <c r="H32" s="38">
        <v>1.0</v>
      </c>
      <c r="I32" s="48">
        <f t="shared" si="3"/>
        <v>78</v>
      </c>
      <c r="J32" s="48">
        <f t="shared" si="17"/>
        <v>79</v>
      </c>
      <c r="K32" s="49">
        <f t="shared" si="5"/>
        <v>0.3076923077</v>
      </c>
      <c r="L32" s="49">
        <f t="shared" si="6"/>
        <v>0.6923076923</v>
      </c>
      <c r="M32" s="49">
        <f t="shared" si="7"/>
        <v>0</v>
      </c>
      <c r="N32" s="32" t="str">
        <f t="shared" si="8"/>
        <v>Mal. Lott</v>
      </c>
      <c r="O32" s="50" t="s">
        <v>77</v>
      </c>
      <c r="P32" s="57">
        <v>53.0</v>
      </c>
      <c r="Q32" s="57">
        <v>25.0</v>
      </c>
      <c r="R32" s="58">
        <v>1.0</v>
      </c>
      <c r="S32" s="38">
        <v>0.0</v>
      </c>
      <c r="T32" s="38">
        <v>0.0</v>
      </c>
      <c r="U32" s="48">
        <f t="shared" si="9"/>
        <v>79</v>
      </c>
      <c r="V32" s="48">
        <f t="shared" si="18"/>
        <v>79</v>
      </c>
      <c r="W32" s="49">
        <f t="shared" si="11"/>
        <v>0.6708860759</v>
      </c>
      <c r="X32" s="49">
        <f t="shared" si="12"/>
        <v>0.3164556962</v>
      </c>
      <c r="Y32" s="49">
        <f t="shared" si="13"/>
        <v>0.01265822785</v>
      </c>
      <c r="Z32" s="32" t="str">
        <f t="shared" si="14"/>
        <v>Jango</v>
      </c>
      <c r="AA32" s="54" t="s">
        <v>77</v>
      </c>
      <c r="AB32" s="38">
        <v>150.0</v>
      </c>
      <c r="AC32" s="48">
        <f t="shared" si="15"/>
        <v>71</v>
      </c>
      <c r="AD32" s="51">
        <f t="shared" si="16"/>
        <v>0.5266666667</v>
      </c>
    </row>
    <row r="33">
      <c r="A33" s="24"/>
      <c r="B33" s="46" t="s">
        <v>103</v>
      </c>
      <c r="C33" s="47"/>
      <c r="D33" s="38">
        <v>13.0</v>
      </c>
      <c r="E33" s="48">
        <v>145.0</v>
      </c>
      <c r="F33" s="48">
        <v>3.0</v>
      </c>
      <c r="G33" s="38">
        <v>6.0</v>
      </c>
      <c r="H33" s="38">
        <v>4.0</v>
      </c>
      <c r="I33" s="48">
        <f t="shared" si="3"/>
        <v>161</v>
      </c>
      <c r="J33" s="48">
        <f t="shared" si="17"/>
        <v>171</v>
      </c>
      <c r="K33" s="49">
        <f t="shared" si="5"/>
        <v>0.08074534161</v>
      </c>
      <c r="L33" s="49">
        <f t="shared" si="6"/>
        <v>0.900621118</v>
      </c>
      <c r="M33" s="49">
        <f t="shared" si="7"/>
        <v>0.01863354037</v>
      </c>
      <c r="N33" s="32" t="str">
        <f t="shared" si="8"/>
        <v>Mal. Lott</v>
      </c>
      <c r="O33" s="50" t="s">
        <v>77</v>
      </c>
      <c r="P33" s="57">
        <v>155.0</v>
      </c>
      <c r="Q33" s="57">
        <v>18.0</v>
      </c>
      <c r="R33" s="58">
        <v>12.0</v>
      </c>
      <c r="S33" s="38">
        <v>0.0</v>
      </c>
      <c r="T33" s="38">
        <v>0.0</v>
      </c>
      <c r="U33" s="48">
        <f t="shared" si="9"/>
        <v>185</v>
      </c>
      <c r="V33" s="48">
        <f t="shared" si="18"/>
        <v>185</v>
      </c>
      <c r="W33" s="49">
        <f t="shared" si="11"/>
        <v>0.8378378378</v>
      </c>
      <c r="X33" s="49">
        <f t="shared" si="12"/>
        <v>0.0972972973</v>
      </c>
      <c r="Y33" s="49">
        <f t="shared" si="13"/>
        <v>0.06486486486</v>
      </c>
      <c r="Z33" s="32" t="str">
        <f t="shared" si="14"/>
        <v>Jango</v>
      </c>
      <c r="AA33" s="54" t="s">
        <v>77</v>
      </c>
      <c r="AB33" s="38">
        <v>400.0</v>
      </c>
      <c r="AC33" s="48">
        <f t="shared" ref="AC33:AC34" si="19">AB33-J33</f>
        <v>229</v>
      </c>
      <c r="AD33" s="51">
        <f t="shared" ref="AD33:AD34" si="20">J33/AB33</f>
        <v>0.4275</v>
      </c>
    </row>
    <row r="34">
      <c r="A34" s="61" t="s">
        <v>104</v>
      </c>
      <c r="B34" s="46" t="s">
        <v>105</v>
      </c>
      <c r="C34" s="47"/>
      <c r="D34" s="38">
        <v>105.0</v>
      </c>
      <c r="E34" s="48">
        <v>558.0</v>
      </c>
      <c r="F34" s="48">
        <v>19.0</v>
      </c>
      <c r="G34" s="38">
        <v>28.0</v>
      </c>
      <c r="H34" s="38">
        <v>33.0</v>
      </c>
      <c r="I34" s="48">
        <f t="shared" si="3"/>
        <v>682</v>
      </c>
      <c r="J34" s="48">
        <f t="shared" si="17"/>
        <v>743</v>
      </c>
      <c r="K34" s="49">
        <f t="shared" si="5"/>
        <v>0.1539589443</v>
      </c>
      <c r="L34" s="49">
        <f t="shared" si="6"/>
        <v>0.8181818182</v>
      </c>
      <c r="M34" s="49">
        <f t="shared" si="7"/>
        <v>0.02785923754</v>
      </c>
      <c r="N34" s="32" t="str">
        <f t="shared" si="8"/>
        <v>Mal. Lott</v>
      </c>
      <c r="O34" s="50" t="s">
        <v>77</v>
      </c>
      <c r="P34" s="57">
        <v>569.0</v>
      </c>
      <c r="Q34" s="57">
        <v>4.0</v>
      </c>
      <c r="R34" s="58">
        <v>34.0</v>
      </c>
      <c r="S34" s="38">
        <v>101.0</v>
      </c>
      <c r="T34" s="38">
        <v>21.0</v>
      </c>
      <c r="U34" s="48">
        <f t="shared" si="9"/>
        <v>607</v>
      </c>
      <c r="V34" s="48">
        <f t="shared" si="18"/>
        <v>729</v>
      </c>
      <c r="W34" s="49">
        <f t="shared" si="11"/>
        <v>0.9373970346</v>
      </c>
      <c r="X34" s="49">
        <f t="shared" si="12"/>
        <v>0.006589785832</v>
      </c>
      <c r="Y34" s="49">
        <f t="shared" si="13"/>
        <v>0.05601317957</v>
      </c>
      <c r="Z34" s="32" t="str">
        <f t="shared" si="14"/>
        <v>Jango</v>
      </c>
      <c r="AA34" s="54" t="s">
        <v>77</v>
      </c>
      <c r="AB34" s="38">
        <v>1017.0</v>
      </c>
      <c r="AC34" s="48">
        <f t="shared" si="19"/>
        <v>274</v>
      </c>
      <c r="AD34" s="51">
        <f t="shared" si="20"/>
        <v>0.7305801377</v>
      </c>
    </row>
    <row r="35">
      <c r="A35" s="24"/>
      <c r="B35" s="46" t="s">
        <v>106</v>
      </c>
      <c r="C35" s="47"/>
      <c r="D35" s="38">
        <v>0.0</v>
      </c>
      <c r="E35" s="48">
        <v>126.0</v>
      </c>
      <c r="F35" s="48">
        <v>0.0</v>
      </c>
      <c r="G35" s="38">
        <v>0.0</v>
      </c>
      <c r="H35" s="38">
        <v>0.0</v>
      </c>
      <c r="I35" s="48">
        <f t="shared" si="3"/>
        <v>126</v>
      </c>
      <c r="J35" s="48">
        <f t="shared" si="17"/>
        <v>126</v>
      </c>
      <c r="K35" s="49">
        <f t="shared" si="5"/>
        <v>0</v>
      </c>
      <c r="L35" s="49">
        <f t="shared" si="6"/>
        <v>1</v>
      </c>
      <c r="M35" s="49">
        <f t="shared" si="7"/>
        <v>0</v>
      </c>
      <c r="N35" s="32" t="str">
        <f t="shared" si="8"/>
        <v>Mal. Lott</v>
      </c>
      <c r="O35" s="50" t="s">
        <v>77</v>
      </c>
      <c r="P35" s="57">
        <v>126.0</v>
      </c>
      <c r="Q35" s="57">
        <v>0.0</v>
      </c>
      <c r="R35" s="58">
        <v>0.0</v>
      </c>
      <c r="S35" s="38">
        <v>0.0</v>
      </c>
      <c r="T35" s="38">
        <v>0.0</v>
      </c>
      <c r="U35" s="48">
        <f t="shared" si="9"/>
        <v>126</v>
      </c>
      <c r="V35" s="48">
        <f t="shared" si="18"/>
        <v>126</v>
      </c>
      <c r="W35" s="49">
        <f t="shared" si="11"/>
        <v>1</v>
      </c>
      <c r="X35" s="49">
        <f t="shared" si="12"/>
        <v>0</v>
      </c>
      <c r="Y35" s="49">
        <f t="shared" si="13"/>
        <v>0</v>
      </c>
      <c r="Z35" s="32" t="str">
        <f t="shared" si="14"/>
        <v>Jango</v>
      </c>
      <c r="AA35" s="54" t="s">
        <v>77</v>
      </c>
      <c r="AB35" s="38">
        <v>170.0</v>
      </c>
      <c r="AC35" s="48">
        <f t="shared" ref="AC35:AC55" si="21">AB35-V35</f>
        <v>44</v>
      </c>
      <c r="AD35" s="51">
        <f t="shared" ref="AD35:AD55" si="22">V35/AB35</f>
        <v>0.7411764706</v>
      </c>
    </row>
    <row r="36">
      <c r="A36" s="61" t="s">
        <v>107</v>
      </c>
      <c r="B36" s="46" t="s">
        <v>108</v>
      </c>
      <c r="C36" s="47"/>
      <c r="D36" s="38">
        <v>157.0</v>
      </c>
      <c r="E36" s="48">
        <v>370.0</v>
      </c>
      <c r="F36" s="48">
        <v>19.0</v>
      </c>
      <c r="G36" s="38">
        <v>15.0</v>
      </c>
      <c r="H36" s="38">
        <v>16.0</v>
      </c>
      <c r="I36" s="48">
        <f t="shared" si="3"/>
        <v>546</v>
      </c>
      <c r="J36" s="48">
        <f t="shared" si="17"/>
        <v>577</v>
      </c>
      <c r="K36" s="49">
        <f t="shared" si="5"/>
        <v>0.2875457875</v>
      </c>
      <c r="L36" s="49">
        <f t="shared" si="6"/>
        <v>0.6776556777</v>
      </c>
      <c r="M36" s="49">
        <f t="shared" si="7"/>
        <v>0.0347985348</v>
      </c>
      <c r="N36" s="32" t="str">
        <f t="shared" si="8"/>
        <v>Mal. Lott</v>
      </c>
      <c r="O36" s="50" t="s">
        <v>77</v>
      </c>
      <c r="P36" s="57">
        <v>231.0</v>
      </c>
      <c r="Q36" s="57">
        <v>54.0</v>
      </c>
      <c r="R36" s="58">
        <v>49.0</v>
      </c>
      <c r="S36" s="38">
        <v>233.0</v>
      </c>
      <c r="T36" s="38">
        <v>10.0</v>
      </c>
      <c r="U36" s="48">
        <f t="shared" si="9"/>
        <v>334</v>
      </c>
      <c r="V36" s="48">
        <f t="shared" si="18"/>
        <v>577</v>
      </c>
      <c r="W36" s="49">
        <f t="shared" si="11"/>
        <v>0.6916167665</v>
      </c>
      <c r="X36" s="49">
        <f t="shared" si="12"/>
        <v>0.1616766467</v>
      </c>
      <c r="Y36" s="49">
        <f t="shared" si="13"/>
        <v>0.1467065868</v>
      </c>
      <c r="Z36" s="32" t="str">
        <f t="shared" si="14"/>
        <v>Jango</v>
      </c>
      <c r="AA36" s="54" t="s">
        <v>77</v>
      </c>
      <c r="AB36" s="38">
        <v>875.0</v>
      </c>
      <c r="AC36" s="48">
        <f t="shared" si="21"/>
        <v>298</v>
      </c>
      <c r="AD36" s="51">
        <f t="shared" si="22"/>
        <v>0.6594285714</v>
      </c>
    </row>
    <row r="37">
      <c r="A37" s="23"/>
      <c r="B37" s="46" t="s">
        <v>109</v>
      </c>
      <c r="C37" s="47"/>
      <c r="D37" s="38">
        <v>52.0</v>
      </c>
      <c r="E37" s="48">
        <v>176.0</v>
      </c>
      <c r="F37" s="48">
        <v>1.0</v>
      </c>
      <c r="G37" s="38">
        <v>2.0</v>
      </c>
      <c r="H37" s="38">
        <v>2.0</v>
      </c>
      <c r="I37" s="48">
        <f t="shared" si="3"/>
        <v>229</v>
      </c>
      <c r="J37" s="48">
        <f t="shared" si="17"/>
        <v>233</v>
      </c>
      <c r="K37" s="49">
        <f t="shared" si="5"/>
        <v>0.2270742358</v>
      </c>
      <c r="L37" s="49">
        <f t="shared" si="6"/>
        <v>0.768558952</v>
      </c>
      <c r="M37" s="49">
        <f t="shared" si="7"/>
        <v>0.004366812227</v>
      </c>
      <c r="N37" s="32" t="str">
        <f t="shared" si="8"/>
        <v>Mal. Lott</v>
      </c>
      <c r="O37" s="50" t="s">
        <v>77</v>
      </c>
      <c r="P37" s="57">
        <v>227.0</v>
      </c>
      <c r="Q37" s="57">
        <v>2.0</v>
      </c>
      <c r="R37" s="58">
        <v>0.0</v>
      </c>
      <c r="S37" s="38">
        <v>2.0</v>
      </c>
      <c r="T37" s="38">
        <v>2.0</v>
      </c>
      <c r="U37" s="48">
        <f t="shared" si="9"/>
        <v>229</v>
      </c>
      <c r="V37" s="48">
        <f t="shared" si="18"/>
        <v>233</v>
      </c>
      <c r="W37" s="49">
        <f t="shared" si="11"/>
        <v>0.9912663755</v>
      </c>
      <c r="X37" s="49">
        <f t="shared" si="12"/>
        <v>0.008733624454</v>
      </c>
      <c r="Y37" s="49">
        <f t="shared" si="13"/>
        <v>0</v>
      </c>
      <c r="Z37" s="32" t="str">
        <f t="shared" si="14"/>
        <v>Jango</v>
      </c>
      <c r="AA37" s="54" t="s">
        <v>77</v>
      </c>
      <c r="AB37" s="38">
        <v>569.0</v>
      </c>
      <c r="AC37" s="48">
        <f t="shared" si="21"/>
        <v>336</v>
      </c>
      <c r="AD37" s="51">
        <f t="shared" si="22"/>
        <v>0.4094903339</v>
      </c>
    </row>
    <row r="38">
      <c r="A38" s="24"/>
      <c r="B38" s="46" t="s">
        <v>110</v>
      </c>
      <c r="C38" s="47"/>
      <c r="D38" s="38">
        <v>37.0</v>
      </c>
      <c r="E38" s="48">
        <v>89.0</v>
      </c>
      <c r="F38" s="48">
        <v>7.0</v>
      </c>
      <c r="G38" s="38">
        <v>8.0</v>
      </c>
      <c r="H38" s="38">
        <v>8.0</v>
      </c>
      <c r="I38" s="48">
        <f t="shared" si="3"/>
        <v>133</v>
      </c>
      <c r="J38" s="48">
        <f t="shared" si="17"/>
        <v>149</v>
      </c>
      <c r="K38" s="49">
        <f t="shared" si="5"/>
        <v>0.2781954887</v>
      </c>
      <c r="L38" s="49">
        <f t="shared" si="6"/>
        <v>0.6691729323</v>
      </c>
      <c r="M38" s="49">
        <f t="shared" si="7"/>
        <v>0.05263157895</v>
      </c>
      <c r="N38" s="32" t="str">
        <f t="shared" si="8"/>
        <v>Mal. Lott</v>
      </c>
      <c r="O38" s="50" t="s">
        <v>77</v>
      </c>
      <c r="P38" s="57">
        <v>122.0</v>
      </c>
      <c r="Q38" s="57">
        <v>6.0</v>
      </c>
      <c r="R38" s="58">
        <v>3.0</v>
      </c>
      <c r="S38" s="38">
        <v>12.0</v>
      </c>
      <c r="T38" s="38">
        <v>6.0</v>
      </c>
      <c r="U38" s="48">
        <f t="shared" si="9"/>
        <v>131</v>
      </c>
      <c r="V38" s="48">
        <f t="shared" si="18"/>
        <v>149</v>
      </c>
      <c r="W38" s="49">
        <f t="shared" si="11"/>
        <v>0.9312977099</v>
      </c>
      <c r="X38" s="49">
        <f t="shared" si="12"/>
        <v>0.04580152672</v>
      </c>
      <c r="Y38" s="49">
        <f t="shared" si="13"/>
        <v>0.02290076336</v>
      </c>
      <c r="Z38" s="32" t="str">
        <f t="shared" si="14"/>
        <v>Jango</v>
      </c>
      <c r="AA38" s="54" t="s">
        <v>77</v>
      </c>
      <c r="AB38" s="38">
        <v>390.0</v>
      </c>
      <c r="AC38" s="48">
        <f t="shared" si="21"/>
        <v>241</v>
      </c>
      <c r="AD38" s="51">
        <f t="shared" si="22"/>
        <v>0.3820512821</v>
      </c>
    </row>
    <row r="39">
      <c r="A39" s="61" t="s">
        <v>111</v>
      </c>
      <c r="B39" s="46" t="s">
        <v>112</v>
      </c>
      <c r="C39" s="47"/>
      <c r="D39" s="38">
        <v>51.0</v>
      </c>
      <c r="E39" s="48">
        <v>648.0</v>
      </c>
      <c r="F39" s="48">
        <v>17.0</v>
      </c>
      <c r="G39" s="38">
        <v>25.0</v>
      </c>
      <c r="H39" s="38">
        <v>101.0</v>
      </c>
      <c r="I39" s="48">
        <f t="shared" si="3"/>
        <v>716</v>
      </c>
      <c r="J39" s="48">
        <f t="shared" si="17"/>
        <v>842</v>
      </c>
      <c r="K39" s="49">
        <f t="shared" si="5"/>
        <v>0.07122905028</v>
      </c>
      <c r="L39" s="49">
        <f t="shared" si="6"/>
        <v>0.905027933</v>
      </c>
      <c r="M39" s="49">
        <f t="shared" si="7"/>
        <v>0.02374301676</v>
      </c>
      <c r="N39" s="32" t="str">
        <f t="shared" si="8"/>
        <v>Mal. Lott</v>
      </c>
      <c r="O39" s="50" t="s">
        <v>77</v>
      </c>
      <c r="P39" s="57">
        <v>625.0</v>
      </c>
      <c r="Q39" s="57">
        <v>22.0</v>
      </c>
      <c r="R39" s="58">
        <v>47.0</v>
      </c>
      <c r="S39" s="38">
        <v>39.0</v>
      </c>
      <c r="T39" s="38">
        <v>109.0</v>
      </c>
      <c r="U39" s="48">
        <f t="shared" si="9"/>
        <v>694</v>
      </c>
      <c r="V39" s="48">
        <f t="shared" si="18"/>
        <v>842</v>
      </c>
      <c r="W39" s="49">
        <f t="shared" si="11"/>
        <v>0.9005763689</v>
      </c>
      <c r="X39" s="49">
        <f t="shared" si="12"/>
        <v>0.03170028818</v>
      </c>
      <c r="Y39" s="49">
        <f t="shared" si="13"/>
        <v>0.06772334294</v>
      </c>
      <c r="Z39" s="32" t="str">
        <f t="shared" si="14"/>
        <v>Jango</v>
      </c>
      <c r="AA39" s="54" t="s">
        <v>77</v>
      </c>
      <c r="AB39" s="38">
        <v>1226.0</v>
      </c>
      <c r="AC39" s="48">
        <f t="shared" si="21"/>
        <v>384</v>
      </c>
      <c r="AD39" s="51">
        <f t="shared" si="22"/>
        <v>0.6867862969</v>
      </c>
    </row>
    <row r="40">
      <c r="A40" s="24"/>
      <c r="B40" s="46" t="s">
        <v>113</v>
      </c>
      <c r="C40" s="47"/>
      <c r="D40" s="38">
        <v>23.0</v>
      </c>
      <c r="E40" s="48">
        <v>130.0</v>
      </c>
      <c r="F40" s="48">
        <v>2.0</v>
      </c>
      <c r="G40" s="38">
        <v>4.0</v>
      </c>
      <c r="H40" s="38">
        <v>4.0</v>
      </c>
      <c r="I40" s="48">
        <f t="shared" si="3"/>
        <v>155</v>
      </c>
      <c r="J40" s="48">
        <f t="shared" si="17"/>
        <v>163</v>
      </c>
      <c r="K40" s="49">
        <f t="shared" si="5"/>
        <v>0.1483870968</v>
      </c>
      <c r="L40" s="49">
        <f t="shared" si="6"/>
        <v>0.8387096774</v>
      </c>
      <c r="M40" s="49">
        <f t="shared" si="7"/>
        <v>0.01290322581</v>
      </c>
      <c r="N40" s="32" t="str">
        <f t="shared" si="8"/>
        <v>Mal. Lott</v>
      </c>
      <c r="O40" s="50" t="s">
        <v>77</v>
      </c>
      <c r="P40" s="57">
        <v>83.0</v>
      </c>
      <c r="Q40" s="57">
        <v>42.0</v>
      </c>
      <c r="R40" s="58">
        <v>18.0</v>
      </c>
      <c r="S40" s="38">
        <v>18.0</v>
      </c>
      <c r="T40" s="38">
        <v>2.0</v>
      </c>
      <c r="U40" s="48">
        <f t="shared" si="9"/>
        <v>143</v>
      </c>
      <c r="V40" s="48">
        <f t="shared" si="18"/>
        <v>163</v>
      </c>
      <c r="W40" s="49">
        <f t="shared" si="11"/>
        <v>0.5804195804</v>
      </c>
      <c r="X40" s="49">
        <f t="shared" si="12"/>
        <v>0.2937062937</v>
      </c>
      <c r="Y40" s="49">
        <f t="shared" si="13"/>
        <v>0.1258741259</v>
      </c>
      <c r="Z40" s="32" t="str">
        <f t="shared" si="14"/>
        <v>Jango</v>
      </c>
      <c r="AA40" s="54" t="s">
        <v>77</v>
      </c>
      <c r="AB40" s="38">
        <v>415.0</v>
      </c>
      <c r="AC40" s="48">
        <f t="shared" si="21"/>
        <v>252</v>
      </c>
      <c r="AD40" s="51">
        <f t="shared" si="22"/>
        <v>0.3927710843</v>
      </c>
    </row>
    <row r="41">
      <c r="A41" s="61" t="s">
        <v>114</v>
      </c>
      <c r="B41" s="46" t="s">
        <v>115</v>
      </c>
      <c r="C41" s="47"/>
      <c r="D41" s="38">
        <v>140.0</v>
      </c>
      <c r="E41" s="38">
        <v>239.0</v>
      </c>
      <c r="F41" s="48">
        <v>8.0</v>
      </c>
      <c r="G41" s="38">
        <v>12.0</v>
      </c>
      <c r="H41" s="38">
        <v>14.0</v>
      </c>
      <c r="I41" s="48">
        <f t="shared" si="3"/>
        <v>387</v>
      </c>
      <c r="J41" s="48">
        <f t="shared" si="17"/>
        <v>413</v>
      </c>
      <c r="K41" s="49">
        <f t="shared" si="5"/>
        <v>0.3617571059</v>
      </c>
      <c r="L41" s="49">
        <f t="shared" si="6"/>
        <v>0.6175710594</v>
      </c>
      <c r="M41" s="49">
        <f t="shared" si="7"/>
        <v>0.02067183463</v>
      </c>
      <c r="N41" s="32" t="str">
        <f t="shared" si="8"/>
        <v>Mal. Lott</v>
      </c>
      <c r="O41" s="50" t="s">
        <v>77</v>
      </c>
      <c r="P41" s="57">
        <v>228.0</v>
      </c>
      <c r="Q41" s="57">
        <v>22.0</v>
      </c>
      <c r="R41" s="58">
        <v>73.0</v>
      </c>
      <c r="S41" s="38">
        <v>84.0</v>
      </c>
      <c r="T41" s="38">
        <v>6.0</v>
      </c>
      <c r="U41" s="48">
        <f t="shared" si="9"/>
        <v>323</v>
      </c>
      <c r="V41" s="48">
        <f t="shared" si="18"/>
        <v>413</v>
      </c>
      <c r="W41" s="49">
        <f t="shared" si="11"/>
        <v>0.7058823529</v>
      </c>
      <c r="X41" s="49">
        <f t="shared" si="12"/>
        <v>0.06811145511</v>
      </c>
      <c r="Y41" s="49">
        <f t="shared" si="13"/>
        <v>0.226006192</v>
      </c>
      <c r="Z41" s="32" t="str">
        <f t="shared" si="14"/>
        <v>Jango</v>
      </c>
      <c r="AA41" s="54" t="s">
        <v>77</v>
      </c>
      <c r="AB41" s="38">
        <v>621.0</v>
      </c>
      <c r="AC41" s="48">
        <f t="shared" si="21"/>
        <v>208</v>
      </c>
      <c r="AD41" s="51">
        <f t="shared" si="22"/>
        <v>0.6650563607</v>
      </c>
    </row>
    <row r="42">
      <c r="A42" s="24"/>
      <c r="B42" s="46" t="s">
        <v>116</v>
      </c>
      <c r="C42" s="47"/>
      <c r="D42" s="38">
        <v>12.0</v>
      </c>
      <c r="E42" s="48">
        <v>144.0</v>
      </c>
      <c r="F42" s="48">
        <v>0.0</v>
      </c>
      <c r="G42" s="38">
        <v>2.0</v>
      </c>
      <c r="H42" s="38">
        <v>1.0</v>
      </c>
      <c r="I42" s="48">
        <f t="shared" si="3"/>
        <v>156</v>
      </c>
      <c r="J42" s="48">
        <f t="shared" si="17"/>
        <v>159</v>
      </c>
      <c r="K42" s="49">
        <f t="shared" si="5"/>
        <v>0.07692307692</v>
      </c>
      <c r="L42" s="49">
        <f t="shared" si="6"/>
        <v>0.9230769231</v>
      </c>
      <c r="M42" s="49">
        <f t="shared" si="7"/>
        <v>0</v>
      </c>
      <c r="N42" s="32" t="str">
        <f t="shared" si="8"/>
        <v>Mal. Lott</v>
      </c>
      <c r="O42" s="50" t="s">
        <v>77</v>
      </c>
      <c r="P42" s="57">
        <v>11.0</v>
      </c>
      <c r="Q42" s="57">
        <v>1.0</v>
      </c>
      <c r="R42" s="58">
        <v>135.0</v>
      </c>
      <c r="S42" s="38">
        <v>12.0</v>
      </c>
      <c r="T42" s="38">
        <v>0.0</v>
      </c>
      <c r="U42" s="48">
        <f t="shared" si="9"/>
        <v>147</v>
      </c>
      <c r="V42" s="48">
        <f t="shared" si="18"/>
        <v>159</v>
      </c>
      <c r="W42" s="49">
        <f t="shared" si="11"/>
        <v>0.07482993197</v>
      </c>
      <c r="X42" s="49">
        <f t="shared" si="12"/>
        <v>0.006802721088</v>
      </c>
      <c r="Y42" s="49">
        <f t="shared" si="13"/>
        <v>0.9183673469</v>
      </c>
      <c r="Z42" s="32" t="str">
        <f t="shared" si="14"/>
        <v>Ferrari</v>
      </c>
      <c r="AA42" s="54" t="s">
        <v>77</v>
      </c>
      <c r="AB42" s="38">
        <v>267.0</v>
      </c>
      <c r="AC42" s="48">
        <f t="shared" si="21"/>
        <v>108</v>
      </c>
      <c r="AD42" s="51">
        <f t="shared" si="22"/>
        <v>0.595505618</v>
      </c>
    </row>
    <row r="43">
      <c r="A43" s="45" t="s">
        <v>117</v>
      </c>
      <c r="B43" s="46" t="s">
        <v>118</v>
      </c>
      <c r="C43" s="47"/>
      <c r="D43" s="38">
        <v>311.0</v>
      </c>
      <c r="E43" s="38">
        <v>597.0</v>
      </c>
      <c r="F43" s="48">
        <v>24.0</v>
      </c>
      <c r="G43" s="38">
        <v>20.0</v>
      </c>
      <c r="H43" s="38">
        <v>43.0</v>
      </c>
      <c r="I43" s="48">
        <f t="shared" si="3"/>
        <v>932</v>
      </c>
      <c r="J43" s="48">
        <f t="shared" si="17"/>
        <v>995</v>
      </c>
      <c r="K43" s="49">
        <f t="shared" si="5"/>
        <v>0.3336909871</v>
      </c>
      <c r="L43" s="49">
        <f t="shared" si="6"/>
        <v>0.6405579399</v>
      </c>
      <c r="M43" s="49">
        <f t="shared" si="7"/>
        <v>0.02575107296</v>
      </c>
      <c r="N43" s="32" t="str">
        <f t="shared" si="8"/>
        <v>Mal. Lott</v>
      </c>
      <c r="O43" s="50" t="s">
        <v>77</v>
      </c>
      <c r="P43" s="57">
        <v>590.0</v>
      </c>
      <c r="Q43" s="57">
        <v>235.0</v>
      </c>
      <c r="R43" s="58">
        <v>50.0</v>
      </c>
      <c r="S43" s="38">
        <v>104.0</v>
      </c>
      <c r="T43" s="38">
        <v>16.0</v>
      </c>
      <c r="U43" s="48">
        <f t="shared" si="9"/>
        <v>875</v>
      </c>
      <c r="V43" s="48">
        <f t="shared" si="18"/>
        <v>995</v>
      </c>
      <c r="W43" s="49">
        <f t="shared" si="11"/>
        <v>0.6742857143</v>
      </c>
      <c r="X43" s="49">
        <f t="shared" si="12"/>
        <v>0.2685714286</v>
      </c>
      <c r="Y43" s="49">
        <f t="shared" si="13"/>
        <v>0.05714285714</v>
      </c>
      <c r="Z43" s="32" t="str">
        <f t="shared" si="14"/>
        <v>Jango</v>
      </c>
      <c r="AA43" s="54" t="s">
        <v>77</v>
      </c>
      <c r="AB43" s="38">
        <v>1653.0</v>
      </c>
      <c r="AC43" s="48">
        <f t="shared" si="21"/>
        <v>658</v>
      </c>
      <c r="AD43" s="51">
        <f t="shared" si="22"/>
        <v>0.6019358742</v>
      </c>
    </row>
    <row r="44">
      <c r="A44" s="61" t="s">
        <v>119</v>
      </c>
      <c r="B44" s="46" t="s">
        <v>120</v>
      </c>
      <c r="C44" s="47"/>
      <c r="D44" s="38">
        <v>197.0</v>
      </c>
      <c r="E44" s="48">
        <v>484.0</v>
      </c>
      <c r="F44" s="48">
        <v>24.0</v>
      </c>
      <c r="G44" s="38">
        <v>68.0</v>
      </c>
      <c r="H44" s="38">
        <v>39.0</v>
      </c>
      <c r="I44" s="48">
        <f t="shared" si="3"/>
        <v>705</v>
      </c>
      <c r="J44" s="48">
        <f t="shared" si="17"/>
        <v>812</v>
      </c>
      <c r="K44" s="49">
        <f t="shared" si="5"/>
        <v>0.2794326241</v>
      </c>
      <c r="L44" s="49">
        <f t="shared" si="6"/>
        <v>0.6865248227</v>
      </c>
      <c r="M44" s="49">
        <f t="shared" si="7"/>
        <v>0.03404255319</v>
      </c>
      <c r="N44" s="32" t="str">
        <f t="shared" si="8"/>
        <v>Mal. Lott</v>
      </c>
      <c r="O44" s="50" t="s">
        <v>77</v>
      </c>
      <c r="P44" s="57">
        <v>584.0</v>
      </c>
      <c r="Q44" s="57">
        <v>23.0</v>
      </c>
      <c r="R44" s="58">
        <v>46.0</v>
      </c>
      <c r="S44" s="38">
        <v>124.0</v>
      </c>
      <c r="T44" s="38">
        <v>35.0</v>
      </c>
      <c r="U44" s="48">
        <f t="shared" si="9"/>
        <v>653</v>
      </c>
      <c r="V44" s="48">
        <f t="shared" si="18"/>
        <v>812</v>
      </c>
      <c r="W44" s="49">
        <f t="shared" si="11"/>
        <v>0.8943338438</v>
      </c>
      <c r="X44" s="49">
        <f t="shared" si="12"/>
        <v>0.03522205207</v>
      </c>
      <c r="Y44" s="49">
        <f t="shared" si="13"/>
        <v>0.07044410413</v>
      </c>
      <c r="Z44" s="32" t="str">
        <f t="shared" si="14"/>
        <v>Jango</v>
      </c>
      <c r="AA44" s="54" t="s">
        <v>77</v>
      </c>
      <c r="AB44" s="38">
        <v>963.0</v>
      </c>
      <c r="AC44" s="48">
        <f t="shared" si="21"/>
        <v>151</v>
      </c>
      <c r="AD44" s="51">
        <f t="shared" si="22"/>
        <v>0.8431983385</v>
      </c>
    </row>
    <row r="45">
      <c r="A45" s="23"/>
      <c r="B45" s="46" t="s">
        <v>121</v>
      </c>
      <c r="C45" s="47"/>
      <c r="D45" s="38">
        <v>45.0</v>
      </c>
      <c r="E45" s="48">
        <v>297.0</v>
      </c>
      <c r="F45" s="48">
        <v>5.0</v>
      </c>
      <c r="G45" s="38">
        <v>0.0</v>
      </c>
      <c r="H45" s="38">
        <v>28.0</v>
      </c>
      <c r="I45" s="48">
        <f t="shared" si="3"/>
        <v>347</v>
      </c>
      <c r="J45" s="48">
        <f t="shared" si="17"/>
        <v>375</v>
      </c>
      <c r="K45" s="49">
        <f t="shared" si="5"/>
        <v>0.1296829971</v>
      </c>
      <c r="L45" s="49">
        <f t="shared" si="6"/>
        <v>0.855907781</v>
      </c>
      <c r="M45" s="49">
        <f t="shared" si="7"/>
        <v>0.0144092219</v>
      </c>
      <c r="N45" s="32" t="str">
        <f t="shared" si="8"/>
        <v>Mal. Lott</v>
      </c>
      <c r="O45" s="50" t="s">
        <v>77</v>
      </c>
      <c r="P45" s="57">
        <v>290.0</v>
      </c>
      <c r="Q45" s="57">
        <v>10.0</v>
      </c>
      <c r="R45" s="58">
        <v>18.0</v>
      </c>
      <c r="S45" s="38">
        <v>51.0</v>
      </c>
      <c r="T45" s="38">
        <v>6.0</v>
      </c>
      <c r="U45" s="48">
        <f t="shared" si="9"/>
        <v>318</v>
      </c>
      <c r="V45" s="48">
        <f t="shared" si="18"/>
        <v>375</v>
      </c>
      <c r="W45" s="49">
        <f t="shared" si="11"/>
        <v>0.9119496855</v>
      </c>
      <c r="X45" s="49">
        <f t="shared" si="12"/>
        <v>0.03144654088</v>
      </c>
      <c r="Y45" s="49">
        <f t="shared" si="13"/>
        <v>0.05660377358</v>
      </c>
      <c r="Z45" s="32" t="str">
        <f t="shared" si="14"/>
        <v>Jango</v>
      </c>
      <c r="AA45" s="54" t="s">
        <v>77</v>
      </c>
      <c r="AB45" s="38">
        <v>430.0</v>
      </c>
      <c r="AC45" s="48">
        <f t="shared" si="21"/>
        <v>55</v>
      </c>
      <c r="AD45" s="51">
        <f t="shared" si="22"/>
        <v>0.8720930233</v>
      </c>
    </row>
    <row r="46">
      <c r="A46" s="24"/>
      <c r="B46" s="46" t="s">
        <v>122</v>
      </c>
      <c r="C46" s="47"/>
      <c r="D46" s="38">
        <v>152.0</v>
      </c>
      <c r="E46" s="38">
        <v>366.0</v>
      </c>
      <c r="F46" s="48">
        <v>25.0</v>
      </c>
      <c r="G46" s="38">
        <v>41.0</v>
      </c>
      <c r="H46" s="38">
        <v>29.0</v>
      </c>
      <c r="I46" s="48">
        <f t="shared" si="3"/>
        <v>543</v>
      </c>
      <c r="J46" s="48">
        <f t="shared" si="17"/>
        <v>613</v>
      </c>
      <c r="K46" s="49">
        <f t="shared" si="5"/>
        <v>0.2799263352</v>
      </c>
      <c r="L46" s="49">
        <f t="shared" si="6"/>
        <v>0.6740331492</v>
      </c>
      <c r="M46" s="49">
        <f t="shared" si="7"/>
        <v>0.04604051565</v>
      </c>
      <c r="N46" s="32" t="str">
        <f t="shared" si="8"/>
        <v>Mal. Lott</v>
      </c>
      <c r="O46" s="50" t="s">
        <v>77</v>
      </c>
      <c r="P46" s="57">
        <v>419.0</v>
      </c>
      <c r="Q46" s="57">
        <v>30.0</v>
      </c>
      <c r="R46" s="58">
        <v>32.0</v>
      </c>
      <c r="S46" s="38">
        <v>100.0</v>
      </c>
      <c r="T46" s="38">
        <v>32.0</v>
      </c>
      <c r="U46" s="48">
        <f t="shared" si="9"/>
        <v>481</v>
      </c>
      <c r="V46" s="48">
        <f t="shared" si="18"/>
        <v>613</v>
      </c>
      <c r="W46" s="49">
        <f t="shared" si="11"/>
        <v>0.8711018711</v>
      </c>
      <c r="X46" s="49">
        <f t="shared" si="12"/>
        <v>0.06237006237</v>
      </c>
      <c r="Y46" s="49">
        <f t="shared" si="13"/>
        <v>0.06652806653</v>
      </c>
      <c r="Z46" s="32" t="str">
        <f t="shared" si="14"/>
        <v>Jango</v>
      </c>
      <c r="AA46" s="54" t="s">
        <v>77</v>
      </c>
      <c r="AB46" s="38">
        <v>762.0</v>
      </c>
      <c r="AC46" s="48">
        <f t="shared" si="21"/>
        <v>149</v>
      </c>
      <c r="AD46" s="51">
        <f t="shared" si="22"/>
        <v>0.8044619423</v>
      </c>
    </row>
    <row r="47">
      <c r="A47" s="45" t="s">
        <v>123</v>
      </c>
      <c r="B47" s="46" t="s">
        <v>124</v>
      </c>
      <c r="C47" s="47"/>
      <c r="D47" s="38">
        <v>476.0</v>
      </c>
      <c r="E47" s="48">
        <v>473.0</v>
      </c>
      <c r="F47" s="48">
        <v>30.0</v>
      </c>
      <c r="G47" s="38">
        <v>78.0</v>
      </c>
      <c r="H47" s="38">
        <v>70.0</v>
      </c>
      <c r="I47" s="48">
        <f t="shared" si="3"/>
        <v>979</v>
      </c>
      <c r="J47" s="48">
        <f t="shared" si="17"/>
        <v>1127</v>
      </c>
      <c r="K47" s="49">
        <f t="shared" si="5"/>
        <v>0.4862104188</v>
      </c>
      <c r="L47" s="49">
        <f t="shared" si="6"/>
        <v>0.4831460674</v>
      </c>
      <c r="M47" s="49">
        <f t="shared" si="7"/>
        <v>0.03064351379</v>
      </c>
      <c r="N47" s="32" t="str">
        <f t="shared" si="8"/>
        <v>Jânio</v>
      </c>
      <c r="O47" s="50" t="s">
        <v>77</v>
      </c>
      <c r="P47" s="57">
        <v>640.0</v>
      </c>
      <c r="Q47" s="57">
        <v>94.0</v>
      </c>
      <c r="R47" s="58">
        <v>134.0</v>
      </c>
      <c r="S47" s="38">
        <v>220.0</v>
      </c>
      <c r="T47" s="38">
        <v>39.0</v>
      </c>
      <c r="U47" s="48">
        <f t="shared" si="9"/>
        <v>868</v>
      </c>
      <c r="V47" s="48">
        <f t="shared" si="18"/>
        <v>1127</v>
      </c>
      <c r="W47" s="49">
        <f t="shared" si="11"/>
        <v>0.7373271889</v>
      </c>
      <c r="X47" s="49">
        <f t="shared" si="12"/>
        <v>0.1082949309</v>
      </c>
      <c r="Y47" s="49">
        <f t="shared" si="13"/>
        <v>0.1543778802</v>
      </c>
      <c r="Z47" s="32" t="str">
        <f t="shared" si="14"/>
        <v>Jango</v>
      </c>
      <c r="AA47" s="54" t="s">
        <v>77</v>
      </c>
      <c r="AB47" s="38">
        <v>2114.0</v>
      </c>
      <c r="AC47" s="48">
        <f t="shared" si="21"/>
        <v>987</v>
      </c>
      <c r="AD47" s="51">
        <f t="shared" si="22"/>
        <v>0.5331125828</v>
      </c>
    </row>
    <row r="48">
      <c r="A48" s="45" t="s">
        <v>125</v>
      </c>
      <c r="B48" s="46" t="s">
        <v>126</v>
      </c>
      <c r="C48" s="47"/>
      <c r="D48" s="38">
        <v>196.0</v>
      </c>
      <c r="E48" s="48">
        <v>402.0</v>
      </c>
      <c r="F48" s="48">
        <v>38.0</v>
      </c>
      <c r="G48" s="38">
        <v>24.0</v>
      </c>
      <c r="H48" s="38">
        <v>18.0</v>
      </c>
      <c r="I48" s="48">
        <f t="shared" si="3"/>
        <v>636</v>
      </c>
      <c r="J48" s="48">
        <f t="shared" si="17"/>
        <v>678</v>
      </c>
      <c r="K48" s="49">
        <f t="shared" si="5"/>
        <v>0.3081761006</v>
      </c>
      <c r="L48" s="49">
        <f t="shared" si="6"/>
        <v>0.6320754717</v>
      </c>
      <c r="M48" s="49">
        <f t="shared" si="7"/>
        <v>0.05974842767</v>
      </c>
      <c r="N48" s="32" t="str">
        <f t="shared" si="8"/>
        <v>Mal. Lott</v>
      </c>
      <c r="O48" s="50" t="s">
        <v>77</v>
      </c>
      <c r="P48" s="57">
        <v>404.0</v>
      </c>
      <c r="Q48" s="57">
        <v>93.0</v>
      </c>
      <c r="R48" s="58">
        <v>78.0</v>
      </c>
      <c r="S48" s="38">
        <v>92.0</v>
      </c>
      <c r="T48" s="38">
        <v>11.0</v>
      </c>
      <c r="U48" s="48">
        <f t="shared" si="9"/>
        <v>575</v>
      </c>
      <c r="V48" s="48">
        <f t="shared" si="18"/>
        <v>678</v>
      </c>
      <c r="W48" s="49">
        <f t="shared" si="11"/>
        <v>0.7026086957</v>
      </c>
      <c r="X48" s="49">
        <f t="shared" si="12"/>
        <v>0.1617391304</v>
      </c>
      <c r="Y48" s="49">
        <f t="shared" si="13"/>
        <v>0.1356521739</v>
      </c>
      <c r="Z48" s="32" t="str">
        <f t="shared" si="14"/>
        <v>Jango</v>
      </c>
      <c r="AA48" s="54" t="s">
        <v>77</v>
      </c>
      <c r="AB48" s="38">
        <v>1283.0</v>
      </c>
      <c r="AC48" s="48">
        <f t="shared" si="21"/>
        <v>605</v>
      </c>
      <c r="AD48" s="51">
        <f t="shared" si="22"/>
        <v>0.5284489478</v>
      </c>
    </row>
    <row r="49">
      <c r="A49" s="45" t="s">
        <v>127</v>
      </c>
      <c r="B49" s="46" t="s">
        <v>128</v>
      </c>
      <c r="C49" s="47"/>
      <c r="D49" s="38">
        <v>165.0</v>
      </c>
      <c r="E49" s="48">
        <v>148.0</v>
      </c>
      <c r="F49" s="48">
        <v>11.0</v>
      </c>
      <c r="G49" s="38">
        <v>11.0</v>
      </c>
      <c r="H49" s="38">
        <v>13.0</v>
      </c>
      <c r="I49" s="48">
        <f t="shared" si="3"/>
        <v>324</v>
      </c>
      <c r="J49" s="48">
        <f t="shared" si="17"/>
        <v>348</v>
      </c>
      <c r="K49" s="49">
        <f t="shared" si="5"/>
        <v>0.5092592593</v>
      </c>
      <c r="L49" s="49">
        <f t="shared" si="6"/>
        <v>0.4567901235</v>
      </c>
      <c r="M49" s="49">
        <f t="shared" si="7"/>
        <v>0.03395061728</v>
      </c>
      <c r="N49" s="32" t="str">
        <f t="shared" si="8"/>
        <v>Jânio</v>
      </c>
      <c r="O49" s="50" t="s">
        <v>77</v>
      </c>
      <c r="P49" s="57">
        <v>154.0</v>
      </c>
      <c r="Q49" s="57">
        <v>109.0</v>
      </c>
      <c r="R49" s="58">
        <v>20.0</v>
      </c>
      <c r="S49" s="38">
        <v>54.0</v>
      </c>
      <c r="T49" s="38">
        <v>11.0</v>
      </c>
      <c r="U49" s="48">
        <f t="shared" si="9"/>
        <v>283</v>
      </c>
      <c r="V49" s="48">
        <f t="shared" si="18"/>
        <v>348</v>
      </c>
      <c r="W49" s="49">
        <f t="shared" si="11"/>
        <v>0.5441696113</v>
      </c>
      <c r="X49" s="49">
        <f t="shared" si="12"/>
        <v>0.3851590106</v>
      </c>
      <c r="Y49" s="49">
        <f t="shared" si="13"/>
        <v>0.07067137809</v>
      </c>
      <c r="Z49" s="32" t="str">
        <f t="shared" si="14"/>
        <v>Jango</v>
      </c>
      <c r="AA49" s="54" t="s">
        <v>77</v>
      </c>
      <c r="AB49" s="38">
        <v>609.0</v>
      </c>
      <c r="AC49" s="48">
        <f t="shared" si="21"/>
        <v>261</v>
      </c>
      <c r="AD49" s="51">
        <f t="shared" si="22"/>
        <v>0.5714285714</v>
      </c>
    </row>
    <row r="50">
      <c r="A50" s="45" t="s">
        <v>129</v>
      </c>
      <c r="B50" s="46" t="s">
        <v>130</v>
      </c>
      <c r="C50" s="47"/>
      <c r="D50" s="38">
        <v>0.0</v>
      </c>
      <c r="E50" s="38">
        <v>0.0</v>
      </c>
      <c r="F50" s="38">
        <v>0.0</v>
      </c>
      <c r="G50" s="38">
        <v>0.0</v>
      </c>
      <c r="H50" s="38">
        <v>230.0</v>
      </c>
      <c r="I50" s="48">
        <f t="shared" si="3"/>
        <v>0</v>
      </c>
      <c r="J50" s="48">
        <f t="shared" si="17"/>
        <v>230</v>
      </c>
      <c r="K50" s="62" t="s">
        <v>77</v>
      </c>
      <c r="L50" s="62" t="s">
        <v>77</v>
      </c>
      <c r="M50" s="62" t="s">
        <v>77</v>
      </c>
      <c r="N50" s="32" t="str">
        <f t="shared" si="8"/>
        <v>Anulado</v>
      </c>
      <c r="O50" s="50" t="s">
        <v>77</v>
      </c>
      <c r="P50" s="57">
        <v>0.0</v>
      </c>
      <c r="Q50" s="57">
        <v>0.0</v>
      </c>
      <c r="R50" s="58">
        <v>0.0</v>
      </c>
      <c r="S50" s="38">
        <v>0.0</v>
      </c>
      <c r="T50" s="38">
        <v>230.0</v>
      </c>
      <c r="U50" s="48">
        <f t="shared" si="9"/>
        <v>0</v>
      </c>
      <c r="V50" s="48">
        <f t="shared" si="18"/>
        <v>230</v>
      </c>
      <c r="W50" s="62" t="s">
        <v>77</v>
      </c>
      <c r="X50" s="62" t="s">
        <v>77</v>
      </c>
      <c r="Y50" s="62" t="s">
        <v>77</v>
      </c>
      <c r="Z50" s="32" t="str">
        <f t="shared" si="14"/>
        <v>Anulado</v>
      </c>
      <c r="AA50" s="54" t="s">
        <v>77</v>
      </c>
      <c r="AB50" s="38">
        <v>365.0</v>
      </c>
      <c r="AC50" s="48">
        <f t="shared" si="21"/>
        <v>135</v>
      </c>
      <c r="AD50" s="51">
        <f t="shared" si="22"/>
        <v>0.6301369863</v>
      </c>
    </row>
    <row r="51">
      <c r="A51" s="63" t="s">
        <v>131</v>
      </c>
      <c r="B51" s="64" t="s">
        <v>132</v>
      </c>
      <c r="C51" s="47"/>
      <c r="D51" s="38">
        <v>0.0</v>
      </c>
      <c r="E51" s="38">
        <v>0.0</v>
      </c>
      <c r="F51" s="38">
        <v>0.0</v>
      </c>
      <c r="G51" s="38">
        <v>0.0</v>
      </c>
      <c r="H51" s="38">
        <v>740.0</v>
      </c>
      <c r="I51" s="48">
        <f t="shared" si="3"/>
        <v>0</v>
      </c>
      <c r="J51" s="48">
        <f t="shared" si="17"/>
        <v>740</v>
      </c>
      <c r="K51" s="62" t="s">
        <v>77</v>
      </c>
      <c r="L51" s="62" t="s">
        <v>77</v>
      </c>
      <c r="M51" s="62" t="s">
        <v>77</v>
      </c>
      <c r="N51" s="32" t="str">
        <f t="shared" si="8"/>
        <v>Anulado</v>
      </c>
      <c r="O51" s="50" t="s">
        <v>77</v>
      </c>
      <c r="P51" s="57">
        <v>0.0</v>
      </c>
      <c r="Q51" s="57">
        <v>0.0</v>
      </c>
      <c r="R51" s="58">
        <v>0.0</v>
      </c>
      <c r="S51" s="38">
        <v>0.0</v>
      </c>
      <c r="T51" s="38">
        <v>740.0</v>
      </c>
      <c r="U51" s="48">
        <f t="shared" si="9"/>
        <v>0</v>
      </c>
      <c r="V51" s="48">
        <f t="shared" si="18"/>
        <v>740</v>
      </c>
      <c r="W51" s="62" t="s">
        <v>77</v>
      </c>
      <c r="X51" s="62" t="s">
        <v>77</v>
      </c>
      <c r="Y51" s="62" t="s">
        <v>77</v>
      </c>
      <c r="Z51" s="32" t="str">
        <f t="shared" si="14"/>
        <v>Anulado</v>
      </c>
      <c r="AA51" s="54" t="s">
        <v>77</v>
      </c>
      <c r="AB51" s="38">
        <v>1284.0</v>
      </c>
      <c r="AC51" s="48">
        <f t="shared" si="21"/>
        <v>544</v>
      </c>
      <c r="AD51" s="51">
        <f t="shared" si="22"/>
        <v>0.5763239875</v>
      </c>
    </row>
    <row r="52">
      <c r="A52" s="45" t="s">
        <v>133</v>
      </c>
      <c r="B52" s="65" t="s">
        <v>134</v>
      </c>
      <c r="C52" s="47"/>
      <c r="D52" s="38">
        <v>72.0</v>
      </c>
      <c r="E52" s="48">
        <v>223.0</v>
      </c>
      <c r="F52" s="48">
        <v>16.0</v>
      </c>
      <c r="G52" s="38">
        <v>8.0</v>
      </c>
      <c r="H52" s="38">
        <v>16.0</v>
      </c>
      <c r="I52" s="48">
        <f t="shared" si="3"/>
        <v>311</v>
      </c>
      <c r="J52" s="48">
        <f t="shared" si="17"/>
        <v>335</v>
      </c>
      <c r="K52" s="49">
        <f t="shared" ref="K52:K55" si="23">D52/I52</f>
        <v>0.231511254</v>
      </c>
      <c r="L52" s="49">
        <f t="shared" ref="L52:L55" si="24">E52/I52</f>
        <v>0.7170418006</v>
      </c>
      <c r="M52" s="49">
        <f t="shared" ref="M52:M55" si="25">F52/I52</f>
        <v>0.05144694534</v>
      </c>
      <c r="N52" s="32" t="str">
        <f t="shared" si="8"/>
        <v>Mal. Lott</v>
      </c>
      <c r="O52" s="50" t="s">
        <v>77</v>
      </c>
      <c r="P52" s="57">
        <v>206.0</v>
      </c>
      <c r="Q52" s="57">
        <v>40.0</v>
      </c>
      <c r="R52" s="58">
        <v>43.0</v>
      </c>
      <c r="S52" s="38">
        <v>38.0</v>
      </c>
      <c r="T52" s="38">
        <v>8.0</v>
      </c>
      <c r="U52" s="48">
        <f t="shared" si="9"/>
        <v>289</v>
      </c>
      <c r="V52" s="48">
        <f t="shared" si="18"/>
        <v>335</v>
      </c>
      <c r="W52" s="49">
        <f t="shared" ref="W52:W55" si="26">P52/U52</f>
        <v>0.7128027682</v>
      </c>
      <c r="X52" s="49">
        <f t="shared" ref="X52:X55" si="27">Q52/U52</f>
        <v>0.1384083045</v>
      </c>
      <c r="Y52" s="49">
        <f t="shared" ref="Y52:Y55" si="28">R52/U52</f>
        <v>0.1487889273</v>
      </c>
      <c r="Z52" s="32" t="str">
        <f t="shared" si="14"/>
        <v>Jango</v>
      </c>
      <c r="AA52" s="54" t="s">
        <v>77</v>
      </c>
      <c r="AB52" s="38">
        <v>1243.0</v>
      </c>
      <c r="AC52" s="48">
        <f t="shared" si="21"/>
        <v>908</v>
      </c>
      <c r="AD52" s="51">
        <f t="shared" si="22"/>
        <v>0.2695092518</v>
      </c>
    </row>
    <row r="53">
      <c r="A53" s="66" t="s">
        <v>135</v>
      </c>
      <c r="B53" s="64" t="s">
        <v>136</v>
      </c>
      <c r="C53" s="47"/>
      <c r="D53" s="38">
        <v>81.0</v>
      </c>
      <c r="E53" s="48">
        <v>370.0</v>
      </c>
      <c r="F53" s="48">
        <v>17.0</v>
      </c>
      <c r="G53" s="38">
        <v>10.0</v>
      </c>
      <c r="H53" s="38">
        <v>15.0</v>
      </c>
      <c r="I53" s="48">
        <f t="shared" si="3"/>
        <v>468</v>
      </c>
      <c r="J53" s="48">
        <f t="shared" si="17"/>
        <v>493</v>
      </c>
      <c r="K53" s="49">
        <f t="shared" si="23"/>
        <v>0.1730769231</v>
      </c>
      <c r="L53" s="49">
        <f t="shared" si="24"/>
        <v>0.7905982906</v>
      </c>
      <c r="M53" s="49">
        <f t="shared" si="25"/>
        <v>0.03632478632</v>
      </c>
      <c r="N53" s="32" t="str">
        <f t="shared" si="8"/>
        <v>Mal. Lott</v>
      </c>
      <c r="O53" s="50" t="s">
        <v>77</v>
      </c>
      <c r="P53" s="67">
        <v>322.0</v>
      </c>
      <c r="Q53" s="57">
        <v>53.0</v>
      </c>
      <c r="R53" s="58">
        <v>65.0</v>
      </c>
      <c r="S53" s="38">
        <v>45.0</v>
      </c>
      <c r="T53" s="38">
        <v>8.0</v>
      </c>
      <c r="U53" s="48">
        <f t="shared" si="9"/>
        <v>440</v>
      </c>
      <c r="V53" s="48">
        <f t="shared" si="18"/>
        <v>493</v>
      </c>
      <c r="W53" s="49">
        <f t="shared" si="26"/>
        <v>0.7318181818</v>
      </c>
      <c r="X53" s="49">
        <f t="shared" si="27"/>
        <v>0.1204545455</v>
      </c>
      <c r="Y53" s="49">
        <f t="shared" si="28"/>
        <v>0.1477272727</v>
      </c>
      <c r="Z53" s="32" t="str">
        <f t="shared" si="14"/>
        <v>Jango</v>
      </c>
      <c r="AA53" s="54" t="s">
        <v>77</v>
      </c>
      <c r="AB53" s="38">
        <v>926.0</v>
      </c>
      <c r="AC53" s="48">
        <f t="shared" si="21"/>
        <v>433</v>
      </c>
      <c r="AD53" s="51">
        <f t="shared" si="22"/>
        <v>0.5323974082</v>
      </c>
    </row>
    <row r="54">
      <c r="A54" s="24"/>
      <c r="B54" s="64" t="s">
        <v>137</v>
      </c>
      <c r="C54" s="47"/>
      <c r="D54" s="38">
        <v>52.0</v>
      </c>
      <c r="E54" s="38">
        <v>206.0</v>
      </c>
      <c r="F54" s="48">
        <v>9.0</v>
      </c>
      <c r="G54" s="38">
        <v>15.0</v>
      </c>
      <c r="H54" s="38">
        <v>7.0</v>
      </c>
      <c r="I54" s="48">
        <f t="shared" si="3"/>
        <v>267</v>
      </c>
      <c r="J54" s="48">
        <f t="shared" si="17"/>
        <v>289</v>
      </c>
      <c r="K54" s="49">
        <f t="shared" si="23"/>
        <v>0.1947565543</v>
      </c>
      <c r="L54" s="49">
        <f t="shared" si="24"/>
        <v>0.7715355805</v>
      </c>
      <c r="M54" s="49">
        <f t="shared" si="25"/>
        <v>0.03370786517</v>
      </c>
      <c r="N54" s="32" t="str">
        <f t="shared" si="8"/>
        <v>Mal. Lott</v>
      </c>
      <c r="O54" s="50" t="s">
        <v>77</v>
      </c>
      <c r="P54" s="38">
        <v>206.0</v>
      </c>
      <c r="Q54" s="68">
        <v>14.0</v>
      </c>
      <c r="R54" s="58">
        <v>18.0</v>
      </c>
      <c r="S54" s="38">
        <v>44.0</v>
      </c>
      <c r="T54" s="38">
        <v>7.0</v>
      </c>
      <c r="U54" s="48">
        <f t="shared" si="9"/>
        <v>238</v>
      </c>
      <c r="V54" s="48">
        <f t="shared" si="18"/>
        <v>289</v>
      </c>
      <c r="W54" s="49">
        <f t="shared" si="26"/>
        <v>0.8655462185</v>
      </c>
      <c r="X54" s="49">
        <f t="shared" si="27"/>
        <v>0.05882352941</v>
      </c>
      <c r="Y54" s="49">
        <f t="shared" si="28"/>
        <v>0.0756302521</v>
      </c>
      <c r="Z54" s="32" t="str">
        <f t="shared" si="14"/>
        <v>Jango</v>
      </c>
      <c r="AA54" s="54" t="s">
        <v>77</v>
      </c>
      <c r="AB54" s="38">
        <v>461.0</v>
      </c>
      <c r="AC54" s="48">
        <f t="shared" si="21"/>
        <v>172</v>
      </c>
      <c r="AD54" s="51">
        <f t="shared" si="22"/>
        <v>0.6268980477</v>
      </c>
    </row>
    <row r="55">
      <c r="A55" s="69" t="s">
        <v>54</v>
      </c>
      <c r="B55" s="13"/>
      <c r="C55" s="47"/>
      <c r="D55" s="38">
        <f t="shared" ref="D55:H55" si="29">SUM(D15:D54)</f>
        <v>23812</v>
      </c>
      <c r="E55" s="38">
        <f t="shared" si="29"/>
        <v>32324</v>
      </c>
      <c r="F55" s="38">
        <f t="shared" si="29"/>
        <v>2202</v>
      </c>
      <c r="G55" s="38">
        <f t="shared" si="29"/>
        <v>1596</v>
      </c>
      <c r="H55" s="38">
        <f t="shared" si="29"/>
        <v>3528</v>
      </c>
      <c r="I55" s="70">
        <f t="shared" si="3"/>
        <v>58338</v>
      </c>
      <c r="J55" s="48">
        <f t="shared" si="17"/>
        <v>63462</v>
      </c>
      <c r="K55" s="49">
        <f t="shared" si="23"/>
        <v>0.4081730604</v>
      </c>
      <c r="L55" s="49">
        <f t="shared" si="24"/>
        <v>0.5540813878</v>
      </c>
      <c r="M55" s="49">
        <f t="shared" si="25"/>
        <v>0.03774555178</v>
      </c>
      <c r="N55" s="32" t="str">
        <f t="shared" si="8"/>
        <v>Mal. Lott</v>
      </c>
      <c r="O55" s="50"/>
      <c r="P55" s="48">
        <f t="shared" ref="P55:T55" si="30">SUM(P15:P54)</f>
        <v>32451</v>
      </c>
      <c r="Q55" s="71">
        <f t="shared" si="30"/>
        <v>8821</v>
      </c>
      <c r="R55" s="71">
        <f t="shared" si="30"/>
        <v>14274</v>
      </c>
      <c r="S55" s="71">
        <f t="shared" si="30"/>
        <v>4985</v>
      </c>
      <c r="T55" s="71">
        <f t="shared" si="30"/>
        <v>2931</v>
      </c>
      <c r="U55" s="71">
        <f t="shared" si="9"/>
        <v>55546</v>
      </c>
      <c r="V55" s="48">
        <f t="shared" si="18"/>
        <v>63462</v>
      </c>
      <c r="W55" s="49">
        <f t="shared" si="26"/>
        <v>0.5842184856</v>
      </c>
      <c r="X55" s="49">
        <f t="shared" si="27"/>
        <v>0.1588053145</v>
      </c>
      <c r="Y55" s="49">
        <f t="shared" si="28"/>
        <v>0.2569761999</v>
      </c>
      <c r="Z55" s="32" t="str">
        <f t="shared" si="14"/>
        <v>Jango</v>
      </c>
      <c r="AA55" s="54"/>
      <c r="AB55" s="72">
        <v>91929.0</v>
      </c>
      <c r="AC55" s="48">
        <f t="shared" si="21"/>
        <v>28467</v>
      </c>
      <c r="AD55" s="51">
        <f t="shared" si="22"/>
        <v>0.690337108</v>
      </c>
    </row>
    <row r="56">
      <c r="O56" s="73"/>
    </row>
    <row r="57">
      <c r="B57" s="74" t="s">
        <v>138</v>
      </c>
      <c r="D57" s="75"/>
      <c r="E57" s="75"/>
      <c r="F57" s="75"/>
      <c r="G57" s="75"/>
    </row>
    <row r="58">
      <c r="B58" s="76" t="s">
        <v>139</v>
      </c>
      <c r="C58" s="33"/>
      <c r="D58" s="29"/>
      <c r="E58" s="29"/>
      <c r="F58" s="77"/>
      <c r="G58" s="77"/>
    </row>
    <row r="59">
      <c r="B59" s="76" t="s">
        <v>139</v>
      </c>
      <c r="C59" s="33"/>
      <c r="D59" s="29"/>
      <c r="E59" s="29"/>
      <c r="F59" s="77"/>
      <c r="G59" s="77"/>
    </row>
    <row r="60">
      <c r="B60" s="76" t="s">
        <v>139</v>
      </c>
      <c r="D60" s="29"/>
      <c r="E60" s="29"/>
      <c r="F60" s="77"/>
      <c r="G60" s="77"/>
    </row>
    <row r="61">
      <c r="D61" s="29"/>
      <c r="E61" s="29"/>
      <c r="F61" s="77"/>
      <c r="G61" s="77"/>
    </row>
  </sheetData>
  <mergeCells count="16">
    <mergeCell ref="D2:G2"/>
    <mergeCell ref="A11:C11"/>
    <mergeCell ref="D11:N11"/>
    <mergeCell ref="P11:Z11"/>
    <mergeCell ref="AA11:AD11"/>
    <mergeCell ref="A16:A20"/>
    <mergeCell ref="A21:A24"/>
    <mergeCell ref="A53:A54"/>
    <mergeCell ref="A55:B55"/>
    <mergeCell ref="A27:A28"/>
    <mergeCell ref="A30:A33"/>
    <mergeCell ref="A34:A35"/>
    <mergeCell ref="A36:A38"/>
    <mergeCell ref="A39:A40"/>
    <mergeCell ref="A41:A42"/>
    <mergeCell ref="A44:A46"/>
  </mergeCells>
  <conditionalFormatting sqref="K13:M55 W13:Y55">
    <cfRule type="colorScale" priority="1">
      <colorScale>
        <cfvo type="min"/>
        <cfvo type="max"/>
        <color rgb="FFFFFFFF"/>
        <color rgb="FF57BB8A"/>
      </colorScale>
    </cfRule>
  </conditionalFormatting>
  <conditionalFormatting sqref="K13:M55 N13:N56 W13:Z55">
    <cfRule type="colorScale" priority="2">
      <colorScale>
        <cfvo type="percent" val="0"/>
        <cfvo type="percent" val="50"/>
        <cfvo type="percent" val="100"/>
        <color rgb="FFFFFFFF"/>
        <color rgb="FFABDDC5"/>
        <color rgb="FF57BB8A"/>
      </colorScale>
    </cfRule>
  </conditionalFormatting>
  <conditionalFormatting sqref="W13:Y54">
    <cfRule type="colorScale" priority="3">
      <colorScale>
        <cfvo type="percent" val="0"/>
        <cfvo type="percent" val="50"/>
        <cfvo type="percent" val="100"/>
        <color rgb="FFFFFFFF"/>
        <color rgb="FFABDDC5"/>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32">
        <f t="shared" ref="E3:E6" si="1">IF(COUNTIF($N$18:$N$77,$D3)=0,"-",COUNTIF($N$18:$N$77,$D3))</f>
        <v>35</v>
      </c>
      <c r="F3" s="32" t="s">
        <v>47</v>
      </c>
      <c r="G3" s="32">
        <f t="shared" ref="G3:G6" si="2">IF(COUNTIF($Z$18:$Z$77,$F3)=0,"-",COUNTIF($Z$18:$Z$77,$F3))</f>
        <v>54</v>
      </c>
    </row>
    <row r="4">
      <c r="D4" s="32" t="s">
        <v>48</v>
      </c>
      <c r="E4" s="32">
        <f t="shared" si="1"/>
        <v>25</v>
      </c>
      <c r="F4" s="32" t="s">
        <v>49</v>
      </c>
      <c r="G4" s="32">
        <f t="shared" si="2"/>
        <v>4</v>
      </c>
    </row>
    <row r="5">
      <c r="D5" s="32" t="s">
        <v>50</v>
      </c>
      <c r="E5" s="32" t="str">
        <f t="shared" si="1"/>
        <v>-</v>
      </c>
      <c r="F5" s="32" t="s">
        <v>51</v>
      </c>
      <c r="G5" s="32">
        <f t="shared" si="2"/>
        <v>2</v>
      </c>
    </row>
    <row r="6">
      <c r="D6" s="32" t="s">
        <v>52</v>
      </c>
      <c r="E6" s="32" t="str">
        <f t="shared" si="1"/>
        <v>-</v>
      </c>
      <c r="F6" s="32" t="s">
        <v>52</v>
      </c>
      <c r="G6" s="32" t="str">
        <f t="shared" si="2"/>
        <v>-</v>
      </c>
    </row>
    <row r="7">
      <c r="D7" s="32" t="s">
        <v>54</v>
      </c>
      <c r="E7" s="32">
        <f>SUM(E3:E6)</f>
        <v>60</v>
      </c>
      <c r="F7" s="32" t="s">
        <v>54</v>
      </c>
      <c r="G7" s="32">
        <f>SUM(G3:G6)</f>
        <v>60</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45" t="s">
        <v>73</v>
      </c>
      <c r="B12" s="46" t="s">
        <v>140</v>
      </c>
      <c r="C12" s="47"/>
      <c r="D12" s="38">
        <v>17116.0</v>
      </c>
      <c r="E12" s="38">
        <v>11566.0</v>
      </c>
      <c r="F12" s="38">
        <v>1459.0</v>
      </c>
      <c r="G12" s="38">
        <v>968.0</v>
      </c>
      <c r="H12" s="38">
        <v>692.0</v>
      </c>
      <c r="I12" s="38">
        <f t="shared" ref="I12:I78" si="3">SUM(D12:F12)</f>
        <v>30141</v>
      </c>
      <c r="J12" s="38">
        <f t="shared" ref="J12:J78" si="4">SUM(G12:I12)</f>
        <v>31801</v>
      </c>
      <c r="K12" s="49">
        <f t="shared" ref="K12:K78" si="5">D12/I12</f>
        <v>0.5678643708</v>
      </c>
      <c r="L12" s="49">
        <f t="shared" ref="L12:L78" si="6">E12/I12</f>
        <v>0.3837298033</v>
      </c>
      <c r="M12" s="49">
        <f t="shared" ref="M12:M78" si="7">F12/I12</f>
        <v>0.04840582595</v>
      </c>
      <c r="N12" s="32" t="str">
        <f t="shared" ref="N12:N78" si="8">IF(LARGE(D12:F12,1)=0,#REF!,IF(LARGE(D12:F12,1)=LARGE(D12:F12,2),$D$6,IF(LARGE(D12:F12,1)=D12,$D$3,IF(LARGE(D12:F12,1)=E12,$D$4,IF(LARGE(D12:F12,1)=F12,$D$5)))))</f>
        <v>Jânio</v>
      </c>
      <c r="O12" s="50"/>
      <c r="P12" s="38">
        <v>10082.0</v>
      </c>
      <c r="Q12" s="38">
        <v>7416.0</v>
      </c>
      <c r="R12" s="38">
        <v>11456.0</v>
      </c>
      <c r="S12" s="38">
        <v>1929.0</v>
      </c>
      <c r="T12" s="38">
        <v>918.0</v>
      </c>
      <c r="U12" s="48">
        <f t="shared" ref="U12:U78" si="9">SUM(P12:R12)</f>
        <v>28954</v>
      </c>
      <c r="V12" s="48">
        <f t="shared" ref="V12:V78" si="10">SUM(S12:U12)</f>
        <v>31801</v>
      </c>
      <c r="W12" s="49">
        <f t="shared" ref="W12:W78" si="11">P12/U12</f>
        <v>0.3482075016</v>
      </c>
      <c r="X12" s="49">
        <f t="shared" ref="X12:X78" si="12">Q12/U12</f>
        <v>0.2561304138</v>
      </c>
      <c r="Y12" s="49">
        <f t="shared" ref="Y12:Y78" si="13">R12/U12</f>
        <v>0.3956620847</v>
      </c>
      <c r="Z12" s="32" t="str">
        <f t="shared" ref="Z12:Z78" si="14">IF(LARGE(P12:R12,1)=0,#REF!,IF(LARGE(P12:R12,1)=LARGE(P12:R12,2),$F$6,IF(LARGE(P12:R12,1)=P12,$F$3,IF(LARGE(P12:R12,1)=Q12,$F$4,IF(LARGE(P12:R12,1)=R12,$F$5)))))</f>
        <v>Ferrari</v>
      </c>
      <c r="AA12" s="44"/>
      <c r="AB12" s="48">
        <v>37353.0</v>
      </c>
      <c r="AC12" s="48">
        <f t="shared" ref="AC12:AC78" si="15">AB12-V12</f>
        <v>5552</v>
      </c>
      <c r="AD12" s="51">
        <f t="shared" ref="AD12:AD78" si="16">V12/AB12</f>
        <v>0.8513640136</v>
      </c>
    </row>
    <row r="13">
      <c r="A13" s="45" t="s">
        <v>141</v>
      </c>
      <c r="B13" s="46" t="s">
        <v>142</v>
      </c>
      <c r="C13" s="47"/>
      <c r="D13" s="38">
        <v>6353.0</v>
      </c>
      <c r="E13" s="38">
        <v>4510.0</v>
      </c>
      <c r="F13" s="38">
        <v>523.0</v>
      </c>
      <c r="G13" s="38">
        <v>392.0</v>
      </c>
      <c r="H13" s="38">
        <v>621.0</v>
      </c>
      <c r="I13" s="38">
        <f t="shared" si="3"/>
        <v>11386</v>
      </c>
      <c r="J13" s="38">
        <f t="shared" si="4"/>
        <v>12399</v>
      </c>
      <c r="K13" s="49">
        <f t="shared" si="5"/>
        <v>0.5579659231</v>
      </c>
      <c r="L13" s="49">
        <f t="shared" si="6"/>
        <v>0.3961004743</v>
      </c>
      <c r="M13" s="49">
        <f t="shared" si="7"/>
        <v>0.04593360267</v>
      </c>
      <c r="N13" s="32" t="str">
        <f t="shared" si="8"/>
        <v>Jânio</v>
      </c>
      <c r="O13" s="50"/>
      <c r="P13" s="38">
        <v>4617.0</v>
      </c>
      <c r="Q13" s="38">
        <v>2529.0</v>
      </c>
      <c r="R13" s="38">
        <v>3777.0</v>
      </c>
      <c r="S13" s="38">
        <v>851.0</v>
      </c>
      <c r="T13" s="38">
        <v>625.0</v>
      </c>
      <c r="U13" s="48">
        <f t="shared" si="9"/>
        <v>10923</v>
      </c>
      <c r="V13" s="48">
        <f t="shared" si="10"/>
        <v>12399</v>
      </c>
      <c r="W13" s="49">
        <f t="shared" si="11"/>
        <v>0.4226860753</v>
      </c>
      <c r="X13" s="49">
        <f t="shared" si="12"/>
        <v>0.2315297995</v>
      </c>
      <c r="Y13" s="49">
        <f t="shared" si="13"/>
        <v>0.3457841252</v>
      </c>
      <c r="Z13" s="32" t="str">
        <f t="shared" si="14"/>
        <v>Jango</v>
      </c>
      <c r="AA13" s="44"/>
      <c r="AB13" s="48">
        <v>20044.0</v>
      </c>
      <c r="AC13" s="48">
        <f t="shared" si="15"/>
        <v>7645</v>
      </c>
      <c r="AD13" s="51">
        <f t="shared" si="16"/>
        <v>0.618589104</v>
      </c>
    </row>
    <row r="14">
      <c r="A14" s="45" t="s">
        <v>143</v>
      </c>
      <c r="B14" s="46" t="s">
        <v>144</v>
      </c>
      <c r="C14" s="47"/>
      <c r="D14" s="38">
        <v>12238.0</v>
      </c>
      <c r="E14" s="38">
        <v>7984.0</v>
      </c>
      <c r="F14" s="38">
        <v>1241.0</v>
      </c>
      <c r="G14" s="38">
        <v>1000.0</v>
      </c>
      <c r="H14" s="38">
        <v>1716.0</v>
      </c>
      <c r="I14" s="38">
        <f t="shared" si="3"/>
        <v>21463</v>
      </c>
      <c r="J14" s="38">
        <f t="shared" si="4"/>
        <v>24179</v>
      </c>
      <c r="K14" s="49">
        <f t="shared" si="5"/>
        <v>0.5701905605</v>
      </c>
      <c r="L14" s="49">
        <f t="shared" si="6"/>
        <v>0.3719890043</v>
      </c>
      <c r="M14" s="49">
        <f t="shared" si="7"/>
        <v>0.05782043517</v>
      </c>
      <c r="N14" s="32" t="str">
        <f t="shared" si="8"/>
        <v>Jânio</v>
      </c>
      <c r="O14" s="50"/>
      <c r="P14" s="38">
        <v>8539.0</v>
      </c>
      <c r="Q14" s="38">
        <v>4572.0</v>
      </c>
      <c r="R14" s="38">
        <v>7307.0</v>
      </c>
      <c r="S14" s="38">
        <v>2095.0</v>
      </c>
      <c r="T14" s="38">
        <v>1666.0</v>
      </c>
      <c r="U14" s="48">
        <f t="shared" si="9"/>
        <v>20418</v>
      </c>
      <c r="V14" s="48">
        <f t="shared" si="10"/>
        <v>24179</v>
      </c>
      <c r="W14" s="49">
        <f t="shared" si="11"/>
        <v>0.4182094231</v>
      </c>
      <c r="X14" s="49">
        <f t="shared" si="12"/>
        <v>0.2239200705</v>
      </c>
      <c r="Y14" s="49">
        <f t="shared" si="13"/>
        <v>0.3578705064</v>
      </c>
      <c r="Z14" s="32" t="str">
        <f t="shared" si="14"/>
        <v>Jango</v>
      </c>
      <c r="AA14" s="44"/>
      <c r="AB14" s="48">
        <v>33066.0</v>
      </c>
      <c r="AC14" s="48">
        <f t="shared" si="15"/>
        <v>8887</v>
      </c>
      <c r="AD14" s="51">
        <f t="shared" si="16"/>
        <v>0.7312345007</v>
      </c>
    </row>
    <row r="15">
      <c r="A15" s="61" t="s">
        <v>145</v>
      </c>
      <c r="B15" s="46" t="s">
        <v>146</v>
      </c>
      <c r="C15" s="47"/>
      <c r="D15" s="38">
        <v>3333.0</v>
      </c>
      <c r="E15" s="38">
        <v>3165.0</v>
      </c>
      <c r="F15" s="38">
        <v>637.0</v>
      </c>
      <c r="G15" s="38">
        <v>515.0</v>
      </c>
      <c r="H15" s="38">
        <v>311.0</v>
      </c>
      <c r="I15" s="38">
        <f t="shared" si="3"/>
        <v>7135</v>
      </c>
      <c r="J15" s="38">
        <f t="shared" si="4"/>
        <v>7961</v>
      </c>
      <c r="K15" s="49">
        <f t="shared" si="5"/>
        <v>0.4671338472</v>
      </c>
      <c r="L15" s="49">
        <f t="shared" si="6"/>
        <v>0.4435879467</v>
      </c>
      <c r="M15" s="49">
        <f t="shared" si="7"/>
        <v>0.08927820603</v>
      </c>
      <c r="N15" s="32" t="str">
        <f t="shared" si="8"/>
        <v>Jânio</v>
      </c>
      <c r="O15" s="50"/>
      <c r="P15" s="38">
        <v>3389.0</v>
      </c>
      <c r="Q15" s="38">
        <v>1980.0</v>
      </c>
      <c r="R15" s="38">
        <v>1464.0</v>
      </c>
      <c r="S15" s="38">
        <v>825.0</v>
      </c>
      <c r="T15" s="38">
        <v>303.0</v>
      </c>
      <c r="U15" s="48">
        <f t="shared" si="9"/>
        <v>6833</v>
      </c>
      <c r="V15" s="48">
        <f t="shared" si="10"/>
        <v>7961</v>
      </c>
      <c r="W15" s="49">
        <f t="shared" si="11"/>
        <v>0.4959754134</v>
      </c>
      <c r="X15" s="49">
        <f t="shared" si="12"/>
        <v>0.2897702327</v>
      </c>
      <c r="Y15" s="49">
        <f t="shared" si="13"/>
        <v>0.2142543539</v>
      </c>
      <c r="Z15" s="32" t="str">
        <f t="shared" si="14"/>
        <v>Jango</v>
      </c>
      <c r="AA15" s="44"/>
      <c r="AB15" s="48">
        <v>11752.0</v>
      </c>
      <c r="AC15" s="48">
        <f t="shared" si="15"/>
        <v>3791</v>
      </c>
      <c r="AD15" s="51">
        <f t="shared" si="16"/>
        <v>0.6774166099</v>
      </c>
    </row>
    <row r="16">
      <c r="A16" s="23"/>
      <c r="B16" s="46" t="s">
        <v>147</v>
      </c>
      <c r="C16" s="47"/>
      <c r="D16" s="38">
        <v>670.0</v>
      </c>
      <c r="E16" s="38">
        <v>671.0</v>
      </c>
      <c r="F16" s="38">
        <v>242.0</v>
      </c>
      <c r="G16" s="38">
        <v>101.0</v>
      </c>
      <c r="H16" s="38">
        <v>163.0</v>
      </c>
      <c r="I16" s="38">
        <f t="shared" si="3"/>
        <v>1583</v>
      </c>
      <c r="J16" s="38">
        <f t="shared" si="4"/>
        <v>1847</v>
      </c>
      <c r="K16" s="49">
        <f t="shared" si="5"/>
        <v>0.4232469994</v>
      </c>
      <c r="L16" s="49">
        <f t="shared" si="6"/>
        <v>0.4238787113</v>
      </c>
      <c r="M16" s="49">
        <f t="shared" si="7"/>
        <v>0.1528742893</v>
      </c>
      <c r="N16" s="32" t="str">
        <f t="shared" si="8"/>
        <v>Mal. Lott</v>
      </c>
      <c r="O16" s="50"/>
      <c r="P16" s="38">
        <v>756.0</v>
      </c>
      <c r="Q16" s="38">
        <v>411.0</v>
      </c>
      <c r="R16" s="38">
        <v>330.0</v>
      </c>
      <c r="S16" s="38">
        <v>202.0</v>
      </c>
      <c r="T16" s="38">
        <v>148.0</v>
      </c>
      <c r="U16" s="48">
        <f t="shared" si="9"/>
        <v>1497</v>
      </c>
      <c r="V16" s="48">
        <f t="shared" si="10"/>
        <v>1847</v>
      </c>
      <c r="W16" s="49">
        <f t="shared" si="11"/>
        <v>0.50501002</v>
      </c>
      <c r="X16" s="49">
        <f t="shared" si="12"/>
        <v>0.2745490982</v>
      </c>
      <c r="Y16" s="49">
        <f t="shared" si="13"/>
        <v>0.2204408818</v>
      </c>
      <c r="Z16" s="32" t="str">
        <f t="shared" si="14"/>
        <v>Jango</v>
      </c>
      <c r="AA16" s="50"/>
      <c r="AB16" s="48">
        <v>3055.0</v>
      </c>
      <c r="AC16" s="48">
        <f t="shared" si="15"/>
        <v>1208</v>
      </c>
      <c r="AD16" s="51">
        <f t="shared" si="16"/>
        <v>0.6045826514</v>
      </c>
    </row>
    <row r="17">
      <c r="A17" s="24"/>
      <c r="B17" s="46" t="s">
        <v>148</v>
      </c>
      <c r="C17" s="47"/>
      <c r="D17" s="38">
        <v>4003.0</v>
      </c>
      <c r="E17" s="38">
        <v>3836.0</v>
      </c>
      <c r="F17" s="38">
        <v>879.0</v>
      </c>
      <c r="G17" s="38">
        <v>616.0</v>
      </c>
      <c r="H17" s="38">
        <v>474.0</v>
      </c>
      <c r="I17" s="38">
        <f t="shared" si="3"/>
        <v>8718</v>
      </c>
      <c r="J17" s="38">
        <f t="shared" si="4"/>
        <v>9808</v>
      </c>
      <c r="K17" s="49">
        <f t="shared" si="5"/>
        <v>0.4591649461</v>
      </c>
      <c r="L17" s="49">
        <f t="shared" si="6"/>
        <v>0.4400091764</v>
      </c>
      <c r="M17" s="49">
        <f t="shared" si="7"/>
        <v>0.1008258775</v>
      </c>
      <c r="N17" s="32" t="str">
        <f t="shared" si="8"/>
        <v>Jânio</v>
      </c>
      <c r="O17" s="50"/>
      <c r="P17" s="38">
        <v>4145.0</v>
      </c>
      <c r="Q17" s="38">
        <v>2391.0</v>
      </c>
      <c r="R17" s="38">
        <v>1794.0</v>
      </c>
      <c r="S17" s="38">
        <v>1027.0</v>
      </c>
      <c r="T17" s="38">
        <v>451.0</v>
      </c>
      <c r="U17" s="48">
        <f t="shared" si="9"/>
        <v>8330</v>
      </c>
      <c r="V17" s="48">
        <f t="shared" si="10"/>
        <v>9808</v>
      </c>
      <c r="W17" s="49">
        <f t="shared" si="11"/>
        <v>0.4975990396</v>
      </c>
      <c r="X17" s="49">
        <f t="shared" si="12"/>
        <v>0.2870348139</v>
      </c>
      <c r="Y17" s="49">
        <f t="shared" si="13"/>
        <v>0.2153661465</v>
      </c>
      <c r="Z17" s="32" t="str">
        <f t="shared" si="14"/>
        <v>Jango</v>
      </c>
      <c r="AA17" s="50"/>
      <c r="AB17" s="48">
        <v>14807.0</v>
      </c>
      <c r="AC17" s="48">
        <f t="shared" si="15"/>
        <v>4999</v>
      </c>
      <c r="AD17" s="51">
        <f t="shared" si="16"/>
        <v>0.6623894104</v>
      </c>
    </row>
    <row r="18">
      <c r="A18" s="45" t="s">
        <v>77</v>
      </c>
      <c r="B18" s="46" t="s">
        <v>149</v>
      </c>
      <c r="C18" s="47"/>
      <c r="D18" s="38">
        <v>39710.0</v>
      </c>
      <c r="E18" s="38">
        <v>27896.0</v>
      </c>
      <c r="F18" s="38">
        <v>4102.0</v>
      </c>
      <c r="G18" s="38">
        <v>2976.0</v>
      </c>
      <c r="H18" s="38">
        <v>3503.0</v>
      </c>
      <c r="I18" s="38">
        <f t="shared" si="3"/>
        <v>71708</v>
      </c>
      <c r="J18" s="38">
        <f t="shared" si="4"/>
        <v>78187</v>
      </c>
      <c r="K18" s="49">
        <f t="shared" si="5"/>
        <v>0.5537736375</v>
      </c>
      <c r="L18" s="49">
        <f t="shared" si="6"/>
        <v>0.3890221454</v>
      </c>
      <c r="M18" s="49">
        <f t="shared" si="7"/>
        <v>0.0572042171</v>
      </c>
      <c r="N18" s="32" t="str">
        <f t="shared" si="8"/>
        <v>Jânio</v>
      </c>
      <c r="O18" s="50" t="s">
        <v>77</v>
      </c>
      <c r="P18" s="38">
        <v>27383.0</v>
      </c>
      <c r="Q18" s="38">
        <v>16908.0</v>
      </c>
      <c r="R18" s="38">
        <v>24334.0</v>
      </c>
      <c r="S18" s="38">
        <v>5902.0</v>
      </c>
      <c r="T18" s="38">
        <v>3660.0</v>
      </c>
      <c r="U18" s="48">
        <f t="shared" si="9"/>
        <v>68625</v>
      </c>
      <c r="V18" s="48">
        <f t="shared" si="10"/>
        <v>78187</v>
      </c>
      <c r="W18" s="49">
        <f t="shared" si="11"/>
        <v>0.3990236794</v>
      </c>
      <c r="X18" s="49">
        <f t="shared" si="12"/>
        <v>0.2463825137</v>
      </c>
      <c r="Y18" s="49">
        <f t="shared" si="13"/>
        <v>0.3545938069</v>
      </c>
      <c r="Z18" s="32" t="str">
        <f t="shared" si="14"/>
        <v>Jango</v>
      </c>
      <c r="AA18" s="50" t="s">
        <v>77</v>
      </c>
      <c r="AB18" s="38">
        <v>105270.0</v>
      </c>
      <c r="AC18" s="48">
        <f t="shared" si="15"/>
        <v>27083</v>
      </c>
      <c r="AD18" s="51">
        <f t="shared" si="16"/>
        <v>0.7427282227</v>
      </c>
    </row>
    <row r="19">
      <c r="A19" s="61" t="s">
        <v>145</v>
      </c>
      <c r="B19" s="46" t="s">
        <v>150</v>
      </c>
      <c r="C19" s="47"/>
      <c r="D19" s="38">
        <v>777.0</v>
      </c>
      <c r="E19" s="38">
        <v>384.0</v>
      </c>
      <c r="F19" s="38">
        <v>84.0</v>
      </c>
      <c r="G19" s="38">
        <v>148.0</v>
      </c>
      <c r="H19" s="38">
        <v>77.0</v>
      </c>
      <c r="I19" s="38">
        <f t="shared" si="3"/>
        <v>1245</v>
      </c>
      <c r="J19" s="38">
        <f t="shared" si="4"/>
        <v>1470</v>
      </c>
      <c r="K19" s="49">
        <f t="shared" si="5"/>
        <v>0.6240963855</v>
      </c>
      <c r="L19" s="49">
        <f t="shared" si="6"/>
        <v>0.3084337349</v>
      </c>
      <c r="M19" s="49">
        <f t="shared" si="7"/>
        <v>0.06746987952</v>
      </c>
      <c r="N19" s="32" t="str">
        <f t="shared" si="8"/>
        <v>Jânio</v>
      </c>
      <c r="O19" s="50" t="s">
        <v>77</v>
      </c>
      <c r="P19" s="38">
        <v>416.0</v>
      </c>
      <c r="Q19" s="38">
        <v>359.0</v>
      </c>
      <c r="R19" s="38">
        <v>243.0</v>
      </c>
      <c r="S19" s="38">
        <v>398.0</v>
      </c>
      <c r="T19" s="38">
        <v>54.0</v>
      </c>
      <c r="U19" s="48">
        <f t="shared" si="9"/>
        <v>1018</v>
      </c>
      <c r="V19" s="48">
        <f t="shared" si="10"/>
        <v>1470</v>
      </c>
      <c r="W19" s="49">
        <f t="shared" si="11"/>
        <v>0.4086444008</v>
      </c>
      <c r="X19" s="49">
        <f t="shared" si="12"/>
        <v>0.3526522593</v>
      </c>
      <c r="Y19" s="49">
        <f t="shared" si="13"/>
        <v>0.2387033399</v>
      </c>
      <c r="Z19" s="32" t="str">
        <f t="shared" si="14"/>
        <v>Jango</v>
      </c>
      <c r="AA19" s="50" t="s">
        <v>77</v>
      </c>
      <c r="AB19" s="48">
        <v>2284.0</v>
      </c>
      <c r="AC19" s="48">
        <f t="shared" si="15"/>
        <v>814</v>
      </c>
      <c r="AD19" s="51">
        <f t="shared" si="16"/>
        <v>0.6436077058</v>
      </c>
    </row>
    <row r="20">
      <c r="A20" s="23"/>
      <c r="B20" s="46" t="s">
        <v>151</v>
      </c>
      <c r="C20" s="47"/>
      <c r="D20" s="38">
        <v>102.0</v>
      </c>
      <c r="E20" s="38">
        <v>908.0</v>
      </c>
      <c r="F20" s="38">
        <v>29.0</v>
      </c>
      <c r="G20" s="38">
        <v>27.0</v>
      </c>
      <c r="H20" s="38">
        <v>41.0</v>
      </c>
      <c r="I20" s="38">
        <f t="shared" si="3"/>
        <v>1039</v>
      </c>
      <c r="J20" s="38">
        <f t="shared" si="4"/>
        <v>1107</v>
      </c>
      <c r="K20" s="49">
        <f t="shared" si="5"/>
        <v>0.09817131858</v>
      </c>
      <c r="L20" s="49">
        <f t="shared" si="6"/>
        <v>0.8739172281</v>
      </c>
      <c r="M20" s="49">
        <f t="shared" si="7"/>
        <v>0.02791145332</v>
      </c>
      <c r="N20" s="32" t="str">
        <f t="shared" si="8"/>
        <v>Mal. Lott</v>
      </c>
      <c r="O20" s="50" t="s">
        <v>77</v>
      </c>
      <c r="P20" s="38">
        <v>861.0</v>
      </c>
      <c r="Q20" s="38">
        <v>165.0</v>
      </c>
      <c r="R20" s="38">
        <v>13.0</v>
      </c>
      <c r="S20" s="38">
        <v>33.0</v>
      </c>
      <c r="T20" s="38">
        <v>35.0</v>
      </c>
      <c r="U20" s="48">
        <f t="shared" si="9"/>
        <v>1039</v>
      </c>
      <c r="V20" s="48">
        <f t="shared" si="10"/>
        <v>1107</v>
      </c>
      <c r="W20" s="49">
        <f t="shared" si="11"/>
        <v>0.8286814244</v>
      </c>
      <c r="X20" s="49">
        <f t="shared" si="12"/>
        <v>0.1588065448</v>
      </c>
      <c r="Y20" s="49">
        <f t="shared" si="13"/>
        <v>0.0125120308</v>
      </c>
      <c r="Z20" s="32" t="str">
        <f t="shared" si="14"/>
        <v>Jango</v>
      </c>
      <c r="AA20" s="50" t="s">
        <v>77</v>
      </c>
      <c r="AB20" s="48">
        <v>1338.0</v>
      </c>
      <c r="AC20" s="48">
        <f t="shared" si="15"/>
        <v>231</v>
      </c>
      <c r="AD20" s="51">
        <f t="shared" si="16"/>
        <v>0.8273542601</v>
      </c>
    </row>
    <row r="21">
      <c r="A21" s="23"/>
      <c r="B21" s="46" t="s">
        <v>152</v>
      </c>
      <c r="C21" s="47"/>
      <c r="D21" s="38">
        <v>1277.0</v>
      </c>
      <c r="E21" s="38">
        <v>1097.0</v>
      </c>
      <c r="F21" s="38">
        <v>263.0</v>
      </c>
      <c r="G21" s="38">
        <v>224.0</v>
      </c>
      <c r="H21" s="38">
        <v>279.0</v>
      </c>
      <c r="I21" s="38">
        <f t="shared" si="3"/>
        <v>2637</v>
      </c>
      <c r="J21" s="38">
        <f t="shared" si="4"/>
        <v>3140</v>
      </c>
      <c r="K21" s="49">
        <f t="shared" si="5"/>
        <v>0.4842624194</v>
      </c>
      <c r="L21" s="49">
        <f t="shared" si="6"/>
        <v>0.4160030338</v>
      </c>
      <c r="M21" s="49">
        <f t="shared" si="7"/>
        <v>0.09973454683</v>
      </c>
      <c r="N21" s="32" t="str">
        <f t="shared" si="8"/>
        <v>Jânio</v>
      </c>
      <c r="O21" s="50" t="s">
        <v>77</v>
      </c>
      <c r="P21" s="38">
        <v>1220.0</v>
      </c>
      <c r="Q21" s="38">
        <v>772.0</v>
      </c>
      <c r="R21" s="38">
        <v>486.0</v>
      </c>
      <c r="S21" s="38">
        <v>411.0</v>
      </c>
      <c r="T21" s="38">
        <v>251.0</v>
      </c>
      <c r="U21" s="48">
        <f t="shared" si="9"/>
        <v>2478</v>
      </c>
      <c r="V21" s="48">
        <f t="shared" si="10"/>
        <v>3140</v>
      </c>
      <c r="W21" s="49">
        <f t="shared" si="11"/>
        <v>0.4923325262</v>
      </c>
      <c r="X21" s="49">
        <f t="shared" si="12"/>
        <v>0.3115415658</v>
      </c>
      <c r="Y21" s="49">
        <f t="shared" si="13"/>
        <v>0.196125908</v>
      </c>
      <c r="Z21" s="32" t="str">
        <f t="shared" si="14"/>
        <v>Jango</v>
      </c>
      <c r="AA21" s="50" t="s">
        <v>77</v>
      </c>
      <c r="AB21" s="48">
        <v>4320.0</v>
      </c>
      <c r="AC21" s="48">
        <f t="shared" si="15"/>
        <v>1180</v>
      </c>
      <c r="AD21" s="51">
        <f t="shared" si="16"/>
        <v>0.7268518519</v>
      </c>
    </row>
    <row r="22">
      <c r="A22" s="23"/>
      <c r="B22" s="46" t="s">
        <v>153</v>
      </c>
      <c r="C22" s="47"/>
      <c r="D22" s="38">
        <v>1193.0</v>
      </c>
      <c r="E22" s="38">
        <v>1059.0</v>
      </c>
      <c r="F22" s="38">
        <v>226.0</v>
      </c>
      <c r="G22" s="38">
        <v>202.0</v>
      </c>
      <c r="H22" s="38">
        <v>131.0</v>
      </c>
      <c r="I22" s="38">
        <f t="shared" si="3"/>
        <v>2478</v>
      </c>
      <c r="J22" s="38">
        <f t="shared" si="4"/>
        <v>2811</v>
      </c>
      <c r="K22" s="49">
        <f t="shared" si="5"/>
        <v>0.4814366425</v>
      </c>
      <c r="L22" s="49">
        <f t="shared" si="6"/>
        <v>0.4273607748</v>
      </c>
      <c r="M22" s="49">
        <f t="shared" si="7"/>
        <v>0.09120258273</v>
      </c>
      <c r="N22" s="32" t="str">
        <f t="shared" si="8"/>
        <v>Jânio</v>
      </c>
      <c r="O22" s="50" t="s">
        <v>77</v>
      </c>
      <c r="P22" s="38">
        <v>1181.0</v>
      </c>
      <c r="Q22" s="38">
        <v>693.0</v>
      </c>
      <c r="R22" s="38">
        <v>347.0</v>
      </c>
      <c r="S22" s="38">
        <v>475.0</v>
      </c>
      <c r="T22" s="38">
        <v>115.0</v>
      </c>
      <c r="U22" s="48">
        <f t="shared" si="9"/>
        <v>2221</v>
      </c>
      <c r="V22" s="48">
        <f t="shared" si="10"/>
        <v>2811</v>
      </c>
      <c r="W22" s="49">
        <f t="shared" si="11"/>
        <v>0.5317424584</v>
      </c>
      <c r="X22" s="49">
        <f t="shared" si="12"/>
        <v>0.3120216119</v>
      </c>
      <c r="Y22" s="49">
        <f t="shared" si="13"/>
        <v>0.1562359298</v>
      </c>
      <c r="Z22" s="32" t="str">
        <f t="shared" si="14"/>
        <v>Jango</v>
      </c>
      <c r="AA22" s="50" t="s">
        <v>77</v>
      </c>
      <c r="AB22" s="48">
        <v>3889.0</v>
      </c>
      <c r="AC22" s="48">
        <f t="shared" si="15"/>
        <v>1078</v>
      </c>
      <c r="AD22" s="51">
        <f t="shared" si="16"/>
        <v>0.7228079198</v>
      </c>
    </row>
    <row r="23">
      <c r="A23" s="23"/>
      <c r="B23" s="46" t="s">
        <v>154</v>
      </c>
      <c r="C23" s="47"/>
      <c r="D23" s="38">
        <v>965.0</v>
      </c>
      <c r="E23" s="38">
        <v>833.0</v>
      </c>
      <c r="F23" s="38">
        <v>191.0</v>
      </c>
      <c r="G23" s="38">
        <v>136.0</v>
      </c>
      <c r="H23" s="38">
        <v>76.0</v>
      </c>
      <c r="I23" s="38">
        <f t="shared" si="3"/>
        <v>1989</v>
      </c>
      <c r="J23" s="38">
        <f t="shared" si="4"/>
        <v>2201</v>
      </c>
      <c r="K23" s="49">
        <f t="shared" si="5"/>
        <v>0.4851684263</v>
      </c>
      <c r="L23" s="49">
        <f t="shared" si="6"/>
        <v>0.4188034188</v>
      </c>
      <c r="M23" s="49">
        <f t="shared" si="7"/>
        <v>0.09602815485</v>
      </c>
      <c r="N23" s="32" t="str">
        <f t="shared" si="8"/>
        <v>Jânio</v>
      </c>
      <c r="O23" s="50" t="s">
        <v>77</v>
      </c>
      <c r="P23" s="38">
        <v>924.0</v>
      </c>
      <c r="Q23" s="38">
        <v>734.0</v>
      </c>
      <c r="R23" s="38">
        <v>129.0</v>
      </c>
      <c r="S23" s="38">
        <v>355.0</v>
      </c>
      <c r="T23" s="38">
        <v>59.0</v>
      </c>
      <c r="U23" s="48">
        <f t="shared" si="9"/>
        <v>1787</v>
      </c>
      <c r="V23" s="48">
        <f t="shared" si="10"/>
        <v>2201</v>
      </c>
      <c r="W23" s="49">
        <f t="shared" si="11"/>
        <v>0.5170677112</v>
      </c>
      <c r="X23" s="49">
        <f t="shared" si="12"/>
        <v>0.4107442641</v>
      </c>
      <c r="Y23" s="49">
        <f t="shared" si="13"/>
        <v>0.07218802462</v>
      </c>
      <c r="Z23" s="32" t="str">
        <f t="shared" si="14"/>
        <v>Jango</v>
      </c>
      <c r="AA23" s="50" t="s">
        <v>77</v>
      </c>
      <c r="AB23" s="48">
        <v>3999.0</v>
      </c>
      <c r="AC23" s="48">
        <f t="shared" si="15"/>
        <v>1798</v>
      </c>
      <c r="AD23" s="51">
        <f t="shared" si="16"/>
        <v>0.5503875969</v>
      </c>
    </row>
    <row r="24">
      <c r="A24" s="45" t="s">
        <v>75</v>
      </c>
      <c r="B24" s="46" t="s">
        <v>155</v>
      </c>
      <c r="C24" s="47"/>
      <c r="D24" s="38">
        <v>849.0</v>
      </c>
      <c r="E24" s="38">
        <v>862.0</v>
      </c>
      <c r="F24" s="38">
        <v>131.0</v>
      </c>
      <c r="G24" s="38">
        <v>152.0</v>
      </c>
      <c r="H24" s="38">
        <v>90.0</v>
      </c>
      <c r="I24" s="38">
        <f t="shared" si="3"/>
        <v>1842</v>
      </c>
      <c r="J24" s="38">
        <f t="shared" si="4"/>
        <v>2084</v>
      </c>
      <c r="K24" s="49">
        <f t="shared" si="5"/>
        <v>0.4609120521</v>
      </c>
      <c r="L24" s="49">
        <f t="shared" si="6"/>
        <v>0.4679695983</v>
      </c>
      <c r="M24" s="49">
        <f t="shared" si="7"/>
        <v>0.07111834962</v>
      </c>
      <c r="N24" s="32" t="str">
        <f t="shared" si="8"/>
        <v>Mal. Lott</v>
      </c>
      <c r="O24" s="50" t="s">
        <v>77</v>
      </c>
      <c r="P24" s="38">
        <v>913.0</v>
      </c>
      <c r="Q24" s="38">
        <v>754.0</v>
      </c>
      <c r="R24" s="38">
        <v>108.0</v>
      </c>
      <c r="S24" s="38">
        <v>233.0</v>
      </c>
      <c r="T24" s="38">
        <v>76.0</v>
      </c>
      <c r="U24" s="48">
        <f t="shared" si="9"/>
        <v>1775</v>
      </c>
      <c r="V24" s="48">
        <f t="shared" si="10"/>
        <v>2084</v>
      </c>
      <c r="W24" s="49">
        <f t="shared" si="11"/>
        <v>0.5143661972</v>
      </c>
      <c r="X24" s="49">
        <f t="shared" si="12"/>
        <v>0.4247887324</v>
      </c>
      <c r="Y24" s="49">
        <f t="shared" si="13"/>
        <v>0.06084507042</v>
      </c>
      <c r="Z24" s="32" t="str">
        <f t="shared" si="14"/>
        <v>Jango</v>
      </c>
      <c r="AA24" s="50" t="s">
        <v>77</v>
      </c>
      <c r="AB24" s="48">
        <v>2965.0</v>
      </c>
      <c r="AC24" s="48">
        <f t="shared" si="15"/>
        <v>881</v>
      </c>
      <c r="AD24" s="51">
        <f t="shared" si="16"/>
        <v>0.7028667791</v>
      </c>
    </row>
    <row r="25">
      <c r="A25" s="45" t="s">
        <v>79</v>
      </c>
      <c r="B25" s="46" t="s">
        <v>156</v>
      </c>
      <c r="C25" s="47"/>
      <c r="D25" s="38">
        <v>1214.0</v>
      </c>
      <c r="E25" s="38">
        <v>1189.0</v>
      </c>
      <c r="F25" s="38">
        <v>436.0</v>
      </c>
      <c r="G25" s="38">
        <v>191.0</v>
      </c>
      <c r="H25" s="38">
        <v>89.0</v>
      </c>
      <c r="I25" s="38">
        <f t="shared" si="3"/>
        <v>2839</v>
      </c>
      <c r="J25" s="38">
        <f t="shared" si="4"/>
        <v>3119</v>
      </c>
      <c r="K25" s="49">
        <f t="shared" si="5"/>
        <v>0.4276153575</v>
      </c>
      <c r="L25" s="49">
        <f t="shared" si="6"/>
        <v>0.4188094399</v>
      </c>
      <c r="M25" s="49">
        <f t="shared" si="7"/>
        <v>0.1535752025</v>
      </c>
      <c r="N25" s="32" t="str">
        <f t="shared" si="8"/>
        <v>Jânio</v>
      </c>
      <c r="O25" s="50" t="s">
        <v>77</v>
      </c>
      <c r="P25" s="38">
        <v>1286.0</v>
      </c>
      <c r="Q25" s="38">
        <v>792.0</v>
      </c>
      <c r="R25" s="38">
        <v>534.0</v>
      </c>
      <c r="S25" s="38">
        <v>435.0</v>
      </c>
      <c r="T25" s="38">
        <v>72.0</v>
      </c>
      <c r="U25" s="48">
        <f t="shared" si="9"/>
        <v>2612</v>
      </c>
      <c r="V25" s="48">
        <f t="shared" si="10"/>
        <v>3119</v>
      </c>
      <c r="W25" s="49">
        <f t="shared" si="11"/>
        <v>0.4923430322</v>
      </c>
      <c r="X25" s="49">
        <f t="shared" si="12"/>
        <v>0.3032159265</v>
      </c>
      <c r="Y25" s="49">
        <f t="shared" si="13"/>
        <v>0.2044410413</v>
      </c>
      <c r="Z25" s="32" t="str">
        <f t="shared" si="14"/>
        <v>Jango</v>
      </c>
      <c r="AA25" s="50" t="s">
        <v>77</v>
      </c>
      <c r="AB25" s="48">
        <v>3881.0</v>
      </c>
      <c r="AC25" s="48">
        <f t="shared" si="15"/>
        <v>762</v>
      </c>
      <c r="AD25" s="51">
        <f t="shared" si="16"/>
        <v>0.8036588508</v>
      </c>
    </row>
    <row r="26">
      <c r="A26" s="61" t="s">
        <v>85</v>
      </c>
      <c r="B26" s="46" t="s">
        <v>157</v>
      </c>
      <c r="C26" s="47"/>
      <c r="D26" s="38">
        <v>1971.0</v>
      </c>
      <c r="E26" s="38">
        <v>1368.0</v>
      </c>
      <c r="F26" s="38">
        <v>188.0</v>
      </c>
      <c r="G26" s="38">
        <v>137.0</v>
      </c>
      <c r="H26" s="38">
        <v>104.0</v>
      </c>
      <c r="I26" s="38">
        <f t="shared" si="3"/>
        <v>3527</v>
      </c>
      <c r="J26" s="38">
        <f t="shared" si="4"/>
        <v>3768</v>
      </c>
      <c r="K26" s="49">
        <f t="shared" si="5"/>
        <v>0.5588318684</v>
      </c>
      <c r="L26" s="49">
        <f t="shared" si="6"/>
        <v>0.3878650411</v>
      </c>
      <c r="M26" s="49">
        <f t="shared" si="7"/>
        <v>0.05330309045</v>
      </c>
      <c r="N26" s="32" t="str">
        <f t="shared" si="8"/>
        <v>Jânio</v>
      </c>
      <c r="O26" s="50" t="s">
        <v>77</v>
      </c>
      <c r="P26" s="38">
        <v>1418.0</v>
      </c>
      <c r="Q26" s="38">
        <v>1591.0</v>
      </c>
      <c r="R26" s="38">
        <v>322.0</v>
      </c>
      <c r="S26" s="38">
        <v>365.0</v>
      </c>
      <c r="T26" s="38">
        <v>72.0</v>
      </c>
      <c r="U26" s="48">
        <f t="shared" si="9"/>
        <v>3331</v>
      </c>
      <c r="V26" s="48">
        <f t="shared" si="10"/>
        <v>3768</v>
      </c>
      <c r="W26" s="49">
        <f t="shared" si="11"/>
        <v>0.4256979886</v>
      </c>
      <c r="X26" s="49">
        <f t="shared" si="12"/>
        <v>0.477634344</v>
      </c>
      <c r="Y26" s="49">
        <f t="shared" si="13"/>
        <v>0.09666766737</v>
      </c>
      <c r="Z26" s="32" t="str">
        <f t="shared" si="14"/>
        <v>Milton</v>
      </c>
      <c r="AA26" s="50" t="s">
        <v>77</v>
      </c>
      <c r="AB26" s="48">
        <v>4538.0</v>
      </c>
      <c r="AC26" s="48">
        <f t="shared" si="15"/>
        <v>770</v>
      </c>
      <c r="AD26" s="51">
        <f t="shared" si="16"/>
        <v>0.8303217276</v>
      </c>
    </row>
    <row r="27">
      <c r="A27" s="23"/>
      <c r="B27" s="46" t="s">
        <v>158</v>
      </c>
      <c r="C27" s="47"/>
      <c r="D27" s="38">
        <v>811.0</v>
      </c>
      <c r="E27" s="38">
        <v>450.0</v>
      </c>
      <c r="F27" s="38">
        <v>83.0</v>
      </c>
      <c r="G27" s="38">
        <v>123.0</v>
      </c>
      <c r="H27" s="38">
        <v>48.0</v>
      </c>
      <c r="I27" s="38">
        <f t="shared" si="3"/>
        <v>1344</v>
      </c>
      <c r="J27" s="38">
        <f t="shared" si="4"/>
        <v>1515</v>
      </c>
      <c r="K27" s="49">
        <f t="shared" si="5"/>
        <v>0.603422619</v>
      </c>
      <c r="L27" s="49">
        <f t="shared" si="6"/>
        <v>0.3348214286</v>
      </c>
      <c r="M27" s="49">
        <f t="shared" si="7"/>
        <v>0.06175595238</v>
      </c>
      <c r="N27" s="32" t="str">
        <f t="shared" si="8"/>
        <v>Jânio</v>
      </c>
      <c r="O27" s="50" t="s">
        <v>77</v>
      </c>
      <c r="P27" s="38">
        <v>455.0</v>
      </c>
      <c r="Q27" s="38">
        <v>556.0</v>
      </c>
      <c r="R27" s="38">
        <v>225.0</v>
      </c>
      <c r="S27" s="38">
        <v>235.0</v>
      </c>
      <c r="T27" s="38">
        <v>44.0</v>
      </c>
      <c r="U27" s="48">
        <f t="shared" si="9"/>
        <v>1236</v>
      </c>
      <c r="V27" s="48">
        <f t="shared" si="10"/>
        <v>1515</v>
      </c>
      <c r="W27" s="49">
        <f t="shared" si="11"/>
        <v>0.3681229773</v>
      </c>
      <c r="X27" s="49">
        <f t="shared" si="12"/>
        <v>0.4498381877</v>
      </c>
      <c r="Y27" s="49">
        <f t="shared" si="13"/>
        <v>0.182038835</v>
      </c>
      <c r="Z27" s="32" t="str">
        <f t="shared" si="14"/>
        <v>Milton</v>
      </c>
      <c r="AA27" s="50" t="s">
        <v>77</v>
      </c>
      <c r="AB27" s="48">
        <v>2673.0</v>
      </c>
      <c r="AC27" s="48">
        <f t="shared" si="15"/>
        <v>1158</v>
      </c>
      <c r="AD27" s="51">
        <f t="shared" si="16"/>
        <v>0.5667789001</v>
      </c>
    </row>
    <row r="28">
      <c r="A28" s="24"/>
      <c r="B28" s="46" t="s">
        <v>159</v>
      </c>
      <c r="C28" s="47"/>
      <c r="D28" s="38">
        <v>222.0</v>
      </c>
      <c r="E28" s="38">
        <v>328.0</v>
      </c>
      <c r="F28" s="38">
        <v>138.0</v>
      </c>
      <c r="G28" s="38">
        <v>23.0</v>
      </c>
      <c r="H28" s="38">
        <v>35.0</v>
      </c>
      <c r="I28" s="38">
        <f t="shared" si="3"/>
        <v>688</v>
      </c>
      <c r="J28" s="38">
        <f t="shared" si="4"/>
        <v>746</v>
      </c>
      <c r="K28" s="49">
        <f t="shared" si="5"/>
        <v>0.3226744186</v>
      </c>
      <c r="L28" s="49">
        <f t="shared" si="6"/>
        <v>0.476744186</v>
      </c>
      <c r="M28" s="49">
        <f t="shared" si="7"/>
        <v>0.2005813953</v>
      </c>
      <c r="N28" s="32" t="str">
        <f t="shared" si="8"/>
        <v>Mal. Lott</v>
      </c>
      <c r="O28" s="50" t="s">
        <v>77</v>
      </c>
      <c r="P28" s="38">
        <v>415.0</v>
      </c>
      <c r="Q28" s="38">
        <v>177.0</v>
      </c>
      <c r="R28" s="38">
        <v>89.0</v>
      </c>
      <c r="S28" s="38">
        <v>44.0</v>
      </c>
      <c r="T28" s="38">
        <v>21.0</v>
      </c>
      <c r="U28" s="48">
        <f t="shared" si="9"/>
        <v>681</v>
      </c>
      <c r="V28" s="48">
        <f t="shared" si="10"/>
        <v>746</v>
      </c>
      <c r="W28" s="49">
        <f t="shared" si="11"/>
        <v>0.6093979442</v>
      </c>
      <c r="X28" s="49">
        <f t="shared" si="12"/>
        <v>0.2599118943</v>
      </c>
      <c r="Y28" s="49">
        <f t="shared" si="13"/>
        <v>0.1306901615</v>
      </c>
      <c r="Z28" s="32" t="str">
        <f t="shared" si="14"/>
        <v>Jango</v>
      </c>
      <c r="AA28" s="50" t="s">
        <v>77</v>
      </c>
      <c r="AB28" s="48">
        <v>1275.0</v>
      </c>
      <c r="AC28" s="48">
        <f t="shared" si="15"/>
        <v>529</v>
      </c>
      <c r="AD28" s="51">
        <f t="shared" si="16"/>
        <v>0.5850980392</v>
      </c>
    </row>
    <row r="29">
      <c r="A29" s="45" t="s">
        <v>90</v>
      </c>
      <c r="B29" s="46" t="s">
        <v>160</v>
      </c>
      <c r="C29" s="47"/>
      <c r="D29" s="38">
        <v>1364.0</v>
      </c>
      <c r="E29" s="38">
        <v>1262.0</v>
      </c>
      <c r="F29" s="38">
        <v>497.0</v>
      </c>
      <c r="G29" s="38">
        <v>238.0</v>
      </c>
      <c r="H29" s="38">
        <v>132.0</v>
      </c>
      <c r="I29" s="38">
        <f t="shared" si="3"/>
        <v>3123</v>
      </c>
      <c r="J29" s="38">
        <f t="shared" si="4"/>
        <v>3493</v>
      </c>
      <c r="K29" s="49">
        <f t="shared" si="5"/>
        <v>0.4367595261</v>
      </c>
      <c r="L29" s="49">
        <f t="shared" si="6"/>
        <v>0.4040986231</v>
      </c>
      <c r="M29" s="49">
        <f t="shared" si="7"/>
        <v>0.1591418508</v>
      </c>
      <c r="N29" s="32" t="str">
        <f t="shared" si="8"/>
        <v>Jânio</v>
      </c>
      <c r="O29" s="50" t="s">
        <v>77</v>
      </c>
      <c r="P29" s="38">
        <v>1466.0</v>
      </c>
      <c r="Q29" s="38">
        <v>964.0</v>
      </c>
      <c r="R29" s="38">
        <v>482.0</v>
      </c>
      <c r="S29" s="38">
        <v>474.0</v>
      </c>
      <c r="T29" s="38">
        <v>107.0</v>
      </c>
      <c r="U29" s="48">
        <f t="shared" si="9"/>
        <v>2912</v>
      </c>
      <c r="V29" s="48">
        <f t="shared" si="10"/>
        <v>3493</v>
      </c>
      <c r="W29" s="49">
        <f t="shared" si="11"/>
        <v>0.5034340659</v>
      </c>
      <c r="X29" s="49">
        <f t="shared" si="12"/>
        <v>0.331043956</v>
      </c>
      <c r="Y29" s="49">
        <f t="shared" si="13"/>
        <v>0.165521978</v>
      </c>
      <c r="Z29" s="32" t="str">
        <f t="shared" si="14"/>
        <v>Jango</v>
      </c>
      <c r="AA29" s="50" t="s">
        <v>77</v>
      </c>
      <c r="AB29" s="48">
        <v>4895.0</v>
      </c>
      <c r="AC29" s="48">
        <f t="shared" si="15"/>
        <v>1402</v>
      </c>
      <c r="AD29" s="51">
        <f t="shared" si="16"/>
        <v>0.7135852911</v>
      </c>
    </row>
    <row r="30">
      <c r="A30" s="45" t="s">
        <v>92</v>
      </c>
      <c r="B30" s="46" t="s">
        <v>161</v>
      </c>
      <c r="C30" s="47"/>
      <c r="D30" s="38">
        <v>1804.0</v>
      </c>
      <c r="E30" s="38">
        <v>1394.0</v>
      </c>
      <c r="F30" s="38">
        <v>189.0</v>
      </c>
      <c r="G30" s="38">
        <v>226.0</v>
      </c>
      <c r="H30" s="38">
        <v>149.0</v>
      </c>
      <c r="I30" s="38">
        <f t="shared" si="3"/>
        <v>3387</v>
      </c>
      <c r="J30" s="38">
        <f t="shared" si="4"/>
        <v>3762</v>
      </c>
      <c r="K30" s="49">
        <f t="shared" si="5"/>
        <v>0.5326247417</v>
      </c>
      <c r="L30" s="49">
        <f t="shared" si="6"/>
        <v>0.411573664</v>
      </c>
      <c r="M30" s="49">
        <f t="shared" si="7"/>
        <v>0.05580159433</v>
      </c>
      <c r="N30" s="32" t="str">
        <f t="shared" si="8"/>
        <v>Jânio</v>
      </c>
      <c r="O30" s="50" t="s">
        <v>77</v>
      </c>
      <c r="P30" s="38">
        <v>1434.0</v>
      </c>
      <c r="Q30" s="38">
        <v>1394.0</v>
      </c>
      <c r="R30" s="38">
        <v>211.0</v>
      </c>
      <c r="S30" s="38">
        <v>618.0</v>
      </c>
      <c r="T30" s="38">
        <v>105.0</v>
      </c>
      <c r="U30" s="48">
        <f t="shared" si="9"/>
        <v>3039</v>
      </c>
      <c r="V30" s="48">
        <f t="shared" si="10"/>
        <v>3762</v>
      </c>
      <c r="W30" s="49">
        <f t="shared" si="11"/>
        <v>0.4718657453</v>
      </c>
      <c r="X30" s="49">
        <f t="shared" si="12"/>
        <v>0.4587035209</v>
      </c>
      <c r="Y30" s="49">
        <f t="shared" si="13"/>
        <v>0.06943073379</v>
      </c>
      <c r="Z30" s="32" t="str">
        <f t="shared" si="14"/>
        <v>Jango</v>
      </c>
      <c r="AA30" s="50" t="s">
        <v>77</v>
      </c>
      <c r="AB30" s="48">
        <v>5688.0</v>
      </c>
      <c r="AC30" s="48">
        <f t="shared" si="15"/>
        <v>1926</v>
      </c>
      <c r="AD30" s="51">
        <f t="shared" si="16"/>
        <v>0.6613924051</v>
      </c>
    </row>
    <row r="31">
      <c r="A31" s="45" t="s">
        <v>94</v>
      </c>
      <c r="B31" s="46" t="s">
        <v>162</v>
      </c>
      <c r="C31" s="47"/>
      <c r="D31" s="38">
        <v>2275.0</v>
      </c>
      <c r="E31" s="38">
        <v>2524.0</v>
      </c>
      <c r="F31" s="38">
        <v>246.0</v>
      </c>
      <c r="G31" s="38">
        <v>337.0</v>
      </c>
      <c r="H31" s="38">
        <v>140.0</v>
      </c>
      <c r="I31" s="38">
        <f t="shared" si="3"/>
        <v>5045</v>
      </c>
      <c r="J31" s="38">
        <f t="shared" si="4"/>
        <v>5522</v>
      </c>
      <c r="K31" s="49">
        <f t="shared" si="5"/>
        <v>0.4509415263</v>
      </c>
      <c r="L31" s="49">
        <f t="shared" si="6"/>
        <v>0.5002973241</v>
      </c>
      <c r="M31" s="49">
        <f t="shared" si="7"/>
        <v>0.04876114965</v>
      </c>
      <c r="N31" s="32" t="str">
        <f t="shared" si="8"/>
        <v>Mal. Lott</v>
      </c>
      <c r="O31" s="50" t="s">
        <v>77</v>
      </c>
      <c r="P31" s="38">
        <v>2725.0</v>
      </c>
      <c r="Q31" s="38">
        <v>1507.0</v>
      </c>
      <c r="R31" s="38">
        <v>484.0</v>
      </c>
      <c r="S31" s="38">
        <v>686.0</v>
      </c>
      <c r="T31" s="38">
        <v>120.0</v>
      </c>
      <c r="U31" s="48">
        <f t="shared" si="9"/>
        <v>4716</v>
      </c>
      <c r="V31" s="48">
        <f t="shared" si="10"/>
        <v>5522</v>
      </c>
      <c r="W31" s="49">
        <f t="shared" si="11"/>
        <v>0.5778201866</v>
      </c>
      <c r="X31" s="49">
        <f t="shared" si="12"/>
        <v>0.3195504665</v>
      </c>
      <c r="Y31" s="49">
        <f t="shared" si="13"/>
        <v>0.1026293469</v>
      </c>
      <c r="Z31" s="32" t="str">
        <f t="shared" si="14"/>
        <v>Jango</v>
      </c>
      <c r="AA31" s="50" t="s">
        <v>77</v>
      </c>
      <c r="AB31" s="48">
        <v>7034.0</v>
      </c>
      <c r="AC31" s="48">
        <f t="shared" si="15"/>
        <v>1512</v>
      </c>
      <c r="AD31" s="51">
        <f t="shared" si="16"/>
        <v>0.7850440717</v>
      </c>
    </row>
    <row r="32">
      <c r="A32" s="61" t="s">
        <v>97</v>
      </c>
      <c r="B32" s="78" t="s">
        <v>163</v>
      </c>
      <c r="C32" s="79"/>
      <c r="D32" s="38">
        <v>1611.0</v>
      </c>
      <c r="E32" s="38">
        <v>1949.0</v>
      </c>
      <c r="F32" s="38">
        <v>294.0</v>
      </c>
      <c r="G32" s="38">
        <v>272.0</v>
      </c>
      <c r="H32" s="38">
        <v>200.0</v>
      </c>
      <c r="I32" s="38">
        <f t="shared" si="3"/>
        <v>3854</v>
      </c>
      <c r="J32" s="38">
        <f t="shared" si="4"/>
        <v>4326</v>
      </c>
      <c r="K32" s="80">
        <f t="shared" si="5"/>
        <v>0.4180072652</v>
      </c>
      <c r="L32" s="80">
        <f t="shared" si="6"/>
        <v>0.505708355</v>
      </c>
      <c r="M32" s="80">
        <f t="shared" si="7"/>
        <v>0.07628437987</v>
      </c>
      <c r="N32" s="81" t="str">
        <f t="shared" si="8"/>
        <v>Mal. Lott</v>
      </c>
      <c r="O32" s="50" t="s">
        <v>77</v>
      </c>
      <c r="P32" s="38">
        <v>2159.0</v>
      </c>
      <c r="Q32" s="38">
        <v>1052.0</v>
      </c>
      <c r="R32" s="38">
        <v>395.0</v>
      </c>
      <c r="S32" s="38">
        <v>583.0</v>
      </c>
      <c r="T32" s="38">
        <v>137.0</v>
      </c>
      <c r="U32" s="71">
        <f t="shared" si="9"/>
        <v>3606</v>
      </c>
      <c r="V32" s="71">
        <f t="shared" si="10"/>
        <v>4326</v>
      </c>
      <c r="W32" s="80">
        <f t="shared" si="11"/>
        <v>0.5987243483</v>
      </c>
      <c r="X32" s="80">
        <f t="shared" si="12"/>
        <v>0.2917359956</v>
      </c>
      <c r="Y32" s="80">
        <f t="shared" si="13"/>
        <v>0.1095396561</v>
      </c>
      <c r="Z32" s="81" t="str">
        <f t="shared" si="14"/>
        <v>Jango</v>
      </c>
      <c r="AA32" s="50" t="s">
        <v>77</v>
      </c>
      <c r="AB32" s="48">
        <v>5619.0</v>
      </c>
      <c r="AC32" s="48">
        <f t="shared" si="15"/>
        <v>1293</v>
      </c>
      <c r="AD32" s="82">
        <f t="shared" si="16"/>
        <v>0.7698878804</v>
      </c>
      <c r="AE32" s="83"/>
    </row>
    <row r="33">
      <c r="A33" s="24"/>
      <c r="B33" s="78" t="s">
        <v>164</v>
      </c>
      <c r="C33" s="79"/>
      <c r="D33" s="38">
        <v>1026.0</v>
      </c>
      <c r="E33" s="38">
        <v>1174.0</v>
      </c>
      <c r="F33" s="38">
        <v>178.0</v>
      </c>
      <c r="G33" s="38">
        <v>91.0</v>
      </c>
      <c r="H33" s="38">
        <v>79.0</v>
      </c>
      <c r="I33" s="38">
        <f t="shared" si="3"/>
        <v>2378</v>
      </c>
      <c r="J33" s="38">
        <f t="shared" si="4"/>
        <v>2548</v>
      </c>
      <c r="K33" s="80">
        <f t="shared" si="5"/>
        <v>0.4314550042</v>
      </c>
      <c r="L33" s="80">
        <f t="shared" si="6"/>
        <v>0.4936921783</v>
      </c>
      <c r="M33" s="80">
        <f t="shared" si="7"/>
        <v>0.07485281749</v>
      </c>
      <c r="N33" s="81" t="str">
        <f t="shared" si="8"/>
        <v>Mal. Lott</v>
      </c>
      <c r="O33" s="50" t="s">
        <v>77</v>
      </c>
      <c r="P33" s="38">
        <v>1236.0</v>
      </c>
      <c r="Q33" s="38">
        <v>995.0</v>
      </c>
      <c r="R33" s="38">
        <v>89.0</v>
      </c>
      <c r="S33" s="38">
        <v>149.0</v>
      </c>
      <c r="T33" s="38">
        <v>79.0</v>
      </c>
      <c r="U33" s="71">
        <f t="shared" si="9"/>
        <v>2320</v>
      </c>
      <c r="V33" s="71">
        <f t="shared" si="10"/>
        <v>2548</v>
      </c>
      <c r="W33" s="80">
        <f t="shared" si="11"/>
        <v>0.5327586207</v>
      </c>
      <c r="X33" s="80">
        <f t="shared" si="12"/>
        <v>0.4288793103</v>
      </c>
      <c r="Y33" s="80">
        <f t="shared" si="13"/>
        <v>0.03836206897</v>
      </c>
      <c r="Z33" s="81" t="str">
        <f t="shared" si="14"/>
        <v>Jango</v>
      </c>
      <c r="AA33" s="50" t="s">
        <v>77</v>
      </c>
      <c r="AB33" s="48">
        <v>3032.0</v>
      </c>
      <c r="AC33" s="48">
        <f t="shared" si="15"/>
        <v>484</v>
      </c>
      <c r="AD33" s="82">
        <f t="shared" si="16"/>
        <v>0.8403693931</v>
      </c>
      <c r="AE33" s="83"/>
    </row>
    <row r="34">
      <c r="A34" s="45" t="s">
        <v>99</v>
      </c>
      <c r="B34" s="78" t="s">
        <v>165</v>
      </c>
      <c r="C34" s="79"/>
      <c r="D34" s="38">
        <v>1562.0</v>
      </c>
      <c r="E34" s="38">
        <v>2565.0</v>
      </c>
      <c r="F34" s="38">
        <v>214.0</v>
      </c>
      <c r="G34" s="38">
        <v>309.0</v>
      </c>
      <c r="H34" s="38">
        <v>150.0</v>
      </c>
      <c r="I34" s="38">
        <f t="shared" si="3"/>
        <v>4341</v>
      </c>
      <c r="J34" s="38">
        <f t="shared" si="4"/>
        <v>4800</v>
      </c>
      <c r="K34" s="80">
        <f t="shared" si="5"/>
        <v>0.3598249251</v>
      </c>
      <c r="L34" s="80">
        <f t="shared" si="6"/>
        <v>0.590877678</v>
      </c>
      <c r="M34" s="80">
        <f t="shared" si="7"/>
        <v>0.04929739691</v>
      </c>
      <c r="N34" s="81" t="str">
        <f t="shared" si="8"/>
        <v>Mal. Lott</v>
      </c>
      <c r="O34" s="50" t="s">
        <v>77</v>
      </c>
      <c r="P34" s="38">
        <v>2528.0</v>
      </c>
      <c r="Q34" s="38">
        <v>1211.0</v>
      </c>
      <c r="R34" s="38">
        <v>333.0</v>
      </c>
      <c r="S34" s="38">
        <v>559.0</v>
      </c>
      <c r="T34" s="38">
        <v>169.0</v>
      </c>
      <c r="U34" s="71">
        <f t="shared" si="9"/>
        <v>4072</v>
      </c>
      <c r="V34" s="71">
        <f t="shared" si="10"/>
        <v>4800</v>
      </c>
      <c r="W34" s="80">
        <f t="shared" si="11"/>
        <v>0.6208251473</v>
      </c>
      <c r="X34" s="80">
        <f t="shared" si="12"/>
        <v>0.2973968566</v>
      </c>
      <c r="Y34" s="80">
        <f t="shared" si="13"/>
        <v>0.08177799607</v>
      </c>
      <c r="Z34" s="81" t="str">
        <f t="shared" si="14"/>
        <v>Jango</v>
      </c>
      <c r="AA34" s="50" t="s">
        <v>77</v>
      </c>
      <c r="AB34" s="48">
        <v>6112.0</v>
      </c>
      <c r="AC34" s="48">
        <f t="shared" si="15"/>
        <v>1312</v>
      </c>
      <c r="AD34" s="82">
        <f t="shared" si="16"/>
        <v>0.7853403141</v>
      </c>
      <c r="AE34" s="83"/>
    </row>
    <row r="35">
      <c r="A35" s="61" t="s">
        <v>104</v>
      </c>
      <c r="B35" s="78" t="s">
        <v>166</v>
      </c>
      <c r="C35" s="79"/>
      <c r="D35" s="38">
        <v>398.0</v>
      </c>
      <c r="E35" s="38">
        <v>1350.0</v>
      </c>
      <c r="F35" s="38">
        <v>73.0</v>
      </c>
      <c r="G35" s="38">
        <v>54.0</v>
      </c>
      <c r="H35" s="38">
        <v>75.0</v>
      </c>
      <c r="I35" s="38">
        <f t="shared" si="3"/>
        <v>1821</v>
      </c>
      <c r="J35" s="38">
        <f t="shared" si="4"/>
        <v>1950</v>
      </c>
      <c r="K35" s="80">
        <f t="shared" si="5"/>
        <v>0.2185612301</v>
      </c>
      <c r="L35" s="80">
        <f t="shared" si="6"/>
        <v>0.7413509061</v>
      </c>
      <c r="M35" s="80">
        <f t="shared" si="7"/>
        <v>0.04008786381</v>
      </c>
      <c r="N35" s="81" t="str">
        <f t="shared" si="8"/>
        <v>Mal. Lott</v>
      </c>
      <c r="O35" s="50" t="s">
        <v>77</v>
      </c>
      <c r="P35" s="38">
        <v>1422.0</v>
      </c>
      <c r="Q35" s="38">
        <v>240.0</v>
      </c>
      <c r="R35" s="38">
        <v>121.0</v>
      </c>
      <c r="S35" s="38">
        <v>111.0</v>
      </c>
      <c r="T35" s="38">
        <v>56.0</v>
      </c>
      <c r="U35" s="71">
        <f t="shared" si="9"/>
        <v>1783</v>
      </c>
      <c r="V35" s="71">
        <f t="shared" si="10"/>
        <v>1950</v>
      </c>
      <c r="W35" s="80">
        <f t="shared" si="11"/>
        <v>0.797532249</v>
      </c>
      <c r="X35" s="80">
        <f t="shared" si="12"/>
        <v>0.134604599</v>
      </c>
      <c r="Y35" s="80">
        <f t="shared" si="13"/>
        <v>0.06786315199</v>
      </c>
      <c r="Z35" s="81" t="str">
        <f t="shared" si="14"/>
        <v>Jango</v>
      </c>
      <c r="AA35" s="50" t="s">
        <v>77</v>
      </c>
      <c r="AB35" s="48">
        <v>2623.0</v>
      </c>
      <c r="AC35" s="48">
        <f t="shared" si="15"/>
        <v>673</v>
      </c>
      <c r="AD35" s="82">
        <f t="shared" si="16"/>
        <v>0.7434235608</v>
      </c>
      <c r="AE35" s="83"/>
    </row>
    <row r="36">
      <c r="A36" s="24"/>
      <c r="B36" s="78" t="s">
        <v>167</v>
      </c>
      <c r="C36" s="79"/>
      <c r="D36" s="38">
        <v>651.0</v>
      </c>
      <c r="E36" s="38">
        <v>630.0</v>
      </c>
      <c r="F36" s="38">
        <v>82.0</v>
      </c>
      <c r="G36" s="38">
        <v>81.0</v>
      </c>
      <c r="H36" s="38">
        <v>149.0</v>
      </c>
      <c r="I36" s="38">
        <f t="shared" si="3"/>
        <v>1363</v>
      </c>
      <c r="J36" s="38">
        <f t="shared" si="4"/>
        <v>1593</v>
      </c>
      <c r="K36" s="80">
        <f t="shared" si="5"/>
        <v>0.4776228907</v>
      </c>
      <c r="L36" s="80">
        <f t="shared" si="6"/>
        <v>0.4622157007</v>
      </c>
      <c r="M36" s="80">
        <f t="shared" si="7"/>
        <v>0.06016140866</v>
      </c>
      <c r="N36" s="81" t="str">
        <f t="shared" si="8"/>
        <v>Jânio</v>
      </c>
      <c r="O36" s="50" t="s">
        <v>77</v>
      </c>
      <c r="P36" s="38">
        <v>690.0</v>
      </c>
      <c r="Q36" s="38">
        <v>428.0</v>
      </c>
      <c r="R36" s="38">
        <v>138.0</v>
      </c>
      <c r="S36" s="38">
        <v>204.0</v>
      </c>
      <c r="T36" s="38">
        <v>133.0</v>
      </c>
      <c r="U36" s="71">
        <f t="shared" si="9"/>
        <v>1256</v>
      </c>
      <c r="V36" s="71">
        <f t="shared" si="10"/>
        <v>1593</v>
      </c>
      <c r="W36" s="80">
        <f t="shared" si="11"/>
        <v>0.5493630573</v>
      </c>
      <c r="X36" s="80">
        <f t="shared" si="12"/>
        <v>0.3407643312</v>
      </c>
      <c r="Y36" s="80">
        <f t="shared" si="13"/>
        <v>0.1098726115</v>
      </c>
      <c r="Z36" s="81" t="str">
        <f t="shared" si="14"/>
        <v>Jango</v>
      </c>
      <c r="AA36" s="50" t="s">
        <v>77</v>
      </c>
      <c r="AB36" s="48">
        <v>2209.0</v>
      </c>
      <c r="AC36" s="48">
        <f t="shared" si="15"/>
        <v>616</v>
      </c>
      <c r="AD36" s="82">
        <f t="shared" si="16"/>
        <v>0.7211407877</v>
      </c>
      <c r="AE36" s="83"/>
    </row>
    <row r="37">
      <c r="A37" s="61" t="s">
        <v>107</v>
      </c>
      <c r="B37" s="78" t="s">
        <v>168</v>
      </c>
      <c r="C37" s="79"/>
      <c r="D37" s="38">
        <v>1583.0</v>
      </c>
      <c r="E37" s="38">
        <v>1588.0</v>
      </c>
      <c r="F37" s="38">
        <v>433.0</v>
      </c>
      <c r="G37" s="38">
        <v>215.0</v>
      </c>
      <c r="H37" s="38">
        <v>128.0</v>
      </c>
      <c r="I37" s="38">
        <f t="shared" si="3"/>
        <v>3604</v>
      </c>
      <c r="J37" s="38">
        <f t="shared" si="4"/>
        <v>3947</v>
      </c>
      <c r="K37" s="80">
        <f t="shared" si="5"/>
        <v>0.4392341842</v>
      </c>
      <c r="L37" s="80">
        <f t="shared" si="6"/>
        <v>0.4406215316</v>
      </c>
      <c r="M37" s="80">
        <f t="shared" si="7"/>
        <v>0.1201442841</v>
      </c>
      <c r="N37" s="81" t="str">
        <f t="shared" si="8"/>
        <v>Mal. Lott</v>
      </c>
      <c r="O37" s="50" t="s">
        <v>77</v>
      </c>
      <c r="P37" s="38">
        <v>1725.0</v>
      </c>
      <c r="Q37" s="38">
        <v>922.0</v>
      </c>
      <c r="R37" s="38">
        <v>695.0</v>
      </c>
      <c r="S37" s="38">
        <v>487.0</v>
      </c>
      <c r="T37" s="38">
        <v>118.0</v>
      </c>
      <c r="U37" s="71">
        <f t="shared" si="9"/>
        <v>3342</v>
      </c>
      <c r="V37" s="71">
        <f t="shared" si="10"/>
        <v>3947</v>
      </c>
      <c r="W37" s="80">
        <f t="shared" si="11"/>
        <v>0.5161579892</v>
      </c>
      <c r="X37" s="80">
        <f t="shared" si="12"/>
        <v>0.275882705</v>
      </c>
      <c r="Y37" s="80">
        <f t="shared" si="13"/>
        <v>0.2079593058</v>
      </c>
      <c r="Z37" s="81" t="str">
        <f t="shared" si="14"/>
        <v>Jango</v>
      </c>
      <c r="AA37" s="50" t="s">
        <v>77</v>
      </c>
      <c r="AB37" s="48">
        <v>5780.0</v>
      </c>
      <c r="AC37" s="48">
        <f t="shared" si="15"/>
        <v>1833</v>
      </c>
      <c r="AD37" s="82">
        <f t="shared" si="16"/>
        <v>0.6828719723</v>
      </c>
      <c r="AE37" s="83"/>
    </row>
    <row r="38">
      <c r="A38" s="23"/>
      <c r="B38" s="78" t="s">
        <v>169</v>
      </c>
      <c r="C38" s="79"/>
      <c r="D38" s="38">
        <v>973.0</v>
      </c>
      <c r="E38" s="38">
        <v>955.0</v>
      </c>
      <c r="F38" s="38">
        <v>341.0</v>
      </c>
      <c r="G38" s="38">
        <v>153.0</v>
      </c>
      <c r="H38" s="38">
        <v>59.0</v>
      </c>
      <c r="I38" s="38">
        <f t="shared" si="3"/>
        <v>2269</v>
      </c>
      <c r="J38" s="38">
        <f t="shared" si="4"/>
        <v>2481</v>
      </c>
      <c r="K38" s="80">
        <f t="shared" si="5"/>
        <v>0.4288232702</v>
      </c>
      <c r="L38" s="80">
        <f t="shared" si="6"/>
        <v>0.42089026</v>
      </c>
      <c r="M38" s="80">
        <f t="shared" si="7"/>
        <v>0.1502864698</v>
      </c>
      <c r="N38" s="81" t="str">
        <f t="shared" si="8"/>
        <v>Jânio</v>
      </c>
      <c r="O38" s="50" t="s">
        <v>77</v>
      </c>
      <c r="P38" s="38">
        <v>956.0</v>
      </c>
      <c r="Q38" s="38">
        <v>585.0</v>
      </c>
      <c r="R38" s="38">
        <v>298.0</v>
      </c>
      <c r="S38" s="38">
        <v>611.0</v>
      </c>
      <c r="T38" s="38">
        <v>31.0</v>
      </c>
      <c r="U38" s="71">
        <f t="shared" si="9"/>
        <v>1839</v>
      </c>
      <c r="V38" s="71">
        <f t="shared" si="10"/>
        <v>2481</v>
      </c>
      <c r="W38" s="80">
        <f t="shared" si="11"/>
        <v>0.5198477433</v>
      </c>
      <c r="X38" s="80">
        <f t="shared" si="12"/>
        <v>0.3181076672</v>
      </c>
      <c r="Y38" s="80">
        <f t="shared" si="13"/>
        <v>0.1620445895</v>
      </c>
      <c r="Z38" s="81" t="str">
        <f t="shared" si="14"/>
        <v>Jango</v>
      </c>
      <c r="AA38" s="50" t="s">
        <v>77</v>
      </c>
      <c r="AB38" s="48">
        <v>3722.0</v>
      </c>
      <c r="AC38" s="48">
        <f t="shared" si="15"/>
        <v>1241</v>
      </c>
      <c r="AD38" s="82">
        <f t="shared" si="16"/>
        <v>0.6665771091</v>
      </c>
      <c r="AE38" s="83"/>
    </row>
    <row r="39">
      <c r="A39" s="24"/>
      <c r="B39" s="78" t="s">
        <v>170</v>
      </c>
      <c r="C39" s="79"/>
      <c r="D39" s="38">
        <v>601.0</v>
      </c>
      <c r="E39" s="38">
        <v>434.0</v>
      </c>
      <c r="F39" s="38">
        <v>95.0</v>
      </c>
      <c r="G39" s="38">
        <v>126.0</v>
      </c>
      <c r="H39" s="38">
        <v>47.0</v>
      </c>
      <c r="I39" s="38">
        <f t="shared" si="3"/>
        <v>1130</v>
      </c>
      <c r="J39" s="38">
        <f t="shared" si="4"/>
        <v>1303</v>
      </c>
      <c r="K39" s="80">
        <f t="shared" si="5"/>
        <v>0.5318584071</v>
      </c>
      <c r="L39" s="80">
        <f t="shared" si="6"/>
        <v>0.3840707965</v>
      </c>
      <c r="M39" s="80">
        <f t="shared" si="7"/>
        <v>0.08407079646</v>
      </c>
      <c r="N39" s="81" t="str">
        <f t="shared" si="8"/>
        <v>Jânio</v>
      </c>
      <c r="O39" s="50" t="s">
        <v>77</v>
      </c>
      <c r="P39" s="38">
        <v>480.0</v>
      </c>
      <c r="Q39" s="38">
        <v>402.0</v>
      </c>
      <c r="R39" s="38">
        <v>172.0</v>
      </c>
      <c r="S39" s="38">
        <v>226.0</v>
      </c>
      <c r="T39" s="38">
        <v>23.0</v>
      </c>
      <c r="U39" s="71">
        <f t="shared" si="9"/>
        <v>1054</v>
      </c>
      <c r="V39" s="71">
        <f t="shared" si="10"/>
        <v>1303</v>
      </c>
      <c r="W39" s="80">
        <f t="shared" si="11"/>
        <v>0.4554079696</v>
      </c>
      <c r="X39" s="80">
        <f t="shared" si="12"/>
        <v>0.3814041746</v>
      </c>
      <c r="Y39" s="80">
        <f t="shared" si="13"/>
        <v>0.1631878558</v>
      </c>
      <c r="Z39" s="81" t="str">
        <f t="shared" si="14"/>
        <v>Jango</v>
      </c>
      <c r="AA39" s="50" t="s">
        <v>77</v>
      </c>
      <c r="AB39" s="48">
        <v>2499.0</v>
      </c>
      <c r="AC39" s="48">
        <f t="shared" si="15"/>
        <v>1196</v>
      </c>
      <c r="AD39" s="82">
        <f t="shared" si="16"/>
        <v>0.5214085634</v>
      </c>
      <c r="AE39" s="83"/>
    </row>
    <row r="40">
      <c r="A40" s="61" t="s">
        <v>111</v>
      </c>
      <c r="B40" s="78" t="s">
        <v>171</v>
      </c>
      <c r="C40" s="79"/>
      <c r="D40" s="38">
        <v>3457.0</v>
      </c>
      <c r="E40" s="38">
        <v>2332.0</v>
      </c>
      <c r="F40" s="38">
        <v>513.0</v>
      </c>
      <c r="G40" s="38">
        <v>447.0</v>
      </c>
      <c r="H40" s="38">
        <v>343.0</v>
      </c>
      <c r="I40" s="38">
        <f t="shared" si="3"/>
        <v>6302</v>
      </c>
      <c r="J40" s="38">
        <f t="shared" si="4"/>
        <v>7092</v>
      </c>
      <c r="K40" s="80">
        <f t="shared" si="5"/>
        <v>0.548556014</v>
      </c>
      <c r="L40" s="80">
        <f t="shared" si="6"/>
        <v>0.3700412567</v>
      </c>
      <c r="M40" s="80">
        <f t="shared" si="7"/>
        <v>0.08140272929</v>
      </c>
      <c r="N40" s="81" t="str">
        <f t="shared" si="8"/>
        <v>Jânio</v>
      </c>
      <c r="O40" s="50" t="s">
        <v>77</v>
      </c>
      <c r="P40" s="38">
        <v>2771.0</v>
      </c>
      <c r="Q40" s="38">
        <v>1823.0</v>
      </c>
      <c r="R40" s="38">
        <v>1004.0</v>
      </c>
      <c r="S40" s="38">
        <v>1285.0</v>
      </c>
      <c r="T40" s="38">
        <v>209.0</v>
      </c>
      <c r="U40" s="71">
        <f t="shared" si="9"/>
        <v>5598</v>
      </c>
      <c r="V40" s="71">
        <f t="shared" si="10"/>
        <v>7092</v>
      </c>
      <c r="W40" s="80">
        <f t="shared" si="11"/>
        <v>0.4949982136</v>
      </c>
      <c r="X40" s="80">
        <f t="shared" si="12"/>
        <v>0.3256520186</v>
      </c>
      <c r="Y40" s="80">
        <f t="shared" si="13"/>
        <v>0.1793497678</v>
      </c>
      <c r="Z40" s="81" t="str">
        <f t="shared" si="14"/>
        <v>Jango</v>
      </c>
      <c r="AA40" s="50" t="s">
        <v>77</v>
      </c>
      <c r="AB40" s="48">
        <v>11708.0</v>
      </c>
      <c r="AC40" s="48">
        <f t="shared" si="15"/>
        <v>4616</v>
      </c>
      <c r="AD40" s="82">
        <f t="shared" si="16"/>
        <v>0.6057396652</v>
      </c>
      <c r="AE40" s="83"/>
    </row>
    <row r="41">
      <c r="A41" s="24"/>
      <c r="B41" s="78" t="s">
        <v>172</v>
      </c>
      <c r="C41" s="79"/>
      <c r="D41" s="38">
        <v>532.0</v>
      </c>
      <c r="E41" s="38">
        <v>495.0</v>
      </c>
      <c r="F41" s="38">
        <v>142.0</v>
      </c>
      <c r="G41" s="38">
        <v>127.0</v>
      </c>
      <c r="H41" s="38">
        <v>55.0</v>
      </c>
      <c r="I41" s="38">
        <f t="shared" si="3"/>
        <v>1169</v>
      </c>
      <c r="J41" s="38">
        <f t="shared" si="4"/>
        <v>1351</v>
      </c>
      <c r="K41" s="80">
        <f t="shared" si="5"/>
        <v>0.4550898204</v>
      </c>
      <c r="L41" s="80">
        <f t="shared" si="6"/>
        <v>0.4234388366</v>
      </c>
      <c r="M41" s="80">
        <f t="shared" si="7"/>
        <v>0.121471343</v>
      </c>
      <c r="N41" s="81" t="str">
        <f t="shared" si="8"/>
        <v>Jânio</v>
      </c>
      <c r="O41" s="50" t="s">
        <v>77</v>
      </c>
      <c r="P41" s="38">
        <v>559.0</v>
      </c>
      <c r="Q41" s="38">
        <v>244.0</v>
      </c>
      <c r="R41" s="38">
        <v>228.0</v>
      </c>
      <c r="S41" s="38">
        <v>283.0</v>
      </c>
      <c r="T41" s="38">
        <v>37.0</v>
      </c>
      <c r="U41" s="71">
        <f t="shared" si="9"/>
        <v>1031</v>
      </c>
      <c r="V41" s="71">
        <f t="shared" si="10"/>
        <v>1351</v>
      </c>
      <c r="W41" s="80">
        <f t="shared" si="11"/>
        <v>0.5421920466</v>
      </c>
      <c r="X41" s="80">
        <f t="shared" si="12"/>
        <v>0.2366634336</v>
      </c>
      <c r="Y41" s="80">
        <f t="shared" si="13"/>
        <v>0.2211445199</v>
      </c>
      <c r="Z41" s="81" t="str">
        <f t="shared" si="14"/>
        <v>Jango</v>
      </c>
      <c r="AA41" s="50" t="s">
        <v>77</v>
      </c>
      <c r="AB41" s="48">
        <v>2502.0</v>
      </c>
      <c r="AC41" s="48">
        <f t="shared" si="15"/>
        <v>1151</v>
      </c>
      <c r="AD41" s="82">
        <f t="shared" si="16"/>
        <v>0.5399680256</v>
      </c>
      <c r="AE41" s="83"/>
    </row>
    <row r="42">
      <c r="A42" s="45" t="s">
        <v>114</v>
      </c>
      <c r="B42" s="78" t="s">
        <v>173</v>
      </c>
      <c r="C42" s="79"/>
      <c r="D42" s="38">
        <v>3602.0</v>
      </c>
      <c r="E42" s="38">
        <v>3960.0</v>
      </c>
      <c r="F42" s="38">
        <v>1669.0</v>
      </c>
      <c r="G42" s="38">
        <v>639.0</v>
      </c>
      <c r="H42" s="38">
        <v>283.0</v>
      </c>
      <c r="I42" s="38">
        <f t="shared" si="3"/>
        <v>9231</v>
      </c>
      <c r="J42" s="38">
        <f t="shared" si="4"/>
        <v>10153</v>
      </c>
      <c r="K42" s="80">
        <f t="shared" si="5"/>
        <v>0.3902069115</v>
      </c>
      <c r="L42" s="80">
        <f t="shared" si="6"/>
        <v>0.4289892753</v>
      </c>
      <c r="M42" s="80">
        <f t="shared" si="7"/>
        <v>0.1808038132</v>
      </c>
      <c r="N42" s="81" t="str">
        <f t="shared" si="8"/>
        <v>Mal. Lott</v>
      </c>
      <c r="O42" s="50" t="s">
        <v>77</v>
      </c>
      <c r="P42" s="38">
        <v>4284.0</v>
      </c>
      <c r="Q42" s="38">
        <v>1743.0</v>
      </c>
      <c r="R42" s="38">
        <v>2358.0</v>
      </c>
      <c r="S42" s="38">
        <v>1586.0</v>
      </c>
      <c r="T42" s="38">
        <v>182.0</v>
      </c>
      <c r="U42" s="71">
        <f t="shared" si="9"/>
        <v>8385</v>
      </c>
      <c r="V42" s="71">
        <f t="shared" si="10"/>
        <v>10153</v>
      </c>
      <c r="W42" s="80">
        <f t="shared" si="11"/>
        <v>0.5109123435</v>
      </c>
      <c r="X42" s="80">
        <f t="shared" si="12"/>
        <v>0.2078711986</v>
      </c>
      <c r="Y42" s="80">
        <f t="shared" si="13"/>
        <v>0.281216458</v>
      </c>
      <c r="Z42" s="81" t="str">
        <f t="shared" si="14"/>
        <v>Jango</v>
      </c>
      <c r="AA42" s="50" t="s">
        <v>77</v>
      </c>
      <c r="AB42" s="48">
        <v>14325.0</v>
      </c>
      <c r="AC42" s="48">
        <f t="shared" si="15"/>
        <v>4172</v>
      </c>
      <c r="AD42" s="82">
        <f t="shared" si="16"/>
        <v>0.7087609075</v>
      </c>
      <c r="AE42" s="83"/>
    </row>
    <row r="43">
      <c r="A43" s="45" t="s">
        <v>117</v>
      </c>
      <c r="B43" s="78" t="s">
        <v>174</v>
      </c>
      <c r="C43" s="79"/>
      <c r="D43" s="38">
        <v>597.0</v>
      </c>
      <c r="E43" s="38">
        <v>948.0</v>
      </c>
      <c r="F43" s="38">
        <v>819.0</v>
      </c>
      <c r="G43" s="38">
        <v>210.0</v>
      </c>
      <c r="H43" s="38">
        <v>4.0</v>
      </c>
      <c r="I43" s="38">
        <f t="shared" si="3"/>
        <v>2364</v>
      </c>
      <c r="J43" s="38">
        <f t="shared" si="4"/>
        <v>2578</v>
      </c>
      <c r="K43" s="80">
        <f t="shared" si="5"/>
        <v>0.2525380711</v>
      </c>
      <c r="L43" s="80">
        <f t="shared" si="6"/>
        <v>0.4010152284</v>
      </c>
      <c r="M43" s="80">
        <f t="shared" si="7"/>
        <v>0.3464467005</v>
      </c>
      <c r="N43" s="81" t="str">
        <f t="shared" si="8"/>
        <v>Mal. Lott</v>
      </c>
      <c r="O43" s="50" t="s">
        <v>77</v>
      </c>
      <c r="P43" s="38">
        <v>855.0</v>
      </c>
      <c r="Q43" s="38">
        <v>258.0</v>
      </c>
      <c r="R43" s="38">
        <v>694.0</v>
      </c>
      <c r="S43" s="38">
        <v>767.0</v>
      </c>
      <c r="T43" s="38">
        <v>4.0</v>
      </c>
      <c r="U43" s="71">
        <f t="shared" si="9"/>
        <v>1807</v>
      </c>
      <c r="V43" s="71">
        <f t="shared" si="10"/>
        <v>2578</v>
      </c>
      <c r="W43" s="80">
        <f t="shared" si="11"/>
        <v>0.4731599336</v>
      </c>
      <c r="X43" s="80">
        <f t="shared" si="12"/>
        <v>0.1427780852</v>
      </c>
      <c r="Y43" s="80">
        <f t="shared" si="13"/>
        <v>0.3840619812</v>
      </c>
      <c r="Z43" s="81" t="str">
        <f t="shared" si="14"/>
        <v>Jango</v>
      </c>
      <c r="AA43" s="50" t="s">
        <v>77</v>
      </c>
      <c r="AB43" s="48">
        <v>3345.0</v>
      </c>
      <c r="AC43" s="48">
        <f t="shared" si="15"/>
        <v>767</v>
      </c>
      <c r="AD43" s="82">
        <f t="shared" si="16"/>
        <v>0.7707025411</v>
      </c>
      <c r="AE43" s="83"/>
    </row>
    <row r="44">
      <c r="A44" s="61" t="s">
        <v>119</v>
      </c>
      <c r="B44" s="78" t="s">
        <v>175</v>
      </c>
      <c r="C44" s="79"/>
      <c r="D44" s="38">
        <v>798.0</v>
      </c>
      <c r="E44" s="38">
        <v>1136.0</v>
      </c>
      <c r="F44" s="38">
        <v>788.0</v>
      </c>
      <c r="G44" s="38">
        <v>173.0</v>
      </c>
      <c r="H44" s="38">
        <v>140.0</v>
      </c>
      <c r="I44" s="38">
        <f t="shared" si="3"/>
        <v>2722</v>
      </c>
      <c r="J44" s="38">
        <f t="shared" si="4"/>
        <v>3035</v>
      </c>
      <c r="K44" s="80">
        <f t="shared" si="5"/>
        <v>0.2931667891</v>
      </c>
      <c r="L44" s="80">
        <f t="shared" si="6"/>
        <v>0.417340191</v>
      </c>
      <c r="M44" s="80">
        <f t="shared" si="7"/>
        <v>0.2894930198</v>
      </c>
      <c r="N44" s="81" t="str">
        <f t="shared" si="8"/>
        <v>Mal. Lott</v>
      </c>
      <c r="O44" s="50" t="s">
        <v>77</v>
      </c>
      <c r="P44" s="38">
        <v>1356.0</v>
      </c>
      <c r="Q44" s="38">
        <v>411.0</v>
      </c>
      <c r="R44" s="38">
        <v>738.0</v>
      </c>
      <c r="S44" s="38">
        <v>427.0</v>
      </c>
      <c r="T44" s="38">
        <v>103.0</v>
      </c>
      <c r="U44" s="71">
        <f t="shared" si="9"/>
        <v>2505</v>
      </c>
      <c r="V44" s="71">
        <f t="shared" si="10"/>
        <v>3035</v>
      </c>
      <c r="W44" s="80">
        <f t="shared" si="11"/>
        <v>0.5413173653</v>
      </c>
      <c r="X44" s="80">
        <f t="shared" si="12"/>
        <v>0.1640718563</v>
      </c>
      <c r="Y44" s="80">
        <f t="shared" si="13"/>
        <v>0.2946107784</v>
      </c>
      <c r="Z44" s="81" t="str">
        <f t="shared" si="14"/>
        <v>Jango</v>
      </c>
      <c r="AA44" s="50" t="s">
        <v>77</v>
      </c>
      <c r="AB44" s="48">
        <v>5065.0</v>
      </c>
      <c r="AC44" s="48">
        <f t="shared" si="15"/>
        <v>2030</v>
      </c>
      <c r="AD44" s="82">
        <f t="shared" si="16"/>
        <v>0.5992102665</v>
      </c>
      <c r="AE44" s="83"/>
    </row>
    <row r="45">
      <c r="A45" s="23"/>
      <c r="B45" s="78" t="s">
        <v>176</v>
      </c>
      <c r="C45" s="79"/>
      <c r="D45" s="38">
        <v>219.0</v>
      </c>
      <c r="E45" s="38">
        <v>562.0</v>
      </c>
      <c r="F45" s="38">
        <v>186.0</v>
      </c>
      <c r="G45" s="38">
        <v>63.0</v>
      </c>
      <c r="H45" s="38">
        <v>51.0</v>
      </c>
      <c r="I45" s="38">
        <f t="shared" si="3"/>
        <v>967</v>
      </c>
      <c r="J45" s="38">
        <f t="shared" si="4"/>
        <v>1081</v>
      </c>
      <c r="K45" s="80">
        <f t="shared" si="5"/>
        <v>0.2264736298</v>
      </c>
      <c r="L45" s="80">
        <f t="shared" si="6"/>
        <v>0.5811789038</v>
      </c>
      <c r="M45" s="80">
        <f t="shared" si="7"/>
        <v>0.1923474664</v>
      </c>
      <c r="N45" s="81" t="str">
        <f t="shared" si="8"/>
        <v>Mal. Lott</v>
      </c>
      <c r="O45" s="50" t="s">
        <v>77</v>
      </c>
      <c r="P45" s="38">
        <v>613.0</v>
      </c>
      <c r="Q45" s="38">
        <v>155.0</v>
      </c>
      <c r="R45" s="38">
        <v>147.0</v>
      </c>
      <c r="S45" s="38">
        <v>127.0</v>
      </c>
      <c r="T45" s="38">
        <v>39.0</v>
      </c>
      <c r="U45" s="71">
        <f t="shared" si="9"/>
        <v>915</v>
      </c>
      <c r="V45" s="71">
        <f t="shared" si="10"/>
        <v>1081</v>
      </c>
      <c r="W45" s="80">
        <f t="shared" si="11"/>
        <v>0.6699453552</v>
      </c>
      <c r="X45" s="80">
        <f t="shared" si="12"/>
        <v>0.1693989071</v>
      </c>
      <c r="Y45" s="80">
        <f t="shared" si="13"/>
        <v>0.1606557377</v>
      </c>
      <c r="Z45" s="81" t="str">
        <f t="shared" si="14"/>
        <v>Jango</v>
      </c>
      <c r="AA45" s="50" t="s">
        <v>77</v>
      </c>
      <c r="AB45" s="48">
        <v>1739.0</v>
      </c>
      <c r="AC45" s="48">
        <f t="shared" si="15"/>
        <v>658</v>
      </c>
      <c r="AD45" s="82">
        <f t="shared" si="16"/>
        <v>0.6216216216</v>
      </c>
      <c r="AE45" s="83"/>
    </row>
    <row r="46">
      <c r="A46" s="23"/>
      <c r="B46" s="78" t="s">
        <v>177</v>
      </c>
      <c r="C46" s="79"/>
      <c r="D46" s="38">
        <v>195.0</v>
      </c>
      <c r="E46" s="38">
        <v>529.0</v>
      </c>
      <c r="F46" s="38">
        <v>119.0</v>
      </c>
      <c r="G46" s="38">
        <v>50.0</v>
      </c>
      <c r="H46" s="38">
        <v>150.0</v>
      </c>
      <c r="I46" s="38">
        <f t="shared" si="3"/>
        <v>843</v>
      </c>
      <c r="J46" s="38">
        <f t="shared" si="4"/>
        <v>1043</v>
      </c>
      <c r="K46" s="80">
        <f t="shared" si="5"/>
        <v>0.231316726</v>
      </c>
      <c r="L46" s="80">
        <f t="shared" si="6"/>
        <v>0.6275207592</v>
      </c>
      <c r="M46" s="80">
        <f t="shared" si="7"/>
        <v>0.1411625148</v>
      </c>
      <c r="N46" s="81" t="str">
        <f t="shared" si="8"/>
        <v>Mal. Lott</v>
      </c>
      <c r="O46" s="50" t="s">
        <v>77</v>
      </c>
      <c r="P46" s="38">
        <v>587.0</v>
      </c>
      <c r="Q46" s="38">
        <v>108.0</v>
      </c>
      <c r="R46" s="38">
        <v>97.0</v>
      </c>
      <c r="S46" s="38">
        <v>106.0</v>
      </c>
      <c r="T46" s="38">
        <v>145.0</v>
      </c>
      <c r="U46" s="71">
        <f t="shared" si="9"/>
        <v>792</v>
      </c>
      <c r="V46" s="71">
        <f t="shared" si="10"/>
        <v>1043</v>
      </c>
      <c r="W46" s="80">
        <f t="shared" si="11"/>
        <v>0.7411616162</v>
      </c>
      <c r="X46" s="80">
        <f t="shared" si="12"/>
        <v>0.1363636364</v>
      </c>
      <c r="Y46" s="80">
        <f t="shared" si="13"/>
        <v>0.1224747475</v>
      </c>
      <c r="Z46" s="81" t="str">
        <f t="shared" si="14"/>
        <v>Jango</v>
      </c>
      <c r="AA46" s="50" t="s">
        <v>77</v>
      </c>
      <c r="AB46" s="48">
        <v>1533.0</v>
      </c>
      <c r="AC46" s="48">
        <f t="shared" si="15"/>
        <v>490</v>
      </c>
      <c r="AD46" s="82">
        <f t="shared" si="16"/>
        <v>0.6803652968</v>
      </c>
      <c r="AE46" s="83"/>
    </row>
    <row r="47">
      <c r="A47" s="24"/>
      <c r="B47" s="78" t="s">
        <v>178</v>
      </c>
      <c r="C47" s="79"/>
      <c r="D47" s="38">
        <v>273.0</v>
      </c>
      <c r="E47" s="38">
        <v>547.0</v>
      </c>
      <c r="F47" s="38">
        <v>99.0</v>
      </c>
      <c r="G47" s="38">
        <v>98.0</v>
      </c>
      <c r="H47" s="38">
        <v>82.0</v>
      </c>
      <c r="I47" s="38">
        <f t="shared" si="3"/>
        <v>919</v>
      </c>
      <c r="J47" s="38">
        <f t="shared" si="4"/>
        <v>1099</v>
      </c>
      <c r="K47" s="80">
        <f t="shared" si="5"/>
        <v>0.2970620239</v>
      </c>
      <c r="L47" s="80">
        <f t="shared" si="6"/>
        <v>0.5952121872</v>
      </c>
      <c r="M47" s="80">
        <f t="shared" si="7"/>
        <v>0.1077257889</v>
      </c>
      <c r="N47" s="81" t="str">
        <f t="shared" si="8"/>
        <v>Mal. Lott</v>
      </c>
      <c r="O47" s="50" t="s">
        <v>77</v>
      </c>
      <c r="P47" s="38">
        <v>632.0</v>
      </c>
      <c r="Q47" s="38">
        <v>170.0</v>
      </c>
      <c r="R47" s="38">
        <v>68.0</v>
      </c>
      <c r="S47" s="38">
        <v>136.0</v>
      </c>
      <c r="T47" s="38">
        <v>93.0</v>
      </c>
      <c r="U47" s="71">
        <f t="shared" si="9"/>
        <v>870</v>
      </c>
      <c r="V47" s="71">
        <f t="shared" si="10"/>
        <v>1099</v>
      </c>
      <c r="W47" s="80">
        <f t="shared" si="11"/>
        <v>0.7264367816</v>
      </c>
      <c r="X47" s="80">
        <f t="shared" si="12"/>
        <v>0.1954022989</v>
      </c>
      <c r="Y47" s="80">
        <f t="shared" si="13"/>
        <v>0.07816091954</v>
      </c>
      <c r="Z47" s="81" t="str">
        <f t="shared" si="14"/>
        <v>Jango</v>
      </c>
      <c r="AA47" s="50" t="s">
        <v>77</v>
      </c>
      <c r="AB47" s="48">
        <v>1383.0</v>
      </c>
      <c r="AC47" s="48">
        <f t="shared" si="15"/>
        <v>284</v>
      </c>
      <c r="AD47" s="82">
        <f t="shared" si="16"/>
        <v>0.7946493131</v>
      </c>
      <c r="AE47" s="83"/>
    </row>
    <row r="48">
      <c r="A48" s="61" t="s">
        <v>179</v>
      </c>
      <c r="B48" s="78" t="s">
        <v>180</v>
      </c>
      <c r="C48" s="79"/>
      <c r="D48" s="38">
        <v>584.0</v>
      </c>
      <c r="E48" s="38">
        <v>339.0</v>
      </c>
      <c r="F48" s="38">
        <v>87.0</v>
      </c>
      <c r="G48" s="38">
        <v>61.0</v>
      </c>
      <c r="H48" s="38">
        <v>44.0</v>
      </c>
      <c r="I48" s="38">
        <f t="shared" si="3"/>
        <v>1010</v>
      </c>
      <c r="J48" s="38">
        <f t="shared" si="4"/>
        <v>1115</v>
      </c>
      <c r="K48" s="80">
        <f t="shared" si="5"/>
        <v>0.5782178218</v>
      </c>
      <c r="L48" s="80">
        <f t="shared" si="6"/>
        <v>0.3356435644</v>
      </c>
      <c r="M48" s="80">
        <f t="shared" si="7"/>
        <v>0.08613861386</v>
      </c>
      <c r="N48" s="81" t="str">
        <f t="shared" si="8"/>
        <v>Jânio</v>
      </c>
      <c r="O48" s="50" t="s">
        <v>77</v>
      </c>
      <c r="P48" s="38">
        <v>433.0</v>
      </c>
      <c r="Q48" s="38">
        <v>383.0</v>
      </c>
      <c r="R48" s="38">
        <v>124.0</v>
      </c>
      <c r="S48" s="38">
        <v>152.0</v>
      </c>
      <c r="T48" s="38">
        <v>23.0</v>
      </c>
      <c r="U48" s="71">
        <f t="shared" si="9"/>
        <v>940</v>
      </c>
      <c r="V48" s="71">
        <f t="shared" si="10"/>
        <v>1115</v>
      </c>
      <c r="W48" s="80">
        <f t="shared" si="11"/>
        <v>0.4606382979</v>
      </c>
      <c r="X48" s="80">
        <f t="shared" si="12"/>
        <v>0.4074468085</v>
      </c>
      <c r="Y48" s="80">
        <f t="shared" si="13"/>
        <v>0.1319148936</v>
      </c>
      <c r="Z48" s="81" t="str">
        <f t="shared" si="14"/>
        <v>Jango</v>
      </c>
      <c r="AA48" s="50" t="s">
        <v>77</v>
      </c>
      <c r="AB48" s="48">
        <v>2245.0</v>
      </c>
      <c r="AC48" s="48">
        <f t="shared" si="15"/>
        <v>1130</v>
      </c>
      <c r="AD48" s="82">
        <f t="shared" si="16"/>
        <v>0.4966592428</v>
      </c>
      <c r="AE48" s="83"/>
    </row>
    <row r="49">
      <c r="A49" s="24"/>
      <c r="B49" s="78" t="s">
        <v>181</v>
      </c>
      <c r="C49" s="79"/>
      <c r="D49" s="38">
        <v>122.0</v>
      </c>
      <c r="E49" s="38">
        <v>156.0</v>
      </c>
      <c r="F49" s="38">
        <v>69.0</v>
      </c>
      <c r="G49" s="38">
        <v>14.0</v>
      </c>
      <c r="H49" s="38">
        <v>15.0</v>
      </c>
      <c r="I49" s="38">
        <f t="shared" si="3"/>
        <v>347</v>
      </c>
      <c r="J49" s="38">
        <f t="shared" si="4"/>
        <v>376</v>
      </c>
      <c r="K49" s="80">
        <f t="shared" si="5"/>
        <v>0.3515850144</v>
      </c>
      <c r="L49" s="80">
        <f t="shared" si="6"/>
        <v>0.4495677233</v>
      </c>
      <c r="M49" s="80">
        <f t="shared" si="7"/>
        <v>0.1988472622</v>
      </c>
      <c r="N49" s="81" t="str">
        <f t="shared" si="8"/>
        <v>Mal. Lott</v>
      </c>
      <c r="O49" s="50" t="s">
        <v>77</v>
      </c>
      <c r="P49" s="38">
        <v>229.0</v>
      </c>
      <c r="Q49" s="38">
        <v>53.0</v>
      </c>
      <c r="R49" s="38">
        <v>45.0</v>
      </c>
      <c r="S49" s="38">
        <v>39.0</v>
      </c>
      <c r="T49" s="38">
        <v>10.0</v>
      </c>
      <c r="U49" s="71">
        <f t="shared" si="9"/>
        <v>327</v>
      </c>
      <c r="V49" s="71">
        <f t="shared" si="10"/>
        <v>376</v>
      </c>
      <c r="W49" s="80">
        <f t="shared" si="11"/>
        <v>0.7003058104</v>
      </c>
      <c r="X49" s="80">
        <f t="shared" si="12"/>
        <v>0.1620795107</v>
      </c>
      <c r="Y49" s="80">
        <f t="shared" si="13"/>
        <v>0.1376146789</v>
      </c>
      <c r="Z49" s="81" t="str">
        <f t="shared" si="14"/>
        <v>Jango</v>
      </c>
      <c r="AA49" s="50" t="s">
        <v>77</v>
      </c>
      <c r="AB49" s="48">
        <v>1378.0</v>
      </c>
      <c r="AC49" s="48">
        <f t="shared" si="15"/>
        <v>1002</v>
      </c>
      <c r="AD49" s="82">
        <f t="shared" si="16"/>
        <v>0.2728592163</v>
      </c>
      <c r="AE49" s="83"/>
    </row>
    <row r="50">
      <c r="A50" s="45" t="s">
        <v>125</v>
      </c>
      <c r="B50" s="78" t="s">
        <v>182</v>
      </c>
      <c r="C50" s="79"/>
      <c r="D50" s="38">
        <v>474.0</v>
      </c>
      <c r="E50" s="38">
        <v>1684.0</v>
      </c>
      <c r="F50" s="38">
        <v>153.0</v>
      </c>
      <c r="G50" s="38">
        <v>77.0</v>
      </c>
      <c r="H50" s="38">
        <v>86.0</v>
      </c>
      <c r="I50" s="38">
        <f t="shared" si="3"/>
        <v>2311</v>
      </c>
      <c r="J50" s="38">
        <f t="shared" si="4"/>
        <v>2474</v>
      </c>
      <c r="K50" s="80">
        <f t="shared" si="5"/>
        <v>0.2051060147</v>
      </c>
      <c r="L50" s="80">
        <f t="shared" si="6"/>
        <v>0.7286888793</v>
      </c>
      <c r="M50" s="80">
        <f t="shared" si="7"/>
        <v>0.06620510601</v>
      </c>
      <c r="N50" s="81" t="str">
        <f t="shared" si="8"/>
        <v>Mal. Lott</v>
      </c>
      <c r="O50" s="50" t="s">
        <v>77</v>
      </c>
      <c r="P50" s="38">
        <v>1705.0</v>
      </c>
      <c r="Q50" s="38">
        <v>378.0</v>
      </c>
      <c r="R50" s="38">
        <v>119.0</v>
      </c>
      <c r="S50" s="38">
        <v>197.0</v>
      </c>
      <c r="T50" s="38">
        <v>75.0</v>
      </c>
      <c r="U50" s="71">
        <f t="shared" si="9"/>
        <v>2202</v>
      </c>
      <c r="V50" s="71">
        <f t="shared" si="10"/>
        <v>2474</v>
      </c>
      <c r="W50" s="80">
        <f t="shared" si="11"/>
        <v>0.7742960945</v>
      </c>
      <c r="X50" s="80">
        <f t="shared" si="12"/>
        <v>0.1716621253</v>
      </c>
      <c r="Y50" s="80">
        <f t="shared" si="13"/>
        <v>0.0540417802</v>
      </c>
      <c r="Z50" s="81" t="str">
        <f t="shared" si="14"/>
        <v>Jango</v>
      </c>
      <c r="AA50" s="50" t="s">
        <v>77</v>
      </c>
      <c r="AB50" s="48">
        <v>3388.0</v>
      </c>
      <c r="AC50" s="48">
        <f t="shared" si="15"/>
        <v>914</v>
      </c>
      <c r="AD50" s="82">
        <f t="shared" si="16"/>
        <v>0.7302243211</v>
      </c>
      <c r="AE50" s="83"/>
    </row>
    <row r="51">
      <c r="A51" s="45" t="s">
        <v>127</v>
      </c>
      <c r="B51" s="78" t="s">
        <v>183</v>
      </c>
      <c r="C51" s="79"/>
      <c r="D51" s="38">
        <v>478.0</v>
      </c>
      <c r="E51" s="38">
        <v>539.0</v>
      </c>
      <c r="F51" s="38">
        <v>120.0</v>
      </c>
      <c r="G51" s="38">
        <v>54.0</v>
      </c>
      <c r="H51" s="38">
        <v>40.0</v>
      </c>
      <c r="I51" s="38">
        <f t="shared" si="3"/>
        <v>1137</v>
      </c>
      <c r="J51" s="38">
        <f t="shared" si="4"/>
        <v>1231</v>
      </c>
      <c r="K51" s="80">
        <f t="shared" si="5"/>
        <v>0.4204045734</v>
      </c>
      <c r="L51" s="80">
        <f t="shared" si="6"/>
        <v>0.4740545295</v>
      </c>
      <c r="M51" s="80">
        <f t="shared" si="7"/>
        <v>0.1055408971</v>
      </c>
      <c r="N51" s="81" t="str">
        <f t="shared" si="8"/>
        <v>Mal. Lott</v>
      </c>
      <c r="O51" s="50" t="s">
        <v>77</v>
      </c>
      <c r="P51" s="38">
        <v>555.0</v>
      </c>
      <c r="Q51" s="38">
        <v>224.0</v>
      </c>
      <c r="R51" s="38">
        <v>287.0</v>
      </c>
      <c r="S51" s="38">
        <v>134.0</v>
      </c>
      <c r="T51" s="38">
        <v>31.0</v>
      </c>
      <c r="U51" s="71">
        <f t="shared" si="9"/>
        <v>1066</v>
      </c>
      <c r="V51" s="71">
        <f t="shared" si="10"/>
        <v>1231</v>
      </c>
      <c r="W51" s="80">
        <f t="shared" si="11"/>
        <v>0.5206378987</v>
      </c>
      <c r="X51" s="80">
        <f t="shared" si="12"/>
        <v>0.2101313321</v>
      </c>
      <c r="Y51" s="80">
        <f t="shared" si="13"/>
        <v>0.2692307692</v>
      </c>
      <c r="Z51" s="81" t="str">
        <f t="shared" si="14"/>
        <v>Jango</v>
      </c>
      <c r="AA51" s="50" t="s">
        <v>77</v>
      </c>
      <c r="AB51" s="48">
        <v>2188.0</v>
      </c>
      <c r="AC51" s="48">
        <f t="shared" si="15"/>
        <v>957</v>
      </c>
      <c r="AD51" s="82">
        <f t="shared" si="16"/>
        <v>0.5626142596</v>
      </c>
      <c r="AE51" s="83"/>
    </row>
    <row r="52">
      <c r="A52" s="61" t="s">
        <v>129</v>
      </c>
      <c r="B52" s="78" t="s">
        <v>184</v>
      </c>
      <c r="C52" s="79"/>
      <c r="D52" s="38">
        <v>1637.0</v>
      </c>
      <c r="E52" s="38">
        <v>1380.0</v>
      </c>
      <c r="F52" s="38">
        <v>135.0</v>
      </c>
      <c r="G52" s="38">
        <v>165.0</v>
      </c>
      <c r="H52" s="38">
        <v>114.0</v>
      </c>
      <c r="I52" s="38">
        <f t="shared" si="3"/>
        <v>3152</v>
      </c>
      <c r="J52" s="38">
        <f t="shared" si="4"/>
        <v>3431</v>
      </c>
      <c r="K52" s="80">
        <f t="shared" si="5"/>
        <v>0.5193527919</v>
      </c>
      <c r="L52" s="80">
        <f t="shared" si="6"/>
        <v>0.4378172589</v>
      </c>
      <c r="M52" s="80">
        <f t="shared" si="7"/>
        <v>0.04282994924</v>
      </c>
      <c r="N52" s="81" t="str">
        <f t="shared" si="8"/>
        <v>Jânio</v>
      </c>
      <c r="O52" s="50" t="s">
        <v>77</v>
      </c>
      <c r="P52" s="38">
        <v>1416.0</v>
      </c>
      <c r="Q52" s="38">
        <v>333.0</v>
      </c>
      <c r="R52" s="38">
        <v>1235.0</v>
      </c>
      <c r="S52" s="38">
        <v>366.0</v>
      </c>
      <c r="T52" s="38">
        <v>81.0</v>
      </c>
      <c r="U52" s="71">
        <f t="shared" si="9"/>
        <v>2984</v>
      </c>
      <c r="V52" s="71">
        <f t="shared" si="10"/>
        <v>3431</v>
      </c>
      <c r="W52" s="80">
        <f t="shared" si="11"/>
        <v>0.4745308311</v>
      </c>
      <c r="X52" s="80">
        <f t="shared" si="12"/>
        <v>0.1115951743</v>
      </c>
      <c r="Y52" s="80">
        <f t="shared" si="13"/>
        <v>0.4138739946</v>
      </c>
      <c r="Z52" s="81" t="str">
        <f t="shared" si="14"/>
        <v>Jango</v>
      </c>
      <c r="AA52" s="50" t="s">
        <v>77</v>
      </c>
      <c r="AB52" s="48">
        <v>4498.0</v>
      </c>
      <c r="AC52" s="48">
        <f t="shared" si="15"/>
        <v>1067</v>
      </c>
      <c r="AD52" s="82">
        <f t="shared" si="16"/>
        <v>0.7627834593</v>
      </c>
      <c r="AE52" s="83"/>
    </row>
    <row r="53">
      <c r="A53" s="23"/>
      <c r="B53" s="78" t="s">
        <v>185</v>
      </c>
      <c r="C53" s="79"/>
      <c r="D53" s="38">
        <v>454.0</v>
      </c>
      <c r="E53" s="38">
        <v>326.0</v>
      </c>
      <c r="F53" s="38">
        <v>41.0</v>
      </c>
      <c r="G53" s="38">
        <v>48.0</v>
      </c>
      <c r="H53" s="38">
        <v>28.0</v>
      </c>
      <c r="I53" s="38">
        <f t="shared" si="3"/>
        <v>821</v>
      </c>
      <c r="J53" s="38">
        <f t="shared" si="4"/>
        <v>897</v>
      </c>
      <c r="K53" s="80">
        <f t="shared" si="5"/>
        <v>0.5529841657</v>
      </c>
      <c r="L53" s="80">
        <f t="shared" si="6"/>
        <v>0.3970767357</v>
      </c>
      <c r="M53" s="80">
        <f t="shared" si="7"/>
        <v>0.04993909866</v>
      </c>
      <c r="N53" s="81" t="str">
        <f t="shared" si="8"/>
        <v>Jânio</v>
      </c>
      <c r="O53" s="50" t="s">
        <v>77</v>
      </c>
      <c r="P53" s="38">
        <v>366.0</v>
      </c>
      <c r="Q53" s="38">
        <v>130.0</v>
      </c>
      <c r="R53" s="38">
        <v>242.0</v>
      </c>
      <c r="S53" s="38">
        <v>140.0</v>
      </c>
      <c r="T53" s="38">
        <v>19.0</v>
      </c>
      <c r="U53" s="71">
        <f t="shared" si="9"/>
        <v>738</v>
      </c>
      <c r="V53" s="71">
        <f t="shared" si="10"/>
        <v>897</v>
      </c>
      <c r="W53" s="80">
        <f t="shared" si="11"/>
        <v>0.4959349593</v>
      </c>
      <c r="X53" s="80">
        <f t="shared" si="12"/>
        <v>0.1761517615</v>
      </c>
      <c r="Y53" s="80">
        <f t="shared" si="13"/>
        <v>0.3279132791</v>
      </c>
      <c r="Z53" s="81" t="str">
        <f t="shared" si="14"/>
        <v>Jango</v>
      </c>
      <c r="AA53" s="50" t="s">
        <v>77</v>
      </c>
      <c r="AB53" s="48">
        <v>1265.0</v>
      </c>
      <c r="AC53" s="48">
        <f t="shared" si="15"/>
        <v>368</v>
      </c>
      <c r="AD53" s="82">
        <f t="shared" si="16"/>
        <v>0.7090909091</v>
      </c>
      <c r="AE53" s="83"/>
    </row>
    <row r="54">
      <c r="A54" s="24"/>
      <c r="B54" s="78" t="s">
        <v>186</v>
      </c>
      <c r="C54" s="79"/>
      <c r="D54" s="38">
        <v>227.0</v>
      </c>
      <c r="E54" s="38">
        <v>175.0</v>
      </c>
      <c r="F54" s="38">
        <v>41.0</v>
      </c>
      <c r="G54" s="38">
        <v>24.0</v>
      </c>
      <c r="H54" s="38">
        <v>27.0</v>
      </c>
      <c r="I54" s="38">
        <f t="shared" si="3"/>
        <v>443</v>
      </c>
      <c r="J54" s="38">
        <f t="shared" si="4"/>
        <v>494</v>
      </c>
      <c r="K54" s="80">
        <f t="shared" si="5"/>
        <v>0.5124153499</v>
      </c>
      <c r="L54" s="80">
        <f t="shared" si="6"/>
        <v>0.39503386</v>
      </c>
      <c r="M54" s="80">
        <f t="shared" si="7"/>
        <v>0.09255079007</v>
      </c>
      <c r="N54" s="81" t="str">
        <f t="shared" si="8"/>
        <v>Jânio</v>
      </c>
      <c r="O54" s="50" t="s">
        <v>77</v>
      </c>
      <c r="P54" s="38">
        <v>216.0</v>
      </c>
      <c r="Q54" s="38">
        <v>75.0</v>
      </c>
      <c r="R54" s="38">
        <v>82.0</v>
      </c>
      <c r="S54" s="38">
        <v>106.0</v>
      </c>
      <c r="T54" s="38">
        <v>15.0</v>
      </c>
      <c r="U54" s="71">
        <f t="shared" si="9"/>
        <v>373</v>
      </c>
      <c r="V54" s="71">
        <f t="shared" si="10"/>
        <v>494</v>
      </c>
      <c r="W54" s="80">
        <f t="shared" si="11"/>
        <v>0.5790884718</v>
      </c>
      <c r="X54" s="80">
        <f t="shared" si="12"/>
        <v>0.2010723861</v>
      </c>
      <c r="Y54" s="80">
        <f t="shared" si="13"/>
        <v>0.2198391421</v>
      </c>
      <c r="Z54" s="81" t="str">
        <f t="shared" si="14"/>
        <v>Jango</v>
      </c>
      <c r="AA54" s="50" t="s">
        <v>77</v>
      </c>
      <c r="AB54" s="48">
        <v>757.0</v>
      </c>
      <c r="AC54" s="48">
        <f t="shared" si="15"/>
        <v>263</v>
      </c>
      <c r="AD54" s="82">
        <f t="shared" si="16"/>
        <v>0.6525759577</v>
      </c>
      <c r="AE54" s="83"/>
    </row>
    <row r="55">
      <c r="A55" s="45" t="s">
        <v>131</v>
      </c>
      <c r="B55" s="78" t="s">
        <v>187</v>
      </c>
      <c r="C55" s="79"/>
      <c r="D55" s="38">
        <v>4599.0</v>
      </c>
      <c r="E55" s="38">
        <v>3334.0</v>
      </c>
      <c r="F55" s="38">
        <v>281.0</v>
      </c>
      <c r="G55" s="38">
        <v>1000.0</v>
      </c>
      <c r="H55" s="38">
        <v>284.0</v>
      </c>
      <c r="I55" s="38">
        <f t="shared" si="3"/>
        <v>8214</v>
      </c>
      <c r="J55" s="38">
        <f t="shared" si="4"/>
        <v>9498</v>
      </c>
      <c r="K55" s="80">
        <f t="shared" si="5"/>
        <v>0.5598977356</v>
      </c>
      <c r="L55" s="80">
        <f t="shared" si="6"/>
        <v>0.4058923789</v>
      </c>
      <c r="M55" s="80">
        <f t="shared" si="7"/>
        <v>0.03420988556</v>
      </c>
      <c r="N55" s="81" t="str">
        <f t="shared" si="8"/>
        <v>Jânio</v>
      </c>
      <c r="O55" s="50" t="s">
        <v>77</v>
      </c>
      <c r="P55" s="38">
        <v>3537.0</v>
      </c>
      <c r="Q55" s="38">
        <v>2522.0</v>
      </c>
      <c r="R55" s="38">
        <v>1681.0</v>
      </c>
      <c r="S55" s="38">
        <v>940.0</v>
      </c>
      <c r="T55" s="38">
        <v>818.0</v>
      </c>
      <c r="U55" s="71">
        <f t="shared" si="9"/>
        <v>7740</v>
      </c>
      <c r="V55" s="71">
        <f t="shared" si="10"/>
        <v>9498</v>
      </c>
      <c r="W55" s="80">
        <f t="shared" si="11"/>
        <v>0.4569767442</v>
      </c>
      <c r="X55" s="80">
        <f t="shared" si="12"/>
        <v>0.3258397933</v>
      </c>
      <c r="Y55" s="80">
        <f t="shared" si="13"/>
        <v>0.2171834625</v>
      </c>
      <c r="Z55" s="81" t="str">
        <f t="shared" si="14"/>
        <v>Jango</v>
      </c>
      <c r="AA55" s="50" t="s">
        <v>77</v>
      </c>
      <c r="AB55" s="48">
        <v>12305.0</v>
      </c>
      <c r="AC55" s="48">
        <f t="shared" si="15"/>
        <v>2807</v>
      </c>
      <c r="AD55" s="82">
        <f t="shared" si="16"/>
        <v>0.771881349</v>
      </c>
      <c r="AE55" s="83"/>
    </row>
    <row r="56">
      <c r="A56" s="45" t="s">
        <v>133</v>
      </c>
      <c r="B56" s="78" t="s">
        <v>188</v>
      </c>
      <c r="C56" s="79"/>
      <c r="D56" s="38">
        <v>1948.0</v>
      </c>
      <c r="E56" s="38">
        <v>1719.0</v>
      </c>
      <c r="F56" s="38">
        <v>152.0</v>
      </c>
      <c r="G56" s="38">
        <v>206.0</v>
      </c>
      <c r="H56" s="38">
        <v>340.0</v>
      </c>
      <c r="I56" s="38">
        <f t="shared" si="3"/>
        <v>3819</v>
      </c>
      <c r="J56" s="38">
        <f t="shared" si="4"/>
        <v>4365</v>
      </c>
      <c r="K56" s="80">
        <f t="shared" si="5"/>
        <v>0.5100811731</v>
      </c>
      <c r="L56" s="80">
        <f t="shared" si="6"/>
        <v>0.4501178319</v>
      </c>
      <c r="M56" s="80">
        <f t="shared" si="7"/>
        <v>0.03980099502</v>
      </c>
      <c r="N56" s="81" t="str">
        <f t="shared" si="8"/>
        <v>Jânio</v>
      </c>
      <c r="O56" s="50" t="s">
        <v>77</v>
      </c>
      <c r="P56" s="38">
        <v>1749.0</v>
      </c>
      <c r="Q56" s="38">
        <v>1632.0</v>
      </c>
      <c r="R56" s="38">
        <v>305.0</v>
      </c>
      <c r="S56" s="38">
        <v>313.0</v>
      </c>
      <c r="T56" s="38">
        <v>366.0</v>
      </c>
      <c r="U56" s="71">
        <f t="shared" si="9"/>
        <v>3686</v>
      </c>
      <c r="V56" s="71">
        <f t="shared" si="10"/>
        <v>4365</v>
      </c>
      <c r="W56" s="80">
        <f t="shared" si="11"/>
        <v>0.4744981009</v>
      </c>
      <c r="X56" s="80">
        <f t="shared" si="12"/>
        <v>0.4427563755</v>
      </c>
      <c r="Y56" s="80">
        <f t="shared" si="13"/>
        <v>0.0827455236</v>
      </c>
      <c r="Z56" s="81" t="str">
        <f t="shared" si="14"/>
        <v>Jango</v>
      </c>
      <c r="AA56" s="50" t="s">
        <v>77</v>
      </c>
      <c r="AB56" s="48">
        <v>5760.0</v>
      </c>
      <c r="AC56" s="48">
        <f t="shared" si="15"/>
        <v>1395</v>
      </c>
      <c r="AD56" s="82">
        <f t="shared" si="16"/>
        <v>0.7578125</v>
      </c>
      <c r="AE56" s="83"/>
    </row>
    <row r="57">
      <c r="A57" s="61" t="s">
        <v>135</v>
      </c>
      <c r="B57" s="78" t="s">
        <v>189</v>
      </c>
      <c r="C57" s="79"/>
      <c r="D57" s="38">
        <v>1182.0</v>
      </c>
      <c r="E57" s="38">
        <v>1012.0</v>
      </c>
      <c r="F57" s="38">
        <v>135.0</v>
      </c>
      <c r="G57" s="38">
        <v>178.0</v>
      </c>
      <c r="H57" s="38">
        <v>78.0</v>
      </c>
      <c r="I57" s="38">
        <f t="shared" si="3"/>
        <v>2329</v>
      </c>
      <c r="J57" s="38">
        <f t="shared" si="4"/>
        <v>2585</v>
      </c>
      <c r="K57" s="80">
        <f t="shared" si="5"/>
        <v>0.5075139545</v>
      </c>
      <c r="L57" s="80">
        <f t="shared" si="6"/>
        <v>0.4345212538</v>
      </c>
      <c r="M57" s="80">
        <f t="shared" si="7"/>
        <v>0.05796479176</v>
      </c>
      <c r="N57" s="81" t="str">
        <f t="shared" si="8"/>
        <v>Jânio</v>
      </c>
      <c r="O57" s="50" t="s">
        <v>77</v>
      </c>
      <c r="P57" s="38">
        <v>1032.0</v>
      </c>
      <c r="Q57" s="38">
        <v>854.0</v>
      </c>
      <c r="R57" s="38">
        <v>336.0</v>
      </c>
      <c r="S57" s="38">
        <v>293.0</v>
      </c>
      <c r="T57" s="38">
        <v>70.0</v>
      </c>
      <c r="U57" s="71">
        <f t="shared" si="9"/>
        <v>2222</v>
      </c>
      <c r="V57" s="71">
        <f t="shared" si="10"/>
        <v>2585</v>
      </c>
      <c r="W57" s="80">
        <f t="shared" si="11"/>
        <v>0.4644464446</v>
      </c>
      <c r="X57" s="80">
        <f t="shared" si="12"/>
        <v>0.3843384338</v>
      </c>
      <c r="Y57" s="80">
        <f t="shared" si="13"/>
        <v>0.1512151215</v>
      </c>
      <c r="Z57" s="81" t="str">
        <f t="shared" si="14"/>
        <v>Jango</v>
      </c>
      <c r="AA57" s="50" t="s">
        <v>77</v>
      </c>
      <c r="AB57" s="48">
        <v>3147.0</v>
      </c>
      <c r="AC57" s="48">
        <f t="shared" si="15"/>
        <v>562</v>
      </c>
      <c r="AD57" s="82">
        <f t="shared" si="16"/>
        <v>0.8214172228</v>
      </c>
      <c r="AE57" s="83"/>
    </row>
    <row r="58">
      <c r="A58" s="23"/>
      <c r="B58" s="78" t="s">
        <v>190</v>
      </c>
      <c r="C58" s="79"/>
      <c r="D58" s="38">
        <v>862.0</v>
      </c>
      <c r="E58" s="38">
        <v>645.0</v>
      </c>
      <c r="F58" s="38">
        <v>109.0</v>
      </c>
      <c r="G58" s="38">
        <v>121.0</v>
      </c>
      <c r="H58" s="38">
        <v>59.0</v>
      </c>
      <c r="I58" s="38">
        <f t="shared" si="3"/>
        <v>1616</v>
      </c>
      <c r="J58" s="38">
        <f t="shared" si="4"/>
        <v>1796</v>
      </c>
      <c r="K58" s="80">
        <f t="shared" si="5"/>
        <v>0.5334158416</v>
      </c>
      <c r="L58" s="80">
        <f t="shared" si="6"/>
        <v>0.3991336634</v>
      </c>
      <c r="M58" s="80">
        <f t="shared" si="7"/>
        <v>0.06745049505</v>
      </c>
      <c r="N58" s="81" t="str">
        <f t="shared" si="8"/>
        <v>Jânio</v>
      </c>
      <c r="O58" s="50" t="s">
        <v>77</v>
      </c>
      <c r="P58" s="38">
        <v>682.0</v>
      </c>
      <c r="Q58" s="38">
        <v>753.0</v>
      </c>
      <c r="R58" s="38">
        <v>89.0</v>
      </c>
      <c r="S58" s="38">
        <v>233.0</v>
      </c>
      <c r="T58" s="38">
        <v>39.0</v>
      </c>
      <c r="U58" s="71">
        <f t="shared" si="9"/>
        <v>1524</v>
      </c>
      <c r="V58" s="71">
        <f t="shared" si="10"/>
        <v>1796</v>
      </c>
      <c r="W58" s="80">
        <f t="shared" si="11"/>
        <v>0.4475065617</v>
      </c>
      <c r="X58" s="80">
        <f t="shared" si="12"/>
        <v>0.4940944882</v>
      </c>
      <c r="Y58" s="80">
        <f t="shared" si="13"/>
        <v>0.05839895013</v>
      </c>
      <c r="Z58" s="81" t="str">
        <f t="shared" si="14"/>
        <v>Milton</v>
      </c>
      <c r="AA58" s="50" t="s">
        <v>77</v>
      </c>
      <c r="AB58" s="48">
        <v>2105.0</v>
      </c>
      <c r="AC58" s="48">
        <f t="shared" si="15"/>
        <v>309</v>
      </c>
      <c r="AD58" s="82">
        <f t="shared" si="16"/>
        <v>0.8532066508</v>
      </c>
      <c r="AE58" s="83"/>
    </row>
    <row r="59">
      <c r="A59" s="23"/>
      <c r="B59" s="78" t="s">
        <v>191</v>
      </c>
      <c r="C59" s="79"/>
      <c r="D59" s="38">
        <v>1077.0</v>
      </c>
      <c r="E59" s="38">
        <v>620.0</v>
      </c>
      <c r="F59" s="38">
        <v>118.0</v>
      </c>
      <c r="G59" s="38">
        <v>115.0</v>
      </c>
      <c r="H59" s="38">
        <v>65.0</v>
      </c>
      <c r="I59" s="38">
        <f t="shared" si="3"/>
        <v>1815</v>
      </c>
      <c r="J59" s="38">
        <f t="shared" si="4"/>
        <v>1995</v>
      </c>
      <c r="K59" s="80">
        <f t="shared" si="5"/>
        <v>0.5933884298</v>
      </c>
      <c r="L59" s="80">
        <f t="shared" si="6"/>
        <v>0.3415977961</v>
      </c>
      <c r="M59" s="80">
        <f t="shared" si="7"/>
        <v>0.0650137741</v>
      </c>
      <c r="N59" s="81" t="str">
        <f t="shared" si="8"/>
        <v>Jânio</v>
      </c>
      <c r="O59" s="50" t="s">
        <v>77</v>
      </c>
      <c r="P59" s="38">
        <v>686.0</v>
      </c>
      <c r="Q59" s="38">
        <v>279.0</v>
      </c>
      <c r="R59" s="38">
        <v>689.0</v>
      </c>
      <c r="S59" s="38">
        <v>279.0</v>
      </c>
      <c r="T59" s="38">
        <v>62.0</v>
      </c>
      <c r="U59" s="71">
        <f t="shared" si="9"/>
        <v>1654</v>
      </c>
      <c r="V59" s="71">
        <f t="shared" si="10"/>
        <v>1995</v>
      </c>
      <c r="W59" s="80">
        <f t="shared" si="11"/>
        <v>0.4147521161</v>
      </c>
      <c r="X59" s="80">
        <f t="shared" si="12"/>
        <v>0.1686819831</v>
      </c>
      <c r="Y59" s="80">
        <f t="shared" si="13"/>
        <v>0.4165659008</v>
      </c>
      <c r="Z59" s="81" t="str">
        <f t="shared" si="14"/>
        <v>Ferrari</v>
      </c>
      <c r="AA59" s="50" t="s">
        <v>77</v>
      </c>
      <c r="AB59" s="48">
        <v>2281.0</v>
      </c>
      <c r="AC59" s="48">
        <f t="shared" si="15"/>
        <v>286</v>
      </c>
      <c r="AD59" s="82">
        <f t="shared" si="16"/>
        <v>0.8746163963</v>
      </c>
      <c r="AE59" s="83"/>
    </row>
    <row r="60">
      <c r="A60" s="24"/>
      <c r="B60" s="78" t="s">
        <v>192</v>
      </c>
      <c r="C60" s="79"/>
      <c r="D60" s="38">
        <v>398.0</v>
      </c>
      <c r="E60" s="38">
        <v>293.0</v>
      </c>
      <c r="F60" s="38">
        <v>58.0</v>
      </c>
      <c r="G60" s="38">
        <v>58.0</v>
      </c>
      <c r="H60" s="38">
        <v>43.0</v>
      </c>
      <c r="I60" s="38">
        <f t="shared" si="3"/>
        <v>749</v>
      </c>
      <c r="J60" s="38">
        <f t="shared" si="4"/>
        <v>850</v>
      </c>
      <c r="K60" s="80">
        <f t="shared" si="5"/>
        <v>0.5313751669</v>
      </c>
      <c r="L60" s="80">
        <f t="shared" si="6"/>
        <v>0.391188251</v>
      </c>
      <c r="M60" s="80">
        <f t="shared" si="7"/>
        <v>0.07743658211</v>
      </c>
      <c r="N60" s="81" t="str">
        <f t="shared" si="8"/>
        <v>Jânio</v>
      </c>
      <c r="O60" s="50" t="s">
        <v>77</v>
      </c>
      <c r="P60" s="38">
        <v>259.0</v>
      </c>
      <c r="Q60" s="38">
        <v>325.0</v>
      </c>
      <c r="R60" s="38">
        <v>107.0</v>
      </c>
      <c r="S60" s="38">
        <v>129.0</v>
      </c>
      <c r="T60" s="38">
        <v>30.0</v>
      </c>
      <c r="U60" s="71">
        <f t="shared" si="9"/>
        <v>691</v>
      </c>
      <c r="V60" s="71">
        <f t="shared" si="10"/>
        <v>850</v>
      </c>
      <c r="W60" s="80">
        <f t="shared" si="11"/>
        <v>0.3748191027</v>
      </c>
      <c r="X60" s="80">
        <f t="shared" si="12"/>
        <v>0.4703328509</v>
      </c>
      <c r="Y60" s="80">
        <f t="shared" si="13"/>
        <v>0.1548480463</v>
      </c>
      <c r="Z60" s="81" t="str">
        <f t="shared" si="14"/>
        <v>Milton</v>
      </c>
      <c r="AA60" s="50" t="s">
        <v>77</v>
      </c>
      <c r="AB60" s="48">
        <v>1354.0</v>
      </c>
      <c r="AC60" s="48">
        <f t="shared" si="15"/>
        <v>504</v>
      </c>
      <c r="AD60" s="82">
        <f t="shared" si="16"/>
        <v>0.6277695716</v>
      </c>
      <c r="AE60" s="83"/>
    </row>
    <row r="61">
      <c r="A61" s="61" t="s">
        <v>193</v>
      </c>
      <c r="B61" s="78" t="s">
        <v>194</v>
      </c>
      <c r="C61" s="79"/>
      <c r="D61" s="38">
        <v>1084.0</v>
      </c>
      <c r="E61" s="38">
        <v>1092.0</v>
      </c>
      <c r="F61" s="38">
        <v>201.0</v>
      </c>
      <c r="G61" s="38">
        <v>167.0</v>
      </c>
      <c r="H61" s="38">
        <v>110.0</v>
      </c>
      <c r="I61" s="38">
        <f t="shared" si="3"/>
        <v>2377</v>
      </c>
      <c r="J61" s="38">
        <f t="shared" si="4"/>
        <v>2654</v>
      </c>
      <c r="K61" s="80">
        <f t="shared" si="5"/>
        <v>0.4560370215</v>
      </c>
      <c r="L61" s="80">
        <f t="shared" si="6"/>
        <v>0.4594026083</v>
      </c>
      <c r="M61" s="80">
        <f t="shared" si="7"/>
        <v>0.08456037021</v>
      </c>
      <c r="N61" s="81" t="str">
        <f t="shared" si="8"/>
        <v>Mal. Lott</v>
      </c>
      <c r="O61" s="50" t="s">
        <v>77</v>
      </c>
      <c r="P61" s="38">
        <v>1237.0</v>
      </c>
      <c r="Q61" s="38">
        <v>586.0</v>
      </c>
      <c r="R61" s="38">
        <v>422.0</v>
      </c>
      <c r="S61" s="38">
        <v>312.0</v>
      </c>
      <c r="T61" s="38">
        <v>97.0</v>
      </c>
      <c r="U61" s="71">
        <f t="shared" si="9"/>
        <v>2245</v>
      </c>
      <c r="V61" s="71">
        <f t="shared" si="10"/>
        <v>2654</v>
      </c>
      <c r="W61" s="80">
        <f t="shared" si="11"/>
        <v>0.5510022272</v>
      </c>
      <c r="X61" s="80">
        <f t="shared" si="12"/>
        <v>0.2610244989</v>
      </c>
      <c r="Y61" s="80">
        <f t="shared" si="13"/>
        <v>0.1879732739</v>
      </c>
      <c r="Z61" s="81" t="str">
        <f t="shared" si="14"/>
        <v>Jango</v>
      </c>
      <c r="AA61" s="50" t="s">
        <v>77</v>
      </c>
      <c r="AB61" s="48">
        <v>5812.0</v>
      </c>
      <c r="AC61" s="48">
        <f t="shared" si="15"/>
        <v>3158</v>
      </c>
      <c r="AD61" s="82">
        <f t="shared" si="16"/>
        <v>0.4566414315</v>
      </c>
      <c r="AE61" s="83"/>
    </row>
    <row r="62">
      <c r="A62" s="24"/>
      <c r="B62" s="78" t="s">
        <v>195</v>
      </c>
      <c r="C62" s="79"/>
      <c r="D62" s="38">
        <v>448.0</v>
      </c>
      <c r="E62" s="38">
        <v>386.0</v>
      </c>
      <c r="F62" s="38">
        <v>191.0</v>
      </c>
      <c r="G62" s="38">
        <v>61.0</v>
      </c>
      <c r="H62" s="38">
        <v>41.0</v>
      </c>
      <c r="I62" s="38">
        <f t="shared" si="3"/>
        <v>1025</v>
      </c>
      <c r="J62" s="38">
        <f t="shared" si="4"/>
        <v>1127</v>
      </c>
      <c r="K62" s="80">
        <f t="shared" si="5"/>
        <v>0.4370731707</v>
      </c>
      <c r="L62" s="80">
        <f t="shared" si="6"/>
        <v>0.3765853659</v>
      </c>
      <c r="M62" s="80">
        <f t="shared" si="7"/>
        <v>0.1863414634</v>
      </c>
      <c r="N62" s="81" t="str">
        <f t="shared" si="8"/>
        <v>Jânio</v>
      </c>
      <c r="O62" s="50" t="s">
        <v>77</v>
      </c>
      <c r="P62" s="38">
        <v>435.0</v>
      </c>
      <c r="Q62" s="38">
        <v>241.0</v>
      </c>
      <c r="R62" s="38">
        <v>296.0</v>
      </c>
      <c r="S62" s="38">
        <v>116.0</v>
      </c>
      <c r="T62" s="38">
        <v>39.0</v>
      </c>
      <c r="U62" s="71">
        <f t="shared" si="9"/>
        <v>972</v>
      </c>
      <c r="V62" s="71">
        <f t="shared" si="10"/>
        <v>1127</v>
      </c>
      <c r="W62" s="80">
        <f t="shared" si="11"/>
        <v>0.4475308642</v>
      </c>
      <c r="X62" s="80">
        <f t="shared" si="12"/>
        <v>0.2479423868</v>
      </c>
      <c r="Y62" s="80">
        <f t="shared" si="13"/>
        <v>0.304526749</v>
      </c>
      <c r="Z62" s="81" t="str">
        <f t="shared" si="14"/>
        <v>Jango</v>
      </c>
      <c r="AA62" s="50" t="s">
        <v>77</v>
      </c>
      <c r="AB62" s="48">
        <v>1208.0</v>
      </c>
      <c r="AC62" s="48">
        <f t="shared" si="15"/>
        <v>81</v>
      </c>
      <c r="AD62" s="82">
        <f t="shared" si="16"/>
        <v>0.9329470199</v>
      </c>
      <c r="AE62" s="83"/>
    </row>
    <row r="63">
      <c r="A63" s="45" t="s">
        <v>196</v>
      </c>
      <c r="B63" s="78" t="s">
        <v>197</v>
      </c>
      <c r="C63" s="79"/>
      <c r="D63" s="38">
        <v>345.0</v>
      </c>
      <c r="E63" s="38">
        <v>451.0</v>
      </c>
      <c r="F63" s="38">
        <v>225.0</v>
      </c>
      <c r="G63" s="38">
        <v>42.0</v>
      </c>
      <c r="H63" s="38">
        <v>40.0</v>
      </c>
      <c r="I63" s="38">
        <f t="shared" si="3"/>
        <v>1021</v>
      </c>
      <c r="J63" s="38">
        <f t="shared" si="4"/>
        <v>1103</v>
      </c>
      <c r="K63" s="80">
        <f t="shared" si="5"/>
        <v>0.3379040157</v>
      </c>
      <c r="L63" s="80">
        <f t="shared" si="6"/>
        <v>0.4417238002</v>
      </c>
      <c r="M63" s="80">
        <f t="shared" si="7"/>
        <v>0.2203721841</v>
      </c>
      <c r="N63" s="81" t="str">
        <f t="shared" si="8"/>
        <v>Mal. Lott</v>
      </c>
      <c r="O63" s="50" t="s">
        <v>77</v>
      </c>
      <c r="P63" s="38">
        <v>503.0</v>
      </c>
      <c r="Q63" s="38">
        <v>279.0</v>
      </c>
      <c r="R63" s="38">
        <v>198.0</v>
      </c>
      <c r="S63" s="38">
        <v>76.0</v>
      </c>
      <c r="T63" s="38">
        <v>47.0</v>
      </c>
      <c r="U63" s="71">
        <f t="shared" si="9"/>
        <v>980</v>
      </c>
      <c r="V63" s="71">
        <f t="shared" si="10"/>
        <v>1103</v>
      </c>
      <c r="W63" s="80">
        <f t="shared" si="11"/>
        <v>0.5132653061</v>
      </c>
      <c r="X63" s="80">
        <f t="shared" si="12"/>
        <v>0.2846938776</v>
      </c>
      <c r="Y63" s="80">
        <f t="shared" si="13"/>
        <v>0.2020408163</v>
      </c>
      <c r="Z63" s="81" t="str">
        <f t="shared" si="14"/>
        <v>Jango</v>
      </c>
      <c r="AA63" s="50" t="s">
        <v>77</v>
      </c>
      <c r="AB63" s="48">
        <v>1667.0</v>
      </c>
      <c r="AC63" s="48">
        <f t="shared" si="15"/>
        <v>564</v>
      </c>
      <c r="AD63" s="82">
        <f t="shared" si="16"/>
        <v>0.6616676665</v>
      </c>
      <c r="AE63" s="83"/>
    </row>
    <row r="64">
      <c r="A64" s="61" t="s">
        <v>198</v>
      </c>
      <c r="B64" s="78" t="s">
        <v>199</v>
      </c>
      <c r="C64" s="79"/>
      <c r="D64" s="38">
        <v>1789.0</v>
      </c>
      <c r="E64" s="38">
        <v>1636.0</v>
      </c>
      <c r="F64" s="38">
        <v>522.0</v>
      </c>
      <c r="G64" s="38">
        <v>267.0</v>
      </c>
      <c r="H64" s="38">
        <v>140.0</v>
      </c>
      <c r="I64" s="38">
        <f t="shared" si="3"/>
        <v>3947</v>
      </c>
      <c r="J64" s="38">
        <f t="shared" si="4"/>
        <v>4354</v>
      </c>
      <c r="K64" s="80">
        <f t="shared" si="5"/>
        <v>0.4532556372</v>
      </c>
      <c r="L64" s="80">
        <f t="shared" si="6"/>
        <v>0.4144920193</v>
      </c>
      <c r="M64" s="80">
        <f t="shared" si="7"/>
        <v>0.1322523436</v>
      </c>
      <c r="N64" s="81" t="str">
        <f t="shared" si="8"/>
        <v>Jânio</v>
      </c>
      <c r="O64" s="50" t="s">
        <v>77</v>
      </c>
      <c r="P64" s="38">
        <v>1857.0</v>
      </c>
      <c r="Q64" s="38">
        <v>1093.0</v>
      </c>
      <c r="R64" s="38">
        <v>590.0</v>
      </c>
      <c r="S64" s="38">
        <v>699.0</v>
      </c>
      <c r="T64" s="38">
        <v>115.0</v>
      </c>
      <c r="U64" s="71">
        <f t="shared" si="9"/>
        <v>3540</v>
      </c>
      <c r="V64" s="71">
        <f t="shared" si="10"/>
        <v>4354</v>
      </c>
      <c r="W64" s="80">
        <f t="shared" si="11"/>
        <v>0.5245762712</v>
      </c>
      <c r="X64" s="80">
        <f t="shared" si="12"/>
        <v>0.3087570621</v>
      </c>
      <c r="Y64" s="80">
        <f t="shared" si="13"/>
        <v>0.1666666667</v>
      </c>
      <c r="Z64" s="81" t="str">
        <f t="shared" si="14"/>
        <v>Jango</v>
      </c>
      <c r="AA64" s="50" t="s">
        <v>77</v>
      </c>
      <c r="AB64" s="48">
        <v>6495.0</v>
      </c>
      <c r="AC64" s="48">
        <f t="shared" si="15"/>
        <v>2141</v>
      </c>
      <c r="AD64" s="82">
        <f t="shared" si="16"/>
        <v>0.6703618168</v>
      </c>
      <c r="AE64" s="83"/>
    </row>
    <row r="65">
      <c r="A65" s="23"/>
      <c r="B65" s="78" t="s">
        <v>200</v>
      </c>
      <c r="C65" s="79"/>
      <c r="D65" s="38">
        <v>531.0</v>
      </c>
      <c r="E65" s="38">
        <v>827.0</v>
      </c>
      <c r="F65" s="38">
        <v>98.0</v>
      </c>
      <c r="G65" s="38">
        <v>120.0</v>
      </c>
      <c r="H65" s="38">
        <v>42.0</v>
      </c>
      <c r="I65" s="38">
        <f t="shared" si="3"/>
        <v>1456</v>
      </c>
      <c r="J65" s="38">
        <f t="shared" si="4"/>
        <v>1618</v>
      </c>
      <c r="K65" s="80">
        <f t="shared" si="5"/>
        <v>0.3646978022</v>
      </c>
      <c r="L65" s="80">
        <f t="shared" si="6"/>
        <v>0.5679945055</v>
      </c>
      <c r="M65" s="80">
        <f t="shared" si="7"/>
        <v>0.06730769231</v>
      </c>
      <c r="N65" s="81" t="str">
        <f t="shared" si="8"/>
        <v>Mal. Lott</v>
      </c>
      <c r="O65" s="50" t="s">
        <v>77</v>
      </c>
      <c r="P65" s="38">
        <v>856.0</v>
      </c>
      <c r="Q65" s="38">
        <v>323.0</v>
      </c>
      <c r="R65" s="38">
        <v>178.0</v>
      </c>
      <c r="S65" s="38">
        <v>223.0</v>
      </c>
      <c r="T65" s="38">
        <v>38.0</v>
      </c>
      <c r="U65" s="71">
        <f t="shared" si="9"/>
        <v>1357</v>
      </c>
      <c r="V65" s="71">
        <f t="shared" si="10"/>
        <v>1618</v>
      </c>
      <c r="W65" s="80">
        <f t="shared" si="11"/>
        <v>0.6308032424</v>
      </c>
      <c r="X65" s="80">
        <f t="shared" si="12"/>
        <v>0.2380250553</v>
      </c>
      <c r="Y65" s="80">
        <f t="shared" si="13"/>
        <v>0.1311717023</v>
      </c>
      <c r="Z65" s="81" t="str">
        <f t="shared" si="14"/>
        <v>Jango</v>
      </c>
      <c r="AA65" s="50" t="s">
        <v>77</v>
      </c>
      <c r="AB65" s="48">
        <v>2294.0</v>
      </c>
      <c r="AC65" s="48">
        <f t="shared" si="15"/>
        <v>676</v>
      </c>
      <c r="AD65" s="82">
        <f t="shared" si="16"/>
        <v>0.7053182214</v>
      </c>
      <c r="AE65" s="83"/>
    </row>
    <row r="66">
      <c r="A66" s="24"/>
      <c r="B66" s="78" t="s">
        <v>201</v>
      </c>
      <c r="C66" s="79"/>
      <c r="D66" s="38">
        <v>1003.0</v>
      </c>
      <c r="E66" s="38">
        <v>1230.0</v>
      </c>
      <c r="F66" s="38">
        <v>253.0</v>
      </c>
      <c r="G66" s="38">
        <v>181.0</v>
      </c>
      <c r="H66" s="38">
        <v>105.0</v>
      </c>
      <c r="I66" s="38">
        <f t="shared" si="3"/>
        <v>2486</v>
      </c>
      <c r="J66" s="38">
        <f t="shared" si="4"/>
        <v>2772</v>
      </c>
      <c r="K66" s="80">
        <f t="shared" si="5"/>
        <v>0.4034593725</v>
      </c>
      <c r="L66" s="80">
        <f t="shared" si="6"/>
        <v>0.494770716</v>
      </c>
      <c r="M66" s="80">
        <f t="shared" si="7"/>
        <v>0.1017699115</v>
      </c>
      <c r="N66" s="81" t="str">
        <f t="shared" si="8"/>
        <v>Mal. Lott</v>
      </c>
      <c r="O66" s="50" t="s">
        <v>77</v>
      </c>
      <c r="P66" s="38">
        <v>1405.0</v>
      </c>
      <c r="Q66" s="38">
        <v>599.0</v>
      </c>
      <c r="R66" s="38">
        <v>270.0</v>
      </c>
      <c r="S66" s="38">
        <v>403.0</v>
      </c>
      <c r="T66" s="38">
        <v>95.0</v>
      </c>
      <c r="U66" s="71">
        <f t="shared" si="9"/>
        <v>2274</v>
      </c>
      <c r="V66" s="71">
        <f t="shared" si="10"/>
        <v>2772</v>
      </c>
      <c r="W66" s="80">
        <f t="shared" si="11"/>
        <v>0.6178540018</v>
      </c>
      <c r="X66" s="80">
        <f t="shared" si="12"/>
        <v>0.263412489</v>
      </c>
      <c r="Y66" s="80">
        <f t="shared" si="13"/>
        <v>0.1187335092</v>
      </c>
      <c r="Z66" s="81" t="str">
        <f t="shared" si="14"/>
        <v>Jango</v>
      </c>
      <c r="AA66" s="50" t="s">
        <v>77</v>
      </c>
      <c r="AB66" s="48">
        <v>4180.0</v>
      </c>
      <c r="AC66" s="48">
        <f t="shared" si="15"/>
        <v>1408</v>
      </c>
      <c r="AD66" s="82">
        <f t="shared" si="16"/>
        <v>0.6631578947</v>
      </c>
      <c r="AE66" s="83"/>
    </row>
    <row r="67">
      <c r="A67" s="61" t="s">
        <v>202</v>
      </c>
      <c r="B67" s="78" t="s">
        <v>203</v>
      </c>
      <c r="C67" s="79"/>
      <c r="D67" s="38">
        <v>322.0</v>
      </c>
      <c r="E67" s="38">
        <v>274.0</v>
      </c>
      <c r="F67" s="38">
        <v>219.0</v>
      </c>
      <c r="G67" s="38">
        <v>47.0</v>
      </c>
      <c r="H67" s="38">
        <v>25.0</v>
      </c>
      <c r="I67" s="38">
        <f t="shared" si="3"/>
        <v>815</v>
      </c>
      <c r="J67" s="38">
        <f t="shared" si="4"/>
        <v>887</v>
      </c>
      <c r="K67" s="80">
        <f t="shared" si="5"/>
        <v>0.3950920245</v>
      </c>
      <c r="L67" s="80">
        <f t="shared" si="6"/>
        <v>0.336196319</v>
      </c>
      <c r="M67" s="80">
        <f t="shared" si="7"/>
        <v>0.2687116564</v>
      </c>
      <c r="N67" s="81" t="str">
        <f t="shared" si="8"/>
        <v>Jânio</v>
      </c>
      <c r="O67" s="50" t="s">
        <v>77</v>
      </c>
      <c r="P67" s="38">
        <v>299.0</v>
      </c>
      <c r="Q67" s="38">
        <v>125.0</v>
      </c>
      <c r="R67" s="38">
        <v>320.0</v>
      </c>
      <c r="S67" s="38">
        <v>124.0</v>
      </c>
      <c r="T67" s="38">
        <v>19.0</v>
      </c>
      <c r="U67" s="71">
        <f t="shared" si="9"/>
        <v>744</v>
      </c>
      <c r="V67" s="71">
        <f t="shared" si="10"/>
        <v>887</v>
      </c>
      <c r="W67" s="80">
        <f t="shared" si="11"/>
        <v>0.4018817204</v>
      </c>
      <c r="X67" s="80">
        <f t="shared" si="12"/>
        <v>0.1680107527</v>
      </c>
      <c r="Y67" s="80">
        <f t="shared" si="13"/>
        <v>0.4301075269</v>
      </c>
      <c r="Z67" s="81" t="str">
        <f t="shared" si="14"/>
        <v>Ferrari</v>
      </c>
      <c r="AA67" s="50" t="s">
        <v>77</v>
      </c>
      <c r="AB67" s="48">
        <v>1227.0</v>
      </c>
      <c r="AC67" s="48">
        <f t="shared" si="15"/>
        <v>340</v>
      </c>
      <c r="AD67" s="82">
        <f t="shared" si="16"/>
        <v>0.7229013855</v>
      </c>
      <c r="AE67" s="83"/>
    </row>
    <row r="68">
      <c r="A68" s="24"/>
      <c r="B68" s="78" t="s">
        <v>204</v>
      </c>
      <c r="C68" s="79"/>
      <c r="D68" s="38">
        <v>105.0</v>
      </c>
      <c r="E68" s="38">
        <v>154.0</v>
      </c>
      <c r="F68" s="38">
        <v>13.0</v>
      </c>
      <c r="G68" s="38">
        <v>19.0</v>
      </c>
      <c r="H68" s="38">
        <v>15.0</v>
      </c>
      <c r="I68" s="38">
        <f t="shared" si="3"/>
        <v>272</v>
      </c>
      <c r="J68" s="38">
        <f t="shared" si="4"/>
        <v>306</v>
      </c>
      <c r="K68" s="80">
        <f t="shared" si="5"/>
        <v>0.3860294118</v>
      </c>
      <c r="L68" s="80">
        <f t="shared" si="6"/>
        <v>0.5661764706</v>
      </c>
      <c r="M68" s="80">
        <f t="shared" si="7"/>
        <v>0.04779411765</v>
      </c>
      <c r="N68" s="81" t="str">
        <f t="shared" si="8"/>
        <v>Mal. Lott</v>
      </c>
      <c r="O68" s="50" t="s">
        <v>77</v>
      </c>
      <c r="P68" s="38">
        <v>160.0</v>
      </c>
      <c r="Q68" s="38">
        <v>54.0</v>
      </c>
      <c r="R68" s="38">
        <v>53.0</v>
      </c>
      <c r="S68" s="38">
        <v>29.0</v>
      </c>
      <c r="T68" s="38">
        <v>10.0</v>
      </c>
      <c r="U68" s="71">
        <f t="shared" si="9"/>
        <v>267</v>
      </c>
      <c r="V68" s="71">
        <f t="shared" si="10"/>
        <v>306</v>
      </c>
      <c r="W68" s="80">
        <f t="shared" si="11"/>
        <v>0.5992509363</v>
      </c>
      <c r="X68" s="80">
        <f t="shared" si="12"/>
        <v>0.202247191</v>
      </c>
      <c r="Y68" s="80">
        <f t="shared" si="13"/>
        <v>0.1985018727</v>
      </c>
      <c r="Z68" s="81" t="str">
        <f t="shared" si="14"/>
        <v>Jango</v>
      </c>
      <c r="AA68" s="50" t="s">
        <v>77</v>
      </c>
      <c r="AB68" s="48">
        <v>470.0</v>
      </c>
      <c r="AC68" s="48">
        <f t="shared" si="15"/>
        <v>164</v>
      </c>
      <c r="AD68" s="82">
        <f t="shared" si="16"/>
        <v>0.6510638298</v>
      </c>
      <c r="AE68" s="83"/>
    </row>
    <row r="69">
      <c r="A69" s="45" t="s">
        <v>205</v>
      </c>
      <c r="B69" s="78" t="s">
        <v>206</v>
      </c>
      <c r="C69" s="79"/>
      <c r="D69" s="38">
        <v>1325.0</v>
      </c>
      <c r="E69" s="38">
        <v>1336.0</v>
      </c>
      <c r="F69" s="38">
        <v>134.0</v>
      </c>
      <c r="G69" s="38">
        <v>212.0</v>
      </c>
      <c r="H69" s="38">
        <v>79.0</v>
      </c>
      <c r="I69" s="38">
        <f t="shared" si="3"/>
        <v>2795</v>
      </c>
      <c r="J69" s="38">
        <f t="shared" si="4"/>
        <v>3086</v>
      </c>
      <c r="K69" s="80">
        <f t="shared" si="5"/>
        <v>0.4740608229</v>
      </c>
      <c r="L69" s="80">
        <f t="shared" si="6"/>
        <v>0.4779964222</v>
      </c>
      <c r="M69" s="80">
        <f t="shared" si="7"/>
        <v>0.04794275492</v>
      </c>
      <c r="N69" s="81" t="str">
        <f t="shared" si="8"/>
        <v>Mal. Lott</v>
      </c>
      <c r="O69" s="50" t="s">
        <v>77</v>
      </c>
      <c r="P69" s="38">
        <v>1315.0</v>
      </c>
      <c r="Q69" s="38">
        <v>1121.0</v>
      </c>
      <c r="R69" s="38">
        <v>219.0</v>
      </c>
      <c r="S69" s="38">
        <v>351.0</v>
      </c>
      <c r="T69" s="38">
        <v>80.0</v>
      </c>
      <c r="U69" s="71">
        <f t="shared" si="9"/>
        <v>2655</v>
      </c>
      <c r="V69" s="71">
        <f t="shared" si="10"/>
        <v>3086</v>
      </c>
      <c r="W69" s="80">
        <f t="shared" si="11"/>
        <v>0.4952919021</v>
      </c>
      <c r="X69" s="80">
        <f t="shared" si="12"/>
        <v>0.4222222222</v>
      </c>
      <c r="Y69" s="80">
        <f t="shared" si="13"/>
        <v>0.08248587571</v>
      </c>
      <c r="Z69" s="81" t="str">
        <f t="shared" si="14"/>
        <v>Jango</v>
      </c>
      <c r="AA69" s="50" t="s">
        <v>77</v>
      </c>
      <c r="AB69" s="48">
        <v>3869.0</v>
      </c>
      <c r="AC69" s="48">
        <f t="shared" si="15"/>
        <v>783</v>
      </c>
      <c r="AD69" s="82">
        <f t="shared" si="16"/>
        <v>0.7976221246</v>
      </c>
      <c r="AE69" s="83"/>
    </row>
    <row r="70">
      <c r="A70" s="45" t="s">
        <v>207</v>
      </c>
      <c r="B70" s="78" t="s">
        <v>208</v>
      </c>
      <c r="C70" s="79"/>
      <c r="D70" s="38">
        <v>1672.0</v>
      </c>
      <c r="E70" s="38">
        <v>1340.0</v>
      </c>
      <c r="F70" s="38">
        <v>212.0</v>
      </c>
      <c r="G70" s="38">
        <v>324.0</v>
      </c>
      <c r="H70" s="38">
        <v>1.0</v>
      </c>
      <c r="I70" s="38">
        <f t="shared" si="3"/>
        <v>3224</v>
      </c>
      <c r="J70" s="38">
        <f t="shared" si="4"/>
        <v>3549</v>
      </c>
      <c r="K70" s="80">
        <f t="shared" si="5"/>
        <v>0.5186104218</v>
      </c>
      <c r="L70" s="80">
        <f t="shared" si="6"/>
        <v>0.4156327543</v>
      </c>
      <c r="M70" s="80">
        <f t="shared" si="7"/>
        <v>0.06575682382</v>
      </c>
      <c r="N70" s="81" t="str">
        <f t="shared" si="8"/>
        <v>Jânio</v>
      </c>
      <c r="O70" s="50" t="s">
        <v>77</v>
      </c>
      <c r="P70" s="38">
        <v>1399.0</v>
      </c>
      <c r="Q70" s="38">
        <v>1378.0</v>
      </c>
      <c r="R70" s="38">
        <v>293.0</v>
      </c>
      <c r="S70" s="38">
        <v>478.0</v>
      </c>
      <c r="T70" s="38">
        <v>1.0</v>
      </c>
      <c r="U70" s="71">
        <f t="shared" si="9"/>
        <v>3070</v>
      </c>
      <c r="V70" s="71">
        <f t="shared" si="10"/>
        <v>3549</v>
      </c>
      <c r="W70" s="80">
        <f t="shared" si="11"/>
        <v>0.4557003257</v>
      </c>
      <c r="X70" s="80">
        <f t="shared" si="12"/>
        <v>0.4488599349</v>
      </c>
      <c r="Y70" s="80">
        <f t="shared" si="13"/>
        <v>0.09543973941</v>
      </c>
      <c r="Z70" s="81" t="str">
        <f t="shared" si="14"/>
        <v>Jango</v>
      </c>
      <c r="AA70" s="50" t="s">
        <v>77</v>
      </c>
      <c r="AB70" s="48">
        <v>4922.0</v>
      </c>
      <c r="AC70" s="48">
        <f t="shared" si="15"/>
        <v>1373</v>
      </c>
      <c r="AD70" s="82">
        <f t="shared" si="16"/>
        <v>0.7210483543</v>
      </c>
      <c r="AE70" s="83"/>
    </row>
    <row r="71">
      <c r="A71" s="45" t="s">
        <v>209</v>
      </c>
      <c r="B71" s="78" t="s">
        <v>210</v>
      </c>
      <c r="C71" s="79"/>
      <c r="D71" s="38">
        <v>1612.0</v>
      </c>
      <c r="E71" s="38">
        <v>1437.0</v>
      </c>
      <c r="F71" s="38">
        <v>604.0</v>
      </c>
      <c r="G71" s="38">
        <v>241.0</v>
      </c>
      <c r="H71" s="38">
        <v>218.0</v>
      </c>
      <c r="I71" s="38">
        <f t="shared" si="3"/>
        <v>3653</v>
      </c>
      <c r="J71" s="38">
        <f t="shared" si="4"/>
        <v>4112</v>
      </c>
      <c r="K71" s="80">
        <f t="shared" si="5"/>
        <v>0.4412811388</v>
      </c>
      <c r="L71" s="80">
        <f t="shared" si="6"/>
        <v>0.393375308</v>
      </c>
      <c r="M71" s="80">
        <f t="shared" si="7"/>
        <v>0.1653435532</v>
      </c>
      <c r="N71" s="81" t="str">
        <f t="shared" si="8"/>
        <v>Jânio</v>
      </c>
      <c r="O71" s="50" t="s">
        <v>77</v>
      </c>
      <c r="P71" s="38">
        <v>1580.0</v>
      </c>
      <c r="Q71" s="38">
        <v>1030.0</v>
      </c>
      <c r="R71" s="38">
        <v>757.0</v>
      </c>
      <c r="S71" s="38">
        <v>568.0</v>
      </c>
      <c r="T71" s="38">
        <v>177.0</v>
      </c>
      <c r="U71" s="71">
        <f t="shared" si="9"/>
        <v>3367</v>
      </c>
      <c r="V71" s="71">
        <f t="shared" si="10"/>
        <v>4112</v>
      </c>
      <c r="W71" s="80">
        <f t="shared" si="11"/>
        <v>0.4692604693</v>
      </c>
      <c r="X71" s="80">
        <f t="shared" si="12"/>
        <v>0.3059103059</v>
      </c>
      <c r="Y71" s="80">
        <f t="shared" si="13"/>
        <v>0.2248292248</v>
      </c>
      <c r="Z71" s="81" t="str">
        <f t="shared" si="14"/>
        <v>Jango</v>
      </c>
      <c r="AA71" s="50" t="s">
        <v>77</v>
      </c>
      <c r="AB71" s="48">
        <v>5068.0</v>
      </c>
      <c r="AC71" s="48">
        <f t="shared" si="15"/>
        <v>956</v>
      </c>
      <c r="AD71" s="82">
        <f t="shared" si="16"/>
        <v>0.8113654301</v>
      </c>
      <c r="AE71" s="83"/>
    </row>
    <row r="72">
      <c r="A72" s="45" t="s">
        <v>211</v>
      </c>
      <c r="B72" s="78" t="s">
        <v>212</v>
      </c>
      <c r="C72" s="79"/>
      <c r="D72" s="38">
        <v>1561.0</v>
      </c>
      <c r="E72" s="38">
        <v>1550.0</v>
      </c>
      <c r="F72" s="38">
        <v>378.0</v>
      </c>
      <c r="G72" s="38">
        <v>133.0</v>
      </c>
      <c r="H72" s="38">
        <v>143.0</v>
      </c>
      <c r="I72" s="38">
        <f t="shared" si="3"/>
        <v>3489</v>
      </c>
      <c r="J72" s="38">
        <f t="shared" si="4"/>
        <v>3765</v>
      </c>
      <c r="K72" s="80">
        <f t="shared" si="5"/>
        <v>0.4474061336</v>
      </c>
      <c r="L72" s="80">
        <f t="shared" si="6"/>
        <v>0.4442533677</v>
      </c>
      <c r="M72" s="80">
        <f t="shared" si="7"/>
        <v>0.1083404987</v>
      </c>
      <c r="N72" s="81" t="str">
        <f t="shared" si="8"/>
        <v>Jânio</v>
      </c>
      <c r="O72" s="50" t="s">
        <v>77</v>
      </c>
      <c r="P72" s="38">
        <v>1713.0</v>
      </c>
      <c r="Q72" s="38">
        <v>1122.0</v>
      </c>
      <c r="R72" s="38">
        <v>503.0</v>
      </c>
      <c r="S72" s="38">
        <v>311.0</v>
      </c>
      <c r="T72" s="38">
        <v>116.0</v>
      </c>
      <c r="U72" s="71">
        <f t="shared" si="9"/>
        <v>3338</v>
      </c>
      <c r="V72" s="71">
        <f t="shared" si="10"/>
        <v>3765</v>
      </c>
      <c r="W72" s="80">
        <f t="shared" si="11"/>
        <v>0.5131815458</v>
      </c>
      <c r="X72" s="80">
        <f t="shared" si="12"/>
        <v>0.3361294188</v>
      </c>
      <c r="Y72" s="80">
        <f t="shared" si="13"/>
        <v>0.1506890354</v>
      </c>
      <c r="Z72" s="81" t="str">
        <f t="shared" si="14"/>
        <v>Jango</v>
      </c>
      <c r="AA72" s="50" t="s">
        <v>77</v>
      </c>
      <c r="AB72" s="48">
        <v>5648.0</v>
      </c>
      <c r="AC72" s="48">
        <f t="shared" si="15"/>
        <v>1883</v>
      </c>
      <c r="AD72" s="82">
        <f t="shared" si="16"/>
        <v>0.6666076487</v>
      </c>
      <c r="AE72" s="83"/>
    </row>
    <row r="73">
      <c r="A73" s="45" t="s">
        <v>213</v>
      </c>
      <c r="B73" s="78" t="s">
        <v>214</v>
      </c>
      <c r="C73" s="79"/>
      <c r="D73" s="38">
        <v>495.0</v>
      </c>
      <c r="E73" s="38">
        <v>441.0</v>
      </c>
      <c r="F73" s="38">
        <v>101.0</v>
      </c>
      <c r="G73" s="38">
        <v>61.0</v>
      </c>
      <c r="H73" s="38">
        <v>48.0</v>
      </c>
      <c r="I73" s="38">
        <f t="shared" si="3"/>
        <v>1037</v>
      </c>
      <c r="J73" s="38">
        <f t="shared" si="4"/>
        <v>1146</v>
      </c>
      <c r="K73" s="80">
        <f t="shared" si="5"/>
        <v>0.4773384764</v>
      </c>
      <c r="L73" s="80">
        <f t="shared" si="6"/>
        <v>0.425265188</v>
      </c>
      <c r="M73" s="80">
        <f t="shared" si="7"/>
        <v>0.09739633558</v>
      </c>
      <c r="N73" s="81" t="str">
        <f t="shared" si="8"/>
        <v>Jânio</v>
      </c>
      <c r="O73" s="50" t="s">
        <v>77</v>
      </c>
      <c r="P73" s="38">
        <v>545.0</v>
      </c>
      <c r="Q73" s="38">
        <v>331.0</v>
      </c>
      <c r="R73" s="38">
        <v>114.0</v>
      </c>
      <c r="S73" s="38">
        <v>99.0</v>
      </c>
      <c r="T73" s="38">
        <v>57.0</v>
      </c>
      <c r="U73" s="71">
        <f t="shared" si="9"/>
        <v>990</v>
      </c>
      <c r="V73" s="71">
        <f t="shared" si="10"/>
        <v>1146</v>
      </c>
      <c r="W73" s="80">
        <f t="shared" si="11"/>
        <v>0.5505050505</v>
      </c>
      <c r="X73" s="80">
        <f t="shared" si="12"/>
        <v>0.3343434343</v>
      </c>
      <c r="Y73" s="80">
        <f t="shared" si="13"/>
        <v>0.1151515152</v>
      </c>
      <c r="Z73" s="81" t="str">
        <f t="shared" si="14"/>
        <v>Jango</v>
      </c>
      <c r="AA73" s="50" t="s">
        <v>77</v>
      </c>
      <c r="AB73" s="48">
        <v>1473.0</v>
      </c>
      <c r="AC73" s="48">
        <f t="shared" si="15"/>
        <v>327</v>
      </c>
      <c r="AD73" s="82">
        <f t="shared" si="16"/>
        <v>0.7780040733</v>
      </c>
      <c r="AE73" s="83"/>
    </row>
    <row r="74">
      <c r="A74" s="61" t="s">
        <v>215</v>
      </c>
      <c r="B74" s="78" t="s">
        <v>216</v>
      </c>
      <c r="C74" s="79"/>
      <c r="D74" s="38">
        <v>613.0</v>
      </c>
      <c r="E74" s="38">
        <v>549.0</v>
      </c>
      <c r="F74" s="38">
        <v>152.0</v>
      </c>
      <c r="G74" s="38">
        <v>74.0</v>
      </c>
      <c r="H74" s="38">
        <v>39.0</v>
      </c>
      <c r="I74" s="38">
        <f t="shared" si="3"/>
        <v>1314</v>
      </c>
      <c r="J74" s="38">
        <f t="shared" si="4"/>
        <v>1427</v>
      </c>
      <c r="K74" s="80">
        <f t="shared" si="5"/>
        <v>0.4665144597</v>
      </c>
      <c r="L74" s="80">
        <f t="shared" si="6"/>
        <v>0.4178082192</v>
      </c>
      <c r="M74" s="80">
        <f t="shared" si="7"/>
        <v>0.1156773212</v>
      </c>
      <c r="N74" s="81" t="str">
        <f t="shared" si="8"/>
        <v>Jânio</v>
      </c>
      <c r="O74" s="50" t="s">
        <v>77</v>
      </c>
      <c r="P74" s="38">
        <v>601.0</v>
      </c>
      <c r="Q74" s="38">
        <v>314.0</v>
      </c>
      <c r="R74" s="38">
        <v>173.0</v>
      </c>
      <c r="S74" s="38">
        <v>322.0</v>
      </c>
      <c r="T74" s="38">
        <v>17.0</v>
      </c>
      <c r="U74" s="71">
        <f t="shared" si="9"/>
        <v>1088</v>
      </c>
      <c r="V74" s="71">
        <f t="shared" si="10"/>
        <v>1427</v>
      </c>
      <c r="W74" s="80">
        <f t="shared" si="11"/>
        <v>0.5523897059</v>
      </c>
      <c r="X74" s="80">
        <f t="shared" si="12"/>
        <v>0.2886029412</v>
      </c>
      <c r="Y74" s="80">
        <f t="shared" si="13"/>
        <v>0.1590073529</v>
      </c>
      <c r="Z74" s="81" t="str">
        <f t="shared" si="14"/>
        <v>Jango</v>
      </c>
      <c r="AA74" s="50" t="s">
        <v>77</v>
      </c>
      <c r="AB74" s="48">
        <v>1739.0</v>
      </c>
      <c r="AC74" s="48">
        <f t="shared" si="15"/>
        <v>312</v>
      </c>
      <c r="AD74" s="82">
        <f t="shared" si="16"/>
        <v>0.820586544</v>
      </c>
      <c r="AE74" s="83"/>
    </row>
    <row r="75">
      <c r="A75" s="24"/>
      <c r="B75" s="78" t="s">
        <v>217</v>
      </c>
      <c r="C75" s="79"/>
      <c r="D75" s="38">
        <v>731.0</v>
      </c>
      <c r="E75" s="38">
        <v>714.0</v>
      </c>
      <c r="F75" s="38">
        <v>71.0</v>
      </c>
      <c r="G75" s="38">
        <v>56.0</v>
      </c>
      <c r="H75" s="38">
        <v>58.0</v>
      </c>
      <c r="I75" s="38">
        <f t="shared" si="3"/>
        <v>1516</v>
      </c>
      <c r="J75" s="38">
        <f t="shared" si="4"/>
        <v>1630</v>
      </c>
      <c r="K75" s="80">
        <f t="shared" si="5"/>
        <v>0.4821899736</v>
      </c>
      <c r="L75" s="80">
        <f t="shared" si="6"/>
        <v>0.4709762533</v>
      </c>
      <c r="M75" s="80">
        <f t="shared" si="7"/>
        <v>0.04683377309</v>
      </c>
      <c r="N75" s="81" t="str">
        <f t="shared" si="8"/>
        <v>Jânio</v>
      </c>
      <c r="O75" s="50" t="s">
        <v>77</v>
      </c>
      <c r="P75" s="38">
        <v>714.0</v>
      </c>
      <c r="Q75" s="38">
        <v>347.0</v>
      </c>
      <c r="R75" s="38">
        <v>369.0</v>
      </c>
      <c r="S75" s="38">
        <v>155.0</v>
      </c>
      <c r="T75" s="38">
        <v>45.0</v>
      </c>
      <c r="U75" s="71">
        <f t="shared" si="9"/>
        <v>1430</v>
      </c>
      <c r="V75" s="71">
        <f t="shared" si="10"/>
        <v>1630</v>
      </c>
      <c r="W75" s="80">
        <f t="shared" si="11"/>
        <v>0.4993006993</v>
      </c>
      <c r="X75" s="80">
        <f t="shared" si="12"/>
        <v>0.2426573427</v>
      </c>
      <c r="Y75" s="80">
        <f t="shared" si="13"/>
        <v>0.258041958</v>
      </c>
      <c r="Z75" s="81" t="str">
        <f t="shared" si="14"/>
        <v>Jango</v>
      </c>
      <c r="AA75" s="50" t="s">
        <v>77</v>
      </c>
      <c r="AB75" s="48">
        <v>2043.0</v>
      </c>
      <c r="AC75" s="48">
        <f t="shared" si="15"/>
        <v>413</v>
      </c>
      <c r="AD75" s="82">
        <f t="shared" si="16"/>
        <v>0.7978463045</v>
      </c>
      <c r="AE75" s="83"/>
    </row>
    <row r="76">
      <c r="A76" s="45" t="s">
        <v>218</v>
      </c>
      <c r="B76" s="78" t="s">
        <v>219</v>
      </c>
      <c r="C76" s="79"/>
      <c r="D76" s="38">
        <v>1310.0</v>
      </c>
      <c r="E76" s="38">
        <v>981.0</v>
      </c>
      <c r="F76" s="38">
        <v>241.0</v>
      </c>
      <c r="G76" s="38">
        <v>207.0</v>
      </c>
      <c r="H76" s="38">
        <v>167.0</v>
      </c>
      <c r="I76" s="38">
        <f t="shared" si="3"/>
        <v>2532</v>
      </c>
      <c r="J76" s="38">
        <f t="shared" si="4"/>
        <v>2906</v>
      </c>
      <c r="K76" s="80">
        <f t="shared" si="5"/>
        <v>0.5173775671</v>
      </c>
      <c r="L76" s="80">
        <f t="shared" si="6"/>
        <v>0.3874407583</v>
      </c>
      <c r="M76" s="80">
        <f t="shared" si="7"/>
        <v>0.09518167457</v>
      </c>
      <c r="N76" s="81" t="str">
        <f t="shared" si="8"/>
        <v>Jânio</v>
      </c>
      <c r="O76" s="50" t="s">
        <v>77</v>
      </c>
      <c r="P76" s="38">
        <v>1128.0</v>
      </c>
      <c r="Q76" s="38">
        <v>919.0</v>
      </c>
      <c r="R76" s="38">
        <v>300.0</v>
      </c>
      <c r="S76" s="38">
        <v>428.0</v>
      </c>
      <c r="T76" s="38">
        <v>131.0</v>
      </c>
      <c r="U76" s="71">
        <f t="shared" si="9"/>
        <v>2347</v>
      </c>
      <c r="V76" s="71">
        <f t="shared" si="10"/>
        <v>2906</v>
      </c>
      <c r="W76" s="80">
        <f t="shared" si="11"/>
        <v>0.4806135492</v>
      </c>
      <c r="X76" s="80">
        <f t="shared" si="12"/>
        <v>0.3915636983</v>
      </c>
      <c r="Y76" s="80">
        <f t="shared" si="13"/>
        <v>0.1278227524</v>
      </c>
      <c r="Z76" s="81" t="str">
        <f t="shared" si="14"/>
        <v>Jango</v>
      </c>
      <c r="AA76" s="50" t="s">
        <v>77</v>
      </c>
      <c r="AB76" s="48">
        <v>4088.0</v>
      </c>
      <c r="AC76" s="48">
        <f t="shared" si="15"/>
        <v>1182</v>
      </c>
      <c r="AD76" s="82">
        <f t="shared" si="16"/>
        <v>0.7108610568</v>
      </c>
      <c r="AE76" s="83"/>
    </row>
    <row r="77">
      <c r="A77" s="45" t="s">
        <v>220</v>
      </c>
      <c r="B77" s="78" t="s">
        <v>221</v>
      </c>
      <c r="C77" s="79"/>
      <c r="D77" s="38">
        <v>575.0</v>
      </c>
      <c r="E77" s="38">
        <v>933.0</v>
      </c>
      <c r="F77" s="38">
        <v>112.0</v>
      </c>
      <c r="G77" s="38">
        <v>102.0</v>
      </c>
      <c r="H77" s="38">
        <v>56.0</v>
      </c>
      <c r="I77" s="38">
        <f t="shared" si="3"/>
        <v>1620</v>
      </c>
      <c r="J77" s="38">
        <f t="shared" si="4"/>
        <v>1778</v>
      </c>
      <c r="K77" s="80">
        <f t="shared" si="5"/>
        <v>0.3549382716</v>
      </c>
      <c r="L77" s="80">
        <f t="shared" si="6"/>
        <v>0.5759259259</v>
      </c>
      <c r="M77" s="80">
        <f t="shared" si="7"/>
        <v>0.06913580247</v>
      </c>
      <c r="N77" s="81" t="str">
        <f t="shared" si="8"/>
        <v>Mal. Lott</v>
      </c>
      <c r="O77" s="50" t="s">
        <v>77</v>
      </c>
      <c r="P77" s="38">
        <v>1047.0</v>
      </c>
      <c r="Q77" s="38">
        <v>352.0</v>
      </c>
      <c r="R77" s="38">
        <v>133.0</v>
      </c>
      <c r="S77" s="38">
        <v>203.0</v>
      </c>
      <c r="T77" s="38">
        <v>43.0</v>
      </c>
      <c r="U77" s="71">
        <f t="shared" si="9"/>
        <v>1532</v>
      </c>
      <c r="V77" s="71">
        <f t="shared" si="10"/>
        <v>1778</v>
      </c>
      <c r="W77" s="80">
        <f t="shared" si="11"/>
        <v>0.6834203655</v>
      </c>
      <c r="X77" s="80">
        <f t="shared" si="12"/>
        <v>0.2297650131</v>
      </c>
      <c r="Y77" s="80">
        <f t="shared" si="13"/>
        <v>0.08681462141</v>
      </c>
      <c r="Z77" s="81" t="str">
        <f t="shared" si="14"/>
        <v>Jango</v>
      </c>
      <c r="AA77" s="50" t="s">
        <v>77</v>
      </c>
      <c r="AB77" s="48">
        <v>2392.0</v>
      </c>
      <c r="AC77" s="48">
        <f t="shared" si="15"/>
        <v>614</v>
      </c>
      <c r="AD77" s="82">
        <f t="shared" si="16"/>
        <v>0.7433110368</v>
      </c>
      <c r="AE77" s="83"/>
    </row>
    <row r="78">
      <c r="A78" s="69" t="s">
        <v>54</v>
      </c>
      <c r="B78" s="13"/>
      <c r="C78" s="79"/>
      <c r="D78" s="38">
        <f t="shared" ref="D78:H78" si="17">sum(D18:D77)</f>
        <v>102175</v>
      </c>
      <c r="E78" s="38">
        <f t="shared" si="17"/>
        <v>90261</v>
      </c>
      <c r="F78" s="38">
        <f t="shared" si="17"/>
        <v>18074</v>
      </c>
      <c r="G78" s="38">
        <f t="shared" si="17"/>
        <v>12683</v>
      </c>
      <c r="H78" s="38">
        <f t="shared" si="17"/>
        <v>9439</v>
      </c>
      <c r="I78" s="38">
        <f t="shared" si="3"/>
        <v>210510</v>
      </c>
      <c r="J78" s="38">
        <f t="shared" si="4"/>
        <v>232632</v>
      </c>
      <c r="K78" s="80">
        <f t="shared" si="5"/>
        <v>0.4853688661</v>
      </c>
      <c r="L78" s="80">
        <f t="shared" si="6"/>
        <v>0.4287729799</v>
      </c>
      <c r="M78" s="80">
        <f t="shared" si="7"/>
        <v>0.08585815401</v>
      </c>
      <c r="N78" s="81" t="str">
        <f t="shared" si="8"/>
        <v>Jânio</v>
      </c>
      <c r="O78" s="50"/>
      <c r="P78" s="38">
        <f t="shared" ref="P78:T78" si="18">sum(P18:P77)</f>
        <v>94609</v>
      </c>
      <c r="Q78" s="38">
        <f t="shared" si="18"/>
        <v>56268</v>
      </c>
      <c r="R78" s="38">
        <f t="shared" si="18"/>
        <v>46111</v>
      </c>
      <c r="S78" s="38">
        <f t="shared" si="18"/>
        <v>26529</v>
      </c>
      <c r="T78" s="38">
        <f t="shared" si="18"/>
        <v>9115</v>
      </c>
      <c r="U78" s="71">
        <f t="shared" si="9"/>
        <v>196988</v>
      </c>
      <c r="V78" s="71">
        <f t="shared" si="10"/>
        <v>232632</v>
      </c>
      <c r="W78" s="80">
        <f t="shared" si="11"/>
        <v>0.4802779865</v>
      </c>
      <c r="X78" s="80">
        <f t="shared" si="12"/>
        <v>0.285641765</v>
      </c>
      <c r="Y78" s="80">
        <f t="shared" si="13"/>
        <v>0.2340802485</v>
      </c>
      <c r="Z78" s="81" t="str">
        <f t="shared" si="14"/>
        <v>Jango</v>
      </c>
      <c r="AA78" s="50"/>
      <c r="AB78" s="48">
        <f>SUM(AB18:AB77)</f>
        <v>324511</v>
      </c>
      <c r="AC78" s="48">
        <f t="shared" si="15"/>
        <v>91879</v>
      </c>
      <c r="AD78" s="82">
        <f t="shared" si="16"/>
        <v>0.7168693819</v>
      </c>
      <c r="AE78" s="84"/>
    </row>
    <row r="79">
      <c r="O79" s="73"/>
    </row>
    <row r="80">
      <c r="B80" s="74" t="s">
        <v>138</v>
      </c>
      <c r="D80" s="75"/>
      <c r="E80" s="75"/>
      <c r="F80" s="75"/>
      <c r="G80" s="75"/>
    </row>
    <row r="81">
      <c r="B81" s="76" t="s">
        <v>139</v>
      </c>
      <c r="C81" s="33"/>
      <c r="D81" s="29"/>
      <c r="E81" s="29"/>
      <c r="F81" s="77"/>
      <c r="G81" s="77"/>
    </row>
    <row r="82">
      <c r="B82" s="76" t="s">
        <v>222</v>
      </c>
      <c r="D82" s="29"/>
      <c r="E82" s="29"/>
      <c r="F82" s="77"/>
      <c r="G82" s="77"/>
    </row>
    <row r="83">
      <c r="D83" s="29"/>
      <c r="E83" s="29"/>
      <c r="F83" s="77"/>
      <c r="G83" s="77"/>
    </row>
  </sheetData>
  <mergeCells count="21">
    <mergeCell ref="D2:G2"/>
    <mergeCell ref="A10:C10"/>
    <mergeCell ref="D10:N10"/>
    <mergeCell ref="P10:Z10"/>
    <mergeCell ref="AA10:AD10"/>
    <mergeCell ref="A15:A17"/>
    <mergeCell ref="A19:A23"/>
    <mergeCell ref="A52:A54"/>
    <mergeCell ref="A57:A60"/>
    <mergeCell ref="A61:A62"/>
    <mergeCell ref="A64:A66"/>
    <mergeCell ref="A67:A68"/>
    <mergeCell ref="A74:A75"/>
    <mergeCell ref="A78:B78"/>
    <mergeCell ref="A26:A28"/>
    <mergeCell ref="A32:A33"/>
    <mergeCell ref="A35:A36"/>
    <mergeCell ref="A37:A39"/>
    <mergeCell ref="A40:A41"/>
    <mergeCell ref="A44:A47"/>
    <mergeCell ref="A48:A49"/>
  </mergeCells>
  <conditionalFormatting sqref="K12:M78">
    <cfRule type="colorScale" priority="1">
      <colorScale>
        <cfvo type="min"/>
        <cfvo type="max"/>
        <color rgb="FFFFFFFF"/>
        <color rgb="FF57BB8A"/>
      </colorScale>
    </cfRule>
  </conditionalFormatting>
  <conditionalFormatting sqref="W12:Y78">
    <cfRule type="colorScale" priority="2">
      <colorScale>
        <cfvo type="min"/>
        <cfvo type="max"/>
        <color rgb="FFFFFFFF"/>
        <color rgb="FF57BB8A"/>
      </colorScale>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32">
        <f t="shared" ref="E3:E6" si="1">IF(COUNTIF($N$12:$N$104,$D3)=0,"-",COUNTIF($N$12:$N$104,$D3))</f>
        <v>23</v>
      </c>
      <c r="F3" s="32" t="s">
        <v>47</v>
      </c>
      <c r="G3" s="22">
        <f t="shared" ref="G3:G6" si="2">IF(COUNTIF($Z$12:$Z$104,$F3)=0,"-",COUNTIF($Z$12:$Z$104,$F3))</f>
        <v>85</v>
      </c>
    </row>
    <row r="4">
      <c r="D4" s="32" t="s">
        <v>48</v>
      </c>
      <c r="E4" s="32">
        <f t="shared" si="1"/>
        <v>46</v>
      </c>
      <c r="F4" s="32" t="s">
        <v>49</v>
      </c>
      <c r="G4" s="22">
        <f t="shared" si="2"/>
        <v>1</v>
      </c>
    </row>
    <row r="5">
      <c r="D5" s="32" t="s">
        <v>50</v>
      </c>
      <c r="E5" s="32">
        <f t="shared" si="1"/>
        <v>22</v>
      </c>
      <c r="F5" s="32" t="s">
        <v>51</v>
      </c>
      <c r="G5" s="22">
        <f t="shared" si="2"/>
        <v>5</v>
      </c>
    </row>
    <row r="6">
      <c r="D6" s="32" t="s">
        <v>52</v>
      </c>
      <c r="E6" s="32" t="str">
        <f t="shared" si="1"/>
        <v>-</v>
      </c>
      <c r="F6" s="32" t="s">
        <v>52</v>
      </c>
      <c r="G6" s="22" t="str">
        <f t="shared" si="2"/>
        <v>-</v>
      </c>
    </row>
    <row r="7">
      <c r="D7" s="32" t="s">
        <v>54</v>
      </c>
      <c r="E7" s="32">
        <f>SUM(E3:E6)</f>
        <v>91</v>
      </c>
      <c r="F7" s="32" t="s">
        <v>54</v>
      </c>
      <c r="G7" s="32">
        <f>SUM(G3:G6)</f>
        <v>91</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85"/>
      <c r="AB11" s="41" t="s">
        <v>70</v>
      </c>
      <c r="AC11" s="41" t="s">
        <v>71</v>
      </c>
      <c r="AD11" s="41" t="s">
        <v>72</v>
      </c>
    </row>
    <row r="12">
      <c r="A12" s="86" t="s">
        <v>223</v>
      </c>
      <c r="B12" s="87" t="s">
        <v>224</v>
      </c>
      <c r="C12" s="47"/>
      <c r="D12" s="88">
        <v>5643.0</v>
      </c>
      <c r="E12" s="88">
        <v>5521.0</v>
      </c>
      <c r="F12" s="88">
        <v>24045.0</v>
      </c>
      <c r="G12" s="88">
        <v>633.0</v>
      </c>
      <c r="H12" s="88">
        <v>1089.0</v>
      </c>
      <c r="I12" s="89">
        <f>SUM(D12:F12)</f>
        <v>35209</v>
      </c>
      <c r="J12" s="89">
        <f>SUM(G12:I12)</f>
        <v>36931</v>
      </c>
      <c r="K12" s="90">
        <f>D12/I12</f>
        <v>0.1602715215</v>
      </c>
      <c r="L12" s="90">
        <f>E12/I12</f>
        <v>0.1568064983</v>
      </c>
      <c r="M12" s="90">
        <f>F12/I12</f>
        <v>0.6829219802</v>
      </c>
      <c r="N12" s="91" t="str">
        <f>IF(LARGE(D12:F12,1)=0,#REF!,IF(LARGE(D12:F12,1)=LARGE(D12:F12,2),$D$6,IF(LARGE(D12:F12,1)=D12,$D$3,IF(LARGE(D12:F12,1)=E12,$D$4,IF(LARGE(D12:F12,1)=F12,$D$5)))))</f>
        <v>Adhemar</v>
      </c>
      <c r="O12" s="92" t="s">
        <v>77</v>
      </c>
      <c r="P12" s="88">
        <v>7143.0</v>
      </c>
      <c r="Q12" s="88">
        <v>4044.0</v>
      </c>
      <c r="R12" s="88">
        <v>22943.0</v>
      </c>
      <c r="S12" s="88">
        <v>1815.0</v>
      </c>
      <c r="T12" s="88">
        <v>986.0</v>
      </c>
      <c r="U12" s="89">
        <f>SUM(P12:R12)</f>
        <v>34130</v>
      </c>
      <c r="V12" s="89">
        <f>SUM(S12:U12)</f>
        <v>36931</v>
      </c>
      <c r="W12" s="90">
        <f>P12/U12</f>
        <v>0.2092880164</v>
      </c>
      <c r="X12" s="90">
        <f>Q12/U12</f>
        <v>0.1184881336</v>
      </c>
      <c r="Y12" s="90">
        <f>R12/U12</f>
        <v>0.67222385</v>
      </c>
      <c r="Z12" s="91" t="str">
        <f>IF(LARGE(P12:R12,1)=0,#REF!,IF(LARGE(P12:R12,1)=LARGE(P12:R12,2),$F$6,IF(LARGE(P12:R12,1)=P12,$F$3,IF(LARGE(P12:R12,1)=Q12,$F$4,IF(LARGE(P12:R12,1)=R12,$F$5)))))</f>
        <v>Ferrari</v>
      </c>
      <c r="AA12" s="93" t="s">
        <v>77</v>
      </c>
      <c r="AB12" s="88">
        <v>50794.0</v>
      </c>
      <c r="AC12" s="89">
        <f>AB12-V12</f>
        <v>13863</v>
      </c>
      <c r="AD12" s="94">
        <f>V12/AB12</f>
        <v>0.7270740639</v>
      </c>
    </row>
    <row r="13">
      <c r="A13" s="95" t="s">
        <v>225</v>
      </c>
      <c r="B13" s="6"/>
      <c r="C13" s="47"/>
      <c r="D13" s="24"/>
      <c r="E13" s="24"/>
      <c r="F13" s="24"/>
      <c r="G13" s="24"/>
      <c r="H13" s="24"/>
      <c r="I13" s="24"/>
      <c r="J13" s="24"/>
      <c r="K13" s="24"/>
      <c r="L13" s="24"/>
      <c r="M13" s="24"/>
      <c r="N13" s="24"/>
      <c r="P13" s="24"/>
      <c r="Q13" s="24"/>
      <c r="R13" s="24"/>
      <c r="S13" s="24"/>
      <c r="T13" s="24"/>
      <c r="U13" s="24"/>
      <c r="V13" s="24"/>
      <c r="W13" s="24"/>
      <c r="X13" s="24"/>
      <c r="Y13" s="24"/>
      <c r="Z13" s="24"/>
      <c r="AB13" s="24"/>
      <c r="AC13" s="24"/>
      <c r="AD13" s="24"/>
    </row>
    <row r="14">
      <c r="A14" s="86" t="s">
        <v>85</v>
      </c>
      <c r="B14" s="87" t="s">
        <v>226</v>
      </c>
      <c r="C14" s="47"/>
      <c r="D14" s="88">
        <v>2545.0</v>
      </c>
      <c r="E14" s="88">
        <v>2750.0</v>
      </c>
      <c r="F14" s="88">
        <v>1896.0</v>
      </c>
      <c r="G14" s="88">
        <v>332.0</v>
      </c>
      <c r="H14" s="88">
        <v>408.0</v>
      </c>
      <c r="I14" s="89">
        <f>SUM(D14:F14)</f>
        <v>7191</v>
      </c>
      <c r="J14" s="89">
        <f>SUM(G14:I14)</f>
        <v>7931</v>
      </c>
      <c r="K14" s="90">
        <f>D14/I14</f>
        <v>0.3539146155</v>
      </c>
      <c r="L14" s="90">
        <f>E14/I14</f>
        <v>0.3824224725</v>
      </c>
      <c r="M14" s="90">
        <f>F14/I14</f>
        <v>0.263662912</v>
      </c>
      <c r="N14" s="91" t="str">
        <f>IF(LARGE(D14:F14,1)=0,#REF!,IF(LARGE(D14:F14,1)=LARGE(D14:F14,2),$D$6,IF(LARGE(D14:F14,1)=D14,$D$3,IF(LARGE(D14:F14,1)=E14,$D$4,IF(LARGE(D14:F14,1)=F14,$D$5)))))</f>
        <v>Mal. Lott</v>
      </c>
      <c r="O14" s="92" t="s">
        <v>77</v>
      </c>
      <c r="P14" s="88">
        <v>3467.0</v>
      </c>
      <c r="Q14" s="88">
        <v>1200.0</v>
      </c>
      <c r="R14" s="88">
        <v>2073.0</v>
      </c>
      <c r="S14" s="88">
        <v>945.0</v>
      </c>
      <c r="T14" s="88">
        <v>246.0</v>
      </c>
      <c r="U14" s="89">
        <f>SUM(P14:R14)</f>
        <v>6740</v>
      </c>
      <c r="V14" s="89">
        <f>SUM(S14:U14)</f>
        <v>7931</v>
      </c>
      <c r="W14" s="90">
        <f>P14/U14</f>
        <v>0.5143916914</v>
      </c>
      <c r="X14" s="90">
        <f>Q14/U14</f>
        <v>0.178041543</v>
      </c>
      <c r="Y14" s="90">
        <f>R14/U14</f>
        <v>0.3075667656</v>
      </c>
      <c r="Z14" s="91" t="str">
        <f>IF(LARGE(P14:R14,1)=0,#REF!,IF(LARGE(P14:R14,1)=LARGE(P14:R14,2),$F$6,IF(LARGE(P14:R14,1)=P14,$F$3,IF(LARGE(P14:R14,1)=Q14,$F$4,IF(LARGE(P14:R14,1)=R14,$F$5)))))</f>
        <v>Jango</v>
      </c>
      <c r="AA14" s="93" t="s">
        <v>77</v>
      </c>
      <c r="AB14" s="88">
        <v>17148.0</v>
      </c>
      <c r="AC14" s="89">
        <f>AB14-V14</f>
        <v>9217</v>
      </c>
      <c r="AD14" s="94">
        <f>V14/AB14</f>
        <v>0.4625029158</v>
      </c>
    </row>
    <row r="15">
      <c r="A15" s="95" t="s">
        <v>227</v>
      </c>
      <c r="B15" s="6"/>
      <c r="C15" s="47"/>
      <c r="D15" s="24"/>
      <c r="E15" s="24"/>
      <c r="F15" s="24"/>
      <c r="G15" s="24"/>
      <c r="H15" s="24"/>
      <c r="I15" s="24"/>
      <c r="J15" s="24"/>
      <c r="K15" s="24"/>
      <c r="L15" s="24"/>
      <c r="M15" s="24"/>
      <c r="N15" s="24"/>
      <c r="P15" s="24"/>
      <c r="Q15" s="24"/>
      <c r="R15" s="24"/>
      <c r="S15" s="24"/>
      <c r="T15" s="24"/>
      <c r="U15" s="24"/>
      <c r="V15" s="24"/>
      <c r="W15" s="24"/>
      <c r="X15" s="24"/>
      <c r="Y15" s="24"/>
      <c r="Z15" s="24"/>
      <c r="AB15" s="24"/>
      <c r="AC15" s="24"/>
      <c r="AD15" s="24"/>
    </row>
    <row r="16">
      <c r="A16" s="96" t="s">
        <v>94</v>
      </c>
      <c r="B16" s="46" t="s">
        <v>228</v>
      </c>
      <c r="C16" s="47"/>
      <c r="D16" s="38">
        <v>813.0</v>
      </c>
      <c r="E16" s="38">
        <v>1555.0</v>
      </c>
      <c r="F16" s="38">
        <v>1890.0</v>
      </c>
      <c r="G16" s="38">
        <v>238.0</v>
      </c>
      <c r="H16" s="38">
        <v>493.0</v>
      </c>
      <c r="I16" s="48">
        <f t="shared" ref="I16:I41" si="3">SUM(D16:F16)</f>
        <v>4258</v>
      </c>
      <c r="J16" s="48">
        <f t="shared" ref="J16:J41" si="4">SUM(G16:I16)</f>
        <v>4989</v>
      </c>
      <c r="K16" s="49">
        <f t="shared" ref="K16:K41" si="5">D16/I16</f>
        <v>0.1909347111</v>
      </c>
      <c r="L16" s="49">
        <f t="shared" ref="L16:L41" si="6">E16/I16</f>
        <v>0.3651949272</v>
      </c>
      <c r="M16" s="49">
        <f t="shared" ref="M16:M41" si="7">F16/I16</f>
        <v>0.4438703617</v>
      </c>
      <c r="N16" s="32" t="str">
        <f t="shared" ref="N16:N41" si="8">IF(LARGE(D16:F16,1)=0,#REF!,IF(LARGE(D16:F16,1)=LARGE(D16:F16,2),$D$6,IF(LARGE(D16:F16,1)=D16,$D$3,IF(LARGE(D16:F16,1)=E16,$D$4,IF(LARGE(D16:F16,1)=F16,$D$5)))))</f>
        <v>Adhemar</v>
      </c>
      <c r="O16" s="92" t="s">
        <v>77</v>
      </c>
      <c r="P16" s="38">
        <v>2146.0</v>
      </c>
      <c r="Q16" s="38">
        <v>829.0</v>
      </c>
      <c r="R16" s="38">
        <v>1225.0</v>
      </c>
      <c r="S16" s="38">
        <v>547.0</v>
      </c>
      <c r="T16" s="38">
        <v>242.0</v>
      </c>
      <c r="U16" s="48">
        <f t="shared" ref="U16:U41" si="9">SUM(P16:R16)</f>
        <v>4200</v>
      </c>
      <c r="V16" s="48">
        <f t="shared" ref="V16:V41" si="10">SUM(S16:U16)</f>
        <v>4989</v>
      </c>
      <c r="W16" s="49">
        <f t="shared" ref="W16:W41" si="11">P16/U16</f>
        <v>0.510952381</v>
      </c>
      <c r="X16" s="49">
        <f t="shared" ref="X16:X41" si="12">Q16/U16</f>
        <v>0.1973809524</v>
      </c>
      <c r="Y16" s="49">
        <f t="shared" ref="Y16:Y41" si="13">R16/U16</f>
        <v>0.2916666667</v>
      </c>
      <c r="Z16" s="32" t="str">
        <f t="shared" ref="Z16:Z41" si="14">IF(LARGE(P16:R16,1)=0,#REF!,IF(LARGE(P16:R16,1)=LARGE(P16:R16,2),$F$6,IF(LARGE(P16:R16,1)=P16,$F$3,IF(LARGE(P16:R16,1)=Q16,$F$4,IF(LARGE(P16:R16,1)=R16,$F$5)))))</f>
        <v>Jango</v>
      </c>
      <c r="AA16" s="54" t="s">
        <v>77</v>
      </c>
      <c r="AB16" s="38">
        <v>8621.0</v>
      </c>
      <c r="AC16" s="48">
        <f t="shared" ref="AC16:AC41" si="15">AB16-V16</f>
        <v>3632</v>
      </c>
      <c r="AD16" s="51">
        <f t="shared" ref="AD16:AD41" si="16">V16/AB16</f>
        <v>0.5787031667</v>
      </c>
    </row>
    <row r="17">
      <c r="A17" s="23"/>
      <c r="B17" s="46" t="s">
        <v>229</v>
      </c>
      <c r="C17" s="47"/>
      <c r="D17" s="38">
        <v>817.0</v>
      </c>
      <c r="E17" s="38">
        <v>560.0</v>
      </c>
      <c r="F17" s="38">
        <v>308.0</v>
      </c>
      <c r="G17" s="38">
        <v>93.0</v>
      </c>
      <c r="H17" s="38">
        <v>150.0</v>
      </c>
      <c r="I17" s="48">
        <f t="shared" si="3"/>
        <v>1685</v>
      </c>
      <c r="J17" s="48">
        <f t="shared" si="4"/>
        <v>1928</v>
      </c>
      <c r="K17" s="49">
        <f t="shared" si="5"/>
        <v>0.4848664688</v>
      </c>
      <c r="L17" s="49">
        <f t="shared" si="6"/>
        <v>0.3323442136</v>
      </c>
      <c r="M17" s="49">
        <f t="shared" si="7"/>
        <v>0.1827893175</v>
      </c>
      <c r="N17" s="32" t="str">
        <f t="shared" si="8"/>
        <v>Jânio</v>
      </c>
      <c r="O17" s="92" t="s">
        <v>77</v>
      </c>
      <c r="P17" s="38">
        <v>693.0</v>
      </c>
      <c r="Q17" s="38">
        <v>280.0</v>
      </c>
      <c r="R17" s="38">
        <v>632.0</v>
      </c>
      <c r="S17" s="38">
        <v>190.0</v>
      </c>
      <c r="T17" s="38">
        <v>133.0</v>
      </c>
      <c r="U17" s="48">
        <f t="shared" si="9"/>
        <v>1605</v>
      </c>
      <c r="V17" s="48">
        <f t="shared" si="10"/>
        <v>1928</v>
      </c>
      <c r="W17" s="49">
        <f t="shared" si="11"/>
        <v>0.4317757009</v>
      </c>
      <c r="X17" s="49">
        <f t="shared" si="12"/>
        <v>0.1744548287</v>
      </c>
      <c r="Y17" s="49">
        <f t="shared" si="13"/>
        <v>0.3937694704</v>
      </c>
      <c r="Z17" s="32" t="str">
        <f t="shared" si="14"/>
        <v>Jango</v>
      </c>
      <c r="AA17" s="54" t="s">
        <v>77</v>
      </c>
      <c r="AB17" s="38">
        <v>4544.0</v>
      </c>
      <c r="AC17" s="48">
        <f t="shared" si="15"/>
        <v>2616</v>
      </c>
      <c r="AD17" s="51">
        <f t="shared" si="16"/>
        <v>0.4242957746</v>
      </c>
    </row>
    <row r="18">
      <c r="A18" s="24"/>
      <c r="B18" s="46" t="s">
        <v>230</v>
      </c>
      <c r="C18" s="47"/>
      <c r="D18" s="38">
        <v>29.0</v>
      </c>
      <c r="E18" s="38">
        <v>1010.0</v>
      </c>
      <c r="F18" s="38">
        <v>53.0</v>
      </c>
      <c r="G18" s="38">
        <v>26.0</v>
      </c>
      <c r="H18" s="38">
        <v>16.0</v>
      </c>
      <c r="I18" s="48">
        <f t="shared" si="3"/>
        <v>1092</v>
      </c>
      <c r="J18" s="48">
        <f t="shared" si="4"/>
        <v>1134</v>
      </c>
      <c r="K18" s="49">
        <f t="shared" si="5"/>
        <v>0.02655677656</v>
      </c>
      <c r="L18" s="49">
        <f t="shared" si="6"/>
        <v>0.9249084249</v>
      </c>
      <c r="M18" s="49">
        <f t="shared" si="7"/>
        <v>0.04853479853</v>
      </c>
      <c r="N18" s="32" t="str">
        <f t="shared" si="8"/>
        <v>Mal. Lott</v>
      </c>
      <c r="O18" s="92" t="s">
        <v>77</v>
      </c>
      <c r="P18" s="38">
        <v>1045.0</v>
      </c>
      <c r="Q18" s="38">
        <v>21.0</v>
      </c>
      <c r="R18" s="38">
        <v>23.0</v>
      </c>
      <c r="S18" s="38">
        <v>29.0</v>
      </c>
      <c r="T18" s="38">
        <v>16.0</v>
      </c>
      <c r="U18" s="48">
        <f t="shared" si="9"/>
        <v>1089</v>
      </c>
      <c r="V18" s="48">
        <f t="shared" si="10"/>
        <v>1134</v>
      </c>
      <c r="W18" s="49">
        <f t="shared" si="11"/>
        <v>0.9595959596</v>
      </c>
      <c r="X18" s="49">
        <f t="shared" si="12"/>
        <v>0.01928374656</v>
      </c>
      <c r="Y18" s="49">
        <f t="shared" si="13"/>
        <v>0.02112029385</v>
      </c>
      <c r="Z18" s="32" t="str">
        <f t="shared" si="14"/>
        <v>Jango</v>
      </c>
      <c r="AA18" s="54" t="s">
        <v>77</v>
      </c>
      <c r="AB18" s="38">
        <v>2069.0</v>
      </c>
      <c r="AC18" s="48">
        <f t="shared" si="15"/>
        <v>935</v>
      </c>
      <c r="AD18" s="51">
        <f t="shared" si="16"/>
        <v>0.5480908652</v>
      </c>
    </row>
    <row r="19">
      <c r="A19" s="96" t="s">
        <v>97</v>
      </c>
      <c r="B19" s="46" t="s">
        <v>231</v>
      </c>
      <c r="C19" s="47"/>
      <c r="D19" s="38">
        <v>1214.0</v>
      </c>
      <c r="E19" s="38">
        <v>1888.0</v>
      </c>
      <c r="F19" s="38">
        <v>2303.0</v>
      </c>
      <c r="G19" s="38">
        <v>402.0</v>
      </c>
      <c r="H19" s="38">
        <v>543.0</v>
      </c>
      <c r="I19" s="48">
        <f t="shared" si="3"/>
        <v>5405</v>
      </c>
      <c r="J19" s="48">
        <f t="shared" si="4"/>
        <v>6350</v>
      </c>
      <c r="K19" s="49">
        <f t="shared" si="5"/>
        <v>0.2246068455</v>
      </c>
      <c r="L19" s="49">
        <f t="shared" si="6"/>
        <v>0.349306198</v>
      </c>
      <c r="M19" s="49">
        <f t="shared" si="7"/>
        <v>0.4260869565</v>
      </c>
      <c r="N19" s="32" t="str">
        <f t="shared" si="8"/>
        <v>Adhemar</v>
      </c>
      <c r="O19" s="92" t="s">
        <v>77</v>
      </c>
      <c r="P19" s="38">
        <v>2735.0</v>
      </c>
      <c r="Q19" s="38">
        <v>912.0</v>
      </c>
      <c r="R19" s="38">
        <v>1531.0</v>
      </c>
      <c r="S19" s="38">
        <v>934.0</v>
      </c>
      <c r="T19" s="38">
        <v>238.0</v>
      </c>
      <c r="U19" s="48">
        <f t="shared" si="9"/>
        <v>5178</v>
      </c>
      <c r="V19" s="48">
        <f t="shared" si="10"/>
        <v>6350</v>
      </c>
      <c r="W19" s="49">
        <f t="shared" si="11"/>
        <v>0.5281962148</v>
      </c>
      <c r="X19" s="49">
        <f t="shared" si="12"/>
        <v>0.1761297798</v>
      </c>
      <c r="Y19" s="49">
        <f t="shared" si="13"/>
        <v>0.2956740054</v>
      </c>
      <c r="Z19" s="32" t="str">
        <f t="shared" si="14"/>
        <v>Jango</v>
      </c>
      <c r="AA19" s="54" t="s">
        <v>77</v>
      </c>
      <c r="AB19" s="38">
        <v>10401.0</v>
      </c>
      <c r="AC19" s="48">
        <f t="shared" si="15"/>
        <v>4051</v>
      </c>
      <c r="AD19" s="51">
        <f t="shared" si="16"/>
        <v>0.6105182194</v>
      </c>
    </row>
    <row r="20">
      <c r="A20" s="24"/>
      <c r="B20" s="46" t="s">
        <v>232</v>
      </c>
      <c r="C20" s="47"/>
      <c r="D20" s="38">
        <v>381.0</v>
      </c>
      <c r="E20" s="38">
        <v>1167.0</v>
      </c>
      <c r="F20" s="38">
        <v>188.0</v>
      </c>
      <c r="G20" s="38">
        <v>31.0</v>
      </c>
      <c r="H20" s="38">
        <v>51.0</v>
      </c>
      <c r="I20" s="48">
        <f t="shared" si="3"/>
        <v>1736</v>
      </c>
      <c r="J20" s="48">
        <f t="shared" si="4"/>
        <v>1818</v>
      </c>
      <c r="K20" s="49">
        <f t="shared" si="5"/>
        <v>0.2194700461</v>
      </c>
      <c r="L20" s="49">
        <f t="shared" si="6"/>
        <v>0.672235023</v>
      </c>
      <c r="M20" s="49">
        <f t="shared" si="7"/>
        <v>0.1082949309</v>
      </c>
      <c r="N20" s="32" t="str">
        <f t="shared" si="8"/>
        <v>Mal. Lott</v>
      </c>
      <c r="O20" s="92" t="s">
        <v>77</v>
      </c>
      <c r="P20" s="38">
        <v>1266.0</v>
      </c>
      <c r="Q20" s="38">
        <v>306.0</v>
      </c>
      <c r="R20" s="38">
        <v>140.0</v>
      </c>
      <c r="S20" s="38">
        <v>74.0</v>
      </c>
      <c r="T20" s="38">
        <v>32.0</v>
      </c>
      <c r="U20" s="48">
        <f t="shared" si="9"/>
        <v>1712</v>
      </c>
      <c r="V20" s="48">
        <f t="shared" si="10"/>
        <v>1818</v>
      </c>
      <c r="W20" s="49">
        <f t="shared" si="11"/>
        <v>0.7394859813</v>
      </c>
      <c r="X20" s="49">
        <f t="shared" si="12"/>
        <v>0.1787383178</v>
      </c>
      <c r="Y20" s="49">
        <f t="shared" si="13"/>
        <v>0.08177570093</v>
      </c>
      <c r="Z20" s="32" t="str">
        <f t="shared" si="14"/>
        <v>Jango</v>
      </c>
      <c r="AA20" s="54" t="s">
        <v>77</v>
      </c>
      <c r="AB20" s="38">
        <v>2527.0</v>
      </c>
      <c r="AC20" s="48">
        <f t="shared" si="15"/>
        <v>709</v>
      </c>
      <c r="AD20" s="51">
        <f t="shared" si="16"/>
        <v>0.7194301543</v>
      </c>
    </row>
    <row r="21">
      <c r="A21" s="61" t="s">
        <v>99</v>
      </c>
      <c r="B21" s="78" t="s">
        <v>233</v>
      </c>
      <c r="C21" s="79"/>
      <c r="D21" s="97">
        <v>3132.0</v>
      </c>
      <c r="E21" s="97">
        <v>2187.0</v>
      </c>
      <c r="F21" s="97">
        <v>2853.0</v>
      </c>
      <c r="G21" s="97">
        <v>740.0</v>
      </c>
      <c r="H21" s="97">
        <v>427.0</v>
      </c>
      <c r="I21" s="81">
        <f t="shared" si="3"/>
        <v>8172</v>
      </c>
      <c r="J21" s="81">
        <f t="shared" si="4"/>
        <v>9339</v>
      </c>
      <c r="K21" s="98">
        <f t="shared" si="5"/>
        <v>0.3832599119</v>
      </c>
      <c r="L21" s="98">
        <f t="shared" si="6"/>
        <v>0.2676211454</v>
      </c>
      <c r="M21" s="98">
        <f t="shared" si="7"/>
        <v>0.3491189427</v>
      </c>
      <c r="N21" s="81" t="str">
        <f t="shared" si="8"/>
        <v>Jânio</v>
      </c>
      <c r="O21" s="99" t="s">
        <v>77</v>
      </c>
      <c r="P21" s="97">
        <v>2999.0</v>
      </c>
      <c r="Q21" s="97">
        <v>2249.0</v>
      </c>
      <c r="R21" s="97">
        <v>2576.0</v>
      </c>
      <c r="S21" s="97">
        <v>953.0</v>
      </c>
      <c r="T21" s="97">
        <v>562.0</v>
      </c>
      <c r="U21" s="81">
        <f t="shared" si="9"/>
        <v>7824</v>
      </c>
      <c r="V21" s="81">
        <f t="shared" si="10"/>
        <v>9339</v>
      </c>
      <c r="W21" s="98">
        <f t="shared" si="11"/>
        <v>0.383307771</v>
      </c>
      <c r="X21" s="98">
        <f t="shared" si="12"/>
        <v>0.2874488753</v>
      </c>
      <c r="Y21" s="98">
        <f t="shared" si="13"/>
        <v>0.3292433538</v>
      </c>
      <c r="Z21" s="81" t="str">
        <f t="shared" si="14"/>
        <v>Jango</v>
      </c>
      <c r="AA21" s="100" t="s">
        <v>77</v>
      </c>
      <c r="AB21" s="97">
        <v>17667.0</v>
      </c>
      <c r="AC21" s="81">
        <f t="shared" si="15"/>
        <v>8328</v>
      </c>
      <c r="AD21" s="82">
        <f t="shared" si="16"/>
        <v>0.5286126677</v>
      </c>
    </row>
    <row r="22">
      <c r="A22" s="24"/>
      <c r="B22" s="78" t="s">
        <v>234</v>
      </c>
      <c r="C22" s="79"/>
      <c r="D22" s="97">
        <v>91.0</v>
      </c>
      <c r="E22" s="97">
        <v>578.0</v>
      </c>
      <c r="F22" s="97">
        <v>73.0</v>
      </c>
      <c r="G22" s="97">
        <v>17.0</v>
      </c>
      <c r="H22" s="97">
        <v>4.0</v>
      </c>
      <c r="I22" s="81">
        <f t="shared" si="3"/>
        <v>742</v>
      </c>
      <c r="J22" s="81">
        <f t="shared" si="4"/>
        <v>763</v>
      </c>
      <c r="K22" s="98">
        <f t="shared" si="5"/>
        <v>0.1226415094</v>
      </c>
      <c r="L22" s="98">
        <f t="shared" si="6"/>
        <v>0.7789757412</v>
      </c>
      <c r="M22" s="98">
        <f t="shared" si="7"/>
        <v>0.09838274933</v>
      </c>
      <c r="N22" s="81" t="str">
        <f t="shared" si="8"/>
        <v>Mal. Lott</v>
      </c>
      <c r="O22" s="99" t="s">
        <v>77</v>
      </c>
      <c r="P22" s="97">
        <v>635.0</v>
      </c>
      <c r="Q22" s="97">
        <v>26.0</v>
      </c>
      <c r="R22" s="97">
        <v>68.0</v>
      </c>
      <c r="S22" s="97">
        <v>25.0</v>
      </c>
      <c r="T22" s="97">
        <v>9.0</v>
      </c>
      <c r="U22" s="81">
        <f t="shared" si="9"/>
        <v>729</v>
      </c>
      <c r="V22" s="81">
        <f t="shared" si="10"/>
        <v>763</v>
      </c>
      <c r="W22" s="98">
        <f t="shared" si="11"/>
        <v>0.8710562414</v>
      </c>
      <c r="X22" s="98">
        <f t="shared" si="12"/>
        <v>0.03566529492</v>
      </c>
      <c r="Y22" s="98">
        <f t="shared" si="13"/>
        <v>0.09327846365</v>
      </c>
      <c r="Z22" s="81" t="str">
        <f t="shared" si="14"/>
        <v>Jango</v>
      </c>
      <c r="AA22" s="100" t="s">
        <v>77</v>
      </c>
      <c r="AB22" s="97">
        <v>1162.0</v>
      </c>
      <c r="AC22" s="81">
        <f t="shared" si="15"/>
        <v>399</v>
      </c>
      <c r="AD22" s="82">
        <f t="shared" si="16"/>
        <v>0.656626506</v>
      </c>
    </row>
    <row r="23">
      <c r="A23" s="101" t="s">
        <v>107</v>
      </c>
      <c r="B23" s="78" t="s">
        <v>235</v>
      </c>
      <c r="C23" s="79"/>
      <c r="D23" s="97">
        <v>236.0</v>
      </c>
      <c r="E23" s="97">
        <v>417.0</v>
      </c>
      <c r="F23" s="97">
        <v>201.0</v>
      </c>
      <c r="G23" s="97">
        <v>73.0</v>
      </c>
      <c r="H23" s="97">
        <v>46.0</v>
      </c>
      <c r="I23" s="81">
        <f t="shared" si="3"/>
        <v>854</v>
      </c>
      <c r="J23" s="81">
        <f t="shared" si="4"/>
        <v>973</v>
      </c>
      <c r="K23" s="98">
        <f t="shared" si="5"/>
        <v>0.2763466042</v>
      </c>
      <c r="L23" s="98">
        <f t="shared" si="6"/>
        <v>0.4882903981</v>
      </c>
      <c r="M23" s="98">
        <f t="shared" si="7"/>
        <v>0.2353629977</v>
      </c>
      <c r="N23" s="81" t="str">
        <f t="shared" si="8"/>
        <v>Mal. Lott</v>
      </c>
      <c r="O23" s="99" t="s">
        <v>77</v>
      </c>
      <c r="P23" s="97">
        <v>552.0</v>
      </c>
      <c r="Q23" s="97">
        <v>99.0</v>
      </c>
      <c r="R23" s="97">
        <v>155.0</v>
      </c>
      <c r="S23" s="97">
        <v>142.0</v>
      </c>
      <c r="T23" s="97">
        <v>25.0</v>
      </c>
      <c r="U23" s="81">
        <f t="shared" si="9"/>
        <v>806</v>
      </c>
      <c r="V23" s="81">
        <f t="shared" si="10"/>
        <v>973</v>
      </c>
      <c r="W23" s="98">
        <f t="shared" si="11"/>
        <v>0.6848635236</v>
      </c>
      <c r="X23" s="98">
        <f t="shared" si="12"/>
        <v>0.1228287841</v>
      </c>
      <c r="Y23" s="98">
        <f t="shared" si="13"/>
        <v>0.1923076923</v>
      </c>
      <c r="Z23" s="81" t="str">
        <f t="shared" si="14"/>
        <v>Jango</v>
      </c>
      <c r="AA23" s="100" t="s">
        <v>77</v>
      </c>
      <c r="AB23" s="97">
        <v>1801.0</v>
      </c>
      <c r="AC23" s="81">
        <f t="shared" si="15"/>
        <v>828</v>
      </c>
      <c r="AD23" s="82">
        <f t="shared" si="16"/>
        <v>0.5402554137</v>
      </c>
    </row>
    <row r="24">
      <c r="A24" s="61" t="s">
        <v>111</v>
      </c>
      <c r="B24" s="78" t="s">
        <v>236</v>
      </c>
      <c r="C24" s="79"/>
      <c r="D24" s="97">
        <v>2524.0</v>
      </c>
      <c r="E24" s="97">
        <v>1902.0</v>
      </c>
      <c r="F24" s="97">
        <v>422.0</v>
      </c>
      <c r="G24" s="97">
        <v>301.0</v>
      </c>
      <c r="H24" s="97">
        <v>203.0</v>
      </c>
      <c r="I24" s="81">
        <f t="shared" si="3"/>
        <v>4848</v>
      </c>
      <c r="J24" s="81">
        <f t="shared" si="4"/>
        <v>5352</v>
      </c>
      <c r="K24" s="98">
        <f t="shared" si="5"/>
        <v>0.5206270627</v>
      </c>
      <c r="L24" s="98">
        <f t="shared" si="6"/>
        <v>0.3923267327</v>
      </c>
      <c r="M24" s="98">
        <f t="shared" si="7"/>
        <v>0.08704620462</v>
      </c>
      <c r="N24" s="81" t="str">
        <f t="shared" si="8"/>
        <v>Jânio</v>
      </c>
      <c r="O24" s="99" t="s">
        <v>77</v>
      </c>
      <c r="P24" s="97">
        <v>2238.0</v>
      </c>
      <c r="Q24" s="97">
        <v>2113.0</v>
      </c>
      <c r="R24" s="97">
        <v>366.0</v>
      </c>
      <c r="S24" s="97">
        <v>498.0</v>
      </c>
      <c r="T24" s="97">
        <v>137.0</v>
      </c>
      <c r="U24" s="81">
        <f t="shared" si="9"/>
        <v>4717</v>
      </c>
      <c r="V24" s="81">
        <f t="shared" si="10"/>
        <v>5352</v>
      </c>
      <c r="W24" s="98">
        <f t="shared" si="11"/>
        <v>0.4744541022</v>
      </c>
      <c r="X24" s="98">
        <f t="shared" si="12"/>
        <v>0.4479542082</v>
      </c>
      <c r="Y24" s="98">
        <f t="shared" si="13"/>
        <v>0.07759168963</v>
      </c>
      <c r="Z24" s="81" t="str">
        <f t="shared" si="14"/>
        <v>Jango</v>
      </c>
      <c r="AA24" s="100" t="s">
        <v>77</v>
      </c>
      <c r="AB24" s="97">
        <v>6684.0</v>
      </c>
      <c r="AC24" s="81">
        <f t="shared" si="15"/>
        <v>1332</v>
      </c>
      <c r="AD24" s="82">
        <f t="shared" si="16"/>
        <v>0.8007181329</v>
      </c>
    </row>
    <row r="25">
      <c r="A25" s="23"/>
      <c r="B25" s="78" t="s">
        <v>237</v>
      </c>
      <c r="C25" s="79"/>
      <c r="D25" s="97">
        <v>129.0</v>
      </c>
      <c r="E25" s="97">
        <v>863.0</v>
      </c>
      <c r="F25" s="97">
        <v>100.0</v>
      </c>
      <c r="G25" s="97">
        <v>20.0</v>
      </c>
      <c r="H25" s="97">
        <v>61.0</v>
      </c>
      <c r="I25" s="81">
        <f t="shared" si="3"/>
        <v>1092</v>
      </c>
      <c r="J25" s="81">
        <f t="shared" si="4"/>
        <v>1173</v>
      </c>
      <c r="K25" s="98">
        <f t="shared" si="5"/>
        <v>0.1181318681</v>
      </c>
      <c r="L25" s="98">
        <f t="shared" si="6"/>
        <v>0.7902930403</v>
      </c>
      <c r="M25" s="98">
        <f t="shared" si="7"/>
        <v>0.09157509158</v>
      </c>
      <c r="N25" s="81" t="str">
        <f t="shared" si="8"/>
        <v>Mal. Lott</v>
      </c>
      <c r="O25" s="99" t="s">
        <v>77</v>
      </c>
      <c r="P25" s="97">
        <v>822.0</v>
      </c>
      <c r="Q25" s="97">
        <v>74.0</v>
      </c>
      <c r="R25" s="97">
        <v>181.0</v>
      </c>
      <c r="S25" s="97">
        <v>43.0</v>
      </c>
      <c r="T25" s="97">
        <v>53.0</v>
      </c>
      <c r="U25" s="81">
        <f t="shared" si="9"/>
        <v>1077</v>
      </c>
      <c r="V25" s="81">
        <f t="shared" si="10"/>
        <v>1173</v>
      </c>
      <c r="W25" s="98">
        <f t="shared" si="11"/>
        <v>0.7632311978</v>
      </c>
      <c r="X25" s="98">
        <f t="shared" si="12"/>
        <v>0.0687093779</v>
      </c>
      <c r="Y25" s="98">
        <f t="shared" si="13"/>
        <v>0.1680594243</v>
      </c>
      <c r="Z25" s="81" t="str">
        <f t="shared" si="14"/>
        <v>Jango</v>
      </c>
      <c r="AA25" s="100" t="s">
        <v>77</v>
      </c>
      <c r="AB25" s="97">
        <v>1392.0</v>
      </c>
      <c r="AC25" s="81">
        <f t="shared" si="15"/>
        <v>219</v>
      </c>
      <c r="AD25" s="82">
        <f t="shared" si="16"/>
        <v>0.8426724138</v>
      </c>
    </row>
    <row r="26">
      <c r="A26" s="24"/>
      <c r="B26" s="78" t="s">
        <v>238</v>
      </c>
      <c r="C26" s="79"/>
      <c r="D26" s="97">
        <v>202.0</v>
      </c>
      <c r="E26" s="97">
        <v>797.0</v>
      </c>
      <c r="F26" s="97">
        <v>302.0</v>
      </c>
      <c r="G26" s="97">
        <v>50.0</v>
      </c>
      <c r="H26" s="97">
        <v>110.0</v>
      </c>
      <c r="I26" s="81">
        <f t="shared" si="3"/>
        <v>1301</v>
      </c>
      <c r="J26" s="81">
        <f t="shared" si="4"/>
        <v>1461</v>
      </c>
      <c r="K26" s="98">
        <f t="shared" si="5"/>
        <v>0.1552651806</v>
      </c>
      <c r="L26" s="98">
        <f t="shared" si="6"/>
        <v>0.6126056879</v>
      </c>
      <c r="M26" s="98">
        <f t="shared" si="7"/>
        <v>0.2321291314</v>
      </c>
      <c r="N26" s="81" t="str">
        <f t="shared" si="8"/>
        <v>Mal. Lott</v>
      </c>
      <c r="O26" s="99" t="s">
        <v>77</v>
      </c>
      <c r="P26" s="97">
        <v>816.0</v>
      </c>
      <c r="Q26" s="97">
        <v>188.0</v>
      </c>
      <c r="R26" s="97">
        <v>153.0</v>
      </c>
      <c r="S26" s="97">
        <v>217.0</v>
      </c>
      <c r="T26" s="97">
        <v>87.0</v>
      </c>
      <c r="U26" s="81">
        <f t="shared" si="9"/>
        <v>1157</v>
      </c>
      <c r="V26" s="81">
        <f t="shared" si="10"/>
        <v>1461</v>
      </c>
      <c r="W26" s="98">
        <f t="shared" si="11"/>
        <v>0.7052722558</v>
      </c>
      <c r="X26" s="98">
        <f t="shared" si="12"/>
        <v>0.1624891962</v>
      </c>
      <c r="Y26" s="98">
        <f t="shared" si="13"/>
        <v>0.132238548</v>
      </c>
      <c r="Z26" s="81" t="str">
        <f t="shared" si="14"/>
        <v>Jango</v>
      </c>
      <c r="AA26" s="100" t="s">
        <v>77</v>
      </c>
      <c r="AB26" s="97">
        <v>2392.0</v>
      </c>
      <c r="AC26" s="81">
        <f t="shared" si="15"/>
        <v>931</v>
      </c>
      <c r="AD26" s="82">
        <f t="shared" si="16"/>
        <v>0.6107859532</v>
      </c>
    </row>
    <row r="27">
      <c r="A27" s="101" t="s">
        <v>114</v>
      </c>
      <c r="B27" s="78" t="s">
        <v>239</v>
      </c>
      <c r="C27" s="79"/>
      <c r="D27" s="97">
        <v>2530.0</v>
      </c>
      <c r="E27" s="97">
        <v>2074.0</v>
      </c>
      <c r="F27" s="97">
        <v>1876.0</v>
      </c>
      <c r="G27" s="97">
        <v>856.0</v>
      </c>
      <c r="H27" s="97">
        <v>494.0</v>
      </c>
      <c r="I27" s="81">
        <f t="shared" si="3"/>
        <v>6480</v>
      </c>
      <c r="J27" s="81">
        <f t="shared" si="4"/>
        <v>7830</v>
      </c>
      <c r="K27" s="98">
        <f t="shared" si="5"/>
        <v>0.3904320988</v>
      </c>
      <c r="L27" s="98">
        <f t="shared" si="6"/>
        <v>0.3200617284</v>
      </c>
      <c r="M27" s="98">
        <f t="shared" si="7"/>
        <v>0.2895061728</v>
      </c>
      <c r="N27" s="81" t="str">
        <f t="shared" si="8"/>
        <v>Jânio</v>
      </c>
      <c r="O27" s="99" t="s">
        <v>77</v>
      </c>
      <c r="P27" s="97">
        <v>2957.0</v>
      </c>
      <c r="Q27" s="97">
        <v>1090.0</v>
      </c>
      <c r="R27" s="97">
        <v>1868.0</v>
      </c>
      <c r="S27" s="97">
        <v>1585.0</v>
      </c>
      <c r="T27" s="97">
        <v>330.0</v>
      </c>
      <c r="U27" s="81">
        <f t="shared" si="9"/>
        <v>5915</v>
      </c>
      <c r="V27" s="81">
        <f t="shared" si="10"/>
        <v>7830</v>
      </c>
      <c r="W27" s="98">
        <f t="shared" si="11"/>
        <v>0.4999154691</v>
      </c>
      <c r="X27" s="98">
        <f t="shared" si="12"/>
        <v>0.1842772612</v>
      </c>
      <c r="Y27" s="98">
        <f t="shared" si="13"/>
        <v>0.3158072697</v>
      </c>
      <c r="Z27" s="81" t="str">
        <f t="shared" si="14"/>
        <v>Jango</v>
      </c>
      <c r="AA27" s="100" t="s">
        <v>77</v>
      </c>
      <c r="AB27" s="97">
        <v>17135.0</v>
      </c>
      <c r="AC27" s="81">
        <f t="shared" si="15"/>
        <v>9305</v>
      </c>
      <c r="AD27" s="82">
        <f t="shared" si="16"/>
        <v>0.4569594397</v>
      </c>
    </row>
    <row r="28">
      <c r="A28" s="101" t="s">
        <v>117</v>
      </c>
      <c r="B28" s="78" t="s">
        <v>240</v>
      </c>
      <c r="C28" s="79"/>
      <c r="D28" s="97">
        <v>367.0</v>
      </c>
      <c r="E28" s="97">
        <v>1352.0</v>
      </c>
      <c r="F28" s="97">
        <v>1888.0</v>
      </c>
      <c r="G28" s="97">
        <v>187.0</v>
      </c>
      <c r="H28" s="97">
        <v>231.0</v>
      </c>
      <c r="I28" s="81">
        <f t="shared" si="3"/>
        <v>3607</v>
      </c>
      <c r="J28" s="81">
        <f t="shared" si="4"/>
        <v>4025</v>
      </c>
      <c r="K28" s="98">
        <f t="shared" si="5"/>
        <v>0.1017466038</v>
      </c>
      <c r="L28" s="98">
        <f t="shared" si="6"/>
        <v>0.3748267258</v>
      </c>
      <c r="M28" s="98">
        <f t="shared" si="7"/>
        <v>0.5234266704</v>
      </c>
      <c r="N28" s="81" t="str">
        <f t="shared" si="8"/>
        <v>Adhemar</v>
      </c>
      <c r="O28" s="99" t="s">
        <v>77</v>
      </c>
      <c r="P28" s="97">
        <v>2445.0</v>
      </c>
      <c r="Q28" s="97">
        <v>379.0</v>
      </c>
      <c r="R28" s="97">
        <v>739.0</v>
      </c>
      <c r="S28" s="97">
        <v>315.0</v>
      </c>
      <c r="T28" s="97">
        <v>147.0</v>
      </c>
      <c r="U28" s="81">
        <f t="shared" si="9"/>
        <v>3563</v>
      </c>
      <c r="V28" s="81">
        <f t="shared" si="10"/>
        <v>4025</v>
      </c>
      <c r="W28" s="98">
        <f t="shared" si="11"/>
        <v>0.686219478</v>
      </c>
      <c r="X28" s="98">
        <f t="shared" si="12"/>
        <v>0.1063710356</v>
      </c>
      <c r="Y28" s="98">
        <f t="shared" si="13"/>
        <v>0.2074094864</v>
      </c>
      <c r="Z28" s="81" t="str">
        <f t="shared" si="14"/>
        <v>Jango</v>
      </c>
      <c r="AA28" s="100" t="s">
        <v>77</v>
      </c>
      <c r="AB28" s="97">
        <v>5591.0</v>
      </c>
      <c r="AC28" s="81">
        <f t="shared" si="15"/>
        <v>1566</v>
      </c>
      <c r="AD28" s="82">
        <f t="shared" si="16"/>
        <v>0.7199069934</v>
      </c>
    </row>
    <row r="29">
      <c r="A29" s="61" t="s">
        <v>119</v>
      </c>
      <c r="B29" s="78" t="s">
        <v>241</v>
      </c>
      <c r="C29" s="79"/>
      <c r="D29" s="97">
        <v>409.0</v>
      </c>
      <c r="E29" s="97">
        <v>996.0</v>
      </c>
      <c r="F29" s="97">
        <v>505.0</v>
      </c>
      <c r="G29" s="97">
        <v>209.0</v>
      </c>
      <c r="H29" s="97">
        <v>85.0</v>
      </c>
      <c r="I29" s="81">
        <f t="shared" si="3"/>
        <v>1910</v>
      </c>
      <c r="J29" s="81">
        <f t="shared" si="4"/>
        <v>2204</v>
      </c>
      <c r="K29" s="98">
        <f t="shared" si="5"/>
        <v>0.2141361257</v>
      </c>
      <c r="L29" s="98">
        <f t="shared" si="6"/>
        <v>0.5214659686</v>
      </c>
      <c r="M29" s="98">
        <f t="shared" si="7"/>
        <v>0.2643979058</v>
      </c>
      <c r="N29" s="81" t="str">
        <f t="shared" si="8"/>
        <v>Mal. Lott</v>
      </c>
      <c r="O29" s="99" t="s">
        <v>77</v>
      </c>
      <c r="P29" s="97">
        <v>1053.0</v>
      </c>
      <c r="Q29" s="97">
        <v>217.0</v>
      </c>
      <c r="R29" s="97">
        <v>501.0</v>
      </c>
      <c r="S29" s="97">
        <v>395.0</v>
      </c>
      <c r="T29" s="97">
        <v>38.0</v>
      </c>
      <c r="U29" s="81">
        <f t="shared" si="9"/>
        <v>1771</v>
      </c>
      <c r="V29" s="81">
        <f t="shared" si="10"/>
        <v>2204</v>
      </c>
      <c r="W29" s="98">
        <f t="shared" si="11"/>
        <v>0.5945793337</v>
      </c>
      <c r="X29" s="98">
        <f t="shared" si="12"/>
        <v>0.1225296443</v>
      </c>
      <c r="Y29" s="98">
        <f t="shared" si="13"/>
        <v>0.282891022</v>
      </c>
      <c r="Z29" s="81" t="str">
        <f t="shared" si="14"/>
        <v>Jango</v>
      </c>
      <c r="AA29" s="100" t="s">
        <v>77</v>
      </c>
      <c r="AB29" s="97">
        <v>3474.0</v>
      </c>
      <c r="AC29" s="81">
        <f t="shared" si="15"/>
        <v>1270</v>
      </c>
      <c r="AD29" s="82">
        <f t="shared" si="16"/>
        <v>0.6344271733</v>
      </c>
    </row>
    <row r="30">
      <c r="A30" s="24"/>
      <c r="B30" s="78" t="s">
        <v>242</v>
      </c>
      <c r="C30" s="79"/>
      <c r="D30" s="97">
        <v>228.0</v>
      </c>
      <c r="E30" s="97">
        <v>313.0</v>
      </c>
      <c r="F30" s="97">
        <v>45.0</v>
      </c>
      <c r="G30" s="97">
        <v>23.0</v>
      </c>
      <c r="H30" s="97">
        <v>55.0</v>
      </c>
      <c r="I30" s="81">
        <f t="shared" si="3"/>
        <v>586</v>
      </c>
      <c r="J30" s="81">
        <f t="shared" si="4"/>
        <v>664</v>
      </c>
      <c r="K30" s="98">
        <f t="shared" si="5"/>
        <v>0.3890784983</v>
      </c>
      <c r="L30" s="98">
        <f t="shared" si="6"/>
        <v>0.5341296928</v>
      </c>
      <c r="M30" s="98">
        <f t="shared" si="7"/>
        <v>0.07679180887</v>
      </c>
      <c r="N30" s="81" t="str">
        <f t="shared" si="8"/>
        <v>Mal. Lott</v>
      </c>
      <c r="O30" s="99" t="s">
        <v>77</v>
      </c>
      <c r="P30" s="97">
        <v>353.0</v>
      </c>
      <c r="Q30" s="97">
        <v>32.0</v>
      </c>
      <c r="R30" s="97">
        <v>165.0</v>
      </c>
      <c r="S30" s="97">
        <v>90.0</v>
      </c>
      <c r="T30" s="97">
        <v>24.0</v>
      </c>
      <c r="U30" s="81">
        <f t="shared" si="9"/>
        <v>550</v>
      </c>
      <c r="V30" s="81">
        <f t="shared" si="10"/>
        <v>664</v>
      </c>
      <c r="W30" s="98">
        <f t="shared" si="11"/>
        <v>0.6418181818</v>
      </c>
      <c r="X30" s="98">
        <f t="shared" si="12"/>
        <v>0.05818181818</v>
      </c>
      <c r="Y30" s="98">
        <f t="shared" si="13"/>
        <v>0.3</v>
      </c>
      <c r="Z30" s="81" t="str">
        <f t="shared" si="14"/>
        <v>Jango</v>
      </c>
      <c r="AA30" s="100" t="s">
        <v>77</v>
      </c>
      <c r="AB30" s="97">
        <v>1327.0</v>
      </c>
      <c r="AC30" s="81">
        <f t="shared" si="15"/>
        <v>663</v>
      </c>
      <c r="AD30" s="82">
        <f t="shared" si="16"/>
        <v>0.5003767898</v>
      </c>
    </row>
    <row r="31">
      <c r="A31" s="61" t="s">
        <v>123</v>
      </c>
      <c r="B31" s="78" t="s">
        <v>243</v>
      </c>
      <c r="C31" s="79"/>
      <c r="D31" s="97">
        <v>427.0</v>
      </c>
      <c r="E31" s="97">
        <v>725.0</v>
      </c>
      <c r="F31" s="97">
        <v>1716.0</v>
      </c>
      <c r="G31" s="97">
        <v>202.0</v>
      </c>
      <c r="H31" s="97">
        <v>220.0</v>
      </c>
      <c r="I31" s="81">
        <f t="shared" si="3"/>
        <v>2868</v>
      </c>
      <c r="J31" s="81">
        <f t="shared" si="4"/>
        <v>3290</v>
      </c>
      <c r="K31" s="98">
        <f t="shared" si="5"/>
        <v>0.1488842399</v>
      </c>
      <c r="L31" s="98">
        <f t="shared" si="6"/>
        <v>0.2527894003</v>
      </c>
      <c r="M31" s="98">
        <f t="shared" si="7"/>
        <v>0.5983263598</v>
      </c>
      <c r="N31" s="81" t="str">
        <f t="shared" si="8"/>
        <v>Adhemar</v>
      </c>
      <c r="O31" s="99" t="s">
        <v>77</v>
      </c>
      <c r="P31" s="97">
        <v>1174.0</v>
      </c>
      <c r="Q31" s="97">
        <v>335.0</v>
      </c>
      <c r="R31" s="97">
        <v>1189.0</v>
      </c>
      <c r="S31" s="97">
        <v>486.0</v>
      </c>
      <c r="T31" s="97">
        <v>106.0</v>
      </c>
      <c r="U31" s="81">
        <f t="shared" si="9"/>
        <v>2698</v>
      </c>
      <c r="V31" s="81">
        <f t="shared" si="10"/>
        <v>3290</v>
      </c>
      <c r="W31" s="98">
        <f t="shared" si="11"/>
        <v>0.4351371386</v>
      </c>
      <c r="X31" s="98">
        <f t="shared" si="12"/>
        <v>0.1241660489</v>
      </c>
      <c r="Y31" s="98">
        <f t="shared" si="13"/>
        <v>0.4406968125</v>
      </c>
      <c r="Z31" s="81" t="str">
        <f t="shared" si="14"/>
        <v>Ferrari</v>
      </c>
      <c r="AA31" s="100" t="s">
        <v>77</v>
      </c>
      <c r="AB31" s="97">
        <v>5560.0</v>
      </c>
      <c r="AC31" s="81">
        <f t="shared" si="15"/>
        <v>2270</v>
      </c>
      <c r="AD31" s="82">
        <f t="shared" si="16"/>
        <v>0.5917266187</v>
      </c>
    </row>
    <row r="32">
      <c r="A32" s="23"/>
      <c r="B32" s="78" t="s">
        <v>244</v>
      </c>
      <c r="C32" s="79"/>
      <c r="D32" s="97">
        <v>188.0</v>
      </c>
      <c r="E32" s="97">
        <v>615.0</v>
      </c>
      <c r="F32" s="97">
        <v>1004.0</v>
      </c>
      <c r="G32" s="97">
        <v>127.0</v>
      </c>
      <c r="H32" s="97">
        <v>127.0</v>
      </c>
      <c r="I32" s="81">
        <f t="shared" si="3"/>
        <v>1807</v>
      </c>
      <c r="J32" s="81">
        <f t="shared" si="4"/>
        <v>2061</v>
      </c>
      <c r="K32" s="98">
        <f t="shared" si="5"/>
        <v>0.104039845</v>
      </c>
      <c r="L32" s="98">
        <f t="shared" si="6"/>
        <v>0.3403431101</v>
      </c>
      <c r="M32" s="98">
        <f t="shared" si="7"/>
        <v>0.5556170448</v>
      </c>
      <c r="N32" s="81" t="str">
        <f t="shared" si="8"/>
        <v>Adhemar</v>
      </c>
      <c r="O32" s="99" t="s">
        <v>77</v>
      </c>
      <c r="P32" s="97">
        <v>885.0</v>
      </c>
      <c r="Q32" s="97">
        <v>485.0</v>
      </c>
      <c r="R32" s="97">
        <v>362.0</v>
      </c>
      <c r="S32" s="97">
        <v>211.0</v>
      </c>
      <c r="T32" s="97">
        <v>118.0</v>
      </c>
      <c r="U32" s="81">
        <f t="shared" si="9"/>
        <v>1732</v>
      </c>
      <c r="V32" s="81">
        <f t="shared" si="10"/>
        <v>2061</v>
      </c>
      <c r="W32" s="98">
        <f t="shared" si="11"/>
        <v>0.5109699769</v>
      </c>
      <c r="X32" s="98">
        <f t="shared" si="12"/>
        <v>0.2800230947</v>
      </c>
      <c r="Y32" s="98">
        <f t="shared" si="13"/>
        <v>0.2090069284</v>
      </c>
      <c r="Z32" s="81" t="str">
        <f t="shared" si="14"/>
        <v>Jango</v>
      </c>
      <c r="AA32" s="100" t="s">
        <v>77</v>
      </c>
      <c r="AB32" s="97">
        <v>2907.0</v>
      </c>
      <c r="AC32" s="81">
        <f t="shared" si="15"/>
        <v>846</v>
      </c>
      <c r="AD32" s="82">
        <f t="shared" si="16"/>
        <v>0.7089783282</v>
      </c>
    </row>
    <row r="33">
      <c r="A33" s="24"/>
      <c r="B33" s="78" t="s">
        <v>245</v>
      </c>
      <c r="C33" s="79"/>
      <c r="D33" s="97">
        <v>114.0</v>
      </c>
      <c r="E33" s="97">
        <v>250.0</v>
      </c>
      <c r="F33" s="97">
        <v>369.0</v>
      </c>
      <c r="G33" s="97">
        <v>32.0</v>
      </c>
      <c r="H33" s="97">
        <v>51.0</v>
      </c>
      <c r="I33" s="81">
        <f t="shared" si="3"/>
        <v>733</v>
      </c>
      <c r="J33" s="81">
        <f t="shared" si="4"/>
        <v>816</v>
      </c>
      <c r="K33" s="98">
        <f t="shared" si="5"/>
        <v>0.1555252387</v>
      </c>
      <c r="L33" s="98">
        <f t="shared" si="6"/>
        <v>0.3410641201</v>
      </c>
      <c r="M33" s="98">
        <f t="shared" si="7"/>
        <v>0.5034106412</v>
      </c>
      <c r="N33" s="81" t="str">
        <f t="shared" si="8"/>
        <v>Adhemar</v>
      </c>
      <c r="O33" s="99" t="s">
        <v>77</v>
      </c>
      <c r="P33" s="97">
        <v>367.0</v>
      </c>
      <c r="Q33" s="97">
        <v>120.0</v>
      </c>
      <c r="R33" s="97">
        <v>201.0</v>
      </c>
      <c r="S33" s="97">
        <v>99.0</v>
      </c>
      <c r="T33" s="97">
        <v>29.0</v>
      </c>
      <c r="U33" s="81">
        <f t="shared" si="9"/>
        <v>688</v>
      </c>
      <c r="V33" s="81">
        <f t="shared" si="10"/>
        <v>816</v>
      </c>
      <c r="W33" s="98">
        <f t="shared" si="11"/>
        <v>0.5334302326</v>
      </c>
      <c r="X33" s="98">
        <f t="shared" si="12"/>
        <v>0.1744186047</v>
      </c>
      <c r="Y33" s="98">
        <f t="shared" si="13"/>
        <v>0.2921511628</v>
      </c>
      <c r="Z33" s="81" t="str">
        <f t="shared" si="14"/>
        <v>Jango</v>
      </c>
      <c r="AA33" s="100" t="s">
        <v>77</v>
      </c>
      <c r="AB33" s="97">
        <v>2165.0</v>
      </c>
      <c r="AC33" s="81">
        <f t="shared" si="15"/>
        <v>1349</v>
      </c>
      <c r="AD33" s="82">
        <f t="shared" si="16"/>
        <v>0.3769053118</v>
      </c>
    </row>
    <row r="34">
      <c r="A34" s="61" t="s">
        <v>125</v>
      </c>
      <c r="B34" s="78" t="s">
        <v>246</v>
      </c>
      <c r="C34" s="79"/>
      <c r="D34" s="97">
        <v>319.0</v>
      </c>
      <c r="E34" s="97">
        <v>581.0</v>
      </c>
      <c r="F34" s="97">
        <v>491.0</v>
      </c>
      <c r="G34" s="97">
        <v>103.0</v>
      </c>
      <c r="H34" s="97">
        <v>372.0</v>
      </c>
      <c r="I34" s="81">
        <f t="shared" si="3"/>
        <v>1391</v>
      </c>
      <c r="J34" s="81">
        <f t="shared" si="4"/>
        <v>1866</v>
      </c>
      <c r="K34" s="98">
        <f t="shared" si="5"/>
        <v>0.2293314162</v>
      </c>
      <c r="L34" s="98">
        <f t="shared" si="6"/>
        <v>0.4176851186</v>
      </c>
      <c r="M34" s="98">
        <f t="shared" si="7"/>
        <v>0.3529834651</v>
      </c>
      <c r="N34" s="81" t="str">
        <f t="shared" si="8"/>
        <v>Mal. Lott</v>
      </c>
      <c r="O34" s="99" t="s">
        <v>77</v>
      </c>
      <c r="P34" s="97">
        <v>787.0</v>
      </c>
      <c r="Q34" s="97">
        <v>167.0</v>
      </c>
      <c r="R34" s="97">
        <v>404.0</v>
      </c>
      <c r="S34" s="97">
        <v>428.0</v>
      </c>
      <c r="T34" s="97">
        <v>80.0</v>
      </c>
      <c r="U34" s="81">
        <f t="shared" si="9"/>
        <v>1358</v>
      </c>
      <c r="V34" s="81">
        <f t="shared" si="10"/>
        <v>1866</v>
      </c>
      <c r="W34" s="98">
        <f t="shared" si="11"/>
        <v>0.5795287187</v>
      </c>
      <c r="X34" s="98">
        <f t="shared" si="12"/>
        <v>0.1229749632</v>
      </c>
      <c r="Y34" s="98">
        <f t="shared" si="13"/>
        <v>0.2974963181</v>
      </c>
      <c r="Z34" s="81" t="str">
        <f t="shared" si="14"/>
        <v>Jango</v>
      </c>
      <c r="AA34" s="100" t="s">
        <v>77</v>
      </c>
      <c r="AB34" s="72">
        <v>2893.0</v>
      </c>
      <c r="AC34" s="81">
        <f t="shared" si="15"/>
        <v>1027</v>
      </c>
      <c r="AD34" s="82">
        <f t="shared" si="16"/>
        <v>0.6450051849</v>
      </c>
    </row>
    <row r="35">
      <c r="A35" s="23"/>
      <c r="B35" s="78" t="s">
        <v>247</v>
      </c>
      <c r="C35" s="79"/>
      <c r="D35" s="97">
        <v>368.0</v>
      </c>
      <c r="E35" s="97">
        <v>121.0</v>
      </c>
      <c r="F35" s="97">
        <v>408.0</v>
      </c>
      <c r="G35" s="97">
        <v>61.0</v>
      </c>
      <c r="H35" s="97">
        <v>32.0</v>
      </c>
      <c r="I35" s="81">
        <f t="shared" si="3"/>
        <v>897</v>
      </c>
      <c r="J35" s="81">
        <f t="shared" si="4"/>
        <v>990</v>
      </c>
      <c r="K35" s="98">
        <f t="shared" si="5"/>
        <v>0.4102564103</v>
      </c>
      <c r="L35" s="98">
        <f t="shared" si="6"/>
        <v>0.1348940914</v>
      </c>
      <c r="M35" s="98">
        <f t="shared" si="7"/>
        <v>0.4548494983</v>
      </c>
      <c r="N35" s="81" t="str">
        <f t="shared" si="8"/>
        <v>Adhemar</v>
      </c>
      <c r="O35" s="99" t="s">
        <v>77</v>
      </c>
      <c r="P35" s="97">
        <v>432.0</v>
      </c>
      <c r="Q35" s="97">
        <v>115.0</v>
      </c>
      <c r="R35" s="97">
        <v>330.0</v>
      </c>
      <c r="S35" s="97">
        <v>77.0</v>
      </c>
      <c r="T35" s="97">
        <v>36.0</v>
      </c>
      <c r="U35" s="81">
        <f t="shared" si="9"/>
        <v>877</v>
      </c>
      <c r="V35" s="81">
        <f t="shared" si="10"/>
        <v>990</v>
      </c>
      <c r="W35" s="98">
        <f t="shared" si="11"/>
        <v>0.4925883694</v>
      </c>
      <c r="X35" s="98">
        <f t="shared" si="12"/>
        <v>0.1311288483</v>
      </c>
      <c r="Y35" s="98">
        <f t="shared" si="13"/>
        <v>0.3762827822</v>
      </c>
      <c r="Z35" s="81" t="str">
        <f t="shared" si="14"/>
        <v>Jango</v>
      </c>
      <c r="AA35" s="100" t="s">
        <v>77</v>
      </c>
      <c r="AB35" s="97">
        <v>1286.0</v>
      </c>
      <c r="AC35" s="81">
        <f t="shared" si="15"/>
        <v>296</v>
      </c>
      <c r="AD35" s="82">
        <f t="shared" si="16"/>
        <v>0.7698289269</v>
      </c>
    </row>
    <row r="36">
      <c r="A36" s="24"/>
      <c r="B36" s="78" t="s">
        <v>248</v>
      </c>
      <c r="C36" s="79"/>
      <c r="D36" s="97">
        <v>9.0</v>
      </c>
      <c r="E36" s="97">
        <v>1063.0</v>
      </c>
      <c r="F36" s="97">
        <v>3.0</v>
      </c>
      <c r="G36" s="97">
        <v>92.0</v>
      </c>
      <c r="H36" s="97">
        <v>2.0</v>
      </c>
      <c r="I36" s="81">
        <f t="shared" si="3"/>
        <v>1075</v>
      </c>
      <c r="J36" s="81">
        <f t="shared" si="4"/>
        <v>1169</v>
      </c>
      <c r="K36" s="98">
        <f t="shared" si="5"/>
        <v>0.008372093023</v>
      </c>
      <c r="L36" s="98">
        <f t="shared" si="6"/>
        <v>0.9888372093</v>
      </c>
      <c r="M36" s="98">
        <f t="shared" si="7"/>
        <v>0.002790697674</v>
      </c>
      <c r="N36" s="81" t="str">
        <f t="shared" si="8"/>
        <v>Mal. Lott</v>
      </c>
      <c r="O36" s="99" t="s">
        <v>77</v>
      </c>
      <c r="P36" s="97">
        <v>1067.0</v>
      </c>
      <c r="Q36" s="97">
        <v>2.0</v>
      </c>
      <c r="R36" s="97">
        <v>6.0</v>
      </c>
      <c r="S36" s="97">
        <v>92.0</v>
      </c>
      <c r="T36" s="97">
        <v>2.0</v>
      </c>
      <c r="U36" s="81">
        <f t="shared" si="9"/>
        <v>1075</v>
      </c>
      <c r="V36" s="81">
        <f t="shared" si="10"/>
        <v>1169</v>
      </c>
      <c r="W36" s="98">
        <f t="shared" si="11"/>
        <v>0.9925581395</v>
      </c>
      <c r="X36" s="98">
        <f t="shared" si="12"/>
        <v>0.001860465116</v>
      </c>
      <c r="Y36" s="98">
        <f t="shared" si="13"/>
        <v>0.005581395349</v>
      </c>
      <c r="Z36" s="81" t="str">
        <f t="shared" si="14"/>
        <v>Jango</v>
      </c>
      <c r="AA36" s="100" t="s">
        <v>77</v>
      </c>
      <c r="AB36" s="97">
        <v>1421.0</v>
      </c>
      <c r="AC36" s="81">
        <f t="shared" si="15"/>
        <v>252</v>
      </c>
      <c r="AD36" s="82">
        <f t="shared" si="16"/>
        <v>0.8226600985</v>
      </c>
    </row>
    <row r="37">
      <c r="A37" s="101" t="s">
        <v>127</v>
      </c>
      <c r="B37" s="78" t="s">
        <v>249</v>
      </c>
      <c r="C37" s="79"/>
      <c r="D37" s="97">
        <v>761.0</v>
      </c>
      <c r="E37" s="97">
        <v>1734.0</v>
      </c>
      <c r="F37" s="97">
        <v>1122.0</v>
      </c>
      <c r="G37" s="97">
        <v>112.0</v>
      </c>
      <c r="H37" s="97">
        <v>183.0</v>
      </c>
      <c r="I37" s="81">
        <f t="shared" si="3"/>
        <v>3617</v>
      </c>
      <c r="J37" s="81">
        <f t="shared" si="4"/>
        <v>3912</v>
      </c>
      <c r="K37" s="98">
        <f t="shared" si="5"/>
        <v>0.2103953553</v>
      </c>
      <c r="L37" s="98">
        <f t="shared" si="6"/>
        <v>0.47940282</v>
      </c>
      <c r="M37" s="98">
        <f t="shared" si="7"/>
        <v>0.3102018247</v>
      </c>
      <c r="N37" s="81" t="str">
        <f t="shared" si="8"/>
        <v>Mal. Lott</v>
      </c>
      <c r="O37" s="99" t="s">
        <v>77</v>
      </c>
      <c r="P37" s="97">
        <v>2033.0</v>
      </c>
      <c r="Q37" s="97">
        <v>861.0</v>
      </c>
      <c r="R37" s="97">
        <v>595.0</v>
      </c>
      <c r="S37" s="97">
        <v>317.0</v>
      </c>
      <c r="T37" s="97">
        <v>106.0</v>
      </c>
      <c r="U37" s="81">
        <f t="shared" si="9"/>
        <v>3489</v>
      </c>
      <c r="V37" s="81">
        <f t="shared" si="10"/>
        <v>3912</v>
      </c>
      <c r="W37" s="98">
        <f t="shared" si="11"/>
        <v>0.5826884494</v>
      </c>
      <c r="X37" s="98">
        <f t="shared" si="12"/>
        <v>0.2467755804</v>
      </c>
      <c r="Y37" s="98">
        <f t="shared" si="13"/>
        <v>0.1705359702</v>
      </c>
      <c r="Z37" s="81" t="str">
        <f t="shared" si="14"/>
        <v>Jango</v>
      </c>
      <c r="AA37" s="100" t="s">
        <v>77</v>
      </c>
      <c r="AB37" s="97">
        <v>5100.0</v>
      </c>
      <c r="AC37" s="81">
        <f t="shared" si="15"/>
        <v>1188</v>
      </c>
      <c r="AD37" s="82">
        <f t="shared" si="16"/>
        <v>0.7670588235</v>
      </c>
    </row>
    <row r="38">
      <c r="A38" s="101" t="s">
        <v>129</v>
      </c>
      <c r="B38" s="78" t="s">
        <v>250</v>
      </c>
      <c r="C38" s="79"/>
      <c r="D38" s="97">
        <v>961.0</v>
      </c>
      <c r="E38" s="97">
        <v>912.0</v>
      </c>
      <c r="F38" s="97">
        <v>351.0</v>
      </c>
      <c r="G38" s="97">
        <v>77.0</v>
      </c>
      <c r="H38" s="97">
        <v>80.0</v>
      </c>
      <c r="I38" s="81">
        <f t="shared" si="3"/>
        <v>2224</v>
      </c>
      <c r="J38" s="81">
        <f t="shared" si="4"/>
        <v>2381</v>
      </c>
      <c r="K38" s="98">
        <f t="shared" si="5"/>
        <v>0.4321043165</v>
      </c>
      <c r="L38" s="98">
        <f t="shared" si="6"/>
        <v>0.4100719424</v>
      </c>
      <c r="M38" s="98">
        <f t="shared" si="7"/>
        <v>0.157823741</v>
      </c>
      <c r="N38" s="81" t="str">
        <f t="shared" si="8"/>
        <v>Jânio</v>
      </c>
      <c r="O38" s="99" t="s">
        <v>77</v>
      </c>
      <c r="P38" s="97">
        <v>595.0</v>
      </c>
      <c r="Q38" s="97">
        <v>390.0</v>
      </c>
      <c r="R38" s="97">
        <v>1146.0</v>
      </c>
      <c r="S38" s="97">
        <v>203.0</v>
      </c>
      <c r="T38" s="97">
        <v>47.0</v>
      </c>
      <c r="U38" s="81">
        <f t="shared" si="9"/>
        <v>2131</v>
      </c>
      <c r="V38" s="81">
        <f t="shared" si="10"/>
        <v>2381</v>
      </c>
      <c r="W38" s="98">
        <f t="shared" si="11"/>
        <v>0.2792116377</v>
      </c>
      <c r="X38" s="98">
        <f t="shared" si="12"/>
        <v>0.1830126701</v>
      </c>
      <c r="Y38" s="98">
        <f t="shared" si="13"/>
        <v>0.5377756922</v>
      </c>
      <c r="Z38" s="81" t="str">
        <f t="shared" si="14"/>
        <v>Ferrari</v>
      </c>
      <c r="AA38" s="100" t="s">
        <v>77</v>
      </c>
      <c r="AB38" s="97">
        <v>4002.0</v>
      </c>
      <c r="AC38" s="81">
        <f t="shared" si="15"/>
        <v>1621</v>
      </c>
      <c r="AD38" s="82">
        <f t="shared" si="16"/>
        <v>0.5949525237</v>
      </c>
    </row>
    <row r="39">
      <c r="A39" s="61" t="s">
        <v>131</v>
      </c>
      <c r="B39" s="78" t="s">
        <v>251</v>
      </c>
      <c r="C39" s="79"/>
      <c r="D39" s="97">
        <v>969.0</v>
      </c>
      <c r="E39" s="97">
        <v>863.0</v>
      </c>
      <c r="F39" s="97">
        <v>1309.0</v>
      </c>
      <c r="G39" s="97">
        <v>272.0</v>
      </c>
      <c r="H39" s="97">
        <v>126.0</v>
      </c>
      <c r="I39" s="81">
        <f t="shared" si="3"/>
        <v>3141</v>
      </c>
      <c r="J39" s="81">
        <f t="shared" si="4"/>
        <v>3539</v>
      </c>
      <c r="K39" s="98">
        <f t="shared" si="5"/>
        <v>0.3085004776</v>
      </c>
      <c r="L39" s="98">
        <f t="shared" si="6"/>
        <v>0.2747532633</v>
      </c>
      <c r="M39" s="98">
        <f t="shared" si="7"/>
        <v>0.4167462592</v>
      </c>
      <c r="N39" s="81" t="str">
        <f t="shared" si="8"/>
        <v>Adhemar</v>
      </c>
      <c r="O39" s="99" t="s">
        <v>77</v>
      </c>
      <c r="P39" s="97">
        <v>1262.0</v>
      </c>
      <c r="Q39" s="97">
        <v>641.0</v>
      </c>
      <c r="R39" s="97">
        <v>929.0</v>
      </c>
      <c r="S39" s="97">
        <v>553.0</v>
      </c>
      <c r="T39" s="97">
        <v>154.0</v>
      </c>
      <c r="U39" s="81">
        <f t="shared" si="9"/>
        <v>2832</v>
      </c>
      <c r="V39" s="81">
        <f t="shared" si="10"/>
        <v>3539</v>
      </c>
      <c r="W39" s="98">
        <f t="shared" si="11"/>
        <v>0.4456214689</v>
      </c>
      <c r="X39" s="98">
        <f t="shared" si="12"/>
        <v>0.2263418079</v>
      </c>
      <c r="Y39" s="98">
        <f t="shared" si="13"/>
        <v>0.3280367232</v>
      </c>
      <c r="Z39" s="81" t="str">
        <f t="shared" si="14"/>
        <v>Jango</v>
      </c>
      <c r="AA39" s="100" t="s">
        <v>77</v>
      </c>
      <c r="AB39" s="97">
        <v>5012.0</v>
      </c>
      <c r="AC39" s="81">
        <f t="shared" si="15"/>
        <v>1473</v>
      </c>
      <c r="AD39" s="82">
        <f t="shared" si="16"/>
        <v>0.7061053472</v>
      </c>
    </row>
    <row r="40">
      <c r="A40" s="24"/>
      <c r="B40" s="78" t="s">
        <v>252</v>
      </c>
      <c r="C40" s="79"/>
      <c r="D40" s="97">
        <v>537.0</v>
      </c>
      <c r="E40" s="97">
        <v>552.0</v>
      </c>
      <c r="F40" s="97">
        <v>383.0</v>
      </c>
      <c r="G40" s="97">
        <v>86.0</v>
      </c>
      <c r="H40" s="97">
        <v>79.0</v>
      </c>
      <c r="I40" s="81">
        <f t="shared" si="3"/>
        <v>1472</v>
      </c>
      <c r="J40" s="81">
        <f t="shared" si="4"/>
        <v>1637</v>
      </c>
      <c r="K40" s="98">
        <f t="shared" si="5"/>
        <v>0.3648097826</v>
      </c>
      <c r="L40" s="98">
        <f t="shared" si="6"/>
        <v>0.375</v>
      </c>
      <c r="M40" s="98">
        <f t="shared" si="7"/>
        <v>0.2601902174</v>
      </c>
      <c r="N40" s="81" t="str">
        <f t="shared" si="8"/>
        <v>Mal. Lott</v>
      </c>
      <c r="O40" s="99" t="s">
        <v>77</v>
      </c>
      <c r="P40" s="97">
        <v>1111.0</v>
      </c>
      <c r="Q40" s="97">
        <v>113.0</v>
      </c>
      <c r="R40" s="97">
        <v>232.0</v>
      </c>
      <c r="S40" s="97">
        <v>133.0</v>
      </c>
      <c r="T40" s="97">
        <v>48.0</v>
      </c>
      <c r="U40" s="81">
        <f t="shared" si="9"/>
        <v>1456</v>
      </c>
      <c r="V40" s="81">
        <f t="shared" si="10"/>
        <v>1637</v>
      </c>
      <c r="W40" s="98">
        <f t="shared" si="11"/>
        <v>0.7630494505</v>
      </c>
      <c r="X40" s="98">
        <f t="shared" si="12"/>
        <v>0.07760989011</v>
      </c>
      <c r="Y40" s="98">
        <f t="shared" si="13"/>
        <v>0.1593406593</v>
      </c>
      <c r="Z40" s="81" t="str">
        <f t="shared" si="14"/>
        <v>Jango</v>
      </c>
      <c r="AA40" s="100" t="s">
        <v>77</v>
      </c>
      <c r="AB40" s="97">
        <v>2889.0</v>
      </c>
      <c r="AC40" s="81">
        <f t="shared" si="15"/>
        <v>1252</v>
      </c>
      <c r="AD40" s="82">
        <f t="shared" si="16"/>
        <v>0.5666320526</v>
      </c>
    </row>
    <row r="41">
      <c r="A41" s="101" t="s">
        <v>133</v>
      </c>
      <c r="B41" s="78" t="s">
        <v>253</v>
      </c>
      <c r="C41" s="79"/>
      <c r="D41" s="102">
        <v>4005.0</v>
      </c>
      <c r="E41" s="102">
        <v>4774.0</v>
      </c>
      <c r="F41" s="102">
        <v>2517.0</v>
      </c>
      <c r="G41" s="102">
        <v>543.0</v>
      </c>
      <c r="H41" s="102">
        <v>1075.0</v>
      </c>
      <c r="I41" s="103">
        <f t="shared" si="3"/>
        <v>11296</v>
      </c>
      <c r="J41" s="103">
        <f t="shared" si="4"/>
        <v>12914</v>
      </c>
      <c r="K41" s="104">
        <f t="shared" si="5"/>
        <v>0.3545502833</v>
      </c>
      <c r="L41" s="104">
        <f t="shared" si="6"/>
        <v>0.4226274788</v>
      </c>
      <c r="M41" s="104">
        <f t="shared" si="7"/>
        <v>0.222822238</v>
      </c>
      <c r="N41" s="81" t="str">
        <f t="shared" si="8"/>
        <v>Mal. Lott</v>
      </c>
      <c r="O41" s="99" t="s">
        <v>77</v>
      </c>
      <c r="P41" s="102">
        <v>4333.0</v>
      </c>
      <c r="Q41" s="105">
        <v>2627.0</v>
      </c>
      <c r="R41" s="102">
        <v>1982.0</v>
      </c>
      <c r="S41" s="102">
        <v>2821.0</v>
      </c>
      <c r="T41" s="102">
        <v>1151.0</v>
      </c>
      <c r="U41" s="103">
        <f t="shared" si="9"/>
        <v>8942</v>
      </c>
      <c r="V41" s="103">
        <f t="shared" si="10"/>
        <v>12914</v>
      </c>
      <c r="W41" s="104">
        <f t="shared" si="11"/>
        <v>0.4845672109</v>
      </c>
      <c r="X41" s="104">
        <f t="shared" si="12"/>
        <v>0.2937821516</v>
      </c>
      <c r="Y41" s="104">
        <f t="shared" si="13"/>
        <v>0.2216506374</v>
      </c>
      <c r="Z41" s="81" t="str">
        <f t="shared" si="14"/>
        <v>Jango</v>
      </c>
      <c r="AA41" s="100" t="s">
        <v>77</v>
      </c>
      <c r="AB41" s="102">
        <v>19571.0</v>
      </c>
      <c r="AC41" s="103">
        <f t="shared" si="15"/>
        <v>6657</v>
      </c>
      <c r="AD41" s="106">
        <f t="shared" si="16"/>
        <v>0.6598538654</v>
      </c>
    </row>
    <row r="42">
      <c r="A42" s="61" t="s">
        <v>254</v>
      </c>
      <c r="B42" s="78" t="s">
        <v>255</v>
      </c>
      <c r="C42" s="79"/>
      <c r="D42" s="8"/>
      <c r="E42" s="8"/>
      <c r="F42" s="8"/>
      <c r="G42" s="8"/>
      <c r="H42" s="8"/>
      <c r="I42" s="8"/>
      <c r="J42" s="8"/>
      <c r="K42" s="8"/>
      <c r="L42" s="8"/>
      <c r="M42" s="8"/>
      <c r="N42" s="97" t="s">
        <v>48</v>
      </c>
      <c r="O42" s="99" t="s">
        <v>77</v>
      </c>
      <c r="P42" s="8"/>
      <c r="Q42" s="8"/>
      <c r="R42" s="8"/>
      <c r="S42" s="8"/>
      <c r="T42" s="8"/>
      <c r="U42" s="8"/>
      <c r="V42" s="8"/>
      <c r="W42" s="8"/>
      <c r="X42" s="8"/>
      <c r="Y42" s="8"/>
      <c r="Z42" s="97" t="s">
        <v>47</v>
      </c>
      <c r="AA42" s="100" t="s">
        <v>77</v>
      </c>
      <c r="AB42" s="8"/>
      <c r="AC42" s="8"/>
      <c r="AD42" s="8"/>
    </row>
    <row r="43">
      <c r="A43" s="23"/>
      <c r="B43" s="78" t="s">
        <v>256</v>
      </c>
      <c r="C43" s="79"/>
      <c r="D43" s="8"/>
      <c r="E43" s="8"/>
      <c r="F43" s="8"/>
      <c r="G43" s="8"/>
      <c r="H43" s="8"/>
      <c r="I43" s="8"/>
      <c r="J43" s="8"/>
      <c r="K43" s="8"/>
      <c r="L43" s="8"/>
      <c r="M43" s="8"/>
      <c r="N43" s="97" t="s">
        <v>48</v>
      </c>
      <c r="O43" s="99" t="s">
        <v>77</v>
      </c>
      <c r="P43" s="8"/>
      <c r="Q43" s="8"/>
      <c r="R43" s="8"/>
      <c r="S43" s="8"/>
      <c r="T43" s="8"/>
      <c r="U43" s="8"/>
      <c r="V43" s="8"/>
      <c r="W43" s="8"/>
      <c r="X43" s="8"/>
      <c r="Y43" s="8"/>
      <c r="Z43" s="97" t="s">
        <v>47</v>
      </c>
      <c r="AA43" s="100" t="s">
        <v>77</v>
      </c>
      <c r="AB43" s="8"/>
      <c r="AC43" s="8"/>
      <c r="AD43" s="8"/>
    </row>
    <row r="44">
      <c r="A44" s="24"/>
      <c r="B44" s="78" t="s">
        <v>257</v>
      </c>
      <c r="C44" s="79"/>
      <c r="D44" s="8"/>
      <c r="E44" s="8"/>
      <c r="F44" s="8"/>
      <c r="G44" s="8"/>
      <c r="H44" s="8"/>
      <c r="I44" s="8"/>
      <c r="J44" s="8"/>
      <c r="K44" s="8"/>
      <c r="L44" s="8"/>
      <c r="M44" s="8"/>
      <c r="N44" s="97" t="s">
        <v>48</v>
      </c>
      <c r="O44" s="99" t="s">
        <v>77</v>
      </c>
      <c r="P44" s="8"/>
      <c r="Q44" s="8"/>
      <c r="R44" s="8"/>
      <c r="S44" s="8"/>
      <c r="T44" s="8"/>
      <c r="U44" s="8"/>
      <c r="V44" s="8"/>
      <c r="W44" s="8"/>
      <c r="X44" s="8"/>
      <c r="Y44" s="8"/>
      <c r="Z44" s="97" t="s">
        <v>47</v>
      </c>
      <c r="AA44" s="100" t="s">
        <v>77</v>
      </c>
      <c r="AB44" s="8"/>
      <c r="AC44" s="8"/>
      <c r="AD44" s="8"/>
    </row>
    <row r="45">
      <c r="A45" s="101" t="s">
        <v>258</v>
      </c>
      <c r="B45" s="78" t="s">
        <v>259</v>
      </c>
      <c r="C45" s="79"/>
      <c r="D45" s="6"/>
      <c r="E45" s="6"/>
      <c r="F45" s="6"/>
      <c r="G45" s="6"/>
      <c r="H45" s="6"/>
      <c r="I45" s="6"/>
      <c r="J45" s="6"/>
      <c r="K45" s="6"/>
      <c r="L45" s="6"/>
      <c r="M45" s="6"/>
      <c r="N45" s="97" t="s">
        <v>48</v>
      </c>
      <c r="O45" s="99" t="s">
        <v>77</v>
      </c>
      <c r="P45" s="6"/>
      <c r="Q45" s="6"/>
      <c r="R45" s="6"/>
      <c r="S45" s="6"/>
      <c r="T45" s="6"/>
      <c r="U45" s="6"/>
      <c r="V45" s="6"/>
      <c r="W45" s="6"/>
      <c r="X45" s="6"/>
      <c r="Y45" s="6"/>
      <c r="Z45" s="97" t="s">
        <v>47</v>
      </c>
      <c r="AA45" s="100" t="s">
        <v>77</v>
      </c>
      <c r="AB45" s="6"/>
      <c r="AC45" s="6"/>
      <c r="AD45" s="6"/>
    </row>
    <row r="46">
      <c r="A46" s="61" t="s">
        <v>133</v>
      </c>
      <c r="B46" s="78" t="s">
        <v>260</v>
      </c>
      <c r="C46" s="79"/>
      <c r="D46" s="97">
        <v>465.0</v>
      </c>
      <c r="E46" s="97">
        <v>360.0</v>
      </c>
      <c r="F46" s="97">
        <v>228.0</v>
      </c>
      <c r="G46" s="97">
        <v>80.0</v>
      </c>
      <c r="H46" s="97">
        <v>52.0</v>
      </c>
      <c r="I46" s="81">
        <f t="shared" ref="I46:I106" si="17">SUM(D46:F46)</f>
        <v>1053</v>
      </c>
      <c r="J46" s="81">
        <f t="shared" ref="J46:J106" si="18">SUM(G46:I46)</f>
        <v>1185</v>
      </c>
      <c r="K46" s="98">
        <f t="shared" ref="K46:K106" si="19">D46/I46</f>
        <v>0.4415954416</v>
      </c>
      <c r="L46" s="98">
        <f t="shared" ref="L46:L106" si="20">E46/I46</f>
        <v>0.3418803419</v>
      </c>
      <c r="M46" s="98">
        <f t="shared" ref="M46:M106" si="21">F46/I46</f>
        <v>0.2165242165</v>
      </c>
      <c r="N46" s="81" t="str">
        <f t="shared" ref="N46:N106" si="22">IF(LARGE(D46:F46,1)=0,#REF!,IF(LARGE(D46:F46,1)=LARGE(D46:F46,2),$D$6,IF(LARGE(D46:F46,1)=D46,$D$3,IF(LARGE(D46:F46,1)=E46,$D$4,IF(LARGE(D46:F46,1)=F46,$D$5)))))</f>
        <v>Jânio</v>
      </c>
      <c r="O46" s="99" t="s">
        <v>77</v>
      </c>
      <c r="P46" s="97">
        <v>397.0</v>
      </c>
      <c r="Q46" s="97">
        <v>245.0</v>
      </c>
      <c r="R46" s="97">
        <v>411.0</v>
      </c>
      <c r="S46" s="97">
        <v>76.0</v>
      </c>
      <c r="T46" s="97">
        <v>56.0</v>
      </c>
      <c r="U46" s="81">
        <f t="shared" ref="U46:U106" si="23">SUM(P46:R46)</f>
        <v>1053</v>
      </c>
      <c r="V46" s="81">
        <f t="shared" ref="V46:V106" si="24">SUM(S46:U46)</f>
        <v>1185</v>
      </c>
      <c r="W46" s="98">
        <f t="shared" ref="W46:W106" si="25">P46/U46</f>
        <v>0.3770180437</v>
      </c>
      <c r="X46" s="98">
        <f t="shared" ref="X46:X106" si="26">Q46/U46</f>
        <v>0.232668566</v>
      </c>
      <c r="Y46" s="98">
        <f t="shared" ref="Y46:Y106" si="27">R46/U46</f>
        <v>0.3903133903</v>
      </c>
      <c r="Z46" s="81" t="str">
        <f t="shared" ref="Z46:Z106" si="28">IF(LARGE(P46:R46,1)=0,#REF!,IF(LARGE(P46:R46,1)=LARGE(P46:R46,2),$F$6,IF(LARGE(P46:R46,1)=P46,$F$3,IF(LARGE(P46:R46,1)=Q46,$F$4,IF(LARGE(P46:R46,1)=R46,$F$5)))))</f>
        <v>Ferrari</v>
      </c>
      <c r="AA46" s="100" t="s">
        <v>77</v>
      </c>
      <c r="AB46" s="97">
        <v>1471.0</v>
      </c>
      <c r="AC46" s="81">
        <f t="shared" ref="AC46:AC106" si="29">AB46-V46</f>
        <v>286</v>
      </c>
      <c r="AD46" s="82">
        <f t="shared" ref="AD46:AD106" si="30">V46/AB46</f>
        <v>0.8055744392</v>
      </c>
    </row>
    <row r="47">
      <c r="A47" s="24"/>
      <c r="B47" s="78" t="s">
        <v>261</v>
      </c>
      <c r="C47" s="79"/>
      <c r="D47" s="97">
        <v>367.0</v>
      </c>
      <c r="E47" s="97">
        <v>849.0</v>
      </c>
      <c r="F47" s="97">
        <v>281.0</v>
      </c>
      <c r="G47" s="97">
        <v>137.0</v>
      </c>
      <c r="H47" s="97">
        <v>153.0</v>
      </c>
      <c r="I47" s="81">
        <f t="shared" si="17"/>
        <v>1497</v>
      </c>
      <c r="J47" s="81">
        <f t="shared" si="18"/>
        <v>1787</v>
      </c>
      <c r="K47" s="98">
        <f t="shared" si="19"/>
        <v>0.2451569806</v>
      </c>
      <c r="L47" s="98">
        <f t="shared" si="20"/>
        <v>0.5671342685</v>
      </c>
      <c r="M47" s="98">
        <f t="shared" si="21"/>
        <v>0.1877087508</v>
      </c>
      <c r="N47" s="81" t="str">
        <f t="shared" si="22"/>
        <v>Mal. Lott</v>
      </c>
      <c r="O47" s="99" t="s">
        <v>77</v>
      </c>
      <c r="P47" s="97">
        <v>872.0</v>
      </c>
      <c r="Q47" s="97">
        <v>258.0</v>
      </c>
      <c r="R47" s="97">
        <v>367.0</v>
      </c>
      <c r="S47" s="97">
        <v>137.0</v>
      </c>
      <c r="T47" s="97">
        <v>153.0</v>
      </c>
      <c r="U47" s="81">
        <f t="shared" si="23"/>
        <v>1497</v>
      </c>
      <c r="V47" s="81">
        <f t="shared" si="24"/>
        <v>1787</v>
      </c>
      <c r="W47" s="98">
        <f t="shared" si="25"/>
        <v>0.58249833</v>
      </c>
      <c r="X47" s="98">
        <f t="shared" si="26"/>
        <v>0.1723446894</v>
      </c>
      <c r="Y47" s="98">
        <f t="shared" si="27"/>
        <v>0.2451569806</v>
      </c>
      <c r="Z47" s="81" t="str">
        <f t="shared" si="28"/>
        <v>Jango</v>
      </c>
      <c r="AA47" s="100" t="s">
        <v>77</v>
      </c>
      <c r="AB47" s="97">
        <v>2745.0</v>
      </c>
      <c r="AC47" s="81">
        <f t="shared" si="29"/>
        <v>958</v>
      </c>
      <c r="AD47" s="82">
        <f t="shared" si="30"/>
        <v>0.6510018215</v>
      </c>
    </row>
    <row r="48">
      <c r="A48" s="61" t="s">
        <v>135</v>
      </c>
      <c r="B48" s="78" t="s">
        <v>262</v>
      </c>
      <c r="C48" s="79"/>
      <c r="D48" s="97">
        <v>365.0</v>
      </c>
      <c r="E48" s="97">
        <v>671.0</v>
      </c>
      <c r="F48" s="97">
        <v>789.0</v>
      </c>
      <c r="G48" s="97">
        <v>110.0</v>
      </c>
      <c r="H48" s="97">
        <v>160.0</v>
      </c>
      <c r="I48" s="81">
        <f t="shared" si="17"/>
        <v>1825</v>
      </c>
      <c r="J48" s="81">
        <f t="shared" si="18"/>
        <v>2095</v>
      </c>
      <c r="K48" s="98">
        <f t="shared" si="19"/>
        <v>0.2</v>
      </c>
      <c r="L48" s="98">
        <f t="shared" si="20"/>
        <v>0.3676712329</v>
      </c>
      <c r="M48" s="98">
        <f t="shared" si="21"/>
        <v>0.4323287671</v>
      </c>
      <c r="N48" s="81" t="str">
        <f t="shared" si="22"/>
        <v>Adhemar</v>
      </c>
      <c r="O48" s="107" t="s">
        <v>77</v>
      </c>
      <c r="P48" s="97">
        <v>915.0</v>
      </c>
      <c r="Q48" s="97">
        <v>652.0</v>
      </c>
      <c r="R48" s="97">
        <v>234.0</v>
      </c>
      <c r="S48" s="97">
        <v>210.0</v>
      </c>
      <c r="T48" s="97">
        <v>84.0</v>
      </c>
      <c r="U48" s="81">
        <f t="shared" si="23"/>
        <v>1801</v>
      </c>
      <c r="V48" s="81">
        <f t="shared" si="24"/>
        <v>2095</v>
      </c>
      <c r="W48" s="98">
        <f t="shared" si="25"/>
        <v>0.5080510827</v>
      </c>
      <c r="X48" s="98">
        <f t="shared" si="26"/>
        <v>0.3620210994</v>
      </c>
      <c r="Y48" s="98">
        <f t="shared" si="27"/>
        <v>0.1299278179</v>
      </c>
      <c r="Z48" s="81" t="str">
        <f t="shared" si="28"/>
        <v>Jango</v>
      </c>
      <c r="AA48" s="100" t="s">
        <v>77</v>
      </c>
      <c r="AB48" s="97">
        <v>3065.0</v>
      </c>
      <c r="AC48" s="81">
        <f t="shared" si="29"/>
        <v>970</v>
      </c>
      <c r="AD48" s="82">
        <f t="shared" si="30"/>
        <v>0.6835236542</v>
      </c>
    </row>
    <row r="49">
      <c r="A49" s="24"/>
      <c r="B49" s="78" t="s">
        <v>263</v>
      </c>
      <c r="C49" s="79"/>
      <c r="D49" s="97">
        <v>269.0</v>
      </c>
      <c r="E49" s="97">
        <v>690.0</v>
      </c>
      <c r="F49" s="97">
        <v>628.0</v>
      </c>
      <c r="G49" s="97">
        <v>110.0</v>
      </c>
      <c r="H49" s="97">
        <v>103.0</v>
      </c>
      <c r="I49" s="81">
        <f t="shared" si="17"/>
        <v>1587</v>
      </c>
      <c r="J49" s="81">
        <f t="shared" si="18"/>
        <v>1800</v>
      </c>
      <c r="K49" s="98">
        <f t="shared" si="19"/>
        <v>0.1695022054</v>
      </c>
      <c r="L49" s="98">
        <f t="shared" si="20"/>
        <v>0.4347826087</v>
      </c>
      <c r="M49" s="98">
        <f t="shared" si="21"/>
        <v>0.3957151859</v>
      </c>
      <c r="N49" s="81" t="str">
        <f t="shared" si="22"/>
        <v>Mal. Lott</v>
      </c>
      <c r="O49" s="107" t="s">
        <v>77</v>
      </c>
      <c r="P49" s="97">
        <v>1035.0</v>
      </c>
      <c r="Q49" s="97">
        <v>309.0</v>
      </c>
      <c r="R49" s="97">
        <v>218.0</v>
      </c>
      <c r="S49" s="97">
        <v>184.0</v>
      </c>
      <c r="T49" s="97">
        <v>54.0</v>
      </c>
      <c r="U49" s="81">
        <f t="shared" si="23"/>
        <v>1562</v>
      </c>
      <c r="V49" s="81">
        <f t="shared" si="24"/>
        <v>1800</v>
      </c>
      <c r="W49" s="98">
        <f t="shared" si="25"/>
        <v>0.6626120359</v>
      </c>
      <c r="X49" s="98">
        <f t="shared" si="26"/>
        <v>0.1978233035</v>
      </c>
      <c r="Y49" s="98">
        <f t="shared" si="27"/>
        <v>0.1395646607</v>
      </c>
      <c r="Z49" s="81" t="str">
        <f t="shared" si="28"/>
        <v>Jango</v>
      </c>
      <c r="AA49" s="100" t="s">
        <v>77</v>
      </c>
      <c r="AB49" s="97">
        <v>2732.0</v>
      </c>
      <c r="AC49" s="81">
        <f t="shared" si="29"/>
        <v>932</v>
      </c>
      <c r="AD49" s="82">
        <f t="shared" si="30"/>
        <v>0.6588579795</v>
      </c>
    </row>
    <row r="50">
      <c r="A50" s="45" t="s">
        <v>193</v>
      </c>
      <c r="B50" s="78" t="s">
        <v>264</v>
      </c>
      <c r="C50" s="79"/>
      <c r="D50" s="97">
        <v>666.0</v>
      </c>
      <c r="E50" s="97">
        <v>1097.0</v>
      </c>
      <c r="F50" s="97">
        <v>255.0</v>
      </c>
      <c r="G50" s="97">
        <v>128.0</v>
      </c>
      <c r="H50" s="97">
        <v>150.0</v>
      </c>
      <c r="I50" s="81">
        <f t="shared" si="17"/>
        <v>2018</v>
      </c>
      <c r="J50" s="81">
        <f t="shared" si="18"/>
        <v>2296</v>
      </c>
      <c r="K50" s="98">
        <f t="shared" si="19"/>
        <v>0.3300297324</v>
      </c>
      <c r="L50" s="98">
        <f t="shared" si="20"/>
        <v>0.5436075322</v>
      </c>
      <c r="M50" s="98">
        <f t="shared" si="21"/>
        <v>0.1263627354</v>
      </c>
      <c r="N50" s="81" t="str">
        <f t="shared" si="22"/>
        <v>Mal. Lott</v>
      </c>
      <c r="O50" s="107" t="s">
        <v>77</v>
      </c>
      <c r="P50" s="97">
        <v>1264.0</v>
      </c>
      <c r="Q50" s="97">
        <v>351.0</v>
      </c>
      <c r="R50" s="97">
        <v>324.0</v>
      </c>
      <c r="S50" s="97">
        <v>281.0</v>
      </c>
      <c r="T50" s="97">
        <v>76.0</v>
      </c>
      <c r="U50" s="81">
        <f t="shared" si="23"/>
        <v>1939</v>
      </c>
      <c r="V50" s="81">
        <f t="shared" si="24"/>
        <v>2296</v>
      </c>
      <c r="W50" s="98">
        <f t="shared" si="25"/>
        <v>0.6518824136</v>
      </c>
      <c r="X50" s="98">
        <f t="shared" si="26"/>
        <v>0.1810211449</v>
      </c>
      <c r="Y50" s="98">
        <f t="shared" si="27"/>
        <v>0.1670964415</v>
      </c>
      <c r="Z50" s="81" t="str">
        <f t="shared" si="28"/>
        <v>Jango</v>
      </c>
      <c r="AA50" s="100" t="s">
        <v>77</v>
      </c>
      <c r="AB50" s="72">
        <v>4200.0</v>
      </c>
      <c r="AC50" s="81">
        <f t="shared" si="29"/>
        <v>1904</v>
      </c>
      <c r="AD50" s="82">
        <f t="shared" si="30"/>
        <v>0.5466666667</v>
      </c>
    </row>
    <row r="51">
      <c r="A51" s="61" t="s">
        <v>196</v>
      </c>
      <c r="B51" s="78" t="s">
        <v>265</v>
      </c>
      <c r="C51" s="79"/>
      <c r="D51" s="97">
        <v>200.0</v>
      </c>
      <c r="E51" s="97">
        <v>894.0</v>
      </c>
      <c r="F51" s="97">
        <v>950.0</v>
      </c>
      <c r="G51" s="97">
        <v>70.0</v>
      </c>
      <c r="H51" s="97">
        <v>44.0</v>
      </c>
      <c r="I51" s="81">
        <f t="shared" si="17"/>
        <v>2044</v>
      </c>
      <c r="J51" s="81">
        <f t="shared" si="18"/>
        <v>2158</v>
      </c>
      <c r="K51" s="98">
        <f t="shared" si="19"/>
        <v>0.09784735812</v>
      </c>
      <c r="L51" s="98">
        <f t="shared" si="20"/>
        <v>0.4373776908</v>
      </c>
      <c r="M51" s="98">
        <f t="shared" si="21"/>
        <v>0.4647749511</v>
      </c>
      <c r="N51" s="81" t="str">
        <f t="shared" si="22"/>
        <v>Adhemar</v>
      </c>
      <c r="O51" s="107" t="s">
        <v>77</v>
      </c>
      <c r="P51" s="97">
        <v>1078.0</v>
      </c>
      <c r="Q51" s="97">
        <v>730.0</v>
      </c>
      <c r="R51" s="97">
        <v>208.0</v>
      </c>
      <c r="S51" s="97">
        <v>98.0</v>
      </c>
      <c r="T51" s="97">
        <v>44.0</v>
      </c>
      <c r="U51" s="81">
        <f t="shared" si="23"/>
        <v>2016</v>
      </c>
      <c r="V51" s="81">
        <f t="shared" si="24"/>
        <v>2158</v>
      </c>
      <c r="W51" s="98">
        <f t="shared" si="25"/>
        <v>0.5347222222</v>
      </c>
      <c r="X51" s="98">
        <f t="shared" si="26"/>
        <v>0.3621031746</v>
      </c>
      <c r="Y51" s="98">
        <f t="shared" si="27"/>
        <v>0.1031746032</v>
      </c>
      <c r="Z51" s="81" t="str">
        <f t="shared" si="28"/>
        <v>Jango</v>
      </c>
      <c r="AA51" s="100" t="s">
        <v>77</v>
      </c>
      <c r="AB51" s="97">
        <v>2236.0</v>
      </c>
      <c r="AC51" s="81">
        <f t="shared" si="29"/>
        <v>78</v>
      </c>
      <c r="AD51" s="82">
        <f t="shared" si="30"/>
        <v>0.9651162791</v>
      </c>
    </row>
    <row r="52">
      <c r="A52" s="24"/>
      <c r="B52" s="78" t="s">
        <v>266</v>
      </c>
      <c r="C52" s="79"/>
      <c r="D52" s="97">
        <v>143.0</v>
      </c>
      <c r="E52" s="97">
        <v>797.0</v>
      </c>
      <c r="F52" s="97">
        <v>70.0</v>
      </c>
      <c r="G52" s="97">
        <v>49.0</v>
      </c>
      <c r="H52" s="97">
        <v>70.0</v>
      </c>
      <c r="I52" s="81">
        <f t="shared" si="17"/>
        <v>1010</v>
      </c>
      <c r="J52" s="81">
        <f t="shared" si="18"/>
        <v>1129</v>
      </c>
      <c r="K52" s="98">
        <f t="shared" si="19"/>
        <v>0.1415841584</v>
      </c>
      <c r="L52" s="98">
        <f t="shared" si="20"/>
        <v>0.7891089109</v>
      </c>
      <c r="M52" s="98">
        <f t="shared" si="21"/>
        <v>0.06930693069</v>
      </c>
      <c r="N52" s="81" t="str">
        <f t="shared" si="22"/>
        <v>Mal. Lott</v>
      </c>
      <c r="O52" s="107" t="s">
        <v>77</v>
      </c>
      <c r="P52" s="97">
        <v>790.0</v>
      </c>
      <c r="Q52" s="97">
        <v>120.0</v>
      </c>
      <c r="R52" s="97">
        <v>39.0</v>
      </c>
      <c r="S52" s="97">
        <v>84.0</v>
      </c>
      <c r="T52" s="97">
        <v>96.0</v>
      </c>
      <c r="U52" s="81">
        <f t="shared" si="23"/>
        <v>949</v>
      </c>
      <c r="V52" s="81">
        <f t="shared" si="24"/>
        <v>1129</v>
      </c>
      <c r="W52" s="98">
        <f t="shared" si="25"/>
        <v>0.832455216</v>
      </c>
      <c r="X52" s="98">
        <f t="shared" si="26"/>
        <v>0.1264488936</v>
      </c>
      <c r="Y52" s="98">
        <f t="shared" si="27"/>
        <v>0.04109589041</v>
      </c>
      <c r="Z52" s="81" t="str">
        <f t="shared" si="28"/>
        <v>Jango</v>
      </c>
      <c r="AA52" s="100" t="s">
        <v>77</v>
      </c>
      <c r="AB52" s="97">
        <v>1591.0</v>
      </c>
      <c r="AC52" s="81">
        <f t="shared" si="29"/>
        <v>462</v>
      </c>
      <c r="AD52" s="82">
        <f t="shared" si="30"/>
        <v>0.7096165933</v>
      </c>
    </row>
    <row r="53">
      <c r="A53" s="45" t="s">
        <v>198</v>
      </c>
      <c r="B53" s="78" t="s">
        <v>267</v>
      </c>
      <c r="C53" s="79"/>
      <c r="D53" s="97">
        <v>188.0</v>
      </c>
      <c r="E53" s="97">
        <v>964.0</v>
      </c>
      <c r="F53" s="97">
        <v>143.0</v>
      </c>
      <c r="G53" s="97">
        <v>58.0</v>
      </c>
      <c r="H53" s="97">
        <v>41.0</v>
      </c>
      <c r="I53" s="81">
        <f t="shared" si="17"/>
        <v>1295</v>
      </c>
      <c r="J53" s="81">
        <f t="shared" si="18"/>
        <v>1394</v>
      </c>
      <c r="K53" s="98">
        <f t="shared" si="19"/>
        <v>0.1451737452</v>
      </c>
      <c r="L53" s="98">
        <f t="shared" si="20"/>
        <v>0.7444015444</v>
      </c>
      <c r="M53" s="98">
        <f t="shared" si="21"/>
        <v>0.1104247104</v>
      </c>
      <c r="N53" s="81" t="str">
        <f t="shared" si="22"/>
        <v>Mal. Lott</v>
      </c>
      <c r="O53" s="107" t="s">
        <v>77</v>
      </c>
      <c r="P53" s="97">
        <v>1029.0</v>
      </c>
      <c r="Q53" s="97">
        <v>96.0</v>
      </c>
      <c r="R53" s="97">
        <v>149.0</v>
      </c>
      <c r="S53" s="97">
        <v>80.0</v>
      </c>
      <c r="T53" s="97">
        <v>40.0</v>
      </c>
      <c r="U53" s="81">
        <f t="shared" si="23"/>
        <v>1274</v>
      </c>
      <c r="V53" s="81">
        <f t="shared" si="24"/>
        <v>1394</v>
      </c>
      <c r="W53" s="98">
        <f t="shared" si="25"/>
        <v>0.8076923077</v>
      </c>
      <c r="X53" s="98">
        <f t="shared" si="26"/>
        <v>0.07535321821</v>
      </c>
      <c r="Y53" s="98">
        <f t="shared" si="27"/>
        <v>0.1169544741</v>
      </c>
      <c r="Z53" s="81" t="str">
        <f t="shared" si="28"/>
        <v>Jango</v>
      </c>
      <c r="AA53" s="100" t="s">
        <v>77</v>
      </c>
      <c r="AB53" s="97">
        <v>2200.0</v>
      </c>
      <c r="AC53" s="81">
        <f t="shared" si="29"/>
        <v>806</v>
      </c>
      <c r="AD53" s="82">
        <f t="shared" si="30"/>
        <v>0.6336363636</v>
      </c>
    </row>
    <row r="54">
      <c r="A54" s="61" t="s">
        <v>202</v>
      </c>
      <c r="B54" s="78" t="s">
        <v>268</v>
      </c>
      <c r="C54" s="79"/>
      <c r="D54" s="97">
        <v>1233.0</v>
      </c>
      <c r="E54" s="97">
        <v>1267.0</v>
      </c>
      <c r="F54" s="97">
        <v>393.0</v>
      </c>
      <c r="G54" s="97">
        <v>224.0</v>
      </c>
      <c r="H54" s="97">
        <v>103.0</v>
      </c>
      <c r="I54" s="81">
        <f t="shared" si="17"/>
        <v>2893</v>
      </c>
      <c r="J54" s="81">
        <f t="shared" si="18"/>
        <v>3220</v>
      </c>
      <c r="K54" s="98">
        <f t="shared" si="19"/>
        <v>0.4262011753</v>
      </c>
      <c r="L54" s="98">
        <f t="shared" si="20"/>
        <v>0.4379536813</v>
      </c>
      <c r="M54" s="98">
        <f t="shared" si="21"/>
        <v>0.1358451434</v>
      </c>
      <c r="N54" s="81" t="str">
        <f t="shared" si="22"/>
        <v>Mal. Lott</v>
      </c>
      <c r="O54" s="107" t="s">
        <v>77</v>
      </c>
      <c r="P54" s="97">
        <v>963.0</v>
      </c>
      <c r="Q54" s="97">
        <v>448.0</v>
      </c>
      <c r="R54" s="97">
        <v>1335.0</v>
      </c>
      <c r="S54" s="97">
        <v>430.0</v>
      </c>
      <c r="T54" s="97">
        <v>44.0</v>
      </c>
      <c r="U54" s="81">
        <f t="shared" si="23"/>
        <v>2746</v>
      </c>
      <c r="V54" s="81">
        <f t="shared" si="24"/>
        <v>3220</v>
      </c>
      <c r="W54" s="98">
        <f t="shared" si="25"/>
        <v>0.3506919155</v>
      </c>
      <c r="X54" s="98">
        <f t="shared" si="26"/>
        <v>0.1631463948</v>
      </c>
      <c r="Y54" s="98">
        <f t="shared" si="27"/>
        <v>0.4861616897</v>
      </c>
      <c r="Z54" s="81" t="str">
        <f t="shared" si="28"/>
        <v>Ferrari</v>
      </c>
      <c r="AA54" s="100" t="s">
        <v>77</v>
      </c>
      <c r="AB54" s="97">
        <v>4512.0</v>
      </c>
      <c r="AC54" s="81">
        <f t="shared" si="29"/>
        <v>1292</v>
      </c>
      <c r="AD54" s="82">
        <f t="shared" si="30"/>
        <v>0.7136524823</v>
      </c>
    </row>
    <row r="55">
      <c r="A55" s="24"/>
      <c r="B55" s="78" t="s">
        <v>269</v>
      </c>
      <c r="C55" s="79"/>
      <c r="D55" s="97">
        <v>592.0</v>
      </c>
      <c r="E55" s="97">
        <v>664.0</v>
      </c>
      <c r="F55" s="97">
        <v>209.0</v>
      </c>
      <c r="G55" s="97">
        <v>43.0</v>
      </c>
      <c r="H55" s="97">
        <v>78.0</v>
      </c>
      <c r="I55" s="81">
        <f t="shared" si="17"/>
        <v>1465</v>
      </c>
      <c r="J55" s="81">
        <f t="shared" si="18"/>
        <v>1586</v>
      </c>
      <c r="K55" s="98">
        <f t="shared" si="19"/>
        <v>0.4040955631</v>
      </c>
      <c r="L55" s="98">
        <f t="shared" si="20"/>
        <v>0.4532423208</v>
      </c>
      <c r="M55" s="98">
        <f t="shared" si="21"/>
        <v>0.142662116</v>
      </c>
      <c r="N55" s="81" t="str">
        <f t="shared" si="22"/>
        <v>Mal. Lott</v>
      </c>
      <c r="O55" s="107" t="s">
        <v>77</v>
      </c>
      <c r="P55" s="97">
        <v>728.0</v>
      </c>
      <c r="Q55" s="97">
        <v>319.0</v>
      </c>
      <c r="R55" s="97">
        <v>396.0</v>
      </c>
      <c r="S55" s="97">
        <v>113.0</v>
      </c>
      <c r="T55" s="97">
        <v>30.0</v>
      </c>
      <c r="U55" s="81">
        <f t="shared" si="23"/>
        <v>1443</v>
      </c>
      <c r="V55" s="81">
        <f t="shared" si="24"/>
        <v>1586</v>
      </c>
      <c r="W55" s="98">
        <f t="shared" si="25"/>
        <v>0.5045045045</v>
      </c>
      <c r="X55" s="98">
        <f t="shared" si="26"/>
        <v>0.2210672211</v>
      </c>
      <c r="Y55" s="98">
        <f t="shared" si="27"/>
        <v>0.2744282744</v>
      </c>
      <c r="Z55" s="81" t="str">
        <f t="shared" si="28"/>
        <v>Jango</v>
      </c>
      <c r="AA55" s="100" t="s">
        <v>77</v>
      </c>
      <c r="AB55" s="97">
        <v>2025.0</v>
      </c>
      <c r="AC55" s="81">
        <f t="shared" si="29"/>
        <v>439</v>
      </c>
      <c r="AD55" s="82">
        <f t="shared" si="30"/>
        <v>0.7832098765</v>
      </c>
    </row>
    <row r="56">
      <c r="A56" s="45" t="s">
        <v>205</v>
      </c>
      <c r="B56" s="78" t="s">
        <v>270</v>
      </c>
      <c r="C56" s="79"/>
      <c r="D56" s="97">
        <v>568.0</v>
      </c>
      <c r="E56" s="97">
        <v>797.0</v>
      </c>
      <c r="F56" s="97">
        <v>255.0</v>
      </c>
      <c r="G56" s="97">
        <v>68.0</v>
      </c>
      <c r="H56" s="97">
        <v>75.0</v>
      </c>
      <c r="I56" s="81">
        <f t="shared" si="17"/>
        <v>1620</v>
      </c>
      <c r="J56" s="81">
        <f t="shared" si="18"/>
        <v>1763</v>
      </c>
      <c r="K56" s="98">
        <f t="shared" si="19"/>
        <v>0.350617284</v>
      </c>
      <c r="L56" s="98">
        <f t="shared" si="20"/>
        <v>0.4919753086</v>
      </c>
      <c r="M56" s="98">
        <f t="shared" si="21"/>
        <v>0.1574074074</v>
      </c>
      <c r="N56" s="81" t="str">
        <f t="shared" si="22"/>
        <v>Mal. Lott</v>
      </c>
      <c r="O56" s="107" t="s">
        <v>77</v>
      </c>
      <c r="P56" s="97">
        <v>903.0</v>
      </c>
      <c r="Q56" s="97">
        <v>169.0</v>
      </c>
      <c r="R56" s="97">
        <v>512.0</v>
      </c>
      <c r="S56" s="97">
        <v>142.0</v>
      </c>
      <c r="T56" s="97">
        <v>37.0</v>
      </c>
      <c r="U56" s="81">
        <f t="shared" si="23"/>
        <v>1584</v>
      </c>
      <c r="V56" s="81">
        <f t="shared" si="24"/>
        <v>1763</v>
      </c>
      <c r="W56" s="98">
        <f t="shared" si="25"/>
        <v>0.5700757576</v>
      </c>
      <c r="X56" s="98">
        <f t="shared" si="26"/>
        <v>0.1066919192</v>
      </c>
      <c r="Y56" s="98">
        <f t="shared" si="27"/>
        <v>0.3232323232</v>
      </c>
      <c r="Z56" s="81" t="str">
        <f t="shared" si="28"/>
        <v>Jango</v>
      </c>
      <c r="AA56" s="100" t="s">
        <v>77</v>
      </c>
      <c r="AB56" s="97">
        <v>2306.0</v>
      </c>
      <c r="AC56" s="81">
        <f t="shared" si="29"/>
        <v>543</v>
      </c>
      <c r="AD56" s="82">
        <f t="shared" si="30"/>
        <v>0.76452732</v>
      </c>
    </row>
    <row r="57">
      <c r="A57" s="61" t="s">
        <v>141</v>
      </c>
      <c r="B57" s="78" t="s">
        <v>271</v>
      </c>
      <c r="C57" s="79"/>
      <c r="D57" s="97">
        <v>10.0</v>
      </c>
      <c r="E57" s="97">
        <v>1680.0</v>
      </c>
      <c r="F57" s="97">
        <v>7.0</v>
      </c>
      <c r="G57" s="97">
        <v>9.0</v>
      </c>
      <c r="H57" s="97">
        <v>0.0</v>
      </c>
      <c r="I57" s="81">
        <f t="shared" si="17"/>
        <v>1697</v>
      </c>
      <c r="J57" s="81">
        <f t="shared" si="18"/>
        <v>1706</v>
      </c>
      <c r="K57" s="98">
        <f t="shared" si="19"/>
        <v>0.005892751915</v>
      </c>
      <c r="L57" s="98">
        <f t="shared" si="20"/>
        <v>0.9899823217</v>
      </c>
      <c r="M57" s="98">
        <f t="shared" si="21"/>
        <v>0.004124926341</v>
      </c>
      <c r="N57" s="81" t="str">
        <f t="shared" si="22"/>
        <v>Mal. Lott</v>
      </c>
      <c r="O57" s="107" t="s">
        <v>77</v>
      </c>
      <c r="P57" s="97">
        <v>1684.0</v>
      </c>
      <c r="Q57" s="97">
        <v>7.0</v>
      </c>
      <c r="R57" s="97">
        <v>14.0</v>
      </c>
      <c r="S57" s="97">
        <v>1.0</v>
      </c>
      <c r="T57" s="97">
        <v>0.0</v>
      </c>
      <c r="U57" s="81">
        <f t="shared" si="23"/>
        <v>1705</v>
      </c>
      <c r="V57" s="81">
        <f t="shared" si="24"/>
        <v>1706</v>
      </c>
      <c r="W57" s="98">
        <f t="shared" si="25"/>
        <v>0.9876832845</v>
      </c>
      <c r="X57" s="98">
        <f t="shared" si="26"/>
        <v>0.004105571848</v>
      </c>
      <c r="Y57" s="98">
        <f t="shared" si="27"/>
        <v>0.008211143695</v>
      </c>
      <c r="Z57" s="81" t="str">
        <f t="shared" si="28"/>
        <v>Jango</v>
      </c>
      <c r="AA57" s="100" t="s">
        <v>77</v>
      </c>
      <c r="AB57" s="97">
        <v>1776.0</v>
      </c>
      <c r="AC57" s="81">
        <f t="shared" si="29"/>
        <v>70</v>
      </c>
      <c r="AD57" s="82">
        <f t="shared" si="30"/>
        <v>0.9605855856</v>
      </c>
    </row>
    <row r="58">
      <c r="A58" s="24"/>
      <c r="B58" s="78" t="s">
        <v>272</v>
      </c>
      <c r="C58" s="79"/>
      <c r="D58" s="97">
        <v>2.0</v>
      </c>
      <c r="E58" s="97">
        <v>1093.0</v>
      </c>
      <c r="F58" s="97">
        <v>0.0</v>
      </c>
      <c r="G58" s="97">
        <v>4.0</v>
      </c>
      <c r="H58" s="97">
        <v>0.0</v>
      </c>
      <c r="I58" s="81">
        <f t="shared" si="17"/>
        <v>1095</v>
      </c>
      <c r="J58" s="81">
        <f t="shared" si="18"/>
        <v>1099</v>
      </c>
      <c r="K58" s="98">
        <f t="shared" si="19"/>
        <v>0.001826484018</v>
      </c>
      <c r="L58" s="98">
        <f t="shared" si="20"/>
        <v>0.998173516</v>
      </c>
      <c r="M58" s="98">
        <f t="shared" si="21"/>
        <v>0</v>
      </c>
      <c r="N58" s="81" t="str">
        <f t="shared" si="22"/>
        <v>Mal. Lott</v>
      </c>
      <c r="O58" s="107" t="s">
        <v>77</v>
      </c>
      <c r="P58" s="97">
        <v>1094.0</v>
      </c>
      <c r="Q58" s="97">
        <v>0.0</v>
      </c>
      <c r="R58" s="97">
        <v>0.0</v>
      </c>
      <c r="S58" s="97">
        <v>5.0</v>
      </c>
      <c r="T58" s="97">
        <v>0.0</v>
      </c>
      <c r="U58" s="81">
        <f t="shared" si="23"/>
        <v>1094</v>
      </c>
      <c r="V58" s="81">
        <f t="shared" si="24"/>
        <v>1099</v>
      </c>
      <c r="W58" s="98">
        <f t="shared" si="25"/>
        <v>1</v>
      </c>
      <c r="X58" s="98">
        <f t="shared" si="26"/>
        <v>0</v>
      </c>
      <c r="Y58" s="98">
        <f t="shared" si="27"/>
        <v>0</v>
      </c>
      <c r="Z58" s="81" t="str">
        <f t="shared" si="28"/>
        <v>Jango</v>
      </c>
      <c r="AA58" s="100" t="s">
        <v>77</v>
      </c>
      <c r="AB58" s="72">
        <v>1200.0</v>
      </c>
      <c r="AC58" s="81">
        <f t="shared" si="29"/>
        <v>101</v>
      </c>
      <c r="AD58" s="82">
        <f t="shared" si="30"/>
        <v>0.9158333333</v>
      </c>
    </row>
    <row r="59">
      <c r="A59" s="61" t="s">
        <v>143</v>
      </c>
      <c r="B59" s="78" t="s">
        <v>273</v>
      </c>
      <c r="C59" s="79"/>
      <c r="D59" s="97">
        <v>946.0</v>
      </c>
      <c r="E59" s="97">
        <v>614.0</v>
      </c>
      <c r="F59" s="97">
        <v>345.0</v>
      </c>
      <c r="G59" s="97">
        <v>199.0</v>
      </c>
      <c r="H59" s="97">
        <v>867.0</v>
      </c>
      <c r="I59" s="81">
        <f t="shared" si="17"/>
        <v>1905</v>
      </c>
      <c r="J59" s="81">
        <f t="shared" si="18"/>
        <v>2971</v>
      </c>
      <c r="K59" s="98">
        <f t="shared" si="19"/>
        <v>0.4965879265</v>
      </c>
      <c r="L59" s="98">
        <f t="shared" si="20"/>
        <v>0.3223097113</v>
      </c>
      <c r="M59" s="98">
        <f t="shared" si="21"/>
        <v>0.1811023622</v>
      </c>
      <c r="N59" s="81" t="str">
        <f t="shared" si="22"/>
        <v>Jânio</v>
      </c>
      <c r="O59" s="107" t="s">
        <v>77</v>
      </c>
      <c r="P59" s="97">
        <v>812.0</v>
      </c>
      <c r="Q59" s="97">
        <v>579.0</v>
      </c>
      <c r="R59" s="97">
        <v>446.0</v>
      </c>
      <c r="S59" s="97">
        <v>990.0</v>
      </c>
      <c r="T59" s="97">
        <v>144.0</v>
      </c>
      <c r="U59" s="81">
        <f t="shared" si="23"/>
        <v>1837</v>
      </c>
      <c r="V59" s="81">
        <f t="shared" si="24"/>
        <v>2971</v>
      </c>
      <c r="W59" s="98">
        <f t="shared" si="25"/>
        <v>0.4420250408</v>
      </c>
      <c r="X59" s="98">
        <f t="shared" si="26"/>
        <v>0.3151878062</v>
      </c>
      <c r="Y59" s="98">
        <f t="shared" si="27"/>
        <v>0.242787153</v>
      </c>
      <c r="Z59" s="81" t="str">
        <f t="shared" si="28"/>
        <v>Jango</v>
      </c>
      <c r="AA59" s="100" t="s">
        <v>77</v>
      </c>
      <c r="AB59" s="97">
        <v>3760.0</v>
      </c>
      <c r="AC59" s="81">
        <f t="shared" si="29"/>
        <v>789</v>
      </c>
      <c r="AD59" s="82">
        <f t="shared" si="30"/>
        <v>0.7901595745</v>
      </c>
    </row>
    <row r="60">
      <c r="A60" s="23"/>
      <c r="B60" s="78" t="s">
        <v>274</v>
      </c>
      <c r="C60" s="79"/>
      <c r="D60" s="97">
        <v>239.0</v>
      </c>
      <c r="E60" s="97">
        <v>832.0</v>
      </c>
      <c r="F60" s="97">
        <v>119.0</v>
      </c>
      <c r="G60" s="97">
        <v>40.0</v>
      </c>
      <c r="H60" s="97">
        <v>59.0</v>
      </c>
      <c r="I60" s="81">
        <f t="shared" si="17"/>
        <v>1190</v>
      </c>
      <c r="J60" s="81">
        <f t="shared" si="18"/>
        <v>1289</v>
      </c>
      <c r="K60" s="98">
        <f t="shared" si="19"/>
        <v>0.2008403361</v>
      </c>
      <c r="L60" s="98">
        <f t="shared" si="20"/>
        <v>0.6991596639</v>
      </c>
      <c r="M60" s="98">
        <f t="shared" si="21"/>
        <v>0.1</v>
      </c>
      <c r="N60" s="81" t="str">
        <f t="shared" si="22"/>
        <v>Mal. Lott</v>
      </c>
      <c r="O60" s="107" t="s">
        <v>77</v>
      </c>
      <c r="P60" s="97">
        <v>917.0</v>
      </c>
      <c r="Q60" s="97">
        <v>142.0</v>
      </c>
      <c r="R60" s="97">
        <v>108.0</v>
      </c>
      <c r="S60" s="97">
        <v>89.0</v>
      </c>
      <c r="T60" s="97">
        <v>33.0</v>
      </c>
      <c r="U60" s="81">
        <f t="shared" si="23"/>
        <v>1167</v>
      </c>
      <c r="V60" s="81">
        <f t="shared" si="24"/>
        <v>1289</v>
      </c>
      <c r="W60" s="98">
        <f t="shared" si="25"/>
        <v>0.7857754927</v>
      </c>
      <c r="X60" s="98">
        <f t="shared" si="26"/>
        <v>0.1216795201</v>
      </c>
      <c r="Y60" s="98">
        <f t="shared" si="27"/>
        <v>0.09254498715</v>
      </c>
      <c r="Z60" s="81" t="str">
        <f t="shared" si="28"/>
        <v>Jango</v>
      </c>
      <c r="AA60" s="100" t="s">
        <v>77</v>
      </c>
      <c r="AB60" s="97">
        <v>2201.0</v>
      </c>
      <c r="AC60" s="81">
        <f t="shared" si="29"/>
        <v>912</v>
      </c>
      <c r="AD60" s="82">
        <f t="shared" si="30"/>
        <v>0.5856428896</v>
      </c>
    </row>
    <row r="61">
      <c r="A61" s="24"/>
      <c r="B61" s="78" t="s">
        <v>275</v>
      </c>
      <c r="C61" s="79"/>
      <c r="D61" s="97">
        <v>240.0</v>
      </c>
      <c r="E61" s="97">
        <v>845.0</v>
      </c>
      <c r="F61" s="97">
        <v>329.0</v>
      </c>
      <c r="G61" s="97">
        <v>96.0</v>
      </c>
      <c r="H61" s="97">
        <v>124.0</v>
      </c>
      <c r="I61" s="81">
        <f t="shared" si="17"/>
        <v>1414</v>
      </c>
      <c r="J61" s="81">
        <f t="shared" si="18"/>
        <v>1634</v>
      </c>
      <c r="K61" s="98">
        <f t="shared" si="19"/>
        <v>0.1697312588</v>
      </c>
      <c r="L61" s="98">
        <f t="shared" si="20"/>
        <v>0.5975954738</v>
      </c>
      <c r="M61" s="98">
        <f t="shared" si="21"/>
        <v>0.2326732673</v>
      </c>
      <c r="N61" s="81" t="str">
        <f t="shared" si="22"/>
        <v>Mal. Lott</v>
      </c>
      <c r="O61" s="107" t="s">
        <v>77</v>
      </c>
      <c r="P61" s="97">
        <v>1054.0</v>
      </c>
      <c r="Q61" s="97">
        <v>133.0</v>
      </c>
      <c r="R61" s="97">
        <v>206.0</v>
      </c>
      <c r="S61" s="97">
        <v>184.0</v>
      </c>
      <c r="T61" s="97">
        <v>57.0</v>
      </c>
      <c r="U61" s="81">
        <f t="shared" si="23"/>
        <v>1393</v>
      </c>
      <c r="V61" s="81">
        <f t="shared" si="24"/>
        <v>1634</v>
      </c>
      <c r="W61" s="98">
        <f t="shared" si="25"/>
        <v>0.7566403446</v>
      </c>
      <c r="X61" s="98">
        <f t="shared" si="26"/>
        <v>0.09547738693</v>
      </c>
      <c r="Y61" s="98">
        <f t="shared" si="27"/>
        <v>0.1478822685</v>
      </c>
      <c r="Z61" s="81" t="str">
        <f t="shared" si="28"/>
        <v>Jango</v>
      </c>
      <c r="AA61" s="100" t="s">
        <v>77</v>
      </c>
      <c r="AB61" s="97">
        <v>3859.0</v>
      </c>
      <c r="AC61" s="81">
        <f t="shared" si="29"/>
        <v>2225</v>
      </c>
      <c r="AD61" s="82">
        <f t="shared" si="30"/>
        <v>0.423425758</v>
      </c>
    </row>
    <row r="62">
      <c r="A62" s="45" t="s">
        <v>145</v>
      </c>
      <c r="B62" s="78" t="s">
        <v>276</v>
      </c>
      <c r="C62" s="79"/>
      <c r="D62" s="97">
        <v>591.0</v>
      </c>
      <c r="E62" s="97">
        <v>774.0</v>
      </c>
      <c r="F62" s="97">
        <v>1399.0</v>
      </c>
      <c r="G62" s="97">
        <v>154.0</v>
      </c>
      <c r="H62" s="97">
        <v>231.0</v>
      </c>
      <c r="I62" s="81">
        <f t="shared" si="17"/>
        <v>2764</v>
      </c>
      <c r="J62" s="81">
        <f t="shared" si="18"/>
        <v>3149</v>
      </c>
      <c r="K62" s="98">
        <f t="shared" si="19"/>
        <v>0.2138205499</v>
      </c>
      <c r="L62" s="98">
        <f t="shared" si="20"/>
        <v>0.2800289436</v>
      </c>
      <c r="M62" s="98">
        <f t="shared" si="21"/>
        <v>0.5061505065</v>
      </c>
      <c r="N62" s="81" t="str">
        <f t="shared" si="22"/>
        <v>Adhemar</v>
      </c>
      <c r="O62" s="107" t="s">
        <v>77</v>
      </c>
      <c r="P62" s="97">
        <v>1027.0</v>
      </c>
      <c r="Q62" s="97">
        <v>534.0</v>
      </c>
      <c r="R62" s="97">
        <v>1003.0</v>
      </c>
      <c r="S62" s="97">
        <v>433.0</v>
      </c>
      <c r="T62" s="97">
        <v>152.0</v>
      </c>
      <c r="U62" s="81">
        <f t="shared" si="23"/>
        <v>2564</v>
      </c>
      <c r="V62" s="81">
        <f t="shared" si="24"/>
        <v>3149</v>
      </c>
      <c r="W62" s="98">
        <f t="shared" si="25"/>
        <v>0.4005460218</v>
      </c>
      <c r="X62" s="98">
        <f t="shared" si="26"/>
        <v>0.2082683307</v>
      </c>
      <c r="Y62" s="98">
        <f t="shared" si="27"/>
        <v>0.3911856474</v>
      </c>
      <c r="Z62" s="81" t="str">
        <f t="shared" si="28"/>
        <v>Jango</v>
      </c>
      <c r="AA62" s="100" t="s">
        <v>77</v>
      </c>
      <c r="AB62" s="97">
        <v>4006.0</v>
      </c>
      <c r="AC62" s="81">
        <f t="shared" si="29"/>
        <v>857</v>
      </c>
      <c r="AD62" s="82">
        <f t="shared" si="30"/>
        <v>0.7860708937</v>
      </c>
    </row>
    <row r="63">
      <c r="A63" s="61" t="s">
        <v>207</v>
      </c>
      <c r="B63" s="78" t="s">
        <v>277</v>
      </c>
      <c r="C63" s="79"/>
      <c r="D63" s="97">
        <v>245.0</v>
      </c>
      <c r="E63" s="97">
        <v>682.0</v>
      </c>
      <c r="F63" s="97">
        <v>698.0</v>
      </c>
      <c r="G63" s="97">
        <v>123.0</v>
      </c>
      <c r="H63" s="97">
        <v>183.0</v>
      </c>
      <c r="I63" s="81">
        <f t="shared" si="17"/>
        <v>1625</v>
      </c>
      <c r="J63" s="81">
        <f t="shared" si="18"/>
        <v>1931</v>
      </c>
      <c r="K63" s="98">
        <f t="shared" si="19"/>
        <v>0.1507692308</v>
      </c>
      <c r="L63" s="98">
        <f t="shared" si="20"/>
        <v>0.4196923077</v>
      </c>
      <c r="M63" s="98">
        <f t="shared" si="21"/>
        <v>0.4295384615</v>
      </c>
      <c r="N63" s="81" t="str">
        <f t="shared" si="22"/>
        <v>Adhemar</v>
      </c>
      <c r="O63" s="107" t="s">
        <v>77</v>
      </c>
      <c r="P63" s="97">
        <v>760.0</v>
      </c>
      <c r="Q63" s="97">
        <v>163.0</v>
      </c>
      <c r="R63" s="97">
        <v>553.0</v>
      </c>
      <c r="S63" s="97">
        <v>263.0</v>
      </c>
      <c r="T63" s="97">
        <v>192.0</v>
      </c>
      <c r="U63" s="81">
        <f t="shared" si="23"/>
        <v>1476</v>
      </c>
      <c r="V63" s="81">
        <f t="shared" si="24"/>
        <v>1931</v>
      </c>
      <c r="W63" s="98">
        <f t="shared" si="25"/>
        <v>0.5149051491</v>
      </c>
      <c r="X63" s="98">
        <f t="shared" si="26"/>
        <v>0.1104336043</v>
      </c>
      <c r="Y63" s="98">
        <f t="shared" si="27"/>
        <v>0.3746612466</v>
      </c>
      <c r="Z63" s="81" t="str">
        <f t="shared" si="28"/>
        <v>Jango</v>
      </c>
      <c r="AA63" s="100" t="s">
        <v>77</v>
      </c>
      <c r="AB63" s="97">
        <v>2687.0</v>
      </c>
      <c r="AC63" s="81">
        <f t="shared" si="29"/>
        <v>756</v>
      </c>
      <c r="AD63" s="82">
        <f t="shared" si="30"/>
        <v>0.7186453294</v>
      </c>
    </row>
    <row r="64">
      <c r="A64" s="23"/>
      <c r="B64" s="78" t="s">
        <v>278</v>
      </c>
      <c r="C64" s="79"/>
      <c r="D64" s="97">
        <v>244.0</v>
      </c>
      <c r="E64" s="97">
        <v>771.0</v>
      </c>
      <c r="F64" s="97">
        <v>951.0</v>
      </c>
      <c r="G64" s="97">
        <v>97.0</v>
      </c>
      <c r="H64" s="97">
        <v>189.0</v>
      </c>
      <c r="I64" s="81">
        <f t="shared" si="17"/>
        <v>1966</v>
      </c>
      <c r="J64" s="81">
        <f t="shared" si="18"/>
        <v>2252</v>
      </c>
      <c r="K64" s="98">
        <f t="shared" si="19"/>
        <v>0.1241098678</v>
      </c>
      <c r="L64" s="98">
        <f t="shared" si="20"/>
        <v>0.3921668362</v>
      </c>
      <c r="M64" s="98">
        <f t="shared" si="21"/>
        <v>0.483723296</v>
      </c>
      <c r="N64" s="81" t="str">
        <f t="shared" si="22"/>
        <v>Adhemar</v>
      </c>
      <c r="O64" s="107" t="s">
        <v>77</v>
      </c>
      <c r="P64" s="97">
        <v>1105.0</v>
      </c>
      <c r="Q64" s="97">
        <v>227.0</v>
      </c>
      <c r="R64" s="97">
        <v>612.0</v>
      </c>
      <c r="S64" s="97">
        <v>169.0</v>
      </c>
      <c r="T64" s="97">
        <v>139.0</v>
      </c>
      <c r="U64" s="81">
        <f t="shared" si="23"/>
        <v>1944</v>
      </c>
      <c r="V64" s="81">
        <f t="shared" si="24"/>
        <v>2252</v>
      </c>
      <c r="W64" s="98">
        <f t="shared" si="25"/>
        <v>0.5684156379</v>
      </c>
      <c r="X64" s="98">
        <f t="shared" si="26"/>
        <v>0.1167695473</v>
      </c>
      <c r="Y64" s="98">
        <f t="shared" si="27"/>
        <v>0.3148148148</v>
      </c>
      <c r="Z64" s="81" t="str">
        <f t="shared" si="28"/>
        <v>Jango</v>
      </c>
      <c r="AA64" s="100" t="s">
        <v>77</v>
      </c>
      <c r="AB64" s="97">
        <v>2855.0</v>
      </c>
      <c r="AC64" s="81">
        <f t="shared" si="29"/>
        <v>603</v>
      </c>
      <c r="AD64" s="82">
        <f t="shared" si="30"/>
        <v>0.7887915937</v>
      </c>
    </row>
    <row r="65">
      <c r="A65" s="24"/>
      <c r="B65" s="78" t="s">
        <v>279</v>
      </c>
      <c r="C65" s="79"/>
      <c r="D65" s="97">
        <v>547.0</v>
      </c>
      <c r="E65" s="97">
        <v>500.0</v>
      </c>
      <c r="F65" s="97">
        <v>364.0</v>
      </c>
      <c r="G65" s="97">
        <v>78.0</v>
      </c>
      <c r="H65" s="97">
        <v>115.0</v>
      </c>
      <c r="I65" s="81">
        <f t="shared" si="17"/>
        <v>1411</v>
      </c>
      <c r="J65" s="81">
        <f t="shared" si="18"/>
        <v>1604</v>
      </c>
      <c r="K65" s="98">
        <f t="shared" si="19"/>
        <v>0.3876683203</v>
      </c>
      <c r="L65" s="98">
        <f t="shared" si="20"/>
        <v>0.3543586109</v>
      </c>
      <c r="M65" s="98">
        <f t="shared" si="21"/>
        <v>0.2579730687</v>
      </c>
      <c r="N65" s="81" t="str">
        <f t="shared" si="22"/>
        <v>Jânio</v>
      </c>
      <c r="O65" s="107" t="s">
        <v>77</v>
      </c>
      <c r="P65" s="97">
        <v>657.0</v>
      </c>
      <c r="Q65" s="97">
        <v>132.0</v>
      </c>
      <c r="R65" s="97">
        <v>511.0</v>
      </c>
      <c r="S65" s="97">
        <v>178.0</v>
      </c>
      <c r="T65" s="97">
        <v>126.0</v>
      </c>
      <c r="U65" s="81">
        <f t="shared" si="23"/>
        <v>1300</v>
      </c>
      <c r="V65" s="81">
        <f t="shared" si="24"/>
        <v>1604</v>
      </c>
      <c r="W65" s="98">
        <f t="shared" si="25"/>
        <v>0.5053846154</v>
      </c>
      <c r="X65" s="98">
        <f t="shared" si="26"/>
        <v>0.1015384615</v>
      </c>
      <c r="Y65" s="98">
        <f t="shared" si="27"/>
        <v>0.3930769231</v>
      </c>
      <c r="Z65" s="81" t="str">
        <f t="shared" si="28"/>
        <v>Jango</v>
      </c>
      <c r="AA65" s="100" t="s">
        <v>77</v>
      </c>
      <c r="AB65" s="97">
        <v>2089.0</v>
      </c>
      <c r="AC65" s="81">
        <f t="shared" si="29"/>
        <v>485</v>
      </c>
      <c r="AD65" s="82">
        <f t="shared" si="30"/>
        <v>0.7678314983</v>
      </c>
    </row>
    <row r="66">
      <c r="A66" s="61" t="s">
        <v>209</v>
      </c>
      <c r="B66" s="78" t="s">
        <v>280</v>
      </c>
      <c r="C66" s="79"/>
      <c r="D66" s="97">
        <v>58.0</v>
      </c>
      <c r="E66" s="97">
        <v>276.0</v>
      </c>
      <c r="F66" s="97">
        <v>264.0</v>
      </c>
      <c r="G66" s="97">
        <v>21.0</v>
      </c>
      <c r="H66" s="97">
        <v>31.0</v>
      </c>
      <c r="I66" s="81">
        <f t="shared" si="17"/>
        <v>598</v>
      </c>
      <c r="J66" s="81">
        <f t="shared" si="18"/>
        <v>650</v>
      </c>
      <c r="K66" s="98">
        <f t="shared" si="19"/>
        <v>0.09698996656</v>
      </c>
      <c r="L66" s="98">
        <f t="shared" si="20"/>
        <v>0.4615384615</v>
      </c>
      <c r="M66" s="98">
        <f t="shared" si="21"/>
        <v>0.4414715719</v>
      </c>
      <c r="N66" s="81" t="str">
        <f t="shared" si="22"/>
        <v>Mal. Lott</v>
      </c>
      <c r="O66" s="107" t="s">
        <v>77</v>
      </c>
      <c r="P66" s="97">
        <v>348.0</v>
      </c>
      <c r="Q66" s="97">
        <v>64.0</v>
      </c>
      <c r="R66" s="97">
        <v>136.0</v>
      </c>
      <c r="S66" s="97">
        <v>78.0</v>
      </c>
      <c r="T66" s="97">
        <v>24.0</v>
      </c>
      <c r="U66" s="81">
        <f t="shared" si="23"/>
        <v>548</v>
      </c>
      <c r="V66" s="81">
        <f t="shared" si="24"/>
        <v>650</v>
      </c>
      <c r="W66" s="98">
        <f t="shared" si="25"/>
        <v>0.6350364964</v>
      </c>
      <c r="X66" s="98">
        <f t="shared" si="26"/>
        <v>0.1167883212</v>
      </c>
      <c r="Y66" s="98">
        <f t="shared" si="27"/>
        <v>0.2481751825</v>
      </c>
      <c r="Z66" s="81" t="str">
        <f t="shared" si="28"/>
        <v>Jango</v>
      </c>
      <c r="AA66" s="100" t="s">
        <v>77</v>
      </c>
      <c r="AB66" s="97">
        <v>2288.0</v>
      </c>
      <c r="AC66" s="81">
        <f t="shared" si="29"/>
        <v>1638</v>
      </c>
      <c r="AD66" s="82">
        <f t="shared" si="30"/>
        <v>0.2840909091</v>
      </c>
    </row>
    <row r="67">
      <c r="A67" s="24"/>
      <c r="B67" s="78" t="s">
        <v>281</v>
      </c>
      <c r="C67" s="79"/>
      <c r="D67" s="97">
        <v>276.0</v>
      </c>
      <c r="E67" s="97">
        <v>1175.0</v>
      </c>
      <c r="F67" s="97">
        <v>140.0</v>
      </c>
      <c r="G67" s="97">
        <v>25.0</v>
      </c>
      <c r="H67" s="97">
        <v>42.0</v>
      </c>
      <c r="I67" s="81">
        <f t="shared" si="17"/>
        <v>1591</v>
      </c>
      <c r="J67" s="81">
        <f t="shared" si="18"/>
        <v>1658</v>
      </c>
      <c r="K67" s="98">
        <f t="shared" si="19"/>
        <v>0.1734758014</v>
      </c>
      <c r="L67" s="98">
        <f t="shared" si="20"/>
        <v>0.7385292269</v>
      </c>
      <c r="M67" s="98">
        <f t="shared" si="21"/>
        <v>0.08799497172</v>
      </c>
      <c r="N67" s="81" t="str">
        <f t="shared" si="22"/>
        <v>Mal. Lott</v>
      </c>
      <c r="O67" s="107" t="s">
        <v>77</v>
      </c>
      <c r="P67" s="97">
        <v>1298.0</v>
      </c>
      <c r="Q67" s="97">
        <v>141.0</v>
      </c>
      <c r="R67" s="97">
        <v>145.0</v>
      </c>
      <c r="S67" s="97">
        <v>33.0</v>
      </c>
      <c r="T67" s="97">
        <v>41.0</v>
      </c>
      <c r="U67" s="81">
        <f t="shared" si="23"/>
        <v>1584</v>
      </c>
      <c r="V67" s="81">
        <f t="shared" si="24"/>
        <v>1658</v>
      </c>
      <c r="W67" s="98">
        <f t="shared" si="25"/>
        <v>0.8194444444</v>
      </c>
      <c r="X67" s="98">
        <f t="shared" si="26"/>
        <v>0.08901515152</v>
      </c>
      <c r="Y67" s="98">
        <f t="shared" si="27"/>
        <v>0.09154040404</v>
      </c>
      <c r="Z67" s="81" t="str">
        <f t="shared" si="28"/>
        <v>Jango</v>
      </c>
      <c r="AA67" s="100" t="s">
        <v>77</v>
      </c>
      <c r="AB67" s="97">
        <v>2079.0</v>
      </c>
      <c r="AC67" s="81">
        <f t="shared" si="29"/>
        <v>421</v>
      </c>
      <c r="AD67" s="82">
        <f t="shared" si="30"/>
        <v>0.7974987975</v>
      </c>
    </row>
    <row r="68">
      <c r="A68" s="61" t="s">
        <v>211</v>
      </c>
      <c r="B68" s="78" t="s">
        <v>282</v>
      </c>
      <c r="C68" s="79"/>
      <c r="D68" s="97">
        <v>1067.0</v>
      </c>
      <c r="E68" s="97">
        <v>777.0</v>
      </c>
      <c r="F68" s="97">
        <v>265.0</v>
      </c>
      <c r="G68" s="97">
        <v>143.0</v>
      </c>
      <c r="H68" s="97">
        <v>203.0</v>
      </c>
      <c r="I68" s="81">
        <f t="shared" si="17"/>
        <v>2109</v>
      </c>
      <c r="J68" s="81">
        <f t="shared" si="18"/>
        <v>2455</v>
      </c>
      <c r="K68" s="98">
        <f t="shared" si="19"/>
        <v>0.5059269796</v>
      </c>
      <c r="L68" s="98">
        <f t="shared" si="20"/>
        <v>0.3684210526</v>
      </c>
      <c r="M68" s="98">
        <f t="shared" si="21"/>
        <v>0.1256519678</v>
      </c>
      <c r="N68" s="81" t="str">
        <f t="shared" si="22"/>
        <v>Jânio</v>
      </c>
      <c r="O68" s="107" t="s">
        <v>77</v>
      </c>
      <c r="P68" s="97">
        <v>973.0</v>
      </c>
      <c r="Q68" s="97">
        <v>256.0</v>
      </c>
      <c r="R68" s="97">
        <v>814.0</v>
      </c>
      <c r="S68" s="97">
        <v>261.0</v>
      </c>
      <c r="T68" s="97">
        <v>151.0</v>
      </c>
      <c r="U68" s="81">
        <f t="shared" si="23"/>
        <v>2043</v>
      </c>
      <c r="V68" s="81">
        <f t="shared" si="24"/>
        <v>2455</v>
      </c>
      <c r="W68" s="98">
        <f t="shared" si="25"/>
        <v>0.4762604014</v>
      </c>
      <c r="X68" s="98">
        <f t="shared" si="26"/>
        <v>0.1253059227</v>
      </c>
      <c r="Y68" s="98">
        <f t="shared" si="27"/>
        <v>0.398433676</v>
      </c>
      <c r="Z68" s="81" t="str">
        <f t="shared" si="28"/>
        <v>Jango</v>
      </c>
      <c r="AA68" s="100" t="s">
        <v>77</v>
      </c>
      <c r="AB68" s="97">
        <v>3936.0</v>
      </c>
      <c r="AC68" s="81">
        <f t="shared" si="29"/>
        <v>1481</v>
      </c>
      <c r="AD68" s="82">
        <f t="shared" si="30"/>
        <v>0.6237296748</v>
      </c>
    </row>
    <row r="69">
      <c r="A69" s="24"/>
      <c r="B69" s="78" t="s">
        <v>283</v>
      </c>
      <c r="C69" s="79"/>
      <c r="D69" s="97">
        <v>60.0</v>
      </c>
      <c r="E69" s="97">
        <v>134.0</v>
      </c>
      <c r="F69" s="97">
        <v>59.0</v>
      </c>
      <c r="G69" s="97">
        <v>10.0</v>
      </c>
      <c r="H69" s="97">
        <v>6.0</v>
      </c>
      <c r="I69" s="81">
        <f t="shared" si="17"/>
        <v>253</v>
      </c>
      <c r="J69" s="81">
        <f t="shared" si="18"/>
        <v>269</v>
      </c>
      <c r="K69" s="98">
        <f t="shared" si="19"/>
        <v>0.2371541502</v>
      </c>
      <c r="L69" s="98">
        <f t="shared" si="20"/>
        <v>0.5296442688</v>
      </c>
      <c r="M69" s="98">
        <f t="shared" si="21"/>
        <v>0.233201581</v>
      </c>
      <c r="N69" s="81" t="str">
        <f t="shared" si="22"/>
        <v>Mal. Lott</v>
      </c>
      <c r="O69" s="107" t="s">
        <v>77</v>
      </c>
      <c r="P69" s="97">
        <v>148.0</v>
      </c>
      <c r="Q69" s="97">
        <v>44.0</v>
      </c>
      <c r="R69" s="97">
        <v>52.0</v>
      </c>
      <c r="S69" s="97">
        <v>18.0</v>
      </c>
      <c r="T69" s="97">
        <v>7.0</v>
      </c>
      <c r="U69" s="81">
        <f t="shared" si="23"/>
        <v>244</v>
      </c>
      <c r="V69" s="81">
        <f t="shared" si="24"/>
        <v>269</v>
      </c>
      <c r="W69" s="98">
        <f t="shared" si="25"/>
        <v>0.606557377</v>
      </c>
      <c r="X69" s="98">
        <f t="shared" si="26"/>
        <v>0.1803278689</v>
      </c>
      <c r="Y69" s="98">
        <f t="shared" si="27"/>
        <v>0.2131147541</v>
      </c>
      <c r="Z69" s="81" t="str">
        <f t="shared" si="28"/>
        <v>Jango</v>
      </c>
      <c r="AA69" s="100" t="s">
        <v>77</v>
      </c>
      <c r="AB69" s="97">
        <v>740.0</v>
      </c>
      <c r="AC69" s="81">
        <f t="shared" si="29"/>
        <v>471</v>
      </c>
      <c r="AD69" s="82">
        <f t="shared" si="30"/>
        <v>0.3635135135</v>
      </c>
    </row>
    <row r="70">
      <c r="A70" s="61" t="s">
        <v>213</v>
      </c>
      <c r="B70" s="78" t="s">
        <v>284</v>
      </c>
      <c r="C70" s="79"/>
      <c r="D70" s="97">
        <v>646.0</v>
      </c>
      <c r="E70" s="97">
        <v>1055.0</v>
      </c>
      <c r="F70" s="97">
        <v>124.0</v>
      </c>
      <c r="G70" s="97">
        <v>34.0</v>
      </c>
      <c r="H70" s="97">
        <v>22.0</v>
      </c>
      <c r="I70" s="81">
        <f t="shared" si="17"/>
        <v>1825</v>
      </c>
      <c r="J70" s="81">
        <f t="shared" si="18"/>
        <v>1881</v>
      </c>
      <c r="K70" s="98">
        <f t="shared" si="19"/>
        <v>0.3539726027</v>
      </c>
      <c r="L70" s="98">
        <f t="shared" si="20"/>
        <v>0.5780821918</v>
      </c>
      <c r="M70" s="98">
        <f t="shared" si="21"/>
        <v>0.06794520548</v>
      </c>
      <c r="N70" s="81" t="str">
        <f t="shared" si="22"/>
        <v>Mal. Lott</v>
      </c>
      <c r="O70" s="107" t="s">
        <v>77</v>
      </c>
      <c r="P70" s="97">
        <v>1416.0</v>
      </c>
      <c r="Q70" s="97">
        <v>186.0</v>
      </c>
      <c r="R70" s="97">
        <v>185.0</v>
      </c>
      <c r="S70" s="97">
        <v>60.0</v>
      </c>
      <c r="T70" s="97">
        <v>34.0</v>
      </c>
      <c r="U70" s="81">
        <f t="shared" si="23"/>
        <v>1787</v>
      </c>
      <c r="V70" s="81">
        <f t="shared" si="24"/>
        <v>1881</v>
      </c>
      <c r="W70" s="98">
        <f t="shared" si="25"/>
        <v>0.7923894796</v>
      </c>
      <c r="X70" s="98">
        <f t="shared" si="26"/>
        <v>0.1040850588</v>
      </c>
      <c r="Y70" s="98">
        <f t="shared" si="27"/>
        <v>0.1035254617</v>
      </c>
      <c r="Z70" s="81" t="str">
        <f t="shared" si="28"/>
        <v>Jango</v>
      </c>
      <c r="AA70" s="100" t="s">
        <v>77</v>
      </c>
      <c r="AB70" s="97">
        <v>3506.0</v>
      </c>
      <c r="AC70" s="81">
        <f t="shared" si="29"/>
        <v>1625</v>
      </c>
      <c r="AD70" s="82">
        <f t="shared" si="30"/>
        <v>0.536508842</v>
      </c>
    </row>
    <row r="71">
      <c r="A71" s="23"/>
      <c r="B71" s="78" t="s">
        <v>285</v>
      </c>
      <c r="C71" s="79"/>
      <c r="D71" s="97">
        <v>830.0</v>
      </c>
      <c r="E71" s="97">
        <v>537.0</v>
      </c>
      <c r="F71" s="97">
        <v>0.0</v>
      </c>
      <c r="G71" s="97">
        <v>0.0</v>
      </c>
      <c r="H71" s="97">
        <v>0.0</v>
      </c>
      <c r="I71" s="81">
        <f t="shared" si="17"/>
        <v>1367</v>
      </c>
      <c r="J71" s="81">
        <f t="shared" si="18"/>
        <v>1367</v>
      </c>
      <c r="K71" s="98">
        <f t="shared" si="19"/>
        <v>0.6071689832</v>
      </c>
      <c r="L71" s="98">
        <f t="shared" si="20"/>
        <v>0.3928310168</v>
      </c>
      <c r="M71" s="98">
        <f t="shared" si="21"/>
        <v>0</v>
      </c>
      <c r="N71" s="81" t="str">
        <f t="shared" si="22"/>
        <v>Jânio</v>
      </c>
      <c r="O71" s="107" t="s">
        <v>77</v>
      </c>
      <c r="P71" s="97">
        <v>1367.0</v>
      </c>
      <c r="Q71" s="97">
        <v>0.0</v>
      </c>
      <c r="R71" s="97">
        <v>0.0</v>
      </c>
      <c r="S71" s="97">
        <v>0.0</v>
      </c>
      <c r="T71" s="97">
        <v>0.0</v>
      </c>
      <c r="U71" s="81">
        <f t="shared" si="23"/>
        <v>1367</v>
      </c>
      <c r="V71" s="81">
        <f t="shared" si="24"/>
        <v>1367</v>
      </c>
      <c r="W71" s="98">
        <f t="shared" si="25"/>
        <v>1</v>
      </c>
      <c r="X71" s="98">
        <f t="shared" si="26"/>
        <v>0</v>
      </c>
      <c r="Y71" s="98">
        <f t="shared" si="27"/>
        <v>0</v>
      </c>
      <c r="Z71" s="81" t="str">
        <f t="shared" si="28"/>
        <v>Jango</v>
      </c>
      <c r="AA71" s="100" t="s">
        <v>77</v>
      </c>
      <c r="AB71" s="97">
        <v>1997.0</v>
      </c>
      <c r="AC71" s="81">
        <f t="shared" si="29"/>
        <v>630</v>
      </c>
      <c r="AD71" s="82">
        <f t="shared" si="30"/>
        <v>0.6845267902</v>
      </c>
    </row>
    <row r="72">
      <c r="A72" s="23"/>
      <c r="B72" s="78" t="s">
        <v>286</v>
      </c>
      <c r="C72" s="79"/>
      <c r="D72" s="97">
        <v>939.0</v>
      </c>
      <c r="E72" s="97">
        <v>678.0</v>
      </c>
      <c r="F72" s="97">
        <v>0.0</v>
      </c>
      <c r="G72" s="97">
        <v>0.0</v>
      </c>
      <c r="H72" s="97">
        <v>0.0</v>
      </c>
      <c r="I72" s="81">
        <f t="shared" si="17"/>
        <v>1617</v>
      </c>
      <c r="J72" s="81">
        <f t="shared" si="18"/>
        <v>1617</v>
      </c>
      <c r="K72" s="98">
        <f t="shared" si="19"/>
        <v>0.5807050093</v>
      </c>
      <c r="L72" s="98">
        <f t="shared" si="20"/>
        <v>0.4192949907</v>
      </c>
      <c r="M72" s="98">
        <f t="shared" si="21"/>
        <v>0</v>
      </c>
      <c r="N72" s="81" t="str">
        <f t="shared" si="22"/>
        <v>Jânio</v>
      </c>
      <c r="O72" s="107" t="s">
        <v>77</v>
      </c>
      <c r="P72" s="97">
        <v>1532.0</v>
      </c>
      <c r="Q72" s="97">
        <v>1.0</v>
      </c>
      <c r="R72" s="97">
        <v>83.0</v>
      </c>
      <c r="S72" s="97">
        <v>1.0</v>
      </c>
      <c r="T72" s="97">
        <v>0.0</v>
      </c>
      <c r="U72" s="81">
        <f t="shared" si="23"/>
        <v>1616</v>
      </c>
      <c r="V72" s="81">
        <f t="shared" si="24"/>
        <v>1617</v>
      </c>
      <c r="W72" s="98">
        <f t="shared" si="25"/>
        <v>0.948019802</v>
      </c>
      <c r="X72" s="98">
        <f t="shared" si="26"/>
        <v>0.0006188118812</v>
      </c>
      <c r="Y72" s="98">
        <f t="shared" si="27"/>
        <v>0.05136138614</v>
      </c>
      <c r="Z72" s="81" t="str">
        <f t="shared" si="28"/>
        <v>Jango</v>
      </c>
      <c r="AA72" s="100" t="s">
        <v>77</v>
      </c>
      <c r="AB72" s="97">
        <v>1700.0</v>
      </c>
      <c r="AC72" s="81">
        <f t="shared" si="29"/>
        <v>83</v>
      </c>
      <c r="AD72" s="82">
        <f t="shared" si="30"/>
        <v>0.9511764706</v>
      </c>
    </row>
    <row r="73">
      <c r="A73" s="24"/>
      <c r="B73" s="78" t="s">
        <v>287</v>
      </c>
      <c r="C73" s="79"/>
      <c r="D73" s="97">
        <v>610.0</v>
      </c>
      <c r="E73" s="97">
        <v>170.0</v>
      </c>
      <c r="F73" s="97">
        <v>117.0</v>
      </c>
      <c r="G73" s="97">
        <v>15.0</v>
      </c>
      <c r="H73" s="97">
        <v>11.0</v>
      </c>
      <c r="I73" s="81">
        <f t="shared" si="17"/>
        <v>897</v>
      </c>
      <c r="J73" s="81">
        <f t="shared" si="18"/>
        <v>923</v>
      </c>
      <c r="K73" s="98">
        <f t="shared" si="19"/>
        <v>0.6800445931</v>
      </c>
      <c r="L73" s="98">
        <f t="shared" si="20"/>
        <v>0.1895206243</v>
      </c>
      <c r="M73" s="98">
        <f t="shared" si="21"/>
        <v>0.1304347826</v>
      </c>
      <c r="N73" s="81" t="str">
        <f t="shared" si="22"/>
        <v>Jânio</v>
      </c>
      <c r="O73" s="107" t="s">
        <v>77</v>
      </c>
      <c r="P73" s="97">
        <v>865.0</v>
      </c>
      <c r="Q73" s="97">
        <v>9.0</v>
      </c>
      <c r="R73" s="97">
        <v>28.0</v>
      </c>
      <c r="S73" s="97">
        <v>11.0</v>
      </c>
      <c r="T73" s="97">
        <v>10.0</v>
      </c>
      <c r="U73" s="81">
        <f t="shared" si="23"/>
        <v>902</v>
      </c>
      <c r="V73" s="81">
        <f t="shared" si="24"/>
        <v>923</v>
      </c>
      <c r="W73" s="98">
        <f t="shared" si="25"/>
        <v>0.9589800443</v>
      </c>
      <c r="X73" s="98">
        <f t="shared" si="26"/>
        <v>0.009977827051</v>
      </c>
      <c r="Y73" s="98">
        <f t="shared" si="27"/>
        <v>0.0310421286</v>
      </c>
      <c r="Z73" s="81" t="str">
        <f t="shared" si="28"/>
        <v>Jango</v>
      </c>
      <c r="AA73" s="100" t="s">
        <v>77</v>
      </c>
      <c r="AB73" s="97">
        <v>2344.0</v>
      </c>
      <c r="AC73" s="81">
        <f t="shared" si="29"/>
        <v>1421</v>
      </c>
      <c r="AD73" s="82">
        <f t="shared" si="30"/>
        <v>0.3937713311</v>
      </c>
    </row>
    <row r="74">
      <c r="A74" s="45" t="s">
        <v>215</v>
      </c>
      <c r="B74" s="78" t="s">
        <v>288</v>
      </c>
      <c r="C74" s="79"/>
      <c r="D74" s="97">
        <v>301.0</v>
      </c>
      <c r="E74" s="97">
        <v>1322.0</v>
      </c>
      <c r="F74" s="97">
        <v>602.0</v>
      </c>
      <c r="G74" s="97">
        <v>145.0</v>
      </c>
      <c r="H74" s="97">
        <v>86.0</v>
      </c>
      <c r="I74" s="81">
        <f t="shared" si="17"/>
        <v>2225</v>
      </c>
      <c r="J74" s="81">
        <f t="shared" si="18"/>
        <v>2456</v>
      </c>
      <c r="K74" s="98">
        <f t="shared" si="19"/>
        <v>0.1352808989</v>
      </c>
      <c r="L74" s="98">
        <f t="shared" si="20"/>
        <v>0.5941573034</v>
      </c>
      <c r="M74" s="98">
        <f t="shared" si="21"/>
        <v>0.2705617978</v>
      </c>
      <c r="N74" s="81" t="str">
        <f t="shared" si="22"/>
        <v>Mal. Lott</v>
      </c>
      <c r="O74" s="107" t="s">
        <v>77</v>
      </c>
      <c r="P74" s="97">
        <v>1543.0</v>
      </c>
      <c r="Q74" s="97">
        <v>219.0</v>
      </c>
      <c r="R74" s="97">
        <v>435.0</v>
      </c>
      <c r="S74" s="97">
        <v>144.0</v>
      </c>
      <c r="T74" s="97">
        <v>115.0</v>
      </c>
      <c r="U74" s="81">
        <f t="shared" si="23"/>
        <v>2197</v>
      </c>
      <c r="V74" s="81">
        <f t="shared" si="24"/>
        <v>2456</v>
      </c>
      <c r="W74" s="98">
        <f t="shared" si="25"/>
        <v>0.7023213473</v>
      </c>
      <c r="X74" s="98">
        <f t="shared" si="26"/>
        <v>0.09968138371</v>
      </c>
      <c r="Y74" s="98">
        <f t="shared" si="27"/>
        <v>0.197997269</v>
      </c>
      <c r="Z74" s="81" t="str">
        <f t="shared" si="28"/>
        <v>Jango</v>
      </c>
      <c r="AA74" s="100" t="s">
        <v>77</v>
      </c>
      <c r="AB74" s="97">
        <v>4166.0</v>
      </c>
      <c r="AC74" s="81">
        <f t="shared" si="29"/>
        <v>1710</v>
      </c>
      <c r="AD74" s="82">
        <f t="shared" si="30"/>
        <v>0.5895343255</v>
      </c>
    </row>
    <row r="75">
      <c r="A75" s="61" t="s">
        <v>218</v>
      </c>
      <c r="B75" s="78" t="s">
        <v>289</v>
      </c>
      <c r="C75" s="79"/>
      <c r="D75" s="97">
        <v>179.0</v>
      </c>
      <c r="E75" s="97">
        <v>2516.0</v>
      </c>
      <c r="F75" s="97">
        <v>50.0</v>
      </c>
      <c r="G75" s="97">
        <v>41.0</v>
      </c>
      <c r="H75" s="97">
        <v>91.0</v>
      </c>
      <c r="I75" s="81">
        <f t="shared" si="17"/>
        <v>2745</v>
      </c>
      <c r="J75" s="81">
        <f t="shared" si="18"/>
        <v>2877</v>
      </c>
      <c r="K75" s="98">
        <f t="shared" si="19"/>
        <v>0.06520947177</v>
      </c>
      <c r="L75" s="98">
        <f t="shared" si="20"/>
        <v>0.916575592</v>
      </c>
      <c r="M75" s="98">
        <f t="shared" si="21"/>
        <v>0.01821493625</v>
      </c>
      <c r="N75" s="81" t="str">
        <f t="shared" si="22"/>
        <v>Mal. Lott</v>
      </c>
      <c r="O75" s="107" t="s">
        <v>77</v>
      </c>
      <c r="P75" s="97">
        <v>2472.0</v>
      </c>
      <c r="Q75" s="97">
        <v>176.0</v>
      </c>
      <c r="R75" s="97">
        <v>125.0</v>
      </c>
      <c r="S75" s="97">
        <v>48.0</v>
      </c>
      <c r="T75" s="97">
        <v>56.0</v>
      </c>
      <c r="U75" s="81">
        <f t="shared" si="23"/>
        <v>2773</v>
      </c>
      <c r="V75" s="81">
        <f t="shared" si="24"/>
        <v>2877</v>
      </c>
      <c r="W75" s="98">
        <f t="shared" si="25"/>
        <v>0.8914532997</v>
      </c>
      <c r="X75" s="98">
        <f t="shared" si="26"/>
        <v>0.06346916697</v>
      </c>
      <c r="Y75" s="98">
        <f t="shared" si="27"/>
        <v>0.04507753336</v>
      </c>
      <c r="Z75" s="81" t="str">
        <f t="shared" si="28"/>
        <v>Jango</v>
      </c>
      <c r="AA75" s="100" t="s">
        <v>77</v>
      </c>
      <c r="AB75" s="97">
        <v>3315.0</v>
      </c>
      <c r="AC75" s="81">
        <f t="shared" si="29"/>
        <v>438</v>
      </c>
      <c r="AD75" s="82">
        <f t="shared" si="30"/>
        <v>0.8678733032</v>
      </c>
    </row>
    <row r="76">
      <c r="A76" s="24"/>
      <c r="B76" s="78" t="s">
        <v>290</v>
      </c>
      <c r="C76" s="79"/>
      <c r="D76" s="97">
        <v>40.0</v>
      </c>
      <c r="E76" s="97">
        <v>3287.0</v>
      </c>
      <c r="F76" s="97">
        <v>24.0</v>
      </c>
      <c r="G76" s="97">
        <v>31.0</v>
      </c>
      <c r="H76" s="97">
        <v>2.0</v>
      </c>
      <c r="I76" s="81">
        <f t="shared" si="17"/>
        <v>3351</v>
      </c>
      <c r="J76" s="81">
        <f t="shared" si="18"/>
        <v>3384</v>
      </c>
      <c r="K76" s="98">
        <f t="shared" si="19"/>
        <v>0.0119367353</v>
      </c>
      <c r="L76" s="98">
        <f t="shared" si="20"/>
        <v>0.9809012235</v>
      </c>
      <c r="M76" s="98">
        <f t="shared" si="21"/>
        <v>0.007162041182</v>
      </c>
      <c r="N76" s="81" t="str">
        <f t="shared" si="22"/>
        <v>Mal. Lott</v>
      </c>
      <c r="O76" s="107" t="s">
        <v>77</v>
      </c>
      <c r="P76" s="97">
        <v>3283.0</v>
      </c>
      <c r="Q76" s="97">
        <v>22.0</v>
      </c>
      <c r="R76" s="97">
        <v>46.0</v>
      </c>
      <c r="S76" s="97">
        <v>32.0</v>
      </c>
      <c r="T76" s="97">
        <v>1.0</v>
      </c>
      <c r="U76" s="81">
        <f t="shared" si="23"/>
        <v>3351</v>
      </c>
      <c r="V76" s="81">
        <f t="shared" si="24"/>
        <v>3384</v>
      </c>
      <c r="W76" s="98">
        <f t="shared" si="25"/>
        <v>0.97970755</v>
      </c>
      <c r="X76" s="98">
        <f t="shared" si="26"/>
        <v>0.006565204417</v>
      </c>
      <c r="Y76" s="98">
        <f t="shared" si="27"/>
        <v>0.0137272456</v>
      </c>
      <c r="Z76" s="81" t="str">
        <f t="shared" si="28"/>
        <v>Jango</v>
      </c>
      <c r="AA76" s="100" t="s">
        <v>77</v>
      </c>
      <c r="AB76" s="97">
        <v>3508.0</v>
      </c>
      <c r="AC76" s="81">
        <f t="shared" si="29"/>
        <v>124</v>
      </c>
      <c r="AD76" s="82">
        <f t="shared" si="30"/>
        <v>0.9646522235</v>
      </c>
    </row>
    <row r="77">
      <c r="A77" s="61" t="s">
        <v>220</v>
      </c>
      <c r="B77" s="78" t="s">
        <v>291</v>
      </c>
      <c r="C77" s="79"/>
      <c r="D77" s="97">
        <v>1096.0</v>
      </c>
      <c r="E77" s="97">
        <v>806.0</v>
      </c>
      <c r="F77" s="97">
        <v>948.0</v>
      </c>
      <c r="G77" s="97">
        <v>313.0</v>
      </c>
      <c r="H77" s="97">
        <v>153.0</v>
      </c>
      <c r="I77" s="81">
        <f t="shared" si="17"/>
        <v>2850</v>
      </c>
      <c r="J77" s="81">
        <f t="shared" si="18"/>
        <v>3316</v>
      </c>
      <c r="K77" s="98">
        <f t="shared" si="19"/>
        <v>0.3845614035</v>
      </c>
      <c r="L77" s="98">
        <f t="shared" si="20"/>
        <v>0.2828070175</v>
      </c>
      <c r="M77" s="98">
        <f t="shared" si="21"/>
        <v>0.3326315789</v>
      </c>
      <c r="N77" s="81" t="str">
        <f t="shared" si="22"/>
        <v>Jânio</v>
      </c>
      <c r="O77" s="107" t="s">
        <v>77</v>
      </c>
      <c r="P77" s="97">
        <v>1078.0</v>
      </c>
      <c r="Q77" s="97">
        <v>683.0</v>
      </c>
      <c r="R77" s="97">
        <v>805.0</v>
      </c>
      <c r="S77" s="97">
        <v>688.0</v>
      </c>
      <c r="T77" s="97">
        <v>62.0</v>
      </c>
      <c r="U77" s="81">
        <f t="shared" si="23"/>
        <v>2566</v>
      </c>
      <c r="V77" s="81">
        <f t="shared" si="24"/>
        <v>3316</v>
      </c>
      <c r="W77" s="98">
        <f t="shared" si="25"/>
        <v>0.4201091193</v>
      </c>
      <c r="X77" s="98">
        <f t="shared" si="26"/>
        <v>0.266173032</v>
      </c>
      <c r="Y77" s="98">
        <f t="shared" si="27"/>
        <v>0.3137178488</v>
      </c>
      <c r="Z77" s="81" t="str">
        <f t="shared" si="28"/>
        <v>Jango</v>
      </c>
      <c r="AA77" s="100" t="s">
        <v>77</v>
      </c>
      <c r="AB77" s="97">
        <v>5800.0</v>
      </c>
      <c r="AC77" s="81">
        <f t="shared" si="29"/>
        <v>2484</v>
      </c>
      <c r="AD77" s="82">
        <f t="shared" si="30"/>
        <v>0.5717241379</v>
      </c>
    </row>
    <row r="78">
      <c r="A78" s="23"/>
      <c r="B78" s="78" t="s">
        <v>292</v>
      </c>
      <c r="C78" s="79"/>
      <c r="D78" s="97">
        <v>163.0</v>
      </c>
      <c r="E78" s="97">
        <v>150.0</v>
      </c>
      <c r="F78" s="97">
        <v>584.0</v>
      </c>
      <c r="G78" s="97">
        <v>41.0</v>
      </c>
      <c r="H78" s="97">
        <v>91.0</v>
      </c>
      <c r="I78" s="81">
        <f t="shared" si="17"/>
        <v>897</v>
      </c>
      <c r="J78" s="81">
        <f t="shared" si="18"/>
        <v>1029</v>
      </c>
      <c r="K78" s="98">
        <f t="shared" si="19"/>
        <v>0.1817168339</v>
      </c>
      <c r="L78" s="98">
        <f t="shared" si="20"/>
        <v>0.1672240803</v>
      </c>
      <c r="M78" s="98">
        <f t="shared" si="21"/>
        <v>0.6510590858</v>
      </c>
      <c r="N78" s="81" t="str">
        <f t="shared" si="22"/>
        <v>Adhemar</v>
      </c>
      <c r="O78" s="107" t="s">
        <v>77</v>
      </c>
      <c r="P78" s="97">
        <v>406.0</v>
      </c>
      <c r="Q78" s="97">
        <v>133.0</v>
      </c>
      <c r="R78" s="97">
        <v>331.0</v>
      </c>
      <c r="S78" s="97">
        <v>86.0</v>
      </c>
      <c r="T78" s="97">
        <v>73.0</v>
      </c>
      <c r="U78" s="81">
        <f t="shared" si="23"/>
        <v>870</v>
      </c>
      <c r="V78" s="81">
        <f t="shared" si="24"/>
        <v>1029</v>
      </c>
      <c r="W78" s="98">
        <f t="shared" si="25"/>
        <v>0.4666666667</v>
      </c>
      <c r="X78" s="98">
        <f t="shared" si="26"/>
        <v>0.1528735632</v>
      </c>
      <c r="Y78" s="98">
        <f t="shared" si="27"/>
        <v>0.3804597701</v>
      </c>
      <c r="Z78" s="81" t="str">
        <f t="shared" si="28"/>
        <v>Jango</v>
      </c>
      <c r="AA78" s="100" t="s">
        <v>77</v>
      </c>
      <c r="AB78" s="97">
        <v>1537.0</v>
      </c>
      <c r="AC78" s="81">
        <f t="shared" si="29"/>
        <v>508</v>
      </c>
      <c r="AD78" s="82">
        <f t="shared" si="30"/>
        <v>0.6694860117</v>
      </c>
    </row>
    <row r="79">
      <c r="A79" s="23"/>
      <c r="B79" s="78" t="s">
        <v>293</v>
      </c>
      <c r="C79" s="79"/>
      <c r="D79" s="97">
        <v>177.0</v>
      </c>
      <c r="E79" s="97">
        <v>124.0</v>
      </c>
      <c r="F79" s="97">
        <v>173.0</v>
      </c>
      <c r="G79" s="97">
        <v>62.0</v>
      </c>
      <c r="H79" s="97">
        <v>31.0</v>
      </c>
      <c r="I79" s="81">
        <f t="shared" si="17"/>
        <v>474</v>
      </c>
      <c r="J79" s="81">
        <f t="shared" si="18"/>
        <v>567</v>
      </c>
      <c r="K79" s="98">
        <f t="shared" si="19"/>
        <v>0.3734177215</v>
      </c>
      <c r="L79" s="98">
        <f t="shared" si="20"/>
        <v>0.2616033755</v>
      </c>
      <c r="M79" s="98">
        <f t="shared" si="21"/>
        <v>0.364978903</v>
      </c>
      <c r="N79" s="81" t="str">
        <f t="shared" si="22"/>
        <v>Jânio</v>
      </c>
      <c r="O79" s="107" t="s">
        <v>77</v>
      </c>
      <c r="P79" s="97">
        <v>241.0</v>
      </c>
      <c r="Q79" s="97">
        <v>134.0</v>
      </c>
      <c r="R79" s="97">
        <v>83.0</v>
      </c>
      <c r="S79" s="97">
        <v>91.0</v>
      </c>
      <c r="T79" s="97">
        <v>18.0</v>
      </c>
      <c r="U79" s="81">
        <f t="shared" si="23"/>
        <v>458</v>
      </c>
      <c r="V79" s="81">
        <f t="shared" si="24"/>
        <v>567</v>
      </c>
      <c r="W79" s="98">
        <f t="shared" si="25"/>
        <v>0.5262008734</v>
      </c>
      <c r="X79" s="98">
        <f t="shared" si="26"/>
        <v>0.2925764192</v>
      </c>
      <c r="Y79" s="98">
        <f t="shared" si="27"/>
        <v>0.1812227074</v>
      </c>
      <c r="Z79" s="81" t="str">
        <f t="shared" si="28"/>
        <v>Jango</v>
      </c>
      <c r="AA79" s="100" t="s">
        <v>77</v>
      </c>
      <c r="AB79" s="97">
        <v>1207.0</v>
      </c>
      <c r="AC79" s="81">
        <f t="shared" si="29"/>
        <v>640</v>
      </c>
      <c r="AD79" s="82">
        <f t="shared" si="30"/>
        <v>0.4697597349</v>
      </c>
    </row>
    <row r="80">
      <c r="A80" s="24"/>
      <c r="B80" s="78" t="s">
        <v>294</v>
      </c>
      <c r="C80" s="79"/>
      <c r="D80" s="97">
        <v>254.0</v>
      </c>
      <c r="E80" s="97">
        <v>319.0</v>
      </c>
      <c r="F80" s="97">
        <v>521.0</v>
      </c>
      <c r="G80" s="97">
        <v>104.0</v>
      </c>
      <c r="H80" s="97">
        <v>88.0</v>
      </c>
      <c r="I80" s="81">
        <f t="shared" si="17"/>
        <v>1094</v>
      </c>
      <c r="J80" s="81">
        <f t="shared" si="18"/>
        <v>1286</v>
      </c>
      <c r="K80" s="98">
        <f t="shared" si="19"/>
        <v>0.2321755027</v>
      </c>
      <c r="L80" s="98">
        <f t="shared" si="20"/>
        <v>0.2915904936</v>
      </c>
      <c r="M80" s="98">
        <f t="shared" si="21"/>
        <v>0.4762340037</v>
      </c>
      <c r="N80" s="81" t="str">
        <f t="shared" si="22"/>
        <v>Adhemar</v>
      </c>
      <c r="O80" s="107" t="s">
        <v>77</v>
      </c>
      <c r="P80" s="97">
        <v>556.0</v>
      </c>
      <c r="Q80" s="97">
        <v>222.0</v>
      </c>
      <c r="R80" s="97">
        <v>272.0</v>
      </c>
      <c r="S80" s="97">
        <v>194.0</v>
      </c>
      <c r="T80" s="97">
        <v>42.0</v>
      </c>
      <c r="U80" s="81">
        <f t="shared" si="23"/>
        <v>1050</v>
      </c>
      <c r="V80" s="81">
        <f t="shared" si="24"/>
        <v>1286</v>
      </c>
      <c r="W80" s="98">
        <f t="shared" si="25"/>
        <v>0.5295238095</v>
      </c>
      <c r="X80" s="98">
        <f t="shared" si="26"/>
        <v>0.2114285714</v>
      </c>
      <c r="Y80" s="98">
        <f t="shared" si="27"/>
        <v>0.259047619</v>
      </c>
      <c r="Z80" s="81" t="str">
        <f t="shared" si="28"/>
        <v>Jango</v>
      </c>
      <c r="AA80" s="100" t="s">
        <v>77</v>
      </c>
      <c r="AB80" s="97">
        <v>2186.0</v>
      </c>
      <c r="AC80" s="81">
        <f t="shared" si="29"/>
        <v>900</v>
      </c>
      <c r="AD80" s="82">
        <f t="shared" si="30"/>
        <v>0.5882891125</v>
      </c>
    </row>
    <row r="81">
      <c r="A81" s="61" t="s">
        <v>295</v>
      </c>
      <c r="B81" s="78" t="s">
        <v>296</v>
      </c>
      <c r="C81" s="79"/>
      <c r="D81" s="97">
        <v>1074.0</v>
      </c>
      <c r="E81" s="97">
        <v>760.0</v>
      </c>
      <c r="F81" s="97">
        <v>794.0</v>
      </c>
      <c r="G81" s="97">
        <v>227.0</v>
      </c>
      <c r="H81" s="97">
        <v>260.0</v>
      </c>
      <c r="I81" s="81">
        <f t="shared" si="17"/>
        <v>2628</v>
      </c>
      <c r="J81" s="81">
        <f t="shared" si="18"/>
        <v>3115</v>
      </c>
      <c r="K81" s="98">
        <f t="shared" si="19"/>
        <v>0.4086757991</v>
      </c>
      <c r="L81" s="98">
        <f t="shared" si="20"/>
        <v>0.2891933029</v>
      </c>
      <c r="M81" s="98">
        <f t="shared" si="21"/>
        <v>0.302130898</v>
      </c>
      <c r="N81" s="81" t="str">
        <f t="shared" si="22"/>
        <v>Jânio</v>
      </c>
      <c r="O81" s="107" t="s">
        <v>77</v>
      </c>
      <c r="P81" s="97">
        <v>1093.0</v>
      </c>
      <c r="Q81" s="97">
        <v>773.0</v>
      </c>
      <c r="R81" s="97">
        <v>618.0</v>
      </c>
      <c r="S81" s="97">
        <v>388.0</v>
      </c>
      <c r="T81" s="97">
        <v>243.0</v>
      </c>
      <c r="U81" s="81">
        <f t="shared" si="23"/>
        <v>2484</v>
      </c>
      <c r="V81" s="81">
        <f t="shared" si="24"/>
        <v>3115</v>
      </c>
      <c r="W81" s="98">
        <f t="shared" si="25"/>
        <v>0.4400161031</v>
      </c>
      <c r="X81" s="98">
        <f t="shared" si="26"/>
        <v>0.3111916264</v>
      </c>
      <c r="Y81" s="98">
        <f t="shared" si="27"/>
        <v>0.2487922705</v>
      </c>
      <c r="Z81" s="81" t="str">
        <f t="shared" si="28"/>
        <v>Jango</v>
      </c>
      <c r="AA81" s="100" t="s">
        <v>77</v>
      </c>
      <c r="AB81" s="97">
        <v>4003.0</v>
      </c>
      <c r="AC81" s="81">
        <f t="shared" si="29"/>
        <v>888</v>
      </c>
      <c r="AD81" s="82">
        <f t="shared" si="30"/>
        <v>0.7781663752</v>
      </c>
    </row>
    <row r="82">
      <c r="A82" s="23"/>
      <c r="B82" s="78" t="s">
        <v>297</v>
      </c>
      <c r="C82" s="79"/>
      <c r="D82" s="97">
        <v>460.0</v>
      </c>
      <c r="E82" s="97">
        <v>391.0</v>
      </c>
      <c r="F82" s="97">
        <v>419.0</v>
      </c>
      <c r="G82" s="97">
        <v>112.0</v>
      </c>
      <c r="H82" s="97">
        <v>113.0</v>
      </c>
      <c r="I82" s="81">
        <f t="shared" si="17"/>
        <v>1270</v>
      </c>
      <c r="J82" s="81">
        <f t="shared" si="18"/>
        <v>1495</v>
      </c>
      <c r="K82" s="98">
        <f t="shared" si="19"/>
        <v>0.3622047244</v>
      </c>
      <c r="L82" s="98">
        <f t="shared" si="20"/>
        <v>0.3078740157</v>
      </c>
      <c r="M82" s="98">
        <f t="shared" si="21"/>
        <v>0.3299212598</v>
      </c>
      <c r="N82" s="81" t="str">
        <f t="shared" si="22"/>
        <v>Jânio</v>
      </c>
      <c r="O82" s="107" t="s">
        <v>77</v>
      </c>
      <c r="P82" s="97">
        <v>718.0</v>
      </c>
      <c r="Q82" s="97">
        <v>144.0</v>
      </c>
      <c r="R82" s="97">
        <v>352.0</v>
      </c>
      <c r="S82" s="97">
        <v>175.0</v>
      </c>
      <c r="T82" s="97">
        <v>106.0</v>
      </c>
      <c r="U82" s="81">
        <f t="shared" si="23"/>
        <v>1214</v>
      </c>
      <c r="V82" s="81">
        <f t="shared" si="24"/>
        <v>1495</v>
      </c>
      <c r="W82" s="98">
        <f t="shared" si="25"/>
        <v>0.5914332784</v>
      </c>
      <c r="X82" s="98">
        <f t="shared" si="26"/>
        <v>0.118616145</v>
      </c>
      <c r="Y82" s="98">
        <f t="shared" si="27"/>
        <v>0.2899505766</v>
      </c>
      <c r="Z82" s="81" t="str">
        <f t="shared" si="28"/>
        <v>Jango</v>
      </c>
      <c r="AA82" s="100" t="s">
        <v>77</v>
      </c>
      <c r="AB82" s="97">
        <v>1993.0</v>
      </c>
      <c r="AC82" s="81">
        <f t="shared" si="29"/>
        <v>498</v>
      </c>
      <c r="AD82" s="82">
        <f t="shared" si="30"/>
        <v>0.750125439</v>
      </c>
    </row>
    <row r="83">
      <c r="A83" s="24"/>
      <c r="B83" s="78" t="s">
        <v>298</v>
      </c>
      <c r="C83" s="79"/>
      <c r="D83" s="97">
        <v>416.0</v>
      </c>
      <c r="E83" s="97">
        <v>331.0</v>
      </c>
      <c r="F83" s="97">
        <v>826.0</v>
      </c>
      <c r="G83" s="97">
        <v>105.0</v>
      </c>
      <c r="H83" s="97">
        <v>87.0</v>
      </c>
      <c r="I83" s="81">
        <f t="shared" si="17"/>
        <v>1573</v>
      </c>
      <c r="J83" s="81">
        <f t="shared" si="18"/>
        <v>1765</v>
      </c>
      <c r="K83" s="98">
        <f t="shared" si="19"/>
        <v>0.2644628099</v>
      </c>
      <c r="L83" s="98">
        <f t="shared" si="20"/>
        <v>0.2104259377</v>
      </c>
      <c r="M83" s="98">
        <f t="shared" si="21"/>
        <v>0.5251112524</v>
      </c>
      <c r="N83" s="81" t="str">
        <f t="shared" si="22"/>
        <v>Adhemar</v>
      </c>
      <c r="O83" s="107" t="s">
        <v>77</v>
      </c>
      <c r="P83" s="97">
        <v>772.0</v>
      </c>
      <c r="Q83" s="97">
        <v>239.0</v>
      </c>
      <c r="R83" s="97">
        <v>438.0</v>
      </c>
      <c r="S83" s="97">
        <v>268.0</v>
      </c>
      <c r="T83" s="97">
        <v>48.0</v>
      </c>
      <c r="U83" s="81">
        <f t="shared" si="23"/>
        <v>1449</v>
      </c>
      <c r="V83" s="81">
        <f t="shared" si="24"/>
        <v>1765</v>
      </c>
      <c r="W83" s="98">
        <f t="shared" si="25"/>
        <v>0.5327812284</v>
      </c>
      <c r="X83" s="98">
        <f t="shared" si="26"/>
        <v>0.1649413389</v>
      </c>
      <c r="Y83" s="98">
        <f t="shared" si="27"/>
        <v>0.3022774327</v>
      </c>
      <c r="Z83" s="81" t="str">
        <f t="shared" si="28"/>
        <v>Jango</v>
      </c>
      <c r="AA83" s="100" t="s">
        <v>77</v>
      </c>
      <c r="AB83" s="38">
        <v>2436.0</v>
      </c>
      <c r="AC83" s="81">
        <f t="shared" si="29"/>
        <v>671</v>
      </c>
      <c r="AD83" s="82">
        <f t="shared" si="30"/>
        <v>0.7245484401</v>
      </c>
    </row>
    <row r="84">
      <c r="A84" s="61" t="s">
        <v>299</v>
      </c>
      <c r="B84" s="78" t="s">
        <v>300</v>
      </c>
      <c r="C84" s="79"/>
      <c r="D84" s="97">
        <v>707.0</v>
      </c>
      <c r="E84" s="97">
        <v>536.0</v>
      </c>
      <c r="F84" s="97">
        <v>553.0</v>
      </c>
      <c r="G84" s="97">
        <v>104.0</v>
      </c>
      <c r="H84" s="97">
        <v>92.0</v>
      </c>
      <c r="I84" s="81">
        <f t="shared" si="17"/>
        <v>1796</v>
      </c>
      <c r="J84" s="81">
        <f t="shared" si="18"/>
        <v>1992</v>
      </c>
      <c r="K84" s="98">
        <f t="shared" si="19"/>
        <v>0.3936525612</v>
      </c>
      <c r="L84" s="98">
        <f t="shared" si="20"/>
        <v>0.29844098</v>
      </c>
      <c r="M84" s="98">
        <f t="shared" si="21"/>
        <v>0.3079064588</v>
      </c>
      <c r="N84" s="81" t="str">
        <f t="shared" si="22"/>
        <v>Jânio</v>
      </c>
      <c r="O84" s="107" t="s">
        <v>77</v>
      </c>
      <c r="P84" s="97">
        <v>750.0</v>
      </c>
      <c r="Q84" s="97">
        <v>662.0</v>
      </c>
      <c r="R84" s="97">
        <v>291.0</v>
      </c>
      <c r="S84" s="97">
        <v>242.0</v>
      </c>
      <c r="T84" s="97">
        <v>47.0</v>
      </c>
      <c r="U84" s="81">
        <f t="shared" si="23"/>
        <v>1703</v>
      </c>
      <c r="V84" s="81">
        <f t="shared" si="24"/>
        <v>1992</v>
      </c>
      <c r="W84" s="98">
        <f t="shared" si="25"/>
        <v>0.4403992954</v>
      </c>
      <c r="X84" s="98">
        <f t="shared" si="26"/>
        <v>0.388725778</v>
      </c>
      <c r="Y84" s="98">
        <f t="shared" si="27"/>
        <v>0.1708749266</v>
      </c>
      <c r="Z84" s="81" t="str">
        <f t="shared" si="28"/>
        <v>Jango</v>
      </c>
      <c r="AA84" s="100" t="s">
        <v>77</v>
      </c>
      <c r="AB84" s="38">
        <v>2575.0</v>
      </c>
      <c r="AC84" s="81">
        <f t="shared" si="29"/>
        <v>583</v>
      </c>
      <c r="AD84" s="82">
        <f t="shared" si="30"/>
        <v>0.773592233</v>
      </c>
    </row>
    <row r="85">
      <c r="A85" s="24"/>
      <c r="B85" s="78" t="s">
        <v>301</v>
      </c>
      <c r="C85" s="79"/>
      <c r="D85" s="97">
        <v>156.0</v>
      </c>
      <c r="E85" s="97">
        <v>703.0</v>
      </c>
      <c r="F85" s="97">
        <v>301.0</v>
      </c>
      <c r="G85" s="97">
        <v>50.0</v>
      </c>
      <c r="H85" s="97">
        <v>58.0</v>
      </c>
      <c r="I85" s="81">
        <f t="shared" si="17"/>
        <v>1160</v>
      </c>
      <c r="J85" s="81">
        <f t="shared" si="18"/>
        <v>1268</v>
      </c>
      <c r="K85" s="98">
        <f t="shared" si="19"/>
        <v>0.1344827586</v>
      </c>
      <c r="L85" s="98">
        <f t="shared" si="20"/>
        <v>0.6060344828</v>
      </c>
      <c r="M85" s="98">
        <f t="shared" si="21"/>
        <v>0.2594827586</v>
      </c>
      <c r="N85" s="81" t="str">
        <f t="shared" si="22"/>
        <v>Mal. Lott</v>
      </c>
      <c r="O85" s="107" t="s">
        <v>77</v>
      </c>
      <c r="P85" s="97">
        <v>830.0</v>
      </c>
      <c r="Q85" s="97">
        <v>114.0</v>
      </c>
      <c r="R85" s="97">
        <v>203.0</v>
      </c>
      <c r="S85" s="97">
        <v>92.0</v>
      </c>
      <c r="T85" s="97">
        <v>29.0</v>
      </c>
      <c r="U85" s="81">
        <f t="shared" si="23"/>
        <v>1147</v>
      </c>
      <c r="V85" s="81">
        <f t="shared" si="24"/>
        <v>1268</v>
      </c>
      <c r="W85" s="98">
        <f t="shared" si="25"/>
        <v>0.7236268527</v>
      </c>
      <c r="X85" s="98">
        <f t="shared" si="26"/>
        <v>0.09938971229</v>
      </c>
      <c r="Y85" s="98">
        <f t="shared" si="27"/>
        <v>0.176983435</v>
      </c>
      <c r="Z85" s="81" t="str">
        <f t="shared" si="28"/>
        <v>Jango</v>
      </c>
      <c r="AA85" s="100" t="s">
        <v>77</v>
      </c>
      <c r="AB85" s="38">
        <v>1979.0</v>
      </c>
      <c r="AC85" s="81">
        <f t="shared" si="29"/>
        <v>711</v>
      </c>
      <c r="AD85" s="82">
        <f t="shared" si="30"/>
        <v>0.6407276402</v>
      </c>
    </row>
    <row r="86">
      <c r="A86" s="45" t="s">
        <v>302</v>
      </c>
      <c r="B86" s="78" t="s">
        <v>303</v>
      </c>
      <c r="C86" s="79"/>
      <c r="D86" s="97">
        <v>765.0</v>
      </c>
      <c r="E86" s="97">
        <v>691.0</v>
      </c>
      <c r="F86" s="97">
        <v>377.0</v>
      </c>
      <c r="G86" s="97">
        <v>182.0</v>
      </c>
      <c r="H86" s="97">
        <v>108.0</v>
      </c>
      <c r="I86" s="81">
        <f t="shared" si="17"/>
        <v>1833</v>
      </c>
      <c r="J86" s="81">
        <f t="shared" si="18"/>
        <v>2123</v>
      </c>
      <c r="K86" s="98">
        <f t="shared" si="19"/>
        <v>0.4173486088</v>
      </c>
      <c r="L86" s="98">
        <f t="shared" si="20"/>
        <v>0.3769776323</v>
      </c>
      <c r="M86" s="98">
        <f t="shared" si="21"/>
        <v>0.2056737589</v>
      </c>
      <c r="N86" s="81" t="str">
        <f t="shared" si="22"/>
        <v>Jânio</v>
      </c>
      <c r="O86" s="107" t="s">
        <v>77</v>
      </c>
      <c r="P86" s="97">
        <v>968.0</v>
      </c>
      <c r="Q86" s="97">
        <v>496.0</v>
      </c>
      <c r="R86" s="97">
        <v>289.0</v>
      </c>
      <c r="S86" s="97">
        <v>321.0</v>
      </c>
      <c r="T86" s="97">
        <v>49.0</v>
      </c>
      <c r="U86" s="81">
        <f t="shared" si="23"/>
        <v>1753</v>
      </c>
      <c r="V86" s="81">
        <f t="shared" si="24"/>
        <v>2123</v>
      </c>
      <c r="W86" s="98">
        <f t="shared" si="25"/>
        <v>0.552196235</v>
      </c>
      <c r="X86" s="98">
        <f t="shared" si="26"/>
        <v>0.2829435254</v>
      </c>
      <c r="Y86" s="98">
        <f t="shared" si="27"/>
        <v>0.1648602396</v>
      </c>
      <c r="Z86" s="81" t="str">
        <f t="shared" si="28"/>
        <v>Jango</v>
      </c>
      <c r="AA86" s="100" t="s">
        <v>77</v>
      </c>
      <c r="AB86" s="38">
        <v>3014.0</v>
      </c>
      <c r="AC86" s="81">
        <f t="shared" si="29"/>
        <v>891</v>
      </c>
      <c r="AD86" s="82">
        <f t="shared" si="30"/>
        <v>0.704379562</v>
      </c>
    </row>
    <row r="87">
      <c r="A87" s="61" t="s">
        <v>304</v>
      </c>
      <c r="B87" s="78" t="s">
        <v>305</v>
      </c>
      <c r="C87" s="79"/>
      <c r="D87" s="97">
        <v>509.0</v>
      </c>
      <c r="E87" s="97">
        <v>1024.0</v>
      </c>
      <c r="F87" s="97">
        <v>393.0</v>
      </c>
      <c r="G87" s="97">
        <v>233.0</v>
      </c>
      <c r="H87" s="97">
        <v>130.0</v>
      </c>
      <c r="I87" s="81">
        <f t="shared" si="17"/>
        <v>1926</v>
      </c>
      <c r="J87" s="81">
        <f t="shared" si="18"/>
        <v>2289</v>
      </c>
      <c r="K87" s="98">
        <f t="shared" si="19"/>
        <v>0.264278297</v>
      </c>
      <c r="L87" s="98">
        <f t="shared" si="20"/>
        <v>0.5316718588</v>
      </c>
      <c r="M87" s="98">
        <f t="shared" si="21"/>
        <v>0.2040498442</v>
      </c>
      <c r="N87" s="81" t="str">
        <f t="shared" si="22"/>
        <v>Mal. Lott</v>
      </c>
      <c r="O87" s="107" t="s">
        <v>77</v>
      </c>
      <c r="P87" s="97">
        <v>1009.0</v>
      </c>
      <c r="Q87" s="97">
        <v>365.0</v>
      </c>
      <c r="R87" s="97">
        <v>423.0</v>
      </c>
      <c r="S87" s="97">
        <v>363.0</v>
      </c>
      <c r="T87" s="97">
        <v>129.0</v>
      </c>
      <c r="U87" s="81">
        <f t="shared" si="23"/>
        <v>1797</v>
      </c>
      <c r="V87" s="81">
        <f t="shared" si="24"/>
        <v>2289</v>
      </c>
      <c r="W87" s="98">
        <f t="shared" si="25"/>
        <v>0.5614913745</v>
      </c>
      <c r="X87" s="98">
        <f t="shared" si="26"/>
        <v>0.203116305</v>
      </c>
      <c r="Y87" s="98">
        <f t="shared" si="27"/>
        <v>0.2353923205</v>
      </c>
      <c r="Z87" s="81" t="str">
        <f t="shared" si="28"/>
        <v>Jango</v>
      </c>
      <c r="AA87" s="100" t="s">
        <v>77</v>
      </c>
      <c r="AB87" s="38">
        <v>4840.0</v>
      </c>
      <c r="AC87" s="81">
        <f t="shared" si="29"/>
        <v>2551</v>
      </c>
      <c r="AD87" s="82">
        <f t="shared" si="30"/>
        <v>0.4729338843</v>
      </c>
    </row>
    <row r="88">
      <c r="A88" s="23"/>
      <c r="B88" s="78" t="s">
        <v>306</v>
      </c>
      <c r="C88" s="79"/>
      <c r="D88" s="97">
        <v>229.0</v>
      </c>
      <c r="E88" s="97">
        <v>970.0</v>
      </c>
      <c r="F88" s="97">
        <v>1333.0</v>
      </c>
      <c r="G88" s="97">
        <v>374.0</v>
      </c>
      <c r="H88" s="97">
        <v>164.0</v>
      </c>
      <c r="I88" s="81">
        <f t="shared" si="17"/>
        <v>2532</v>
      </c>
      <c r="J88" s="81">
        <f t="shared" si="18"/>
        <v>3070</v>
      </c>
      <c r="K88" s="98">
        <f t="shared" si="19"/>
        <v>0.09044233807</v>
      </c>
      <c r="L88" s="98">
        <f t="shared" si="20"/>
        <v>0.3830963665</v>
      </c>
      <c r="M88" s="98">
        <f t="shared" si="21"/>
        <v>0.5264612954</v>
      </c>
      <c r="N88" s="81" t="str">
        <f t="shared" si="22"/>
        <v>Adhemar</v>
      </c>
      <c r="O88" s="107" t="s">
        <v>77</v>
      </c>
      <c r="P88" s="97">
        <v>1196.0</v>
      </c>
      <c r="Q88" s="97">
        <v>242.0</v>
      </c>
      <c r="R88" s="97">
        <v>797.0</v>
      </c>
      <c r="S88" s="97">
        <v>709.0</v>
      </c>
      <c r="T88" s="97">
        <v>126.0</v>
      </c>
      <c r="U88" s="81">
        <f t="shared" si="23"/>
        <v>2235</v>
      </c>
      <c r="V88" s="81">
        <f t="shared" si="24"/>
        <v>3070</v>
      </c>
      <c r="W88" s="98">
        <f t="shared" si="25"/>
        <v>0.5351230425</v>
      </c>
      <c r="X88" s="98">
        <f t="shared" si="26"/>
        <v>0.1082774049</v>
      </c>
      <c r="Y88" s="98">
        <f t="shared" si="27"/>
        <v>0.3565995526</v>
      </c>
      <c r="Z88" s="81" t="str">
        <f t="shared" si="28"/>
        <v>Jango</v>
      </c>
      <c r="AA88" s="100" t="s">
        <v>77</v>
      </c>
      <c r="AB88" s="38">
        <v>3869.0</v>
      </c>
      <c r="AC88" s="81">
        <f t="shared" si="29"/>
        <v>799</v>
      </c>
      <c r="AD88" s="82">
        <f t="shared" si="30"/>
        <v>0.7934866891</v>
      </c>
    </row>
    <row r="89">
      <c r="A89" s="24"/>
      <c r="B89" s="78" t="s">
        <v>307</v>
      </c>
      <c r="C89" s="79"/>
      <c r="D89" s="97">
        <v>443.0</v>
      </c>
      <c r="E89" s="97">
        <v>1702.0</v>
      </c>
      <c r="F89" s="97">
        <v>466.0</v>
      </c>
      <c r="G89" s="97">
        <v>487.0</v>
      </c>
      <c r="H89" s="97">
        <v>60.0</v>
      </c>
      <c r="I89" s="81">
        <f t="shared" si="17"/>
        <v>2611</v>
      </c>
      <c r="J89" s="81">
        <f t="shared" si="18"/>
        <v>3158</v>
      </c>
      <c r="K89" s="98">
        <f t="shared" si="19"/>
        <v>0.1696667943</v>
      </c>
      <c r="L89" s="98">
        <f t="shared" si="20"/>
        <v>0.6518575259</v>
      </c>
      <c r="M89" s="98">
        <f t="shared" si="21"/>
        <v>0.1784756798</v>
      </c>
      <c r="N89" s="81" t="str">
        <f t="shared" si="22"/>
        <v>Mal. Lott</v>
      </c>
      <c r="O89" s="107" t="s">
        <v>77</v>
      </c>
      <c r="P89" s="97">
        <v>1817.0</v>
      </c>
      <c r="Q89" s="97">
        <v>247.0</v>
      </c>
      <c r="R89" s="97">
        <v>500.0</v>
      </c>
      <c r="S89" s="97">
        <v>556.0</v>
      </c>
      <c r="T89" s="97">
        <v>38.0</v>
      </c>
      <c r="U89" s="81">
        <f t="shared" si="23"/>
        <v>2564</v>
      </c>
      <c r="V89" s="81">
        <f t="shared" si="24"/>
        <v>3158</v>
      </c>
      <c r="W89" s="98">
        <f t="shared" si="25"/>
        <v>0.7086583463</v>
      </c>
      <c r="X89" s="98">
        <f t="shared" si="26"/>
        <v>0.09633385335</v>
      </c>
      <c r="Y89" s="98">
        <f t="shared" si="27"/>
        <v>0.1950078003</v>
      </c>
      <c r="Z89" s="81" t="str">
        <f t="shared" si="28"/>
        <v>Jango</v>
      </c>
      <c r="AA89" s="100" t="s">
        <v>77</v>
      </c>
      <c r="AB89" s="38">
        <v>3571.0</v>
      </c>
      <c r="AC89" s="81">
        <f t="shared" si="29"/>
        <v>413</v>
      </c>
      <c r="AD89" s="82">
        <f t="shared" si="30"/>
        <v>0.8843461215</v>
      </c>
    </row>
    <row r="90">
      <c r="A90" s="61" t="s">
        <v>308</v>
      </c>
      <c r="B90" s="78" t="s">
        <v>309</v>
      </c>
      <c r="C90" s="79"/>
      <c r="D90" s="97">
        <v>553.0</v>
      </c>
      <c r="E90" s="97">
        <v>940.0</v>
      </c>
      <c r="F90" s="48">
        <v>242.0</v>
      </c>
      <c r="G90" s="97">
        <v>126.0</v>
      </c>
      <c r="H90" s="97">
        <v>100.0</v>
      </c>
      <c r="I90" s="81">
        <f t="shared" si="17"/>
        <v>1735</v>
      </c>
      <c r="J90" s="81">
        <f t="shared" si="18"/>
        <v>1961</v>
      </c>
      <c r="K90" s="98">
        <f t="shared" si="19"/>
        <v>0.3187319885</v>
      </c>
      <c r="L90" s="98">
        <f t="shared" si="20"/>
        <v>0.5417867435</v>
      </c>
      <c r="M90" s="98">
        <f t="shared" si="21"/>
        <v>0.139481268</v>
      </c>
      <c r="N90" s="81" t="str">
        <f t="shared" si="22"/>
        <v>Mal. Lott</v>
      </c>
      <c r="O90" s="107" t="s">
        <v>77</v>
      </c>
      <c r="P90" s="97">
        <v>1063.0</v>
      </c>
      <c r="Q90" s="97">
        <v>285.0</v>
      </c>
      <c r="R90" s="97">
        <v>288.0</v>
      </c>
      <c r="S90" s="97">
        <v>267.0</v>
      </c>
      <c r="T90" s="97">
        <v>58.0</v>
      </c>
      <c r="U90" s="81">
        <f t="shared" si="23"/>
        <v>1636</v>
      </c>
      <c r="V90" s="81">
        <f t="shared" si="24"/>
        <v>1961</v>
      </c>
      <c r="W90" s="98">
        <f t="shared" si="25"/>
        <v>0.6497555012</v>
      </c>
      <c r="X90" s="98">
        <f t="shared" si="26"/>
        <v>0.174205379</v>
      </c>
      <c r="Y90" s="98">
        <f t="shared" si="27"/>
        <v>0.1760391198</v>
      </c>
      <c r="Z90" s="81" t="str">
        <f t="shared" si="28"/>
        <v>Jango</v>
      </c>
      <c r="AA90" s="100" t="s">
        <v>77</v>
      </c>
      <c r="AB90" s="38">
        <v>3684.0</v>
      </c>
      <c r="AC90" s="81">
        <f t="shared" si="29"/>
        <v>1723</v>
      </c>
      <c r="AD90" s="82">
        <f t="shared" si="30"/>
        <v>0.5323018458</v>
      </c>
    </row>
    <row r="91">
      <c r="A91" s="23"/>
      <c r="B91" s="78" t="s">
        <v>310</v>
      </c>
      <c r="C91" s="79"/>
      <c r="D91" s="97">
        <v>129.0</v>
      </c>
      <c r="E91" s="97">
        <v>324.0</v>
      </c>
      <c r="F91" s="108">
        <v>410.0</v>
      </c>
      <c r="G91" s="97">
        <v>106.0</v>
      </c>
      <c r="H91" s="97">
        <v>80.0</v>
      </c>
      <c r="I91" s="81">
        <f t="shared" si="17"/>
        <v>863</v>
      </c>
      <c r="J91" s="81">
        <f t="shared" si="18"/>
        <v>1049</v>
      </c>
      <c r="K91" s="98">
        <f t="shared" si="19"/>
        <v>0.1494785632</v>
      </c>
      <c r="L91" s="98">
        <f t="shared" si="20"/>
        <v>0.3754345307</v>
      </c>
      <c r="M91" s="98">
        <f t="shared" si="21"/>
        <v>0.4750869061</v>
      </c>
      <c r="N91" s="81" t="str">
        <f t="shared" si="22"/>
        <v>Adhemar</v>
      </c>
      <c r="O91" s="107" t="s">
        <v>77</v>
      </c>
      <c r="P91" s="97">
        <v>410.0</v>
      </c>
      <c r="Q91" s="97">
        <v>134.0</v>
      </c>
      <c r="R91" s="97">
        <v>222.0</v>
      </c>
      <c r="S91" s="97">
        <v>242.0</v>
      </c>
      <c r="T91" s="97">
        <v>41.0</v>
      </c>
      <c r="U91" s="81">
        <f t="shared" si="23"/>
        <v>766</v>
      </c>
      <c r="V91" s="81">
        <f t="shared" si="24"/>
        <v>1049</v>
      </c>
      <c r="W91" s="98">
        <f t="shared" si="25"/>
        <v>0.5352480418</v>
      </c>
      <c r="X91" s="98">
        <f t="shared" si="26"/>
        <v>0.1749347258</v>
      </c>
      <c r="Y91" s="98">
        <f t="shared" si="27"/>
        <v>0.2898172324</v>
      </c>
      <c r="Z91" s="81" t="str">
        <f t="shared" si="28"/>
        <v>Jango</v>
      </c>
      <c r="AA91" s="100" t="s">
        <v>77</v>
      </c>
      <c r="AB91" s="38">
        <v>2051.0</v>
      </c>
      <c r="AC91" s="81">
        <f t="shared" si="29"/>
        <v>1002</v>
      </c>
      <c r="AD91" s="82">
        <f t="shared" si="30"/>
        <v>0.5114578255</v>
      </c>
    </row>
    <row r="92">
      <c r="A92" s="24"/>
      <c r="B92" s="78" t="s">
        <v>311</v>
      </c>
      <c r="C92" s="79"/>
      <c r="D92" s="97">
        <v>493.0</v>
      </c>
      <c r="E92" s="97">
        <v>511.0</v>
      </c>
      <c r="F92" s="108">
        <v>177.0</v>
      </c>
      <c r="G92" s="97">
        <v>104.0</v>
      </c>
      <c r="H92" s="97">
        <v>46.0</v>
      </c>
      <c r="I92" s="81">
        <f t="shared" si="17"/>
        <v>1181</v>
      </c>
      <c r="J92" s="81">
        <f t="shared" si="18"/>
        <v>1331</v>
      </c>
      <c r="K92" s="98">
        <f t="shared" si="19"/>
        <v>0.417442845</v>
      </c>
      <c r="L92" s="98">
        <f t="shared" si="20"/>
        <v>0.432684166</v>
      </c>
      <c r="M92" s="98">
        <f t="shared" si="21"/>
        <v>0.149872989</v>
      </c>
      <c r="N92" s="81" t="str">
        <f t="shared" si="22"/>
        <v>Mal. Lott</v>
      </c>
      <c r="O92" s="107" t="s">
        <v>77</v>
      </c>
      <c r="P92" s="97">
        <v>743.0</v>
      </c>
      <c r="Q92" s="97">
        <v>165.0</v>
      </c>
      <c r="R92" s="97">
        <v>223.0</v>
      </c>
      <c r="S92" s="97">
        <v>174.0</v>
      </c>
      <c r="T92" s="97">
        <v>26.0</v>
      </c>
      <c r="U92" s="81">
        <f t="shared" si="23"/>
        <v>1131</v>
      </c>
      <c r="V92" s="81">
        <f t="shared" si="24"/>
        <v>1331</v>
      </c>
      <c r="W92" s="98">
        <f t="shared" si="25"/>
        <v>0.6569407604</v>
      </c>
      <c r="X92" s="98">
        <f t="shared" si="26"/>
        <v>0.1458885942</v>
      </c>
      <c r="Y92" s="98">
        <f t="shared" si="27"/>
        <v>0.1971706454</v>
      </c>
      <c r="Z92" s="81" t="str">
        <f t="shared" si="28"/>
        <v>Jango</v>
      </c>
      <c r="AA92" s="100" t="s">
        <v>77</v>
      </c>
      <c r="AB92" s="38">
        <v>1589.0</v>
      </c>
      <c r="AC92" s="81">
        <f t="shared" si="29"/>
        <v>258</v>
      </c>
      <c r="AD92" s="82">
        <f t="shared" si="30"/>
        <v>0.8376337319</v>
      </c>
    </row>
    <row r="93">
      <c r="A93" s="45" t="s">
        <v>312</v>
      </c>
      <c r="B93" s="78" t="s">
        <v>313</v>
      </c>
      <c r="C93" s="79"/>
      <c r="D93" s="97">
        <v>1238.0</v>
      </c>
      <c r="E93" s="97">
        <v>1173.0</v>
      </c>
      <c r="F93" s="108">
        <v>998.0</v>
      </c>
      <c r="G93" s="97">
        <v>219.0</v>
      </c>
      <c r="H93" s="97">
        <v>234.0</v>
      </c>
      <c r="I93" s="81">
        <f t="shared" si="17"/>
        <v>3409</v>
      </c>
      <c r="J93" s="81">
        <f t="shared" si="18"/>
        <v>3862</v>
      </c>
      <c r="K93" s="98">
        <f t="shared" si="19"/>
        <v>0.3631563508</v>
      </c>
      <c r="L93" s="98">
        <f t="shared" si="20"/>
        <v>0.3440891757</v>
      </c>
      <c r="M93" s="98">
        <f t="shared" si="21"/>
        <v>0.2927544735</v>
      </c>
      <c r="N93" s="81" t="str">
        <f t="shared" si="22"/>
        <v>Jânio</v>
      </c>
      <c r="O93" s="107" t="s">
        <v>77</v>
      </c>
      <c r="P93" s="97">
        <v>1821.0</v>
      </c>
      <c r="Q93" s="97">
        <v>593.0</v>
      </c>
      <c r="R93" s="97">
        <v>662.0</v>
      </c>
      <c r="S93" s="97">
        <v>581.0</v>
      </c>
      <c r="T93" s="97">
        <v>205.0</v>
      </c>
      <c r="U93" s="81">
        <f t="shared" si="23"/>
        <v>3076</v>
      </c>
      <c r="V93" s="81">
        <f t="shared" si="24"/>
        <v>3862</v>
      </c>
      <c r="W93" s="98">
        <f t="shared" si="25"/>
        <v>0.5920026008</v>
      </c>
      <c r="X93" s="98">
        <f t="shared" si="26"/>
        <v>0.1927828349</v>
      </c>
      <c r="Y93" s="98">
        <f t="shared" si="27"/>
        <v>0.2152145644</v>
      </c>
      <c r="Z93" s="81" t="str">
        <f t="shared" si="28"/>
        <v>Jango</v>
      </c>
      <c r="AA93" s="100" t="s">
        <v>77</v>
      </c>
      <c r="AB93" s="38">
        <v>7173.0</v>
      </c>
      <c r="AC93" s="81">
        <f t="shared" si="29"/>
        <v>3311</v>
      </c>
      <c r="AD93" s="82">
        <f t="shared" si="30"/>
        <v>0.5384079186</v>
      </c>
    </row>
    <row r="94">
      <c r="A94" s="61" t="s">
        <v>314</v>
      </c>
      <c r="B94" s="78" t="s">
        <v>315</v>
      </c>
      <c r="C94" s="79"/>
      <c r="D94" s="97">
        <v>919.0</v>
      </c>
      <c r="E94" s="97">
        <v>465.0</v>
      </c>
      <c r="F94" s="108">
        <v>454.0</v>
      </c>
      <c r="G94" s="97">
        <v>469.0</v>
      </c>
      <c r="H94" s="97">
        <v>398.0</v>
      </c>
      <c r="I94" s="81">
        <f t="shared" si="17"/>
        <v>1838</v>
      </c>
      <c r="J94" s="81">
        <f t="shared" si="18"/>
        <v>2705</v>
      </c>
      <c r="K94" s="98">
        <f t="shared" si="19"/>
        <v>0.5</v>
      </c>
      <c r="L94" s="98">
        <f t="shared" si="20"/>
        <v>0.252992383</v>
      </c>
      <c r="M94" s="98">
        <f t="shared" si="21"/>
        <v>0.247007617</v>
      </c>
      <c r="N94" s="81" t="str">
        <f t="shared" si="22"/>
        <v>Jânio</v>
      </c>
      <c r="O94" s="107" t="s">
        <v>77</v>
      </c>
      <c r="P94" s="97">
        <v>636.0</v>
      </c>
      <c r="Q94" s="97">
        <v>303.0</v>
      </c>
      <c r="R94" s="97">
        <v>394.0</v>
      </c>
      <c r="S94" s="97">
        <v>1182.0</v>
      </c>
      <c r="T94" s="97">
        <v>190.0</v>
      </c>
      <c r="U94" s="81">
        <f t="shared" si="23"/>
        <v>1333</v>
      </c>
      <c r="V94" s="81">
        <f t="shared" si="24"/>
        <v>2705</v>
      </c>
      <c r="W94" s="98">
        <f t="shared" si="25"/>
        <v>0.4771192798</v>
      </c>
      <c r="X94" s="98">
        <f t="shared" si="26"/>
        <v>0.2273068267</v>
      </c>
      <c r="Y94" s="98">
        <f t="shared" si="27"/>
        <v>0.2955738935</v>
      </c>
      <c r="Z94" s="81" t="str">
        <f t="shared" si="28"/>
        <v>Jango</v>
      </c>
      <c r="AA94" s="100" t="s">
        <v>77</v>
      </c>
      <c r="AB94" s="38">
        <v>4777.0</v>
      </c>
      <c r="AC94" s="81">
        <f t="shared" si="29"/>
        <v>2072</v>
      </c>
      <c r="AD94" s="82">
        <f t="shared" si="30"/>
        <v>0.5662549717</v>
      </c>
    </row>
    <row r="95">
      <c r="A95" s="24"/>
      <c r="B95" s="78" t="s">
        <v>316</v>
      </c>
      <c r="C95" s="79"/>
      <c r="D95" s="97">
        <v>635.0</v>
      </c>
      <c r="E95" s="97">
        <v>1066.0</v>
      </c>
      <c r="F95" s="108">
        <v>72.0</v>
      </c>
      <c r="G95" s="97">
        <v>29.0</v>
      </c>
      <c r="H95" s="97">
        <v>54.0</v>
      </c>
      <c r="I95" s="81">
        <f t="shared" si="17"/>
        <v>1773</v>
      </c>
      <c r="J95" s="81">
        <f t="shared" si="18"/>
        <v>1856</v>
      </c>
      <c r="K95" s="98">
        <f t="shared" si="19"/>
        <v>0.3581500282</v>
      </c>
      <c r="L95" s="98">
        <f t="shared" si="20"/>
        <v>0.6012408347</v>
      </c>
      <c r="M95" s="98">
        <f t="shared" si="21"/>
        <v>0.04060913706</v>
      </c>
      <c r="N95" s="81" t="str">
        <f t="shared" si="22"/>
        <v>Mal. Lott</v>
      </c>
      <c r="O95" s="107" t="s">
        <v>77</v>
      </c>
      <c r="P95" s="97">
        <v>1188.0</v>
      </c>
      <c r="Q95" s="97">
        <v>433.0</v>
      </c>
      <c r="R95" s="97">
        <v>143.0</v>
      </c>
      <c r="S95" s="97">
        <v>59.0</v>
      </c>
      <c r="T95" s="97">
        <v>33.0</v>
      </c>
      <c r="U95" s="81">
        <f t="shared" si="23"/>
        <v>1764</v>
      </c>
      <c r="V95" s="81">
        <f t="shared" si="24"/>
        <v>1856</v>
      </c>
      <c r="W95" s="98">
        <f t="shared" si="25"/>
        <v>0.6734693878</v>
      </c>
      <c r="X95" s="98">
        <f t="shared" si="26"/>
        <v>0.2454648526</v>
      </c>
      <c r="Y95" s="98">
        <f t="shared" si="27"/>
        <v>0.08106575964</v>
      </c>
      <c r="Z95" s="81" t="str">
        <f t="shared" si="28"/>
        <v>Jango</v>
      </c>
      <c r="AA95" s="100" t="s">
        <v>77</v>
      </c>
      <c r="AB95" s="38">
        <v>2352.0</v>
      </c>
      <c r="AC95" s="81">
        <f t="shared" si="29"/>
        <v>496</v>
      </c>
      <c r="AD95" s="82">
        <f t="shared" si="30"/>
        <v>0.7891156463</v>
      </c>
    </row>
    <row r="96">
      <c r="A96" s="61" t="s">
        <v>258</v>
      </c>
      <c r="B96" s="78" t="s">
        <v>317</v>
      </c>
      <c r="C96" s="79"/>
      <c r="D96" s="97">
        <v>439.0</v>
      </c>
      <c r="E96" s="97">
        <v>259.0</v>
      </c>
      <c r="F96" s="108">
        <v>335.0</v>
      </c>
      <c r="G96" s="97">
        <v>0.0</v>
      </c>
      <c r="H96" s="97">
        <v>421.0</v>
      </c>
      <c r="I96" s="81">
        <f t="shared" si="17"/>
        <v>1033</v>
      </c>
      <c r="J96" s="81">
        <f t="shared" si="18"/>
        <v>1454</v>
      </c>
      <c r="K96" s="98">
        <f t="shared" si="19"/>
        <v>0.4249757986</v>
      </c>
      <c r="L96" s="98">
        <f t="shared" si="20"/>
        <v>0.2507260407</v>
      </c>
      <c r="M96" s="98">
        <f t="shared" si="21"/>
        <v>0.3242981607</v>
      </c>
      <c r="N96" s="81" t="str">
        <f t="shared" si="22"/>
        <v>Jânio</v>
      </c>
      <c r="O96" s="107" t="s">
        <v>77</v>
      </c>
      <c r="P96" s="97">
        <v>579.0</v>
      </c>
      <c r="Q96" s="97">
        <v>138.0</v>
      </c>
      <c r="R96" s="97">
        <v>322.0</v>
      </c>
      <c r="S96" s="97">
        <v>0.0</v>
      </c>
      <c r="T96" s="97">
        <v>415.0</v>
      </c>
      <c r="U96" s="81">
        <f t="shared" si="23"/>
        <v>1039</v>
      </c>
      <c r="V96" s="81">
        <f t="shared" si="24"/>
        <v>1454</v>
      </c>
      <c r="W96" s="98">
        <f t="shared" si="25"/>
        <v>0.5572666025</v>
      </c>
      <c r="X96" s="98">
        <f t="shared" si="26"/>
        <v>0.1328200192</v>
      </c>
      <c r="Y96" s="98">
        <f t="shared" si="27"/>
        <v>0.3099133782</v>
      </c>
      <c r="Z96" s="81" t="str">
        <f t="shared" si="28"/>
        <v>Jango</v>
      </c>
      <c r="AA96" s="100" t="s">
        <v>77</v>
      </c>
      <c r="AB96" s="38">
        <v>2872.0</v>
      </c>
      <c r="AC96" s="81">
        <f t="shared" si="29"/>
        <v>1418</v>
      </c>
      <c r="AD96" s="82">
        <f t="shared" si="30"/>
        <v>0.5062674095</v>
      </c>
    </row>
    <row r="97">
      <c r="A97" s="24"/>
      <c r="B97" s="78" t="s">
        <v>318</v>
      </c>
      <c r="C97" s="79"/>
      <c r="D97" s="97">
        <v>373.0</v>
      </c>
      <c r="E97" s="97">
        <v>669.0</v>
      </c>
      <c r="F97" s="108">
        <v>152.0</v>
      </c>
      <c r="G97" s="97">
        <v>0.0</v>
      </c>
      <c r="H97" s="97">
        <v>298.0</v>
      </c>
      <c r="I97" s="81">
        <f t="shared" si="17"/>
        <v>1194</v>
      </c>
      <c r="J97" s="81">
        <f t="shared" si="18"/>
        <v>1492</v>
      </c>
      <c r="K97" s="98">
        <f t="shared" si="19"/>
        <v>0.3123953099</v>
      </c>
      <c r="L97" s="98">
        <f t="shared" si="20"/>
        <v>0.5603015075</v>
      </c>
      <c r="M97" s="98">
        <f t="shared" si="21"/>
        <v>0.1273031826</v>
      </c>
      <c r="N97" s="81" t="str">
        <f t="shared" si="22"/>
        <v>Mal. Lott</v>
      </c>
      <c r="O97" s="107" t="s">
        <v>77</v>
      </c>
      <c r="P97" s="97">
        <v>750.0</v>
      </c>
      <c r="Q97" s="97">
        <v>181.0</v>
      </c>
      <c r="R97" s="97">
        <v>228.0</v>
      </c>
      <c r="S97" s="97">
        <v>0.0</v>
      </c>
      <c r="T97" s="97">
        <v>333.0</v>
      </c>
      <c r="U97" s="81">
        <f t="shared" si="23"/>
        <v>1159</v>
      </c>
      <c r="V97" s="81">
        <f t="shared" si="24"/>
        <v>1492</v>
      </c>
      <c r="W97" s="98">
        <f t="shared" si="25"/>
        <v>0.6471095772</v>
      </c>
      <c r="X97" s="98">
        <f t="shared" si="26"/>
        <v>0.1561691113</v>
      </c>
      <c r="Y97" s="98">
        <f t="shared" si="27"/>
        <v>0.1967213115</v>
      </c>
      <c r="Z97" s="81" t="str">
        <f t="shared" si="28"/>
        <v>Jango</v>
      </c>
      <c r="AA97" s="100" t="s">
        <v>77</v>
      </c>
      <c r="AB97" s="38">
        <v>3563.0</v>
      </c>
      <c r="AC97" s="81">
        <f t="shared" si="29"/>
        <v>2071</v>
      </c>
      <c r="AD97" s="82">
        <f t="shared" si="30"/>
        <v>0.4187482459</v>
      </c>
    </row>
    <row r="98">
      <c r="A98" s="45" t="s">
        <v>319</v>
      </c>
      <c r="B98" s="78" t="s">
        <v>320</v>
      </c>
      <c r="C98" s="79"/>
      <c r="D98" s="97">
        <v>185.0</v>
      </c>
      <c r="E98" s="97">
        <v>674.0</v>
      </c>
      <c r="F98" s="97">
        <v>1925.0</v>
      </c>
      <c r="G98" s="97">
        <v>54.0</v>
      </c>
      <c r="H98" s="97">
        <v>98.0</v>
      </c>
      <c r="I98" s="81">
        <f t="shared" si="17"/>
        <v>2784</v>
      </c>
      <c r="J98" s="81">
        <f t="shared" si="18"/>
        <v>2936</v>
      </c>
      <c r="K98" s="98">
        <f t="shared" si="19"/>
        <v>0.06645114943</v>
      </c>
      <c r="L98" s="98">
        <f t="shared" si="20"/>
        <v>0.2420977011</v>
      </c>
      <c r="M98" s="98">
        <f t="shared" si="21"/>
        <v>0.6914511494</v>
      </c>
      <c r="N98" s="81" t="str">
        <f t="shared" si="22"/>
        <v>Adhemar</v>
      </c>
      <c r="O98" s="107" t="s">
        <v>77</v>
      </c>
      <c r="P98" s="97">
        <v>1480.0</v>
      </c>
      <c r="Q98" s="97">
        <v>303.0</v>
      </c>
      <c r="R98" s="97">
        <v>873.0</v>
      </c>
      <c r="S98" s="97">
        <v>208.0</v>
      </c>
      <c r="T98" s="97">
        <v>72.0</v>
      </c>
      <c r="U98" s="81">
        <f t="shared" si="23"/>
        <v>2656</v>
      </c>
      <c r="V98" s="81">
        <f t="shared" si="24"/>
        <v>2936</v>
      </c>
      <c r="W98" s="98">
        <f t="shared" si="25"/>
        <v>0.5572289157</v>
      </c>
      <c r="X98" s="98">
        <f t="shared" si="26"/>
        <v>0.1140813253</v>
      </c>
      <c r="Y98" s="98">
        <f t="shared" si="27"/>
        <v>0.328689759</v>
      </c>
      <c r="Z98" s="81" t="str">
        <f t="shared" si="28"/>
        <v>Jango</v>
      </c>
      <c r="AA98" s="100" t="s">
        <v>77</v>
      </c>
      <c r="AB98" s="38">
        <v>4281.0</v>
      </c>
      <c r="AC98" s="81">
        <f t="shared" si="29"/>
        <v>1345</v>
      </c>
      <c r="AD98" s="82">
        <f t="shared" si="30"/>
        <v>0.6858210698</v>
      </c>
    </row>
    <row r="99">
      <c r="A99" s="61" t="s">
        <v>321</v>
      </c>
      <c r="B99" s="78" t="s">
        <v>322</v>
      </c>
      <c r="C99" s="79"/>
      <c r="D99" s="97">
        <v>153.0</v>
      </c>
      <c r="E99" s="97">
        <v>421.0</v>
      </c>
      <c r="F99" s="97">
        <v>786.0</v>
      </c>
      <c r="G99" s="97">
        <v>128.0</v>
      </c>
      <c r="H99" s="97">
        <v>157.0</v>
      </c>
      <c r="I99" s="81">
        <f t="shared" si="17"/>
        <v>1360</v>
      </c>
      <c r="J99" s="81">
        <f t="shared" si="18"/>
        <v>1645</v>
      </c>
      <c r="K99" s="98">
        <f t="shared" si="19"/>
        <v>0.1125</v>
      </c>
      <c r="L99" s="98">
        <f t="shared" si="20"/>
        <v>0.3095588235</v>
      </c>
      <c r="M99" s="98">
        <f t="shared" si="21"/>
        <v>0.5779411765</v>
      </c>
      <c r="N99" s="81" t="str">
        <f t="shared" si="22"/>
        <v>Adhemar</v>
      </c>
      <c r="O99" s="107" t="s">
        <v>77</v>
      </c>
      <c r="P99" s="97">
        <v>663.0</v>
      </c>
      <c r="Q99" s="97">
        <v>213.0</v>
      </c>
      <c r="R99" s="97">
        <v>380.0</v>
      </c>
      <c r="S99" s="97">
        <v>280.0</v>
      </c>
      <c r="T99" s="97">
        <v>109.0</v>
      </c>
      <c r="U99" s="81">
        <f t="shared" si="23"/>
        <v>1256</v>
      </c>
      <c r="V99" s="81">
        <f t="shared" si="24"/>
        <v>1645</v>
      </c>
      <c r="W99" s="98">
        <f t="shared" si="25"/>
        <v>0.527866242</v>
      </c>
      <c r="X99" s="98">
        <f t="shared" si="26"/>
        <v>0.1695859873</v>
      </c>
      <c r="Y99" s="98">
        <f t="shared" si="27"/>
        <v>0.3025477707</v>
      </c>
      <c r="Z99" s="81" t="str">
        <f t="shared" si="28"/>
        <v>Jango</v>
      </c>
      <c r="AA99" s="100" t="s">
        <v>77</v>
      </c>
      <c r="AB99" s="38">
        <v>2412.0</v>
      </c>
      <c r="AC99" s="81">
        <f t="shared" si="29"/>
        <v>767</v>
      </c>
      <c r="AD99" s="82">
        <f t="shared" si="30"/>
        <v>0.6820066335</v>
      </c>
    </row>
    <row r="100">
      <c r="A100" s="24"/>
      <c r="B100" s="78" t="s">
        <v>323</v>
      </c>
      <c r="C100" s="79"/>
      <c r="D100" s="97">
        <v>90.0</v>
      </c>
      <c r="E100" s="97">
        <v>921.0</v>
      </c>
      <c r="F100" s="97">
        <v>866.0</v>
      </c>
      <c r="G100" s="97">
        <v>132.0</v>
      </c>
      <c r="H100" s="97">
        <v>88.0</v>
      </c>
      <c r="I100" s="81">
        <f t="shared" si="17"/>
        <v>1877</v>
      </c>
      <c r="J100" s="81">
        <f t="shared" si="18"/>
        <v>2097</v>
      </c>
      <c r="K100" s="98">
        <f t="shared" si="19"/>
        <v>0.04794885456</v>
      </c>
      <c r="L100" s="98">
        <f t="shared" si="20"/>
        <v>0.4906766116</v>
      </c>
      <c r="M100" s="98">
        <f t="shared" si="21"/>
        <v>0.4613745338</v>
      </c>
      <c r="N100" s="81" t="str">
        <f t="shared" si="22"/>
        <v>Mal. Lott</v>
      </c>
      <c r="O100" s="107" t="s">
        <v>77</v>
      </c>
      <c r="P100" s="97">
        <v>1073.0</v>
      </c>
      <c r="Q100" s="97">
        <v>179.0</v>
      </c>
      <c r="R100" s="97">
        <v>581.0</v>
      </c>
      <c r="S100" s="97">
        <v>205.0</v>
      </c>
      <c r="T100" s="97">
        <v>59.0</v>
      </c>
      <c r="U100" s="81">
        <f t="shared" si="23"/>
        <v>1833</v>
      </c>
      <c r="V100" s="81">
        <f t="shared" si="24"/>
        <v>2097</v>
      </c>
      <c r="W100" s="98">
        <f t="shared" si="25"/>
        <v>0.5853791598</v>
      </c>
      <c r="X100" s="98">
        <f t="shared" si="26"/>
        <v>0.09765411893</v>
      </c>
      <c r="Y100" s="98">
        <f t="shared" si="27"/>
        <v>0.3169667212</v>
      </c>
      <c r="Z100" s="81" t="str">
        <f t="shared" si="28"/>
        <v>Jango</v>
      </c>
      <c r="AA100" s="100" t="s">
        <v>77</v>
      </c>
      <c r="AB100" s="38">
        <v>3282.0</v>
      </c>
      <c r="AC100" s="81">
        <f t="shared" si="29"/>
        <v>1185</v>
      </c>
      <c r="AD100" s="82">
        <f t="shared" si="30"/>
        <v>0.6389396709</v>
      </c>
    </row>
    <row r="101">
      <c r="A101" s="61" t="s">
        <v>324</v>
      </c>
      <c r="B101" s="78" t="s">
        <v>325</v>
      </c>
      <c r="C101" s="79"/>
      <c r="D101" s="97">
        <v>423.0</v>
      </c>
      <c r="E101" s="97">
        <v>291.0</v>
      </c>
      <c r="F101" s="97">
        <v>416.0</v>
      </c>
      <c r="G101" s="97">
        <v>64.0</v>
      </c>
      <c r="H101" s="97">
        <v>81.0</v>
      </c>
      <c r="I101" s="81">
        <f t="shared" si="17"/>
        <v>1130</v>
      </c>
      <c r="J101" s="81">
        <f t="shared" si="18"/>
        <v>1275</v>
      </c>
      <c r="K101" s="98">
        <f t="shared" si="19"/>
        <v>0.3743362832</v>
      </c>
      <c r="L101" s="98">
        <f t="shared" si="20"/>
        <v>0.2575221239</v>
      </c>
      <c r="M101" s="98">
        <f t="shared" si="21"/>
        <v>0.3681415929</v>
      </c>
      <c r="N101" s="81" t="str">
        <f t="shared" si="22"/>
        <v>Jânio</v>
      </c>
      <c r="O101" s="107" t="s">
        <v>77</v>
      </c>
      <c r="P101" s="97">
        <v>536.0</v>
      </c>
      <c r="Q101" s="97">
        <v>207.0</v>
      </c>
      <c r="R101" s="97">
        <v>326.0</v>
      </c>
      <c r="S101" s="97">
        <v>148.0</v>
      </c>
      <c r="T101" s="97">
        <v>58.0</v>
      </c>
      <c r="U101" s="81">
        <f t="shared" si="23"/>
        <v>1069</v>
      </c>
      <c r="V101" s="81">
        <f t="shared" si="24"/>
        <v>1275</v>
      </c>
      <c r="W101" s="98">
        <f t="shared" si="25"/>
        <v>0.5014031805</v>
      </c>
      <c r="X101" s="98">
        <f t="shared" si="26"/>
        <v>0.1936389149</v>
      </c>
      <c r="Y101" s="98">
        <f t="shared" si="27"/>
        <v>0.3049579046</v>
      </c>
      <c r="Z101" s="81" t="str">
        <f t="shared" si="28"/>
        <v>Jango</v>
      </c>
      <c r="AA101" s="100" t="s">
        <v>77</v>
      </c>
      <c r="AB101" s="38">
        <v>4370.0</v>
      </c>
      <c r="AC101" s="81">
        <f t="shared" si="29"/>
        <v>3095</v>
      </c>
      <c r="AD101" s="82">
        <f t="shared" si="30"/>
        <v>0.2917620137</v>
      </c>
    </row>
    <row r="102">
      <c r="A102" s="24"/>
      <c r="B102" s="78" t="s">
        <v>326</v>
      </c>
      <c r="C102" s="79"/>
      <c r="D102" s="97">
        <v>2175.0</v>
      </c>
      <c r="E102" s="97">
        <v>37.0</v>
      </c>
      <c r="F102" s="97">
        <v>88.0</v>
      </c>
      <c r="G102" s="97">
        <v>32.0</v>
      </c>
      <c r="H102" s="97">
        <v>29.0</v>
      </c>
      <c r="I102" s="81">
        <f t="shared" si="17"/>
        <v>2300</v>
      </c>
      <c r="J102" s="81">
        <f t="shared" si="18"/>
        <v>2361</v>
      </c>
      <c r="K102" s="98">
        <f t="shared" si="19"/>
        <v>0.9456521739</v>
      </c>
      <c r="L102" s="98">
        <f t="shared" si="20"/>
        <v>0.01608695652</v>
      </c>
      <c r="M102" s="98">
        <f t="shared" si="21"/>
        <v>0.03826086957</v>
      </c>
      <c r="N102" s="81" t="str">
        <f t="shared" si="22"/>
        <v>Jânio</v>
      </c>
      <c r="O102" s="107" t="s">
        <v>77</v>
      </c>
      <c r="P102" s="97">
        <v>91.0</v>
      </c>
      <c r="Q102" s="97">
        <v>1491.0</v>
      </c>
      <c r="R102" s="97">
        <v>691.0</v>
      </c>
      <c r="S102" s="97">
        <v>58.0</v>
      </c>
      <c r="T102" s="97">
        <v>30.0</v>
      </c>
      <c r="U102" s="81">
        <f t="shared" si="23"/>
        <v>2273</v>
      </c>
      <c r="V102" s="81">
        <f t="shared" si="24"/>
        <v>2361</v>
      </c>
      <c r="W102" s="98">
        <f t="shared" si="25"/>
        <v>0.04003519578</v>
      </c>
      <c r="X102" s="98">
        <f t="shared" si="26"/>
        <v>0.6559612846</v>
      </c>
      <c r="Y102" s="98">
        <f t="shared" si="27"/>
        <v>0.3040035196</v>
      </c>
      <c r="Z102" s="81" t="str">
        <f t="shared" si="28"/>
        <v>Milton</v>
      </c>
      <c r="AA102" s="100" t="s">
        <v>77</v>
      </c>
      <c r="AB102" s="38">
        <v>3430.0</v>
      </c>
      <c r="AC102" s="81">
        <f t="shared" si="29"/>
        <v>1069</v>
      </c>
      <c r="AD102" s="82">
        <f t="shared" si="30"/>
        <v>0.6883381924</v>
      </c>
    </row>
    <row r="103">
      <c r="A103" s="61" t="s">
        <v>327</v>
      </c>
      <c r="B103" s="78" t="s">
        <v>328</v>
      </c>
      <c r="C103" s="79"/>
      <c r="D103" s="97">
        <v>524.0</v>
      </c>
      <c r="E103" s="97">
        <v>1209.0</v>
      </c>
      <c r="F103" s="97">
        <v>1278.0</v>
      </c>
      <c r="G103" s="97">
        <v>120.0</v>
      </c>
      <c r="H103" s="97">
        <v>252.0</v>
      </c>
      <c r="I103" s="81">
        <f t="shared" si="17"/>
        <v>3011</v>
      </c>
      <c r="J103" s="81">
        <f t="shared" si="18"/>
        <v>3383</v>
      </c>
      <c r="K103" s="98">
        <f t="shared" si="19"/>
        <v>0.1740285619</v>
      </c>
      <c r="L103" s="98">
        <f t="shared" si="20"/>
        <v>0.4015277317</v>
      </c>
      <c r="M103" s="98">
        <f t="shared" si="21"/>
        <v>0.4244437064</v>
      </c>
      <c r="N103" s="81" t="str">
        <f t="shared" si="22"/>
        <v>Adhemar</v>
      </c>
      <c r="O103" s="107" t="s">
        <v>77</v>
      </c>
      <c r="P103" s="97">
        <v>1597.0</v>
      </c>
      <c r="Q103" s="97">
        <v>865.0</v>
      </c>
      <c r="R103" s="97">
        <v>474.0</v>
      </c>
      <c r="S103" s="97">
        <v>215.0</v>
      </c>
      <c r="T103" s="97">
        <v>232.0</v>
      </c>
      <c r="U103" s="81">
        <f t="shared" si="23"/>
        <v>2936</v>
      </c>
      <c r="V103" s="81">
        <f t="shared" si="24"/>
        <v>3383</v>
      </c>
      <c r="W103" s="98">
        <f t="shared" si="25"/>
        <v>0.5439373297</v>
      </c>
      <c r="X103" s="98">
        <f t="shared" si="26"/>
        <v>0.2946185286</v>
      </c>
      <c r="Y103" s="98">
        <f t="shared" si="27"/>
        <v>0.1614441417</v>
      </c>
      <c r="Z103" s="81" t="str">
        <f t="shared" si="28"/>
        <v>Jango</v>
      </c>
      <c r="AA103" s="100" t="s">
        <v>77</v>
      </c>
      <c r="AB103" s="38">
        <v>5652.0</v>
      </c>
      <c r="AC103" s="81">
        <f t="shared" si="29"/>
        <v>2269</v>
      </c>
      <c r="AD103" s="82">
        <f t="shared" si="30"/>
        <v>0.5985491861</v>
      </c>
    </row>
    <row r="104">
      <c r="A104" s="24"/>
      <c r="B104" s="78" t="s">
        <v>329</v>
      </c>
      <c r="C104" s="79"/>
      <c r="D104" s="97">
        <v>56.0</v>
      </c>
      <c r="E104" s="97">
        <v>443.0</v>
      </c>
      <c r="F104" s="97">
        <v>82.0</v>
      </c>
      <c r="G104" s="97">
        <v>38.0</v>
      </c>
      <c r="H104" s="97">
        <v>42.0</v>
      </c>
      <c r="I104" s="81">
        <f t="shared" si="17"/>
        <v>581</v>
      </c>
      <c r="J104" s="81">
        <f t="shared" si="18"/>
        <v>661</v>
      </c>
      <c r="K104" s="98">
        <f t="shared" si="19"/>
        <v>0.09638554217</v>
      </c>
      <c r="L104" s="98">
        <f t="shared" si="20"/>
        <v>0.7624784854</v>
      </c>
      <c r="M104" s="98">
        <f t="shared" si="21"/>
        <v>0.1411359725</v>
      </c>
      <c r="N104" s="81" t="str">
        <f t="shared" si="22"/>
        <v>Mal. Lott</v>
      </c>
      <c r="O104" s="107" t="s">
        <v>77</v>
      </c>
      <c r="P104" s="97">
        <v>485.0</v>
      </c>
      <c r="Q104" s="97">
        <v>36.0</v>
      </c>
      <c r="R104" s="97">
        <v>67.0</v>
      </c>
      <c r="S104" s="97">
        <v>36.0</v>
      </c>
      <c r="T104" s="97">
        <v>37.0</v>
      </c>
      <c r="U104" s="81">
        <f t="shared" si="23"/>
        <v>588</v>
      </c>
      <c r="V104" s="81">
        <f t="shared" si="24"/>
        <v>661</v>
      </c>
      <c r="W104" s="98">
        <f t="shared" si="25"/>
        <v>0.824829932</v>
      </c>
      <c r="X104" s="98">
        <f t="shared" si="26"/>
        <v>0.0612244898</v>
      </c>
      <c r="Y104" s="98">
        <f t="shared" si="27"/>
        <v>0.1139455782</v>
      </c>
      <c r="Z104" s="81" t="str">
        <f t="shared" si="28"/>
        <v>Jango</v>
      </c>
      <c r="AA104" s="100" t="s">
        <v>77</v>
      </c>
      <c r="AB104" s="38">
        <v>1271.0</v>
      </c>
      <c r="AC104" s="81">
        <f t="shared" si="29"/>
        <v>610</v>
      </c>
      <c r="AD104" s="82">
        <f t="shared" si="30"/>
        <v>0.5200629426</v>
      </c>
    </row>
    <row r="105">
      <c r="A105" s="69" t="s">
        <v>54</v>
      </c>
      <c r="B105" s="13"/>
      <c r="C105" s="79"/>
      <c r="D105" s="97">
        <f t="shared" ref="D105:H105" si="31">SUM(D90:D104,D12:D86)</f>
        <v>56727</v>
      </c>
      <c r="E105" s="97">
        <f t="shared" si="31"/>
        <v>81102</v>
      </c>
      <c r="F105" s="97">
        <f t="shared" si="31"/>
        <v>72456</v>
      </c>
      <c r="G105" s="97">
        <f t="shared" si="31"/>
        <v>11201</v>
      </c>
      <c r="H105" s="97">
        <f t="shared" si="31"/>
        <v>13563</v>
      </c>
      <c r="I105" s="81">
        <f t="shared" si="17"/>
        <v>210285</v>
      </c>
      <c r="J105" s="81">
        <f t="shared" si="18"/>
        <v>235049</v>
      </c>
      <c r="K105" s="98">
        <f t="shared" si="19"/>
        <v>0.2697624652</v>
      </c>
      <c r="L105" s="98">
        <f t="shared" si="20"/>
        <v>0.3856765818</v>
      </c>
      <c r="M105" s="98">
        <f t="shared" si="21"/>
        <v>0.344560953</v>
      </c>
      <c r="N105" s="81" t="str">
        <f t="shared" si="22"/>
        <v>Mal. Lott</v>
      </c>
      <c r="O105" s="107"/>
      <c r="P105" s="97">
        <f t="shared" ref="P105:T105" si="32">SUM(P90:P104,P12:P86)</f>
        <v>102267</v>
      </c>
      <c r="Q105" s="97">
        <f t="shared" si="32"/>
        <v>35773</v>
      </c>
      <c r="R105" s="97">
        <f t="shared" si="32"/>
        <v>61966</v>
      </c>
      <c r="S105" s="97">
        <f t="shared" si="32"/>
        <v>25250</v>
      </c>
      <c r="T105" s="97">
        <f t="shared" si="32"/>
        <v>9793</v>
      </c>
      <c r="U105" s="81">
        <f t="shared" si="23"/>
        <v>200006</v>
      </c>
      <c r="V105" s="81">
        <f t="shared" si="24"/>
        <v>235049</v>
      </c>
      <c r="W105" s="98">
        <f t="shared" si="25"/>
        <v>0.5113196604</v>
      </c>
      <c r="X105" s="98">
        <f t="shared" si="26"/>
        <v>0.1788596342</v>
      </c>
      <c r="Y105" s="98">
        <f t="shared" si="27"/>
        <v>0.3098207054</v>
      </c>
      <c r="Z105" s="81" t="str">
        <f t="shared" si="28"/>
        <v>Jango</v>
      </c>
      <c r="AA105" s="100"/>
      <c r="AB105" s="97">
        <f>SUM(AB90:AB104,AB12:AB86)</f>
        <v>370119</v>
      </c>
      <c r="AC105" s="81">
        <f t="shared" si="29"/>
        <v>135070</v>
      </c>
      <c r="AD105" s="82">
        <f t="shared" si="30"/>
        <v>0.6350633175</v>
      </c>
    </row>
    <row r="106">
      <c r="A106" s="69" t="s">
        <v>330</v>
      </c>
      <c r="B106" s="13"/>
      <c r="C106" s="79"/>
      <c r="D106" s="97">
        <f t="shared" ref="D106:H106" si="33">SUM(D12:D104)</f>
        <v>57908</v>
      </c>
      <c r="E106" s="97">
        <f t="shared" si="33"/>
        <v>84798</v>
      </c>
      <c r="F106" s="97">
        <f t="shared" si="33"/>
        <v>74648</v>
      </c>
      <c r="G106" s="97">
        <f t="shared" si="33"/>
        <v>12295</v>
      </c>
      <c r="H106" s="97">
        <f t="shared" si="33"/>
        <v>13917</v>
      </c>
      <c r="I106" s="81">
        <f t="shared" si="17"/>
        <v>217354</v>
      </c>
      <c r="J106" s="81">
        <f t="shared" si="18"/>
        <v>243566</v>
      </c>
      <c r="K106" s="98">
        <f t="shared" si="19"/>
        <v>0.2664225181</v>
      </c>
      <c r="L106" s="98">
        <f t="shared" si="20"/>
        <v>0.3901377476</v>
      </c>
      <c r="M106" s="98">
        <f t="shared" si="21"/>
        <v>0.3434397343</v>
      </c>
      <c r="N106" s="81" t="str">
        <f t="shared" si="22"/>
        <v>Mal. Lott</v>
      </c>
      <c r="O106" s="107"/>
      <c r="P106" s="97">
        <f t="shared" ref="P106:T106" si="34">SUM(P12:P104)</f>
        <v>106289</v>
      </c>
      <c r="Q106" s="97">
        <f t="shared" si="34"/>
        <v>36627</v>
      </c>
      <c r="R106" s="97">
        <f t="shared" si="34"/>
        <v>63686</v>
      </c>
      <c r="S106" s="97">
        <f t="shared" si="34"/>
        <v>26878</v>
      </c>
      <c r="T106" s="97">
        <f t="shared" si="34"/>
        <v>10086</v>
      </c>
      <c r="U106" s="81">
        <f t="shared" si="23"/>
        <v>206602</v>
      </c>
      <c r="V106" s="81">
        <f t="shared" si="24"/>
        <v>243566</v>
      </c>
      <c r="W106" s="98">
        <f t="shared" si="25"/>
        <v>0.5144625899</v>
      </c>
      <c r="X106" s="98">
        <f t="shared" si="26"/>
        <v>0.1772828917</v>
      </c>
      <c r="Y106" s="98">
        <f t="shared" si="27"/>
        <v>0.3082545183</v>
      </c>
      <c r="Z106" s="81" t="str">
        <f t="shared" si="28"/>
        <v>Jango</v>
      </c>
      <c r="AA106" s="100"/>
      <c r="AB106" s="97">
        <f>SUM(AB12:AB104)</f>
        <v>382399</v>
      </c>
      <c r="AC106" s="81">
        <f t="shared" si="29"/>
        <v>138833</v>
      </c>
      <c r="AD106" s="82">
        <f t="shared" si="30"/>
        <v>0.6369420422</v>
      </c>
    </row>
    <row r="107">
      <c r="O107" s="73"/>
    </row>
    <row r="108">
      <c r="B108" s="74" t="s">
        <v>138</v>
      </c>
      <c r="D108" s="75"/>
      <c r="E108" s="75"/>
      <c r="F108" s="75"/>
      <c r="G108" s="75"/>
    </row>
    <row r="109">
      <c r="B109" s="76" t="s">
        <v>139</v>
      </c>
      <c r="C109" s="33"/>
      <c r="D109" s="29"/>
      <c r="E109" s="29"/>
      <c r="F109" s="77"/>
      <c r="G109" s="77"/>
    </row>
    <row r="110">
      <c r="B110" s="76" t="s">
        <v>222</v>
      </c>
      <c r="D110" s="29"/>
      <c r="E110" s="29"/>
      <c r="F110" s="77"/>
      <c r="G110" s="77"/>
    </row>
    <row r="111">
      <c r="B111" s="76" t="s">
        <v>331</v>
      </c>
      <c r="D111" s="29"/>
      <c r="E111" s="29"/>
      <c r="F111" s="77"/>
      <c r="G111" s="77"/>
    </row>
    <row r="112">
      <c r="D112" s="29"/>
      <c r="E112" s="29"/>
      <c r="F112" s="77"/>
      <c r="G112" s="77"/>
    </row>
  </sheetData>
  <mergeCells count="116">
    <mergeCell ref="S12:S13"/>
    <mergeCell ref="T12:T13"/>
    <mergeCell ref="U12:U13"/>
    <mergeCell ref="V12:V13"/>
    <mergeCell ref="W12:W13"/>
    <mergeCell ref="X12:X13"/>
    <mergeCell ref="Y12:Y13"/>
    <mergeCell ref="Z12:Z13"/>
    <mergeCell ref="AA12:AA13"/>
    <mergeCell ref="AB12:AB13"/>
    <mergeCell ref="AC12:AC13"/>
    <mergeCell ref="AD12:AD13"/>
    <mergeCell ref="D2:G2"/>
    <mergeCell ref="A10:C10"/>
    <mergeCell ref="D10:N10"/>
    <mergeCell ref="P10:Z10"/>
    <mergeCell ref="AA10:AD10"/>
    <mergeCell ref="B12:B13"/>
    <mergeCell ref="D12:D13"/>
    <mergeCell ref="AC14:AC15"/>
    <mergeCell ref="AD14:AD15"/>
    <mergeCell ref="V14:V15"/>
    <mergeCell ref="W14:W15"/>
    <mergeCell ref="X14:X15"/>
    <mergeCell ref="Y14:Y15"/>
    <mergeCell ref="Z14:Z15"/>
    <mergeCell ref="AA14:AA15"/>
    <mergeCell ref="AB14:AB15"/>
    <mergeCell ref="G12:G13"/>
    <mergeCell ref="H12:H13"/>
    <mergeCell ref="G14:G15"/>
    <mergeCell ref="H14:H15"/>
    <mergeCell ref="I12:I13"/>
    <mergeCell ref="J12:J13"/>
    <mergeCell ref="I14:I15"/>
    <mergeCell ref="J14:J15"/>
    <mergeCell ref="K12:K13"/>
    <mergeCell ref="L12:L13"/>
    <mergeCell ref="K14:K15"/>
    <mergeCell ref="L14:L15"/>
    <mergeCell ref="M12:M13"/>
    <mergeCell ref="N12:N13"/>
    <mergeCell ref="M14:M15"/>
    <mergeCell ref="N14:N15"/>
    <mergeCell ref="O12:O13"/>
    <mergeCell ref="P12:P13"/>
    <mergeCell ref="O14:O15"/>
    <mergeCell ref="P14:P15"/>
    <mergeCell ref="Q12:Q13"/>
    <mergeCell ref="R12:R13"/>
    <mergeCell ref="Q14:Q15"/>
    <mergeCell ref="R14:R15"/>
    <mergeCell ref="S14:S15"/>
    <mergeCell ref="T14:T15"/>
    <mergeCell ref="U14:U15"/>
    <mergeCell ref="E12:E13"/>
    <mergeCell ref="F12:F13"/>
    <mergeCell ref="B14:B15"/>
    <mergeCell ref="D14:D15"/>
    <mergeCell ref="E14:E15"/>
    <mergeCell ref="F14:F15"/>
    <mergeCell ref="A16:A18"/>
    <mergeCell ref="A63:A65"/>
    <mergeCell ref="A66:A67"/>
    <mergeCell ref="A68:A69"/>
    <mergeCell ref="A70:A73"/>
    <mergeCell ref="A75:A76"/>
    <mergeCell ref="A77:A80"/>
    <mergeCell ref="A81:A83"/>
    <mergeCell ref="A84:A85"/>
    <mergeCell ref="A87:A89"/>
    <mergeCell ref="A90:A92"/>
    <mergeCell ref="A94:A95"/>
    <mergeCell ref="A96:A97"/>
    <mergeCell ref="A99:A100"/>
    <mergeCell ref="A101:A102"/>
    <mergeCell ref="D41:D45"/>
    <mergeCell ref="E41:E45"/>
    <mergeCell ref="F41:F45"/>
    <mergeCell ref="G41:G45"/>
    <mergeCell ref="H41:H45"/>
    <mergeCell ref="I41:I45"/>
    <mergeCell ref="J41:J45"/>
    <mergeCell ref="K41:K45"/>
    <mergeCell ref="L41:L45"/>
    <mergeCell ref="M41:M45"/>
    <mergeCell ref="P41:P45"/>
    <mergeCell ref="Q41:Q45"/>
    <mergeCell ref="R41:R45"/>
    <mergeCell ref="S41:S45"/>
    <mergeCell ref="AC41:AC45"/>
    <mergeCell ref="AD41:AD45"/>
    <mergeCell ref="T41:T45"/>
    <mergeCell ref="U41:U45"/>
    <mergeCell ref="V41:V45"/>
    <mergeCell ref="W41:W45"/>
    <mergeCell ref="X41:X45"/>
    <mergeCell ref="Y41:Y45"/>
    <mergeCell ref="AB41:AB45"/>
    <mergeCell ref="A19:A20"/>
    <mergeCell ref="A21:A22"/>
    <mergeCell ref="A24:A26"/>
    <mergeCell ref="A29:A30"/>
    <mergeCell ref="A31:A33"/>
    <mergeCell ref="A34:A36"/>
    <mergeCell ref="A39:A40"/>
    <mergeCell ref="A42:A44"/>
    <mergeCell ref="A46:A47"/>
    <mergeCell ref="A48:A49"/>
    <mergeCell ref="A51:A52"/>
    <mergeCell ref="A54:A55"/>
    <mergeCell ref="A57:A58"/>
    <mergeCell ref="A59:A61"/>
    <mergeCell ref="A103:A104"/>
    <mergeCell ref="A105:B105"/>
    <mergeCell ref="A106:B106"/>
  </mergeCells>
  <conditionalFormatting sqref="K12:M106">
    <cfRule type="colorScale" priority="1">
      <colorScale>
        <cfvo type="min"/>
        <cfvo type="max"/>
        <color rgb="FFFFFFFF"/>
        <color rgb="FF57BB8A"/>
      </colorScale>
    </cfRule>
  </conditionalFormatting>
  <conditionalFormatting sqref="W12:Y106">
    <cfRule type="colorScale" priority="2">
      <colorScale>
        <cfvo type="min"/>
        <cfvo type="max"/>
        <color rgb="FFFFFFFF"/>
        <color rgb="FF57BB8A"/>
      </colorScale>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2.13"/>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IF(SUM(COUNTIF($N$14,D3),COUNTIF($N$17:$N$86,D3))=0,"-",SUM(COUNTIF($N$14,D3),COUNTIF($N$17:$N$86,D3)))</f>
        <v>26</v>
      </c>
      <c r="F3" s="32" t="s">
        <v>47</v>
      </c>
      <c r="G3" s="22">
        <f t="shared" ref="G3:G6" si="2">IF(SUM(COUNTIF($Z$14,F3),COUNTIF($Z$17:$Z$86,F3))=0,"-",SUM(COUNTIF($Z$14,F3),COUNTIF($Z$17:$Z$86,F3)))</f>
        <v>51</v>
      </c>
    </row>
    <row r="4">
      <c r="D4" s="32" t="s">
        <v>48</v>
      </c>
      <c r="E4" s="22">
        <f t="shared" si="1"/>
        <v>44</v>
      </c>
      <c r="F4" s="32" t="s">
        <v>49</v>
      </c>
      <c r="G4" s="22">
        <f t="shared" si="2"/>
        <v>19</v>
      </c>
    </row>
    <row r="5">
      <c r="D5" s="32" t="s">
        <v>50</v>
      </c>
      <c r="E5" s="22">
        <f t="shared" si="1"/>
        <v>1</v>
      </c>
      <c r="F5" s="32" t="s">
        <v>51</v>
      </c>
      <c r="G5" s="22">
        <f t="shared" si="2"/>
        <v>1</v>
      </c>
    </row>
    <row r="6">
      <c r="D6" s="32" t="s">
        <v>52</v>
      </c>
      <c r="E6" s="22" t="str">
        <f t="shared" si="1"/>
        <v>-</v>
      </c>
      <c r="F6" s="32" t="s">
        <v>52</v>
      </c>
      <c r="G6" s="22" t="str">
        <f t="shared" si="2"/>
        <v>-</v>
      </c>
    </row>
    <row r="7">
      <c r="D7" s="32" t="s">
        <v>54</v>
      </c>
      <c r="E7" s="32">
        <f>SUM(E3:E6)</f>
        <v>71</v>
      </c>
      <c r="F7" s="32" t="s">
        <v>54</v>
      </c>
      <c r="G7" s="32">
        <f>SUM(G3:G6)</f>
        <v>71</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45" t="s">
        <v>73</v>
      </c>
      <c r="B12" s="46" t="s">
        <v>332</v>
      </c>
      <c r="C12" s="47"/>
      <c r="D12" s="38">
        <v>4614.0</v>
      </c>
      <c r="E12" s="38">
        <v>3130.0</v>
      </c>
      <c r="F12" s="38">
        <v>623.0</v>
      </c>
      <c r="G12" s="38">
        <v>298.0</v>
      </c>
      <c r="H12" s="38">
        <v>481.0</v>
      </c>
      <c r="I12" s="48">
        <f t="shared" ref="I12:I87" si="3">SUM(D12:F12)</f>
        <v>8367</v>
      </c>
      <c r="J12" s="48">
        <f t="shared" ref="J12:J87" si="4">SUM(G12:I12)</f>
        <v>9146</v>
      </c>
      <c r="K12" s="49">
        <f t="shared" ref="K12:K87" si="5">D12/I12</f>
        <v>0.5514521334</v>
      </c>
      <c r="L12" s="49">
        <f t="shared" ref="L12:L87" si="6">E12/I12</f>
        <v>0.3740886817</v>
      </c>
      <c r="M12" s="49">
        <f t="shared" ref="M12:M87" si="7">F12/I12</f>
        <v>0.07445918489</v>
      </c>
      <c r="N12" s="32" t="str">
        <f t="shared" ref="N12:N87" si="8">IF(LARGE(D12:F12,1)=0,#REF!,IF(LARGE(D12:F12,1)=LARGE(D12:F12,2),$D$6,IF(LARGE(D12:F12,1)=D12,$D$3,IF(LARGE(D12:F12,1)=E12,$D$4,IF(LARGE(D12:F12,1)=F12,$D$5)))))</f>
        <v>Jânio</v>
      </c>
      <c r="O12" s="50"/>
      <c r="P12" s="38">
        <v>3007.0</v>
      </c>
      <c r="Q12" s="38">
        <v>3914.0</v>
      </c>
      <c r="R12" s="38">
        <v>1337.0</v>
      </c>
      <c r="S12" s="38">
        <v>580.0</v>
      </c>
      <c r="T12" s="38">
        <v>308.0</v>
      </c>
      <c r="U12" s="48">
        <f t="shared" ref="U12:U87" si="9">SUM(P12:R12)</f>
        <v>8258</v>
      </c>
      <c r="V12" s="48">
        <f t="shared" ref="V12:V87" si="10">SUM(S12:U12)</f>
        <v>9146</v>
      </c>
      <c r="W12" s="49">
        <f t="shared" ref="W12:W87" si="11">P12/U12</f>
        <v>0.364131751</v>
      </c>
      <c r="X12" s="49">
        <f t="shared" ref="X12:X87" si="12">Q12/U12</f>
        <v>0.4739646403</v>
      </c>
      <c r="Y12" s="49">
        <f t="shared" ref="Y12:Y87" si="13">R12/U12</f>
        <v>0.1619036086</v>
      </c>
      <c r="Z12" s="32" t="str">
        <f t="shared" ref="Z12:Z87" si="14">IF(LARGE(P12:R12,1)=0,#REF!,IF(LARGE(P12:R12,1)=LARGE(P12:R12,2),$F$6,IF(LARGE(P12:R12,1)=P12,$F$3,IF(LARGE(P12:R12,1)=Q12,$F$4,IF(LARGE(P12:R12,1)=R12,$F$5)))))</f>
        <v>Milton</v>
      </c>
      <c r="AA12" s="85"/>
      <c r="AB12" s="38">
        <v>13292.0</v>
      </c>
      <c r="AC12" s="48">
        <f t="shared" ref="AC12:AC20" si="15">AB12-V12</f>
        <v>4146</v>
      </c>
      <c r="AD12" s="51">
        <f t="shared" ref="AD12:AD87" si="16">V12/AB12</f>
        <v>0.6880830575</v>
      </c>
    </row>
    <row r="13">
      <c r="A13" s="45" t="s">
        <v>75</v>
      </c>
      <c r="B13" s="46" t="s">
        <v>333</v>
      </c>
      <c r="C13" s="47"/>
      <c r="D13" s="38">
        <v>5157.0</v>
      </c>
      <c r="E13" s="38">
        <v>2426.0</v>
      </c>
      <c r="F13" s="38">
        <v>649.0</v>
      </c>
      <c r="G13" s="38">
        <v>277.0</v>
      </c>
      <c r="H13" s="38">
        <v>728.0</v>
      </c>
      <c r="I13" s="48">
        <f t="shared" si="3"/>
        <v>8232</v>
      </c>
      <c r="J13" s="48">
        <f t="shared" si="4"/>
        <v>9237</v>
      </c>
      <c r="K13" s="49">
        <f t="shared" si="5"/>
        <v>0.6264577259</v>
      </c>
      <c r="L13" s="49">
        <f t="shared" si="6"/>
        <v>0.2947035957</v>
      </c>
      <c r="M13" s="49">
        <f t="shared" si="7"/>
        <v>0.07883867833</v>
      </c>
      <c r="N13" s="32" t="str">
        <f t="shared" si="8"/>
        <v>Jânio</v>
      </c>
      <c r="O13" s="50"/>
      <c r="P13" s="38">
        <v>2507.0</v>
      </c>
      <c r="Q13" s="38">
        <v>4565.0</v>
      </c>
      <c r="R13" s="38">
        <v>1042.0</v>
      </c>
      <c r="S13" s="38">
        <v>581.0</v>
      </c>
      <c r="T13" s="38">
        <v>542.0</v>
      </c>
      <c r="U13" s="48">
        <f t="shared" si="9"/>
        <v>8114</v>
      </c>
      <c r="V13" s="48">
        <f t="shared" si="10"/>
        <v>9237</v>
      </c>
      <c r="W13" s="49">
        <f t="shared" si="11"/>
        <v>0.3089721469</v>
      </c>
      <c r="X13" s="49">
        <f t="shared" si="12"/>
        <v>0.5626078383</v>
      </c>
      <c r="Y13" s="49">
        <f t="shared" si="13"/>
        <v>0.1284200148</v>
      </c>
      <c r="Z13" s="32" t="str">
        <f t="shared" si="14"/>
        <v>Milton</v>
      </c>
      <c r="AA13" s="85"/>
      <c r="AB13" s="38">
        <v>15446.0</v>
      </c>
      <c r="AC13" s="48">
        <f t="shared" si="15"/>
        <v>6209</v>
      </c>
      <c r="AD13" s="51">
        <f t="shared" si="16"/>
        <v>0.5980189046</v>
      </c>
    </row>
    <row r="14">
      <c r="A14" s="45" t="s">
        <v>77</v>
      </c>
      <c r="B14" s="46" t="s">
        <v>334</v>
      </c>
      <c r="C14" s="47"/>
      <c r="D14" s="38">
        <v>9771.0</v>
      </c>
      <c r="E14" s="38">
        <v>5556.0</v>
      </c>
      <c r="F14" s="38">
        <v>1272.0</v>
      </c>
      <c r="G14" s="38">
        <v>575.0</v>
      </c>
      <c r="H14" s="38">
        <v>1209.0</v>
      </c>
      <c r="I14" s="48">
        <f t="shared" si="3"/>
        <v>16599</v>
      </c>
      <c r="J14" s="48">
        <f t="shared" si="4"/>
        <v>18383</v>
      </c>
      <c r="K14" s="49">
        <f t="shared" si="5"/>
        <v>0.5886499187</v>
      </c>
      <c r="L14" s="49">
        <f t="shared" si="6"/>
        <v>0.334718959</v>
      </c>
      <c r="M14" s="49">
        <f t="shared" si="7"/>
        <v>0.07663112236</v>
      </c>
      <c r="N14" s="32" t="str">
        <f t="shared" si="8"/>
        <v>Jânio</v>
      </c>
      <c r="O14" s="50" t="s">
        <v>77</v>
      </c>
      <c r="P14" s="38">
        <v>5514.0</v>
      </c>
      <c r="Q14" s="38">
        <v>8479.0</v>
      </c>
      <c r="R14" s="38">
        <v>2379.0</v>
      </c>
      <c r="S14" s="38">
        <v>1161.0</v>
      </c>
      <c r="T14" s="38">
        <v>850.0</v>
      </c>
      <c r="U14" s="48">
        <f t="shared" si="9"/>
        <v>16372</v>
      </c>
      <c r="V14" s="48">
        <f t="shared" si="10"/>
        <v>18383</v>
      </c>
      <c r="W14" s="49">
        <f t="shared" si="11"/>
        <v>0.3367945272</v>
      </c>
      <c r="X14" s="49">
        <f t="shared" si="12"/>
        <v>0.5178964085</v>
      </c>
      <c r="Y14" s="49">
        <f t="shared" si="13"/>
        <v>0.1453090643</v>
      </c>
      <c r="Z14" s="32" t="str">
        <f t="shared" si="14"/>
        <v>Milton</v>
      </c>
      <c r="AA14" s="54" t="s">
        <v>77</v>
      </c>
      <c r="AB14" s="38">
        <v>28738.0</v>
      </c>
      <c r="AC14" s="48">
        <f t="shared" si="15"/>
        <v>10355</v>
      </c>
      <c r="AD14" s="51">
        <f t="shared" si="16"/>
        <v>0.6396756907</v>
      </c>
    </row>
    <row r="15">
      <c r="A15" s="45" t="s">
        <v>79</v>
      </c>
      <c r="B15" s="46" t="s">
        <v>335</v>
      </c>
      <c r="C15" s="47"/>
      <c r="D15" s="38">
        <v>4267.0</v>
      </c>
      <c r="E15" s="38">
        <v>3510.0</v>
      </c>
      <c r="F15" s="38">
        <v>654.0</v>
      </c>
      <c r="G15" s="38">
        <v>235.0</v>
      </c>
      <c r="H15" s="38">
        <v>289.0</v>
      </c>
      <c r="I15" s="48">
        <f t="shared" si="3"/>
        <v>8431</v>
      </c>
      <c r="J15" s="48">
        <f t="shared" si="4"/>
        <v>8955</v>
      </c>
      <c r="K15" s="49">
        <f t="shared" si="5"/>
        <v>0.5061084094</v>
      </c>
      <c r="L15" s="49">
        <f t="shared" si="6"/>
        <v>0.4163207211</v>
      </c>
      <c r="M15" s="49">
        <f t="shared" si="7"/>
        <v>0.07757086941</v>
      </c>
      <c r="N15" s="32" t="str">
        <f t="shared" si="8"/>
        <v>Jânio</v>
      </c>
      <c r="O15" s="50"/>
      <c r="P15" s="38">
        <v>3873.0</v>
      </c>
      <c r="Q15" s="38">
        <v>3716.0</v>
      </c>
      <c r="R15" s="38">
        <v>748.0</v>
      </c>
      <c r="S15" s="38">
        <v>432.0</v>
      </c>
      <c r="T15" s="38">
        <v>186.0</v>
      </c>
      <c r="U15" s="48">
        <f t="shared" si="9"/>
        <v>8337</v>
      </c>
      <c r="V15" s="48">
        <f t="shared" si="10"/>
        <v>8955</v>
      </c>
      <c r="W15" s="49">
        <f t="shared" si="11"/>
        <v>0.4645555955</v>
      </c>
      <c r="X15" s="49">
        <f t="shared" si="12"/>
        <v>0.4457238815</v>
      </c>
      <c r="Y15" s="49">
        <f t="shared" si="13"/>
        <v>0.08972052297</v>
      </c>
      <c r="Z15" s="32" t="str">
        <f t="shared" si="14"/>
        <v>Jango</v>
      </c>
      <c r="AA15" s="85"/>
      <c r="AB15" s="38">
        <v>12844.0</v>
      </c>
      <c r="AC15" s="48">
        <f t="shared" si="15"/>
        <v>3889</v>
      </c>
      <c r="AD15" s="51">
        <f t="shared" si="16"/>
        <v>0.6972127063</v>
      </c>
    </row>
    <row r="16">
      <c r="A16" s="45" t="s">
        <v>85</v>
      </c>
      <c r="B16" s="46" t="s">
        <v>336</v>
      </c>
      <c r="C16" s="47"/>
      <c r="D16" s="38">
        <v>609.0</v>
      </c>
      <c r="E16" s="38">
        <v>549.0</v>
      </c>
      <c r="F16" s="38">
        <v>70.0</v>
      </c>
      <c r="G16" s="38">
        <v>71.0</v>
      </c>
      <c r="H16" s="38">
        <v>101.0</v>
      </c>
      <c r="I16" s="48">
        <f t="shared" si="3"/>
        <v>1228</v>
      </c>
      <c r="J16" s="48">
        <f t="shared" si="4"/>
        <v>1400</v>
      </c>
      <c r="K16" s="49">
        <f t="shared" si="5"/>
        <v>0.4959283388</v>
      </c>
      <c r="L16" s="49">
        <f t="shared" si="6"/>
        <v>0.4470684039</v>
      </c>
      <c r="M16" s="49">
        <f t="shared" si="7"/>
        <v>0.05700325733</v>
      </c>
      <c r="N16" s="32" t="str">
        <f t="shared" si="8"/>
        <v>Jânio</v>
      </c>
      <c r="O16" s="50"/>
      <c r="P16" s="38">
        <v>606.0</v>
      </c>
      <c r="Q16" s="38">
        <v>540.0</v>
      </c>
      <c r="R16" s="38">
        <v>63.0</v>
      </c>
      <c r="S16" s="38">
        <v>122.0</v>
      </c>
      <c r="T16" s="38">
        <v>69.0</v>
      </c>
      <c r="U16" s="48">
        <f t="shared" si="9"/>
        <v>1209</v>
      </c>
      <c r="V16" s="48">
        <f t="shared" si="10"/>
        <v>1400</v>
      </c>
      <c r="W16" s="49">
        <f t="shared" si="11"/>
        <v>0.5012406948</v>
      </c>
      <c r="X16" s="49">
        <f t="shared" si="12"/>
        <v>0.4466501241</v>
      </c>
      <c r="Y16" s="49">
        <f t="shared" si="13"/>
        <v>0.05210918114</v>
      </c>
      <c r="Z16" s="32" t="str">
        <f t="shared" si="14"/>
        <v>Jango</v>
      </c>
      <c r="AA16" s="85"/>
      <c r="AB16" s="38">
        <v>2484.0</v>
      </c>
      <c r="AC16" s="48">
        <f t="shared" si="15"/>
        <v>1084</v>
      </c>
      <c r="AD16" s="51">
        <f t="shared" si="16"/>
        <v>0.5636070853</v>
      </c>
    </row>
    <row r="17">
      <c r="A17" s="45" t="s">
        <v>77</v>
      </c>
      <c r="B17" s="46" t="s">
        <v>337</v>
      </c>
      <c r="C17" s="47"/>
      <c r="D17" s="38">
        <v>4876.0</v>
      </c>
      <c r="E17" s="38">
        <v>4059.0</v>
      </c>
      <c r="F17" s="38">
        <v>724.0</v>
      </c>
      <c r="G17" s="38">
        <v>306.0</v>
      </c>
      <c r="H17" s="38">
        <v>390.0</v>
      </c>
      <c r="I17" s="48">
        <f t="shared" si="3"/>
        <v>9659</v>
      </c>
      <c r="J17" s="48">
        <f t="shared" si="4"/>
        <v>10355</v>
      </c>
      <c r="K17" s="49">
        <f t="shared" si="5"/>
        <v>0.504814163</v>
      </c>
      <c r="L17" s="49">
        <f t="shared" si="6"/>
        <v>0.4202298375</v>
      </c>
      <c r="M17" s="49">
        <f t="shared" si="7"/>
        <v>0.07495599959</v>
      </c>
      <c r="N17" s="32" t="str">
        <f t="shared" si="8"/>
        <v>Jânio</v>
      </c>
      <c r="O17" s="50" t="s">
        <v>77</v>
      </c>
      <c r="P17" s="38">
        <v>4479.0</v>
      </c>
      <c r="Q17" s="38">
        <v>4256.0</v>
      </c>
      <c r="R17" s="38">
        <v>811.0</v>
      </c>
      <c r="S17" s="38">
        <v>554.0</v>
      </c>
      <c r="T17" s="38">
        <v>255.0</v>
      </c>
      <c r="U17" s="48">
        <f t="shared" si="9"/>
        <v>9546</v>
      </c>
      <c r="V17" s="48">
        <f t="shared" si="10"/>
        <v>10355</v>
      </c>
      <c r="W17" s="49">
        <f t="shared" si="11"/>
        <v>0.4692017599</v>
      </c>
      <c r="X17" s="49">
        <f t="shared" si="12"/>
        <v>0.44584119</v>
      </c>
      <c r="Y17" s="49">
        <f t="shared" si="13"/>
        <v>0.08495705007</v>
      </c>
      <c r="Z17" s="32" t="str">
        <f t="shared" si="14"/>
        <v>Jango</v>
      </c>
      <c r="AA17" s="54" t="s">
        <v>77</v>
      </c>
      <c r="AB17" s="38">
        <v>15328.0</v>
      </c>
      <c r="AC17" s="48">
        <f t="shared" si="15"/>
        <v>4973</v>
      </c>
      <c r="AD17" s="51">
        <f t="shared" si="16"/>
        <v>0.6755610647</v>
      </c>
    </row>
    <row r="18">
      <c r="A18" s="61" t="s">
        <v>85</v>
      </c>
      <c r="B18" s="46" t="s">
        <v>338</v>
      </c>
      <c r="C18" s="47"/>
      <c r="D18" s="38">
        <v>736.0</v>
      </c>
      <c r="E18" s="38">
        <v>678.0</v>
      </c>
      <c r="F18" s="38">
        <v>98.0</v>
      </c>
      <c r="G18" s="38">
        <v>104.0</v>
      </c>
      <c r="H18" s="38">
        <v>112.0</v>
      </c>
      <c r="I18" s="48">
        <f t="shared" si="3"/>
        <v>1512</v>
      </c>
      <c r="J18" s="48">
        <f t="shared" si="4"/>
        <v>1728</v>
      </c>
      <c r="K18" s="49">
        <f t="shared" si="5"/>
        <v>0.4867724868</v>
      </c>
      <c r="L18" s="49">
        <f t="shared" si="6"/>
        <v>0.4484126984</v>
      </c>
      <c r="M18" s="49">
        <f t="shared" si="7"/>
        <v>0.06481481481</v>
      </c>
      <c r="N18" s="32" t="str">
        <f t="shared" si="8"/>
        <v>Jânio</v>
      </c>
      <c r="O18" s="50" t="s">
        <v>77</v>
      </c>
      <c r="P18" s="38">
        <v>732.0</v>
      </c>
      <c r="Q18" s="38">
        <v>677.0</v>
      </c>
      <c r="R18" s="38">
        <v>86.0</v>
      </c>
      <c r="S18" s="38">
        <v>168.0</v>
      </c>
      <c r="T18" s="38">
        <v>65.0</v>
      </c>
      <c r="U18" s="48">
        <f t="shared" si="9"/>
        <v>1495</v>
      </c>
      <c r="V18" s="48">
        <f t="shared" si="10"/>
        <v>1728</v>
      </c>
      <c r="W18" s="49">
        <f t="shared" si="11"/>
        <v>0.489632107</v>
      </c>
      <c r="X18" s="49">
        <f t="shared" si="12"/>
        <v>0.4528428094</v>
      </c>
      <c r="Y18" s="49">
        <f t="shared" si="13"/>
        <v>0.05752508361</v>
      </c>
      <c r="Z18" s="32" t="str">
        <f t="shared" si="14"/>
        <v>Jango</v>
      </c>
      <c r="AA18" s="50" t="s">
        <v>77</v>
      </c>
      <c r="AB18" s="38">
        <v>3132.0</v>
      </c>
      <c r="AC18" s="48">
        <f t="shared" si="15"/>
        <v>1404</v>
      </c>
      <c r="AD18" s="51">
        <f t="shared" si="16"/>
        <v>0.5517241379</v>
      </c>
    </row>
    <row r="19">
      <c r="A19" s="24"/>
      <c r="B19" s="46" t="s">
        <v>339</v>
      </c>
      <c r="C19" s="47"/>
      <c r="D19" s="38">
        <v>361.0</v>
      </c>
      <c r="E19" s="38">
        <v>311.0</v>
      </c>
      <c r="F19" s="38">
        <v>44.0</v>
      </c>
      <c r="G19" s="38">
        <v>36.0</v>
      </c>
      <c r="H19" s="38">
        <v>60.0</v>
      </c>
      <c r="I19" s="48">
        <f t="shared" si="3"/>
        <v>716</v>
      </c>
      <c r="J19" s="48">
        <f t="shared" si="4"/>
        <v>812</v>
      </c>
      <c r="K19" s="49">
        <f t="shared" si="5"/>
        <v>0.5041899441</v>
      </c>
      <c r="L19" s="49">
        <f t="shared" si="6"/>
        <v>0.4343575419</v>
      </c>
      <c r="M19" s="49">
        <f t="shared" si="7"/>
        <v>0.06145251397</v>
      </c>
      <c r="N19" s="32" t="str">
        <f t="shared" si="8"/>
        <v>Jânio</v>
      </c>
      <c r="O19" s="50" t="s">
        <v>77</v>
      </c>
      <c r="P19" s="38">
        <v>331.0</v>
      </c>
      <c r="Q19" s="38">
        <v>326.0</v>
      </c>
      <c r="R19" s="38">
        <v>53.0</v>
      </c>
      <c r="S19" s="38">
        <v>66.0</v>
      </c>
      <c r="T19" s="38">
        <v>36.0</v>
      </c>
      <c r="U19" s="48">
        <f t="shared" si="9"/>
        <v>710</v>
      </c>
      <c r="V19" s="48">
        <f t="shared" si="10"/>
        <v>812</v>
      </c>
      <c r="W19" s="49">
        <f t="shared" si="11"/>
        <v>0.4661971831</v>
      </c>
      <c r="X19" s="49">
        <f t="shared" si="12"/>
        <v>0.4591549296</v>
      </c>
      <c r="Y19" s="49">
        <f t="shared" si="13"/>
        <v>0.07464788732</v>
      </c>
      <c r="Z19" s="32" t="str">
        <f t="shared" si="14"/>
        <v>Jango</v>
      </c>
      <c r="AA19" s="50" t="s">
        <v>77</v>
      </c>
      <c r="AB19" s="38">
        <v>1952.0</v>
      </c>
      <c r="AC19" s="48">
        <f t="shared" si="15"/>
        <v>1140</v>
      </c>
      <c r="AD19" s="51">
        <f t="shared" si="16"/>
        <v>0.4159836066</v>
      </c>
    </row>
    <row r="20">
      <c r="A20" s="61" t="s">
        <v>90</v>
      </c>
      <c r="B20" s="46" t="s">
        <v>340</v>
      </c>
      <c r="C20" s="47"/>
      <c r="D20" s="38">
        <v>1275.0</v>
      </c>
      <c r="E20" s="38">
        <v>2083.0</v>
      </c>
      <c r="F20" s="38">
        <v>247.0</v>
      </c>
      <c r="G20" s="38">
        <v>168.0</v>
      </c>
      <c r="H20" s="38">
        <v>148.0</v>
      </c>
      <c r="I20" s="48">
        <f t="shared" si="3"/>
        <v>3605</v>
      </c>
      <c r="J20" s="48">
        <f t="shared" si="4"/>
        <v>3921</v>
      </c>
      <c r="K20" s="49">
        <f t="shared" si="5"/>
        <v>0.3536754508</v>
      </c>
      <c r="L20" s="49">
        <f t="shared" si="6"/>
        <v>0.5778085992</v>
      </c>
      <c r="M20" s="49">
        <f t="shared" si="7"/>
        <v>0.06851595007</v>
      </c>
      <c r="N20" s="32" t="str">
        <f t="shared" si="8"/>
        <v>Mal. Lott</v>
      </c>
      <c r="O20" s="50" t="s">
        <v>77</v>
      </c>
      <c r="P20" s="38">
        <v>2197.0</v>
      </c>
      <c r="Q20" s="38">
        <v>1161.0</v>
      </c>
      <c r="R20" s="38">
        <v>201.0</v>
      </c>
      <c r="S20" s="38">
        <v>255.0</v>
      </c>
      <c r="T20" s="38">
        <v>107.0</v>
      </c>
      <c r="U20" s="48">
        <f t="shared" si="9"/>
        <v>3559</v>
      </c>
      <c r="V20" s="48">
        <f t="shared" si="10"/>
        <v>3921</v>
      </c>
      <c r="W20" s="49">
        <f t="shared" si="11"/>
        <v>0.6173082326</v>
      </c>
      <c r="X20" s="49">
        <f t="shared" si="12"/>
        <v>0.326215229</v>
      </c>
      <c r="Y20" s="49">
        <f t="shared" si="13"/>
        <v>0.05647653835</v>
      </c>
      <c r="Z20" s="32" t="str">
        <f t="shared" si="14"/>
        <v>Jango</v>
      </c>
      <c r="AA20" s="50" t="s">
        <v>77</v>
      </c>
      <c r="AB20" s="38">
        <v>7533.0</v>
      </c>
      <c r="AC20" s="48">
        <f t="shared" si="15"/>
        <v>3612</v>
      </c>
      <c r="AD20" s="51">
        <f t="shared" si="16"/>
        <v>0.5205097571</v>
      </c>
    </row>
    <row r="21">
      <c r="A21" s="23"/>
      <c r="B21" s="46" t="s">
        <v>341</v>
      </c>
      <c r="C21" s="47"/>
      <c r="D21" s="38">
        <v>279.0</v>
      </c>
      <c r="E21" s="38">
        <v>229.0</v>
      </c>
      <c r="F21" s="38">
        <v>25.0</v>
      </c>
      <c r="G21" s="38">
        <v>31.0</v>
      </c>
      <c r="H21" s="38">
        <v>21.0</v>
      </c>
      <c r="I21" s="48">
        <f t="shared" si="3"/>
        <v>533</v>
      </c>
      <c r="J21" s="48">
        <f t="shared" si="4"/>
        <v>585</v>
      </c>
      <c r="K21" s="49">
        <f t="shared" si="5"/>
        <v>0.5234521576</v>
      </c>
      <c r="L21" s="49">
        <f t="shared" si="6"/>
        <v>0.4296435272</v>
      </c>
      <c r="M21" s="49">
        <f t="shared" si="7"/>
        <v>0.0469043152</v>
      </c>
      <c r="N21" s="32" t="str">
        <f t="shared" si="8"/>
        <v>Jânio</v>
      </c>
      <c r="O21" s="50" t="s">
        <v>77</v>
      </c>
      <c r="P21" s="38">
        <v>241.0</v>
      </c>
      <c r="Q21" s="38">
        <v>268.0</v>
      </c>
      <c r="R21" s="38">
        <v>21.0</v>
      </c>
      <c r="S21" s="38">
        <v>42.0</v>
      </c>
      <c r="T21" s="38">
        <v>13.0</v>
      </c>
      <c r="U21" s="48">
        <f t="shared" si="9"/>
        <v>530</v>
      </c>
      <c r="V21" s="48">
        <f t="shared" si="10"/>
        <v>585</v>
      </c>
      <c r="W21" s="49">
        <f t="shared" si="11"/>
        <v>0.4547169811</v>
      </c>
      <c r="X21" s="49">
        <f t="shared" si="12"/>
        <v>0.5056603774</v>
      </c>
      <c r="Y21" s="49">
        <f t="shared" si="13"/>
        <v>0.03962264151</v>
      </c>
      <c r="Z21" s="32" t="str">
        <f t="shared" si="14"/>
        <v>Milton</v>
      </c>
      <c r="AA21" s="50" t="s">
        <v>77</v>
      </c>
      <c r="AB21" s="38">
        <v>1212.0</v>
      </c>
      <c r="AC21" s="48">
        <f>AB21-J21</f>
        <v>627</v>
      </c>
      <c r="AD21" s="51">
        <f t="shared" si="16"/>
        <v>0.4826732673</v>
      </c>
    </row>
    <row r="22">
      <c r="A22" s="23"/>
      <c r="B22" s="46" t="s">
        <v>342</v>
      </c>
      <c r="C22" s="47"/>
      <c r="D22" s="38">
        <v>139.0</v>
      </c>
      <c r="E22" s="38">
        <v>275.0</v>
      </c>
      <c r="F22" s="38">
        <v>19.0</v>
      </c>
      <c r="G22" s="38">
        <v>12.0</v>
      </c>
      <c r="H22" s="38">
        <v>16.0</v>
      </c>
      <c r="I22" s="48">
        <f t="shared" si="3"/>
        <v>433</v>
      </c>
      <c r="J22" s="48">
        <f t="shared" si="4"/>
        <v>461</v>
      </c>
      <c r="K22" s="49">
        <f t="shared" si="5"/>
        <v>0.3210161663</v>
      </c>
      <c r="L22" s="49">
        <f t="shared" si="6"/>
        <v>0.6351039261</v>
      </c>
      <c r="M22" s="49">
        <f t="shared" si="7"/>
        <v>0.04387990762</v>
      </c>
      <c r="N22" s="32" t="str">
        <f t="shared" si="8"/>
        <v>Mal. Lott</v>
      </c>
      <c r="O22" s="50" t="s">
        <v>77</v>
      </c>
      <c r="P22" s="38">
        <v>270.0</v>
      </c>
      <c r="Q22" s="38">
        <v>139.0</v>
      </c>
      <c r="R22" s="38">
        <v>15.0</v>
      </c>
      <c r="S22" s="38">
        <v>26.0</v>
      </c>
      <c r="T22" s="38">
        <v>11.0</v>
      </c>
      <c r="U22" s="48">
        <f t="shared" si="9"/>
        <v>424</v>
      </c>
      <c r="V22" s="48">
        <f t="shared" si="10"/>
        <v>461</v>
      </c>
      <c r="W22" s="49">
        <f t="shared" si="11"/>
        <v>0.6367924528</v>
      </c>
      <c r="X22" s="49">
        <f t="shared" si="12"/>
        <v>0.3278301887</v>
      </c>
      <c r="Y22" s="49">
        <f t="shared" si="13"/>
        <v>0.03537735849</v>
      </c>
      <c r="Z22" s="32" t="str">
        <f t="shared" si="14"/>
        <v>Jango</v>
      </c>
      <c r="AA22" s="50" t="s">
        <v>77</v>
      </c>
      <c r="AB22" s="38">
        <v>696.0</v>
      </c>
      <c r="AC22" s="48">
        <f t="shared" ref="AC22:AC62" si="17">AB22-V22</f>
        <v>235</v>
      </c>
      <c r="AD22" s="51">
        <f t="shared" si="16"/>
        <v>0.6623563218</v>
      </c>
    </row>
    <row r="23">
      <c r="A23" s="24"/>
      <c r="B23" s="46" t="s">
        <v>343</v>
      </c>
      <c r="C23" s="47"/>
      <c r="D23" s="38">
        <v>185.0</v>
      </c>
      <c r="E23" s="38">
        <v>265.0</v>
      </c>
      <c r="F23" s="38">
        <v>151.0</v>
      </c>
      <c r="G23" s="38">
        <v>14.0</v>
      </c>
      <c r="H23" s="38">
        <v>31.0</v>
      </c>
      <c r="I23" s="48">
        <f t="shared" si="3"/>
        <v>601</v>
      </c>
      <c r="J23" s="48">
        <f t="shared" si="4"/>
        <v>646</v>
      </c>
      <c r="K23" s="49">
        <f t="shared" si="5"/>
        <v>0.3078202995</v>
      </c>
      <c r="L23" s="49">
        <f t="shared" si="6"/>
        <v>0.4409317804</v>
      </c>
      <c r="M23" s="49">
        <f t="shared" si="7"/>
        <v>0.2512479201</v>
      </c>
      <c r="N23" s="32" t="str">
        <f t="shared" si="8"/>
        <v>Mal. Lott</v>
      </c>
      <c r="O23" s="50" t="s">
        <v>77</v>
      </c>
      <c r="P23" s="38">
        <v>307.0</v>
      </c>
      <c r="Q23" s="38">
        <v>196.0</v>
      </c>
      <c r="R23" s="38">
        <v>80.0</v>
      </c>
      <c r="S23" s="38">
        <v>47.0</v>
      </c>
      <c r="T23" s="38">
        <v>16.0</v>
      </c>
      <c r="U23" s="48">
        <f t="shared" si="9"/>
        <v>583</v>
      </c>
      <c r="V23" s="48">
        <f t="shared" si="10"/>
        <v>646</v>
      </c>
      <c r="W23" s="49">
        <f t="shared" si="11"/>
        <v>0.5265866209</v>
      </c>
      <c r="X23" s="49">
        <f t="shared" si="12"/>
        <v>0.3361921098</v>
      </c>
      <c r="Y23" s="49">
        <f t="shared" si="13"/>
        <v>0.1372212693</v>
      </c>
      <c r="Z23" s="32" t="str">
        <f t="shared" si="14"/>
        <v>Jango</v>
      </c>
      <c r="AA23" s="50" t="s">
        <v>77</v>
      </c>
      <c r="AB23" s="38">
        <v>1506.0</v>
      </c>
      <c r="AC23" s="48">
        <f t="shared" si="17"/>
        <v>860</v>
      </c>
      <c r="AD23" s="51">
        <f t="shared" si="16"/>
        <v>0.4289508632</v>
      </c>
    </row>
    <row r="24">
      <c r="A24" s="45" t="s">
        <v>92</v>
      </c>
      <c r="B24" s="46" t="s">
        <v>344</v>
      </c>
      <c r="C24" s="47"/>
      <c r="D24" s="38">
        <v>637.0</v>
      </c>
      <c r="E24" s="38">
        <v>928.0</v>
      </c>
      <c r="F24" s="38">
        <v>99.0</v>
      </c>
      <c r="G24" s="38">
        <v>100.0</v>
      </c>
      <c r="H24" s="38">
        <v>78.0</v>
      </c>
      <c r="I24" s="48">
        <f t="shared" si="3"/>
        <v>1664</v>
      </c>
      <c r="J24" s="48">
        <f t="shared" si="4"/>
        <v>1842</v>
      </c>
      <c r="K24" s="49">
        <f t="shared" si="5"/>
        <v>0.3828125</v>
      </c>
      <c r="L24" s="49">
        <f t="shared" si="6"/>
        <v>0.5576923077</v>
      </c>
      <c r="M24" s="49">
        <f t="shared" si="7"/>
        <v>0.05949519231</v>
      </c>
      <c r="N24" s="32" t="str">
        <f t="shared" si="8"/>
        <v>Mal. Lott</v>
      </c>
      <c r="O24" s="50" t="s">
        <v>77</v>
      </c>
      <c r="P24" s="38">
        <v>938.0</v>
      </c>
      <c r="Q24" s="38">
        <v>597.0</v>
      </c>
      <c r="R24" s="38">
        <v>107.0</v>
      </c>
      <c r="S24" s="38">
        <v>133.0</v>
      </c>
      <c r="T24" s="38">
        <v>67.0</v>
      </c>
      <c r="U24" s="48">
        <f t="shared" si="9"/>
        <v>1642</v>
      </c>
      <c r="V24" s="48">
        <f t="shared" si="10"/>
        <v>1842</v>
      </c>
      <c r="W24" s="49">
        <f t="shared" si="11"/>
        <v>0.5712545676</v>
      </c>
      <c r="X24" s="49">
        <f t="shared" si="12"/>
        <v>0.3635809988</v>
      </c>
      <c r="Y24" s="49">
        <f t="shared" si="13"/>
        <v>0.06516443362</v>
      </c>
      <c r="Z24" s="32" t="str">
        <f t="shared" si="14"/>
        <v>Jango</v>
      </c>
      <c r="AA24" s="50" t="s">
        <v>77</v>
      </c>
      <c r="AB24" s="38">
        <v>4258.0</v>
      </c>
      <c r="AC24" s="48">
        <f t="shared" si="17"/>
        <v>2416</v>
      </c>
      <c r="AD24" s="51">
        <f t="shared" si="16"/>
        <v>0.4325974636</v>
      </c>
    </row>
    <row r="25">
      <c r="A25" s="61" t="s">
        <v>94</v>
      </c>
      <c r="B25" s="46" t="s">
        <v>345</v>
      </c>
      <c r="C25" s="47"/>
      <c r="D25" s="38">
        <v>1581.0</v>
      </c>
      <c r="E25" s="38">
        <v>1490.0</v>
      </c>
      <c r="F25" s="38">
        <v>146.0</v>
      </c>
      <c r="G25" s="38">
        <v>271.0</v>
      </c>
      <c r="H25" s="38">
        <v>293.0</v>
      </c>
      <c r="I25" s="48">
        <f t="shared" si="3"/>
        <v>3217</v>
      </c>
      <c r="J25" s="48">
        <f t="shared" si="4"/>
        <v>3781</v>
      </c>
      <c r="K25" s="49">
        <f t="shared" si="5"/>
        <v>0.491451663</v>
      </c>
      <c r="L25" s="49">
        <f t="shared" si="6"/>
        <v>0.4631644389</v>
      </c>
      <c r="M25" s="49">
        <f t="shared" si="7"/>
        <v>0.04538389804</v>
      </c>
      <c r="N25" s="32" t="str">
        <f t="shared" si="8"/>
        <v>Jânio</v>
      </c>
      <c r="O25" s="50" t="s">
        <v>77</v>
      </c>
      <c r="P25" s="38">
        <v>1217.0</v>
      </c>
      <c r="Q25" s="38">
        <v>1340.0</v>
      </c>
      <c r="R25" s="38">
        <v>602.0</v>
      </c>
      <c r="S25" s="38">
        <v>430.0</v>
      </c>
      <c r="T25" s="38">
        <v>192.0</v>
      </c>
      <c r="U25" s="48">
        <f t="shared" si="9"/>
        <v>3159</v>
      </c>
      <c r="V25" s="48">
        <f t="shared" si="10"/>
        <v>3781</v>
      </c>
      <c r="W25" s="49">
        <f t="shared" si="11"/>
        <v>0.3852484964</v>
      </c>
      <c r="X25" s="49">
        <f t="shared" si="12"/>
        <v>0.4241848686</v>
      </c>
      <c r="Y25" s="49">
        <f t="shared" si="13"/>
        <v>0.190566635</v>
      </c>
      <c r="Z25" s="32" t="str">
        <f t="shared" si="14"/>
        <v>Milton</v>
      </c>
      <c r="AA25" s="50" t="s">
        <v>77</v>
      </c>
      <c r="AB25" s="38">
        <v>6163.0</v>
      </c>
      <c r="AC25" s="48">
        <f t="shared" si="17"/>
        <v>2382</v>
      </c>
      <c r="AD25" s="51">
        <f t="shared" si="16"/>
        <v>0.6134999189</v>
      </c>
    </row>
    <row r="26">
      <c r="A26" s="24"/>
      <c r="B26" s="46" t="s">
        <v>346</v>
      </c>
      <c r="C26" s="47"/>
      <c r="D26" s="38">
        <v>87.0</v>
      </c>
      <c r="E26" s="38">
        <v>235.0</v>
      </c>
      <c r="F26" s="38">
        <v>30.0</v>
      </c>
      <c r="G26" s="38">
        <v>10.0</v>
      </c>
      <c r="H26" s="38">
        <v>17.0</v>
      </c>
      <c r="I26" s="48">
        <f t="shared" si="3"/>
        <v>352</v>
      </c>
      <c r="J26" s="48">
        <f t="shared" si="4"/>
        <v>379</v>
      </c>
      <c r="K26" s="49">
        <f t="shared" si="5"/>
        <v>0.2471590909</v>
      </c>
      <c r="L26" s="49">
        <f t="shared" si="6"/>
        <v>0.6676136364</v>
      </c>
      <c r="M26" s="49">
        <f t="shared" si="7"/>
        <v>0.08522727273</v>
      </c>
      <c r="N26" s="32" t="str">
        <f t="shared" si="8"/>
        <v>Mal. Lott</v>
      </c>
      <c r="O26" s="50" t="s">
        <v>77</v>
      </c>
      <c r="P26" s="38">
        <v>230.0</v>
      </c>
      <c r="Q26" s="38">
        <v>83.0</v>
      </c>
      <c r="R26" s="38">
        <v>27.0</v>
      </c>
      <c r="S26" s="38">
        <v>29.0</v>
      </c>
      <c r="T26" s="38">
        <v>10.0</v>
      </c>
      <c r="U26" s="48">
        <f t="shared" si="9"/>
        <v>340</v>
      </c>
      <c r="V26" s="48">
        <f t="shared" si="10"/>
        <v>379</v>
      </c>
      <c r="W26" s="49">
        <f t="shared" si="11"/>
        <v>0.6764705882</v>
      </c>
      <c r="X26" s="49">
        <f t="shared" si="12"/>
        <v>0.2441176471</v>
      </c>
      <c r="Y26" s="49">
        <f t="shared" si="13"/>
        <v>0.07941176471</v>
      </c>
      <c r="Z26" s="32" t="str">
        <f t="shared" si="14"/>
        <v>Jango</v>
      </c>
      <c r="AA26" s="50" t="s">
        <v>77</v>
      </c>
      <c r="AB26" s="38">
        <v>551.0</v>
      </c>
      <c r="AC26" s="48">
        <f t="shared" si="17"/>
        <v>172</v>
      </c>
      <c r="AD26" s="51">
        <f t="shared" si="16"/>
        <v>0.6878402904</v>
      </c>
    </row>
    <row r="27">
      <c r="A27" s="61" t="s">
        <v>97</v>
      </c>
      <c r="B27" s="46" t="s">
        <v>347</v>
      </c>
      <c r="C27" s="47"/>
      <c r="D27" s="38">
        <v>196.0</v>
      </c>
      <c r="E27" s="38">
        <v>2477.0</v>
      </c>
      <c r="F27" s="38">
        <v>64.0</v>
      </c>
      <c r="G27" s="38">
        <v>52.0</v>
      </c>
      <c r="H27" s="38">
        <v>49.0</v>
      </c>
      <c r="I27" s="48">
        <f t="shared" si="3"/>
        <v>2737</v>
      </c>
      <c r="J27" s="48">
        <f t="shared" si="4"/>
        <v>2838</v>
      </c>
      <c r="K27" s="49">
        <f t="shared" si="5"/>
        <v>0.0716112532</v>
      </c>
      <c r="L27" s="49">
        <f t="shared" si="6"/>
        <v>0.9050054805</v>
      </c>
      <c r="M27" s="49">
        <f t="shared" si="7"/>
        <v>0.02338326635</v>
      </c>
      <c r="N27" s="32" t="str">
        <f t="shared" si="8"/>
        <v>Mal. Lott</v>
      </c>
      <c r="O27" s="50" t="s">
        <v>77</v>
      </c>
      <c r="P27" s="38">
        <v>2462.0</v>
      </c>
      <c r="Q27" s="38">
        <v>193.0</v>
      </c>
      <c r="R27" s="38">
        <v>62.0</v>
      </c>
      <c r="S27" s="38">
        <v>88.0</v>
      </c>
      <c r="T27" s="38">
        <v>33.0</v>
      </c>
      <c r="U27" s="48">
        <f t="shared" si="9"/>
        <v>2717</v>
      </c>
      <c r="V27" s="48">
        <f t="shared" si="10"/>
        <v>2838</v>
      </c>
      <c r="W27" s="49">
        <f t="shared" si="11"/>
        <v>0.9061464851</v>
      </c>
      <c r="X27" s="49">
        <f t="shared" si="12"/>
        <v>0.07103422893</v>
      </c>
      <c r="Y27" s="49">
        <f t="shared" si="13"/>
        <v>0.02281928598</v>
      </c>
      <c r="Z27" s="32" t="str">
        <f t="shared" si="14"/>
        <v>Jango</v>
      </c>
      <c r="AA27" s="50" t="s">
        <v>77</v>
      </c>
      <c r="AB27" s="38">
        <v>5340.0</v>
      </c>
      <c r="AC27" s="48">
        <f t="shared" si="17"/>
        <v>2502</v>
      </c>
      <c r="AD27" s="51">
        <f t="shared" si="16"/>
        <v>0.5314606742</v>
      </c>
    </row>
    <row r="28">
      <c r="A28" s="24"/>
      <c r="B28" s="46" t="s">
        <v>348</v>
      </c>
      <c r="C28" s="47"/>
      <c r="D28" s="38">
        <v>158.0</v>
      </c>
      <c r="E28" s="38">
        <v>696.0</v>
      </c>
      <c r="F28" s="38">
        <v>49.0</v>
      </c>
      <c r="G28" s="38">
        <v>35.0</v>
      </c>
      <c r="H28" s="38">
        <v>18.0</v>
      </c>
      <c r="I28" s="48">
        <f t="shared" si="3"/>
        <v>903</v>
      </c>
      <c r="J28" s="48">
        <f t="shared" si="4"/>
        <v>956</v>
      </c>
      <c r="K28" s="49">
        <f t="shared" si="5"/>
        <v>0.1749723145</v>
      </c>
      <c r="L28" s="49">
        <f t="shared" si="6"/>
        <v>0.7707641196</v>
      </c>
      <c r="M28" s="49">
        <f t="shared" si="7"/>
        <v>0.05426356589</v>
      </c>
      <c r="N28" s="32" t="str">
        <f t="shared" si="8"/>
        <v>Mal. Lott</v>
      </c>
      <c r="O28" s="50" t="s">
        <v>77</v>
      </c>
      <c r="P28" s="38">
        <v>672.0</v>
      </c>
      <c r="Q28" s="38">
        <v>210.0</v>
      </c>
      <c r="R28" s="38">
        <v>27.0</v>
      </c>
      <c r="S28" s="38">
        <v>35.0</v>
      </c>
      <c r="T28" s="38">
        <v>12.0</v>
      </c>
      <c r="U28" s="48">
        <f t="shared" si="9"/>
        <v>909</v>
      </c>
      <c r="V28" s="48">
        <f t="shared" si="10"/>
        <v>956</v>
      </c>
      <c r="W28" s="49">
        <f t="shared" si="11"/>
        <v>0.7392739274</v>
      </c>
      <c r="X28" s="49">
        <f t="shared" si="12"/>
        <v>0.2310231023</v>
      </c>
      <c r="Y28" s="49">
        <f t="shared" si="13"/>
        <v>0.0297029703</v>
      </c>
      <c r="Z28" s="32" t="str">
        <f t="shared" si="14"/>
        <v>Jango</v>
      </c>
      <c r="AA28" s="50" t="s">
        <v>77</v>
      </c>
      <c r="AB28" s="38">
        <v>1374.0</v>
      </c>
      <c r="AC28" s="48">
        <f t="shared" si="17"/>
        <v>418</v>
      </c>
      <c r="AD28" s="51">
        <f t="shared" si="16"/>
        <v>0.6957787482</v>
      </c>
    </row>
    <row r="29">
      <c r="A29" s="61" t="s">
        <v>99</v>
      </c>
      <c r="B29" s="46" t="s">
        <v>349</v>
      </c>
      <c r="C29" s="47"/>
      <c r="D29" s="38">
        <v>1254.0</v>
      </c>
      <c r="E29" s="38">
        <v>1471.0</v>
      </c>
      <c r="F29" s="38">
        <v>135.0</v>
      </c>
      <c r="G29" s="38">
        <v>139.0</v>
      </c>
      <c r="H29" s="38">
        <v>122.0</v>
      </c>
      <c r="I29" s="48">
        <f t="shared" si="3"/>
        <v>2860</v>
      </c>
      <c r="J29" s="48">
        <f t="shared" si="4"/>
        <v>3121</v>
      </c>
      <c r="K29" s="49">
        <f t="shared" si="5"/>
        <v>0.4384615385</v>
      </c>
      <c r="L29" s="49">
        <f t="shared" si="6"/>
        <v>0.5143356643</v>
      </c>
      <c r="M29" s="49">
        <f t="shared" si="7"/>
        <v>0.0472027972</v>
      </c>
      <c r="N29" s="32" t="str">
        <f t="shared" si="8"/>
        <v>Mal. Lott</v>
      </c>
      <c r="O29" s="50" t="s">
        <v>77</v>
      </c>
      <c r="P29" s="38">
        <v>1458.0</v>
      </c>
      <c r="Q29" s="38">
        <v>1174.0</v>
      </c>
      <c r="R29" s="38">
        <v>178.0</v>
      </c>
      <c r="S29" s="38">
        <v>211.0</v>
      </c>
      <c r="T29" s="38">
        <v>100.0</v>
      </c>
      <c r="U29" s="48">
        <f t="shared" si="9"/>
        <v>2810</v>
      </c>
      <c r="V29" s="48">
        <f t="shared" si="10"/>
        <v>3121</v>
      </c>
      <c r="W29" s="49">
        <f t="shared" si="11"/>
        <v>0.51886121</v>
      </c>
      <c r="X29" s="49">
        <f t="shared" si="12"/>
        <v>0.4177935943</v>
      </c>
      <c r="Y29" s="49">
        <f t="shared" si="13"/>
        <v>0.06334519573</v>
      </c>
      <c r="Z29" s="32" t="str">
        <f t="shared" si="14"/>
        <v>Jango</v>
      </c>
      <c r="AA29" s="50" t="s">
        <v>77</v>
      </c>
      <c r="AB29" s="38">
        <v>6453.0</v>
      </c>
      <c r="AC29" s="48">
        <f t="shared" si="17"/>
        <v>3332</v>
      </c>
      <c r="AD29" s="51">
        <f t="shared" si="16"/>
        <v>0.483651015</v>
      </c>
    </row>
    <row r="30">
      <c r="A30" s="23"/>
      <c r="B30" s="46" t="s">
        <v>350</v>
      </c>
      <c r="C30" s="47"/>
      <c r="D30" s="38">
        <v>241.0</v>
      </c>
      <c r="E30" s="38">
        <v>192.0</v>
      </c>
      <c r="F30" s="38">
        <v>14.0</v>
      </c>
      <c r="G30" s="38">
        <v>36.0</v>
      </c>
      <c r="H30" s="38">
        <v>13.0</v>
      </c>
      <c r="I30" s="48">
        <f t="shared" si="3"/>
        <v>447</v>
      </c>
      <c r="J30" s="48">
        <f t="shared" si="4"/>
        <v>496</v>
      </c>
      <c r="K30" s="49">
        <f t="shared" si="5"/>
        <v>0.5391498881</v>
      </c>
      <c r="L30" s="49">
        <f t="shared" si="6"/>
        <v>0.4295302013</v>
      </c>
      <c r="M30" s="49">
        <f t="shared" si="7"/>
        <v>0.03131991051</v>
      </c>
      <c r="N30" s="32" t="str">
        <f t="shared" si="8"/>
        <v>Jânio</v>
      </c>
      <c r="O30" s="50" t="s">
        <v>77</v>
      </c>
      <c r="P30" s="38">
        <v>189.0</v>
      </c>
      <c r="Q30" s="38">
        <v>238.0</v>
      </c>
      <c r="R30" s="38">
        <v>13.0</v>
      </c>
      <c r="S30" s="38">
        <v>48.0</v>
      </c>
      <c r="T30" s="38">
        <v>8.0</v>
      </c>
      <c r="U30" s="48">
        <f t="shared" si="9"/>
        <v>440</v>
      </c>
      <c r="V30" s="48">
        <f t="shared" si="10"/>
        <v>496</v>
      </c>
      <c r="W30" s="49">
        <f t="shared" si="11"/>
        <v>0.4295454545</v>
      </c>
      <c r="X30" s="49">
        <f t="shared" si="12"/>
        <v>0.5409090909</v>
      </c>
      <c r="Y30" s="49">
        <f t="shared" si="13"/>
        <v>0.02954545455</v>
      </c>
      <c r="Z30" s="32" t="str">
        <f t="shared" si="14"/>
        <v>Milton</v>
      </c>
      <c r="AA30" s="50" t="s">
        <v>77</v>
      </c>
      <c r="AB30" s="38">
        <v>924.0</v>
      </c>
      <c r="AC30" s="48">
        <f t="shared" si="17"/>
        <v>428</v>
      </c>
      <c r="AD30" s="51">
        <f t="shared" si="16"/>
        <v>0.5367965368</v>
      </c>
    </row>
    <row r="31">
      <c r="A31" s="24"/>
      <c r="B31" s="46" t="s">
        <v>351</v>
      </c>
      <c r="C31" s="47"/>
      <c r="D31" s="38">
        <v>666.0</v>
      </c>
      <c r="E31" s="38">
        <v>637.0</v>
      </c>
      <c r="F31" s="38">
        <v>44.0</v>
      </c>
      <c r="G31" s="38">
        <v>24.0</v>
      </c>
      <c r="H31" s="38">
        <v>48.0</v>
      </c>
      <c r="I31" s="48">
        <f t="shared" si="3"/>
        <v>1347</v>
      </c>
      <c r="J31" s="48">
        <f t="shared" si="4"/>
        <v>1419</v>
      </c>
      <c r="K31" s="49">
        <f t="shared" si="5"/>
        <v>0.4944320713</v>
      </c>
      <c r="L31" s="49">
        <f t="shared" si="6"/>
        <v>0.4729027468</v>
      </c>
      <c r="M31" s="49">
        <f t="shared" si="7"/>
        <v>0.03266518189</v>
      </c>
      <c r="N31" s="32" t="str">
        <f t="shared" si="8"/>
        <v>Jânio</v>
      </c>
      <c r="O31" s="50" t="s">
        <v>77</v>
      </c>
      <c r="P31" s="38">
        <v>652.0</v>
      </c>
      <c r="Q31" s="38">
        <v>654.0</v>
      </c>
      <c r="R31" s="38">
        <v>29.0</v>
      </c>
      <c r="S31" s="38">
        <v>58.0</v>
      </c>
      <c r="T31" s="38">
        <v>26.0</v>
      </c>
      <c r="U31" s="48">
        <f t="shared" si="9"/>
        <v>1335</v>
      </c>
      <c r="V31" s="48">
        <f t="shared" si="10"/>
        <v>1419</v>
      </c>
      <c r="W31" s="49">
        <f t="shared" si="11"/>
        <v>0.4883895131</v>
      </c>
      <c r="X31" s="49">
        <f t="shared" si="12"/>
        <v>0.4898876404</v>
      </c>
      <c r="Y31" s="49">
        <f t="shared" si="13"/>
        <v>0.02172284644</v>
      </c>
      <c r="Z31" s="32" t="str">
        <f t="shared" si="14"/>
        <v>Milton</v>
      </c>
      <c r="AA31" s="50" t="s">
        <v>77</v>
      </c>
      <c r="AB31" s="38">
        <v>2567.0</v>
      </c>
      <c r="AC31" s="48">
        <f t="shared" si="17"/>
        <v>1148</v>
      </c>
      <c r="AD31" s="51">
        <f t="shared" si="16"/>
        <v>0.5527853526</v>
      </c>
    </row>
    <row r="32">
      <c r="A32" s="61" t="s">
        <v>104</v>
      </c>
      <c r="B32" s="46" t="s">
        <v>352</v>
      </c>
      <c r="C32" s="47"/>
      <c r="D32" s="38">
        <v>2874.0</v>
      </c>
      <c r="E32" s="38">
        <v>2617.0</v>
      </c>
      <c r="F32" s="38">
        <v>473.0</v>
      </c>
      <c r="G32" s="38">
        <v>142.0</v>
      </c>
      <c r="H32" s="38">
        <v>129.0</v>
      </c>
      <c r="I32" s="48">
        <f t="shared" si="3"/>
        <v>5964</v>
      </c>
      <c r="J32" s="48">
        <f t="shared" si="4"/>
        <v>6235</v>
      </c>
      <c r="K32" s="49">
        <f t="shared" si="5"/>
        <v>0.4818913481</v>
      </c>
      <c r="L32" s="49">
        <f t="shared" si="6"/>
        <v>0.4387994634</v>
      </c>
      <c r="M32" s="49">
        <f t="shared" si="7"/>
        <v>0.07930918846</v>
      </c>
      <c r="N32" s="32" t="str">
        <f t="shared" si="8"/>
        <v>Jânio</v>
      </c>
      <c r="O32" s="50" t="s">
        <v>77</v>
      </c>
      <c r="P32" s="38">
        <v>2746.0</v>
      </c>
      <c r="Q32" s="38">
        <v>2855.0</v>
      </c>
      <c r="R32" s="38">
        <v>208.0</v>
      </c>
      <c r="S32" s="38">
        <v>330.0</v>
      </c>
      <c r="T32" s="38">
        <v>96.0</v>
      </c>
      <c r="U32" s="48">
        <f t="shared" si="9"/>
        <v>5809</v>
      </c>
      <c r="V32" s="48">
        <f t="shared" si="10"/>
        <v>6235</v>
      </c>
      <c r="W32" s="49">
        <f t="shared" si="11"/>
        <v>0.472714753</v>
      </c>
      <c r="X32" s="49">
        <f t="shared" si="12"/>
        <v>0.4914787399</v>
      </c>
      <c r="Y32" s="49">
        <f t="shared" si="13"/>
        <v>0.03580650714</v>
      </c>
      <c r="Z32" s="32" t="str">
        <f t="shared" si="14"/>
        <v>Milton</v>
      </c>
      <c r="AA32" s="50" t="s">
        <v>77</v>
      </c>
      <c r="AB32" s="38">
        <v>9771.0</v>
      </c>
      <c r="AC32" s="48">
        <f t="shared" si="17"/>
        <v>3536</v>
      </c>
      <c r="AD32" s="51">
        <f t="shared" si="16"/>
        <v>0.6381127827</v>
      </c>
    </row>
    <row r="33">
      <c r="A33" s="23"/>
      <c r="B33" s="46" t="s">
        <v>353</v>
      </c>
      <c r="C33" s="47"/>
      <c r="D33" s="38">
        <v>206.0</v>
      </c>
      <c r="E33" s="38">
        <v>505.0</v>
      </c>
      <c r="F33" s="38">
        <v>85.0</v>
      </c>
      <c r="G33" s="38">
        <v>46.0</v>
      </c>
      <c r="H33" s="38">
        <v>32.0</v>
      </c>
      <c r="I33" s="48">
        <f t="shared" si="3"/>
        <v>796</v>
      </c>
      <c r="J33" s="48">
        <f t="shared" si="4"/>
        <v>874</v>
      </c>
      <c r="K33" s="49">
        <f t="shared" si="5"/>
        <v>0.2587939698</v>
      </c>
      <c r="L33" s="49">
        <f t="shared" si="6"/>
        <v>0.6344221106</v>
      </c>
      <c r="M33" s="49">
        <f t="shared" si="7"/>
        <v>0.1067839196</v>
      </c>
      <c r="N33" s="32" t="str">
        <f t="shared" si="8"/>
        <v>Mal. Lott</v>
      </c>
      <c r="O33" s="50" t="s">
        <v>77</v>
      </c>
      <c r="P33" s="38">
        <v>583.0</v>
      </c>
      <c r="Q33" s="38">
        <v>175.0</v>
      </c>
      <c r="R33" s="38">
        <v>40.0</v>
      </c>
      <c r="S33" s="38">
        <v>42.0</v>
      </c>
      <c r="T33" s="38">
        <v>34.0</v>
      </c>
      <c r="U33" s="48">
        <f t="shared" si="9"/>
        <v>798</v>
      </c>
      <c r="V33" s="48">
        <f t="shared" si="10"/>
        <v>874</v>
      </c>
      <c r="W33" s="49">
        <f t="shared" si="11"/>
        <v>0.7305764411</v>
      </c>
      <c r="X33" s="49">
        <f t="shared" si="12"/>
        <v>0.2192982456</v>
      </c>
      <c r="Y33" s="49">
        <f t="shared" si="13"/>
        <v>0.05012531328</v>
      </c>
      <c r="Z33" s="32" t="str">
        <f t="shared" si="14"/>
        <v>Jango</v>
      </c>
      <c r="AA33" s="50" t="s">
        <v>77</v>
      </c>
      <c r="AB33" s="38">
        <v>1819.0</v>
      </c>
      <c r="AC33" s="48">
        <f t="shared" si="17"/>
        <v>945</v>
      </c>
      <c r="AD33" s="51">
        <f t="shared" si="16"/>
        <v>0.4804837823</v>
      </c>
    </row>
    <row r="34">
      <c r="A34" s="24"/>
      <c r="B34" s="46" t="s">
        <v>354</v>
      </c>
      <c r="C34" s="47"/>
      <c r="D34" s="38">
        <v>108.0</v>
      </c>
      <c r="E34" s="38">
        <v>430.0</v>
      </c>
      <c r="F34" s="38">
        <v>31.0</v>
      </c>
      <c r="G34" s="38">
        <v>9.0</v>
      </c>
      <c r="H34" s="38">
        <v>17.0</v>
      </c>
      <c r="I34" s="48">
        <f t="shared" si="3"/>
        <v>569</v>
      </c>
      <c r="J34" s="48">
        <f t="shared" si="4"/>
        <v>595</v>
      </c>
      <c r="K34" s="49">
        <f t="shared" si="5"/>
        <v>0.1898066784</v>
      </c>
      <c r="L34" s="49">
        <f t="shared" si="6"/>
        <v>0.755711775</v>
      </c>
      <c r="M34" s="49">
        <f t="shared" si="7"/>
        <v>0.05448154657</v>
      </c>
      <c r="N34" s="32" t="str">
        <f t="shared" si="8"/>
        <v>Mal. Lott</v>
      </c>
      <c r="O34" s="50" t="s">
        <v>77</v>
      </c>
      <c r="P34" s="38">
        <v>442.0</v>
      </c>
      <c r="Q34" s="38">
        <v>112.0</v>
      </c>
      <c r="R34" s="38">
        <v>13.0</v>
      </c>
      <c r="S34" s="38">
        <v>18.0</v>
      </c>
      <c r="T34" s="38">
        <v>10.0</v>
      </c>
      <c r="U34" s="48">
        <f t="shared" si="9"/>
        <v>567</v>
      </c>
      <c r="V34" s="48">
        <f t="shared" si="10"/>
        <v>595</v>
      </c>
      <c r="W34" s="49">
        <f t="shared" si="11"/>
        <v>0.7795414462</v>
      </c>
      <c r="X34" s="49">
        <f t="shared" si="12"/>
        <v>0.1975308642</v>
      </c>
      <c r="Y34" s="49">
        <f t="shared" si="13"/>
        <v>0.02292768959</v>
      </c>
      <c r="Z34" s="32" t="str">
        <f t="shared" si="14"/>
        <v>Jango</v>
      </c>
      <c r="AA34" s="50" t="s">
        <v>77</v>
      </c>
      <c r="AB34" s="38">
        <v>824.0</v>
      </c>
      <c r="AC34" s="48">
        <f t="shared" si="17"/>
        <v>229</v>
      </c>
      <c r="AD34" s="51">
        <f t="shared" si="16"/>
        <v>0.7220873786</v>
      </c>
    </row>
    <row r="35">
      <c r="A35" s="45" t="s">
        <v>107</v>
      </c>
      <c r="B35" s="46" t="s">
        <v>355</v>
      </c>
      <c r="C35" s="47"/>
      <c r="D35" s="38">
        <v>1266.0</v>
      </c>
      <c r="E35" s="38">
        <v>1522.0</v>
      </c>
      <c r="F35" s="38">
        <v>229.0</v>
      </c>
      <c r="G35" s="38">
        <v>139.0</v>
      </c>
      <c r="H35" s="38">
        <v>259.0</v>
      </c>
      <c r="I35" s="48">
        <f t="shared" si="3"/>
        <v>3017</v>
      </c>
      <c r="J35" s="48">
        <f t="shared" si="4"/>
        <v>3415</v>
      </c>
      <c r="K35" s="49">
        <f t="shared" si="5"/>
        <v>0.4196221412</v>
      </c>
      <c r="L35" s="49">
        <f t="shared" si="6"/>
        <v>0.5044746437</v>
      </c>
      <c r="M35" s="49">
        <f t="shared" si="7"/>
        <v>0.07590321511</v>
      </c>
      <c r="N35" s="32" t="str">
        <f t="shared" si="8"/>
        <v>Mal. Lott</v>
      </c>
      <c r="O35" s="50" t="s">
        <v>77</v>
      </c>
      <c r="P35" s="38">
        <v>1591.0</v>
      </c>
      <c r="Q35" s="38">
        <v>830.0</v>
      </c>
      <c r="R35" s="38">
        <v>547.0</v>
      </c>
      <c r="S35" s="38">
        <v>270.0</v>
      </c>
      <c r="T35" s="38">
        <v>177.0</v>
      </c>
      <c r="U35" s="48">
        <f t="shared" si="9"/>
        <v>2968</v>
      </c>
      <c r="V35" s="48">
        <f t="shared" si="10"/>
        <v>3415</v>
      </c>
      <c r="W35" s="49">
        <f t="shared" si="11"/>
        <v>0.5360512129</v>
      </c>
      <c r="X35" s="49">
        <f t="shared" si="12"/>
        <v>0.2796495957</v>
      </c>
      <c r="Y35" s="49">
        <f t="shared" si="13"/>
        <v>0.1842991914</v>
      </c>
      <c r="Z35" s="32" t="str">
        <f t="shared" si="14"/>
        <v>Jango</v>
      </c>
      <c r="AA35" s="50" t="s">
        <v>77</v>
      </c>
      <c r="AB35" s="38">
        <v>4845.0</v>
      </c>
      <c r="AC35" s="48">
        <f t="shared" si="17"/>
        <v>1430</v>
      </c>
      <c r="AD35" s="51">
        <f t="shared" si="16"/>
        <v>0.7048503612</v>
      </c>
    </row>
    <row r="36">
      <c r="A36" s="45" t="s">
        <v>111</v>
      </c>
      <c r="B36" s="46" t="s">
        <v>356</v>
      </c>
      <c r="C36" s="47"/>
      <c r="D36" s="38">
        <v>1204.0</v>
      </c>
      <c r="E36" s="38">
        <v>2385.0</v>
      </c>
      <c r="F36" s="38">
        <v>331.0</v>
      </c>
      <c r="G36" s="38">
        <v>220.0</v>
      </c>
      <c r="H36" s="38">
        <v>219.0</v>
      </c>
      <c r="I36" s="48">
        <f t="shared" si="3"/>
        <v>3920</v>
      </c>
      <c r="J36" s="48">
        <f t="shared" si="4"/>
        <v>4359</v>
      </c>
      <c r="K36" s="49">
        <f t="shared" si="5"/>
        <v>0.3071428571</v>
      </c>
      <c r="L36" s="49">
        <f t="shared" si="6"/>
        <v>0.6084183673</v>
      </c>
      <c r="M36" s="49">
        <f t="shared" si="7"/>
        <v>0.08443877551</v>
      </c>
      <c r="N36" s="32" t="str">
        <f t="shared" si="8"/>
        <v>Mal. Lott</v>
      </c>
      <c r="O36" s="50" t="s">
        <v>77</v>
      </c>
      <c r="P36" s="38">
        <v>2700.0</v>
      </c>
      <c r="Q36" s="38">
        <v>846.0</v>
      </c>
      <c r="R36" s="38">
        <v>281.0</v>
      </c>
      <c r="S36" s="38">
        <v>374.0</v>
      </c>
      <c r="T36" s="38">
        <v>158.0</v>
      </c>
      <c r="U36" s="48">
        <f t="shared" si="9"/>
        <v>3827</v>
      </c>
      <c r="V36" s="48">
        <f t="shared" si="10"/>
        <v>4359</v>
      </c>
      <c r="W36" s="49">
        <f t="shared" si="11"/>
        <v>0.705513457</v>
      </c>
      <c r="X36" s="49">
        <f t="shared" si="12"/>
        <v>0.2210608832</v>
      </c>
      <c r="Y36" s="49">
        <f t="shared" si="13"/>
        <v>0.07342565979</v>
      </c>
      <c r="Z36" s="32" t="str">
        <f t="shared" si="14"/>
        <v>Jango</v>
      </c>
      <c r="AA36" s="50" t="s">
        <v>77</v>
      </c>
      <c r="AB36" s="38">
        <v>6273.0</v>
      </c>
      <c r="AC36" s="48">
        <f t="shared" si="17"/>
        <v>1914</v>
      </c>
      <c r="AD36" s="51">
        <f t="shared" si="16"/>
        <v>0.6948828312</v>
      </c>
    </row>
    <row r="37">
      <c r="A37" s="61" t="s">
        <v>114</v>
      </c>
      <c r="B37" s="46" t="s">
        <v>357</v>
      </c>
      <c r="C37" s="47"/>
      <c r="D37" s="38">
        <v>1241.0</v>
      </c>
      <c r="E37" s="38">
        <v>1385.0</v>
      </c>
      <c r="F37" s="38">
        <v>89.0</v>
      </c>
      <c r="G37" s="38">
        <v>100.0</v>
      </c>
      <c r="H37" s="38">
        <v>130.0</v>
      </c>
      <c r="I37" s="48">
        <f t="shared" si="3"/>
        <v>2715</v>
      </c>
      <c r="J37" s="48">
        <f t="shared" si="4"/>
        <v>2945</v>
      </c>
      <c r="K37" s="49">
        <f t="shared" si="5"/>
        <v>0.4570902394</v>
      </c>
      <c r="L37" s="49">
        <f t="shared" si="6"/>
        <v>0.5101289134</v>
      </c>
      <c r="M37" s="49">
        <f t="shared" si="7"/>
        <v>0.03278084715</v>
      </c>
      <c r="N37" s="32" t="str">
        <f t="shared" si="8"/>
        <v>Mal. Lott</v>
      </c>
      <c r="O37" s="50" t="s">
        <v>77</v>
      </c>
      <c r="P37" s="38">
        <v>1383.0</v>
      </c>
      <c r="Q37" s="38">
        <v>1233.0</v>
      </c>
      <c r="R37" s="38">
        <v>92.0</v>
      </c>
      <c r="S37" s="38">
        <v>134.0</v>
      </c>
      <c r="T37" s="38">
        <v>103.0</v>
      </c>
      <c r="U37" s="48">
        <f t="shared" si="9"/>
        <v>2708</v>
      </c>
      <c r="V37" s="48">
        <f t="shared" si="10"/>
        <v>2945</v>
      </c>
      <c r="W37" s="49">
        <f t="shared" si="11"/>
        <v>0.5107090103</v>
      </c>
      <c r="X37" s="49">
        <f t="shared" si="12"/>
        <v>0.4553175775</v>
      </c>
      <c r="Y37" s="49">
        <f t="shared" si="13"/>
        <v>0.03397341211</v>
      </c>
      <c r="Z37" s="32" t="str">
        <f t="shared" si="14"/>
        <v>Jango</v>
      </c>
      <c r="AA37" s="50" t="s">
        <v>77</v>
      </c>
      <c r="AB37" s="38">
        <v>7975.0</v>
      </c>
      <c r="AC37" s="48">
        <f t="shared" si="17"/>
        <v>5030</v>
      </c>
      <c r="AD37" s="51">
        <f t="shared" si="16"/>
        <v>0.3692789969</v>
      </c>
    </row>
    <row r="38">
      <c r="A38" s="24"/>
      <c r="B38" s="46" t="s">
        <v>358</v>
      </c>
      <c r="C38" s="47"/>
      <c r="D38" s="38">
        <v>329.0</v>
      </c>
      <c r="E38" s="38">
        <v>330.0</v>
      </c>
      <c r="F38" s="38">
        <v>45.0</v>
      </c>
      <c r="G38" s="38">
        <v>45.0</v>
      </c>
      <c r="H38" s="38">
        <v>59.0</v>
      </c>
      <c r="I38" s="48">
        <f t="shared" si="3"/>
        <v>704</v>
      </c>
      <c r="J38" s="48">
        <f t="shared" si="4"/>
        <v>808</v>
      </c>
      <c r="K38" s="49">
        <f t="shared" si="5"/>
        <v>0.4673295455</v>
      </c>
      <c r="L38" s="49">
        <f t="shared" si="6"/>
        <v>0.46875</v>
      </c>
      <c r="M38" s="49">
        <f t="shared" si="7"/>
        <v>0.06392045455</v>
      </c>
      <c r="N38" s="32" t="str">
        <f t="shared" si="8"/>
        <v>Mal. Lott</v>
      </c>
      <c r="O38" s="50" t="s">
        <v>77</v>
      </c>
      <c r="P38" s="38">
        <v>325.0</v>
      </c>
      <c r="Q38" s="38">
        <v>279.0</v>
      </c>
      <c r="R38" s="38">
        <v>74.0</v>
      </c>
      <c r="S38" s="38">
        <v>56.0</v>
      </c>
      <c r="T38" s="38">
        <v>74.0</v>
      </c>
      <c r="U38" s="48">
        <f t="shared" si="9"/>
        <v>678</v>
      </c>
      <c r="V38" s="48">
        <f t="shared" si="10"/>
        <v>808</v>
      </c>
      <c r="W38" s="49">
        <f t="shared" si="11"/>
        <v>0.4793510324</v>
      </c>
      <c r="X38" s="49">
        <f t="shared" si="12"/>
        <v>0.4115044248</v>
      </c>
      <c r="Y38" s="49">
        <f t="shared" si="13"/>
        <v>0.1091445428</v>
      </c>
      <c r="Z38" s="32" t="str">
        <f t="shared" si="14"/>
        <v>Jango</v>
      </c>
      <c r="AA38" s="50" t="s">
        <v>77</v>
      </c>
      <c r="AB38" s="38">
        <v>1947.0</v>
      </c>
      <c r="AC38" s="48">
        <f t="shared" si="17"/>
        <v>1139</v>
      </c>
      <c r="AD38" s="51">
        <f t="shared" si="16"/>
        <v>0.4149974319</v>
      </c>
    </row>
    <row r="39">
      <c r="A39" s="45" t="s">
        <v>117</v>
      </c>
      <c r="B39" s="46" t="s">
        <v>359</v>
      </c>
      <c r="C39" s="47"/>
      <c r="D39" s="38">
        <v>264.0</v>
      </c>
      <c r="E39" s="38">
        <v>721.0</v>
      </c>
      <c r="F39" s="38">
        <v>40.0</v>
      </c>
      <c r="G39" s="38">
        <v>33.0</v>
      </c>
      <c r="H39" s="38">
        <v>35.0</v>
      </c>
      <c r="I39" s="48">
        <f t="shared" si="3"/>
        <v>1025</v>
      </c>
      <c r="J39" s="48">
        <f t="shared" si="4"/>
        <v>1093</v>
      </c>
      <c r="K39" s="49">
        <f t="shared" si="5"/>
        <v>0.2575609756</v>
      </c>
      <c r="L39" s="49">
        <f t="shared" si="6"/>
        <v>0.7034146341</v>
      </c>
      <c r="M39" s="49">
        <f t="shared" si="7"/>
        <v>0.03902439024</v>
      </c>
      <c r="N39" s="32" t="str">
        <f t="shared" si="8"/>
        <v>Mal. Lott</v>
      </c>
      <c r="O39" s="50" t="s">
        <v>77</v>
      </c>
      <c r="P39" s="38">
        <v>724.0</v>
      </c>
      <c r="Q39" s="38">
        <v>233.0</v>
      </c>
      <c r="R39" s="38">
        <v>65.0</v>
      </c>
      <c r="S39" s="38">
        <v>50.0</v>
      </c>
      <c r="T39" s="38">
        <v>21.0</v>
      </c>
      <c r="U39" s="48">
        <f t="shared" si="9"/>
        <v>1022</v>
      </c>
      <c r="V39" s="48">
        <f t="shared" si="10"/>
        <v>1093</v>
      </c>
      <c r="W39" s="49">
        <f t="shared" si="11"/>
        <v>0.7084148728</v>
      </c>
      <c r="X39" s="49">
        <f t="shared" si="12"/>
        <v>0.2279843444</v>
      </c>
      <c r="Y39" s="49">
        <f t="shared" si="13"/>
        <v>0.06360078278</v>
      </c>
      <c r="Z39" s="32" t="str">
        <f t="shared" si="14"/>
        <v>Jango</v>
      </c>
      <c r="AA39" s="50" t="s">
        <v>77</v>
      </c>
      <c r="AB39" s="38">
        <v>1705.0</v>
      </c>
      <c r="AC39" s="48">
        <f t="shared" si="17"/>
        <v>612</v>
      </c>
      <c r="AD39" s="51">
        <f t="shared" si="16"/>
        <v>0.6410557185</v>
      </c>
    </row>
    <row r="40">
      <c r="A40" s="61" t="s">
        <v>119</v>
      </c>
      <c r="B40" s="46" t="s">
        <v>360</v>
      </c>
      <c r="C40" s="47"/>
      <c r="D40" s="38">
        <v>330.0</v>
      </c>
      <c r="E40" s="38">
        <v>346.0</v>
      </c>
      <c r="F40" s="38">
        <v>40.0</v>
      </c>
      <c r="G40" s="38">
        <v>33.0</v>
      </c>
      <c r="H40" s="38">
        <v>30.0</v>
      </c>
      <c r="I40" s="48">
        <f t="shared" si="3"/>
        <v>716</v>
      </c>
      <c r="J40" s="48">
        <f t="shared" si="4"/>
        <v>779</v>
      </c>
      <c r="K40" s="49">
        <f t="shared" si="5"/>
        <v>0.4608938547</v>
      </c>
      <c r="L40" s="49">
        <f t="shared" si="6"/>
        <v>0.4832402235</v>
      </c>
      <c r="M40" s="49">
        <f t="shared" si="7"/>
        <v>0.05586592179</v>
      </c>
      <c r="N40" s="32" t="str">
        <f t="shared" si="8"/>
        <v>Mal. Lott</v>
      </c>
      <c r="O40" s="50" t="s">
        <v>77</v>
      </c>
      <c r="P40" s="38">
        <v>359.0</v>
      </c>
      <c r="Q40" s="38">
        <v>309.0</v>
      </c>
      <c r="R40" s="38">
        <v>29.0</v>
      </c>
      <c r="S40" s="38">
        <v>53.0</v>
      </c>
      <c r="T40" s="38">
        <v>29.0</v>
      </c>
      <c r="U40" s="48">
        <f t="shared" si="9"/>
        <v>697</v>
      </c>
      <c r="V40" s="48">
        <f t="shared" si="10"/>
        <v>779</v>
      </c>
      <c r="W40" s="49">
        <f t="shared" si="11"/>
        <v>0.5150645624</v>
      </c>
      <c r="X40" s="49">
        <f t="shared" si="12"/>
        <v>0.4433285509</v>
      </c>
      <c r="Y40" s="49">
        <f t="shared" si="13"/>
        <v>0.04160688666</v>
      </c>
      <c r="Z40" s="32" t="str">
        <f t="shared" si="14"/>
        <v>Jango</v>
      </c>
      <c r="AA40" s="50" t="s">
        <v>77</v>
      </c>
      <c r="AB40" s="38">
        <v>1820.0</v>
      </c>
      <c r="AC40" s="48">
        <f t="shared" si="17"/>
        <v>1041</v>
      </c>
      <c r="AD40" s="51">
        <f t="shared" si="16"/>
        <v>0.428021978</v>
      </c>
    </row>
    <row r="41">
      <c r="A41" s="24"/>
      <c r="B41" s="46" t="s">
        <v>361</v>
      </c>
      <c r="C41" s="47"/>
      <c r="D41" s="38">
        <v>134.0</v>
      </c>
      <c r="E41" s="38">
        <v>245.0</v>
      </c>
      <c r="F41" s="38">
        <v>16.0</v>
      </c>
      <c r="G41" s="38">
        <v>11.0</v>
      </c>
      <c r="H41" s="38">
        <v>27.0</v>
      </c>
      <c r="I41" s="48">
        <f t="shared" si="3"/>
        <v>395</v>
      </c>
      <c r="J41" s="48">
        <f t="shared" si="4"/>
        <v>433</v>
      </c>
      <c r="K41" s="49">
        <f t="shared" si="5"/>
        <v>0.3392405063</v>
      </c>
      <c r="L41" s="49">
        <f t="shared" si="6"/>
        <v>0.6202531646</v>
      </c>
      <c r="M41" s="49">
        <f t="shared" si="7"/>
        <v>0.04050632911</v>
      </c>
      <c r="N41" s="32" t="str">
        <f t="shared" si="8"/>
        <v>Mal. Lott</v>
      </c>
      <c r="O41" s="50" t="s">
        <v>77</v>
      </c>
      <c r="P41" s="38">
        <v>286.0</v>
      </c>
      <c r="Q41" s="38">
        <v>81.0</v>
      </c>
      <c r="R41" s="38">
        <v>26.0</v>
      </c>
      <c r="S41" s="38">
        <v>14.0</v>
      </c>
      <c r="T41" s="38">
        <v>26.0</v>
      </c>
      <c r="U41" s="48">
        <f t="shared" si="9"/>
        <v>393</v>
      </c>
      <c r="V41" s="48">
        <f t="shared" si="10"/>
        <v>433</v>
      </c>
      <c r="W41" s="49">
        <f t="shared" si="11"/>
        <v>0.727735369</v>
      </c>
      <c r="X41" s="49">
        <f t="shared" si="12"/>
        <v>0.2061068702</v>
      </c>
      <c r="Y41" s="49">
        <f t="shared" si="13"/>
        <v>0.06615776081</v>
      </c>
      <c r="Z41" s="32" t="str">
        <f t="shared" si="14"/>
        <v>Jango</v>
      </c>
      <c r="AA41" s="50" t="s">
        <v>77</v>
      </c>
      <c r="AB41" s="38">
        <v>1397.0</v>
      </c>
      <c r="AC41" s="48">
        <f t="shared" si="17"/>
        <v>964</v>
      </c>
      <c r="AD41" s="51">
        <f t="shared" si="16"/>
        <v>0.3099498926</v>
      </c>
    </row>
    <row r="42">
      <c r="A42" s="45" t="s">
        <v>123</v>
      </c>
      <c r="B42" s="46" t="s">
        <v>362</v>
      </c>
      <c r="C42" s="47"/>
      <c r="D42" s="38">
        <v>1156.0</v>
      </c>
      <c r="E42" s="38">
        <v>688.0</v>
      </c>
      <c r="F42" s="38">
        <v>52.0</v>
      </c>
      <c r="G42" s="38">
        <v>79.0</v>
      </c>
      <c r="H42" s="38">
        <v>118.0</v>
      </c>
      <c r="I42" s="48">
        <f t="shared" si="3"/>
        <v>1896</v>
      </c>
      <c r="J42" s="48">
        <f t="shared" si="4"/>
        <v>2093</v>
      </c>
      <c r="K42" s="49">
        <f t="shared" si="5"/>
        <v>0.6097046414</v>
      </c>
      <c r="L42" s="49">
        <f t="shared" si="6"/>
        <v>0.3628691983</v>
      </c>
      <c r="M42" s="49">
        <f t="shared" si="7"/>
        <v>0.02742616034</v>
      </c>
      <c r="N42" s="32" t="str">
        <f t="shared" si="8"/>
        <v>Jânio</v>
      </c>
      <c r="O42" s="50" t="s">
        <v>77</v>
      </c>
      <c r="P42" s="38">
        <v>678.0</v>
      </c>
      <c r="Q42" s="38">
        <v>1103.0</v>
      </c>
      <c r="R42" s="38">
        <v>94.0</v>
      </c>
      <c r="S42" s="38">
        <v>107.0</v>
      </c>
      <c r="T42" s="38">
        <v>111.0</v>
      </c>
      <c r="U42" s="48">
        <f t="shared" si="9"/>
        <v>1875</v>
      </c>
      <c r="V42" s="48">
        <f t="shared" si="10"/>
        <v>2093</v>
      </c>
      <c r="W42" s="49">
        <f t="shared" si="11"/>
        <v>0.3616</v>
      </c>
      <c r="X42" s="49">
        <f t="shared" si="12"/>
        <v>0.5882666667</v>
      </c>
      <c r="Y42" s="49">
        <f t="shared" si="13"/>
        <v>0.05013333333</v>
      </c>
      <c r="Z42" s="32" t="str">
        <f t="shared" si="14"/>
        <v>Milton</v>
      </c>
      <c r="AA42" s="50" t="s">
        <v>77</v>
      </c>
      <c r="AB42" s="38">
        <v>4690.0</v>
      </c>
      <c r="AC42" s="48">
        <f t="shared" si="17"/>
        <v>2597</v>
      </c>
      <c r="AD42" s="51">
        <f t="shared" si="16"/>
        <v>0.4462686567</v>
      </c>
    </row>
    <row r="43">
      <c r="A43" s="61" t="s">
        <v>125</v>
      </c>
      <c r="B43" s="46" t="s">
        <v>363</v>
      </c>
      <c r="C43" s="47"/>
      <c r="D43" s="38">
        <v>960.0</v>
      </c>
      <c r="E43" s="38">
        <v>340.0</v>
      </c>
      <c r="F43" s="38">
        <v>43.0</v>
      </c>
      <c r="G43" s="38">
        <v>64.0</v>
      </c>
      <c r="H43" s="38">
        <v>22.0</v>
      </c>
      <c r="I43" s="48">
        <f t="shared" si="3"/>
        <v>1343</v>
      </c>
      <c r="J43" s="48">
        <f t="shared" si="4"/>
        <v>1429</v>
      </c>
      <c r="K43" s="49">
        <f t="shared" si="5"/>
        <v>0.7148175726</v>
      </c>
      <c r="L43" s="49">
        <f t="shared" si="6"/>
        <v>0.253164557</v>
      </c>
      <c r="M43" s="49">
        <f t="shared" si="7"/>
        <v>0.03201787044</v>
      </c>
      <c r="N43" s="32" t="str">
        <f t="shared" si="8"/>
        <v>Jânio</v>
      </c>
      <c r="O43" s="50" t="s">
        <v>77</v>
      </c>
      <c r="P43" s="38">
        <v>328.0</v>
      </c>
      <c r="Q43" s="38">
        <v>911.0</v>
      </c>
      <c r="R43" s="38">
        <v>87.0</v>
      </c>
      <c r="S43" s="38">
        <v>91.0</v>
      </c>
      <c r="T43" s="38">
        <v>12.0</v>
      </c>
      <c r="U43" s="48">
        <f t="shared" si="9"/>
        <v>1326</v>
      </c>
      <c r="V43" s="48">
        <f t="shared" si="10"/>
        <v>1429</v>
      </c>
      <c r="W43" s="49">
        <f t="shared" si="11"/>
        <v>0.2473604827</v>
      </c>
      <c r="X43" s="49">
        <f t="shared" si="12"/>
        <v>0.6870286576</v>
      </c>
      <c r="Y43" s="49">
        <f t="shared" si="13"/>
        <v>0.06561085973</v>
      </c>
      <c r="Z43" s="32" t="str">
        <f t="shared" si="14"/>
        <v>Milton</v>
      </c>
      <c r="AA43" s="50" t="s">
        <v>77</v>
      </c>
      <c r="AB43" s="38">
        <v>2631.0</v>
      </c>
      <c r="AC43" s="48">
        <f t="shared" si="17"/>
        <v>1202</v>
      </c>
      <c r="AD43" s="51">
        <f t="shared" si="16"/>
        <v>0.5431394907</v>
      </c>
    </row>
    <row r="44">
      <c r="A44" s="24"/>
      <c r="B44" s="46" t="s">
        <v>364</v>
      </c>
      <c r="C44" s="47"/>
      <c r="D44" s="38">
        <v>263.0</v>
      </c>
      <c r="E44" s="38">
        <v>306.0</v>
      </c>
      <c r="F44" s="38">
        <v>20.0</v>
      </c>
      <c r="G44" s="38">
        <v>20.0</v>
      </c>
      <c r="H44" s="38">
        <v>8.0</v>
      </c>
      <c r="I44" s="48">
        <f t="shared" si="3"/>
        <v>589</v>
      </c>
      <c r="J44" s="48">
        <f t="shared" si="4"/>
        <v>617</v>
      </c>
      <c r="K44" s="49">
        <f t="shared" si="5"/>
        <v>0.4465195246</v>
      </c>
      <c r="L44" s="49">
        <f t="shared" si="6"/>
        <v>0.519524618</v>
      </c>
      <c r="M44" s="49">
        <f t="shared" si="7"/>
        <v>0.03395585739</v>
      </c>
      <c r="N44" s="32" t="str">
        <f t="shared" si="8"/>
        <v>Mal. Lott</v>
      </c>
      <c r="O44" s="50" t="s">
        <v>77</v>
      </c>
      <c r="P44" s="38">
        <v>200.0</v>
      </c>
      <c r="Q44" s="38">
        <v>261.0</v>
      </c>
      <c r="R44" s="38">
        <v>120.0</v>
      </c>
      <c r="S44" s="38">
        <v>30.0</v>
      </c>
      <c r="T44" s="38">
        <v>6.0</v>
      </c>
      <c r="U44" s="48">
        <f t="shared" si="9"/>
        <v>581</v>
      </c>
      <c r="V44" s="48">
        <f t="shared" si="10"/>
        <v>617</v>
      </c>
      <c r="W44" s="49">
        <f t="shared" si="11"/>
        <v>0.3442340792</v>
      </c>
      <c r="X44" s="49">
        <f t="shared" si="12"/>
        <v>0.4492254733</v>
      </c>
      <c r="Y44" s="49">
        <f t="shared" si="13"/>
        <v>0.2065404475</v>
      </c>
      <c r="Z44" s="32" t="str">
        <f t="shared" si="14"/>
        <v>Milton</v>
      </c>
      <c r="AA44" s="50" t="s">
        <v>77</v>
      </c>
      <c r="AB44" s="38">
        <v>1126.0</v>
      </c>
      <c r="AC44" s="48">
        <f t="shared" si="17"/>
        <v>509</v>
      </c>
      <c r="AD44" s="51">
        <f t="shared" si="16"/>
        <v>0.5479573712</v>
      </c>
    </row>
    <row r="45">
      <c r="A45" s="61" t="s">
        <v>127</v>
      </c>
      <c r="B45" s="46" t="s">
        <v>365</v>
      </c>
      <c r="C45" s="47"/>
      <c r="D45" s="38">
        <v>1226.0</v>
      </c>
      <c r="E45" s="38">
        <v>1365.0</v>
      </c>
      <c r="F45" s="38">
        <v>119.0</v>
      </c>
      <c r="G45" s="38">
        <v>67.0</v>
      </c>
      <c r="H45" s="38">
        <v>136.0</v>
      </c>
      <c r="I45" s="48">
        <f t="shared" si="3"/>
        <v>2710</v>
      </c>
      <c r="J45" s="48">
        <f t="shared" si="4"/>
        <v>2913</v>
      </c>
      <c r="K45" s="49">
        <f t="shared" si="5"/>
        <v>0.452398524</v>
      </c>
      <c r="L45" s="49">
        <f t="shared" si="6"/>
        <v>0.5036900369</v>
      </c>
      <c r="M45" s="49">
        <f t="shared" si="7"/>
        <v>0.04391143911</v>
      </c>
      <c r="N45" s="32" t="str">
        <f t="shared" si="8"/>
        <v>Mal. Lott</v>
      </c>
      <c r="O45" s="50" t="s">
        <v>77</v>
      </c>
      <c r="P45" s="38">
        <v>1248.0</v>
      </c>
      <c r="Q45" s="38">
        <v>1201.0</v>
      </c>
      <c r="R45" s="38">
        <v>175.0</v>
      </c>
      <c r="S45" s="38">
        <v>167.0</v>
      </c>
      <c r="T45" s="38">
        <v>122.0</v>
      </c>
      <c r="U45" s="48">
        <f t="shared" si="9"/>
        <v>2624</v>
      </c>
      <c r="V45" s="48">
        <f t="shared" si="10"/>
        <v>2913</v>
      </c>
      <c r="W45" s="49">
        <f t="shared" si="11"/>
        <v>0.4756097561</v>
      </c>
      <c r="X45" s="49">
        <f t="shared" si="12"/>
        <v>0.4576981707</v>
      </c>
      <c r="Y45" s="49">
        <f t="shared" si="13"/>
        <v>0.06669207317</v>
      </c>
      <c r="Z45" s="32" t="str">
        <f t="shared" si="14"/>
        <v>Jango</v>
      </c>
      <c r="AA45" s="50" t="s">
        <v>77</v>
      </c>
      <c r="AB45" s="38">
        <v>5837.0</v>
      </c>
      <c r="AC45" s="48">
        <f t="shared" si="17"/>
        <v>2924</v>
      </c>
      <c r="AD45" s="51">
        <f t="shared" si="16"/>
        <v>0.4990577351</v>
      </c>
    </row>
    <row r="46">
      <c r="A46" s="23"/>
      <c r="B46" s="46" t="s">
        <v>366</v>
      </c>
      <c r="C46" s="47"/>
      <c r="D46" s="38">
        <v>516.0</v>
      </c>
      <c r="E46" s="38">
        <v>667.0</v>
      </c>
      <c r="F46" s="38">
        <v>58.0</v>
      </c>
      <c r="G46" s="38">
        <v>25.0</v>
      </c>
      <c r="H46" s="38">
        <v>30.0</v>
      </c>
      <c r="I46" s="48">
        <f t="shared" si="3"/>
        <v>1241</v>
      </c>
      <c r="J46" s="48">
        <f t="shared" si="4"/>
        <v>1296</v>
      </c>
      <c r="K46" s="49">
        <f t="shared" si="5"/>
        <v>0.4157937147</v>
      </c>
      <c r="L46" s="49">
        <f t="shared" si="6"/>
        <v>0.5374697824</v>
      </c>
      <c r="M46" s="49">
        <f t="shared" si="7"/>
        <v>0.04673650282</v>
      </c>
      <c r="N46" s="32" t="str">
        <f t="shared" si="8"/>
        <v>Mal. Lott</v>
      </c>
      <c r="O46" s="50" t="s">
        <v>77</v>
      </c>
      <c r="P46" s="38">
        <v>720.0</v>
      </c>
      <c r="Q46" s="38">
        <v>126.0</v>
      </c>
      <c r="R46" s="38">
        <v>377.0</v>
      </c>
      <c r="S46" s="38">
        <v>41.0</v>
      </c>
      <c r="T46" s="38">
        <v>32.0</v>
      </c>
      <c r="U46" s="48">
        <f t="shared" si="9"/>
        <v>1223</v>
      </c>
      <c r="V46" s="48">
        <f t="shared" si="10"/>
        <v>1296</v>
      </c>
      <c r="W46" s="49">
        <f t="shared" si="11"/>
        <v>0.5887162715</v>
      </c>
      <c r="X46" s="49">
        <f t="shared" si="12"/>
        <v>0.1030253475</v>
      </c>
      <c r="Y46" s="49">
        <f t="shared" si="13"/>
        <v>0.308258381</v>
      </c>
      <c r="Z46" s="32" t="str">
        <f t="shared" si="14"/>
        <v>Jango</v>
      </c>
      <c r="AA46" s="50" t="s">
        <v>77</v>
      </c>
      <c r="AB46" s="38">
        <v>2450.0</v>
      </c>
      <c r="AC46" s="48">
        <f t="shared" si="17"/>
        <v>1154</v>
      </c>
      <c r="AD46" s="51">
        <f t="shared" si="16"/>
        <v>0.5289795918</v>
      </c>
    </row>
    <row r="47">
      <c r="A47" s="23"/>
      <c r="B47" s="46" t="s">
        <v>367</v>
      </c>
      <c r="C47" s="47"/>
      <c r="D47" s="38">
        <v>461.0</v>
      </c>
      <c r="E47" s="38">
        <v>180.0</v>
      </c>
      <c r="F47" s="38">
        <v>16.0</v>
      </c>
      <c r="G47" s="38">
        <v>7.0</v>
      </c>
      <c r="H47" s="38">
        <v>27.0</v>
      </c>
      <c r="I47" s="48">
        <f t="shared" si="3"/>
        <v>657</v>
      </c>
      <c r="J47" s="48">
        <f t="shared" si="4"/>
        <v>691</v>
      </c>
      <c r="K47" s="49">
        <f t="shared" si="5"/>
        <v>0.701674277</v>
      </c>
      <c r="L47" s="49">
        <f t="shared" si="6"/>
        <v>0.2739726027</v>
      </c>
      <c r="M47" s="49">
        <f t="shared" si="7"/>
        <v>0.02435312024</v>
      </c>
      <c r="N47" s="32" t="str">
        <f t="shared" si="8"/>
        <v>Jânio</v>
      </c>
      <c r="O47" s="50" t="s">
        <v>77</v>
      </c>
      <c r="P47" s="38">
        <v>154.0</v>
      </c>
      <c r="Q47" s="38">
        <v>448.0</v>
      </c>
      <c r="R47" s="38">
        <v>46.0</v>
      </c>
      <c r="S47" s="38">
        <v>24.0</v>
      </c>
      <c r="T47" s="38">
        <v>19.0</v>
      </c>
      <c r="U47" s="48">
        <f t="shared" si="9"/>
        <v>648</v>
      </c>
      <c r="V47" s="48">
        <f t="shared" si="10"/>
        <v>691</v>
      </c>
      <c r="W47" s="49">
        <f t="shared" si="11"/>
        <v>0.237654321</v>
      </c>
      <c r="X47" s="49">
        <f t="shared" si="12"/>
        <v>0.6913580247</v>
      </c>
      <c r="Y47" s="49">
        <f t="shared" si="13"/>
        <v>0.07098765432</v>
      </c>
      <c r="Z47" s="32" t="str">
        <f t="shared" si="14"/>
        <v>Milton</v>
      </c>
      <c r="AA47" s="50" t="s">
        <v>77</v>
      </c>
      <c r="AB47" s="38">
        <v>1112.0</v>
      </c>
      <c r="AC47" s="48">
        <f t="shared" si="17"/>
        <v>421</v>
      </c>
      <c r="AD47" s="51">
        <f t="shared" si="16"/>
        <v>0.6214028777</v>
      </c>
    </row>
    <row r="48">
      <c r="A48" s="23"/>
      <c r="B48" s="46" t="s">
        <v>368</v>
      </c>
      <c r="C48" s="47"/>
      <c r="D48" s="38">
        <v>182.0</v>
      </c>
      <c r="E48" s="38">
        <v>350.0</v>
      </c>
      <c r="F48" s="38">
        <v>31.0</v>
      </c>
      <c r="G48" s="38">
        <v>20.0</v>
      </c>
      <c r="H48" s="38">
        <v>12.0</v>
      </c>
      <c r="I48" s="48">
        <f t="shared" si="3"/>
        <v>563</v>
      </c>
      <c r="J48" s="48">
        <f t="shared" si="4"/>
        <v>595</v>
      </c>
      <c r="K48" s="49">
        <f t="shared" si="5"/>
        <v>0.323268206</v>
      </c>
      <c r="L48" s="49">
        <f t="shared" si="6"/>
        <v>0.621669627</v>
      </c>
      <c r="M48" s="49">
        <f t="shared" si="7"/>
        <v>0.05506216696</v>
      </c>
      <c r="N48" s="32" t="str">
        <f t="shared" si="8"/>
        <v>Mal. Lott</v>
      </c>
      <c r="O48" s="50" t="s">
        <v>77</v>
      </c>
      <c r="P48" s="38">
        <v>356.0</v>
      </c>
      <c r="Q48" s="38">
        <v>148.0</v>
      </c>
      <c r="R48" s="38">
        <v>31.0</v>
      </c>
      <c r="S48" s="38">
        <v>42.0</v>
      </c>
      <c r="T48" s="38">
        <v>18.0</v>
      </c>
      <c r="U48" s="48">
        <f t="shared" si="9"/>
        <v>535</v>
      </c>
      <c r="V48" s="48">
        <f t="shared" si="10"/>
        <v>595</v>
      </c>
      <c r="W48" s="49">
        <f t="shared" si="11"/>
        <v>0.6654205607</v>
      </c>
      <c r="X48" s="49">
        <f t="shared" si="12"/>
        <v>0.276635514</v>
      </c>
      <c r="Y48" s="49">
        <f t="shared" si="13"/>
        <v>0.05794392523</v>
      </c>
      <c r="Z48" s="32" t="str">
        <f t="shared" si="14"/>
        <v>Jango</v>
      </c>
      <c r="AA48" s="50" t="s">
        <v>77</v>
      </c>
      <c r="AB48" s="38">
        <v>2476.0</v>
      </c>
      <c r="AC48" s="48">
        <f t="shared" si="17"/>
        <v>1881</v>
      </c>
      <c r="AD48" s="51">
        <f t="shared" si="16"/>
        <v>0.2403069467</v>
      </c>
    </row>
    <row r="49">
      <c r="A49" s="24"/>
      <c r="B49" s="46" t="s">
        <v>369</v>
      </c>
      <c r="C49" s="47"/>
      <c r="D49" s="38">
        <v>235.0</v>
      </c>
      <c r="E49" s="38">
        <v>563.0</v>
      </c>
      <c r="F49" s="38">
        <v>57.0</v>
      </c>
      <c r="G49" s="38">
        <v>29.0</v>
      </c>
      <c r="H49" s="38">
        <v>43.0</v>
      </c>
      <c r="I49" s="48">
        <f t="shared" si="3"/>
        <v>855</v>
      </c>
      <c r="J49" s="48">
        <f t="shared" si="4"/>
        <v>927</v>
      </c>
      <c r="K49" s="49">
        <f t="shared" si="5"/>
        <v>0.2748538012</v>
      </c>
      <c r="L49" s="49">
        <f t="shared" si="6"/>
        <v>0.6584795322</v>
      </c>
      <c r="M49" s="49">
        <f t="shared" si="7"/>
        <v>0.06666666667</v>
      </c>
      <c r="N49" s="32" t="str">
        <f t="shared" si="8"/>
        <v>Mal. Lott</v>
      </c>
      <c r="O49" s="50" t="s">
        <v>77</v>
      </c>
      <c r="P49" s="38">
        <v>516.0</v>
      </c>
      <c r="Q49" s="38">
        <v>249.0</v>
      </c>
      <c r="R49" s="38">
        <v>77.0</v>
      </c>
      <c r="S49" s="38">
        <v>46.0</v>
      </c>
      <c r="T49" s="38">
        <v>39.0</v>
      </c>
      <c r="U49" s="48">
        <f t="shared" si="9"/>
        <v>842</v>
      </c>
      <c r="V49" s="48">
        <f t="shared" si="10"/>
        <v>927</v>
      </c>
      <c r="W49" s="49">
        <f t="shared" si="11"/>
        <v>0.6128266033</v>
      </c>
      <c r="X49" s="49">
        <f t="shared" si="12"/>
        <v>0.2957244656</v>
      </c>
      <c r="Y49" s="49">
        <f t="shared" si="13"/>
        <v>0.09144893112</v>
      </c>
      <c r="Z49" s="32" t="str">
        <f t="shared" si="14"/>
        <v>Jango</v>
      </c>
      <c r="AA49" s="50" t="s">
        <v>77</v>
      </c>
      <c r="AB49" s="38">
        <v>1934.0</v>
      </c>
      <c r="AC49" s="48">
        <f t="shared" si="17"/>
        <v>1007</v>
      </c>
      <c r="AD49" s="51">
        <f t="shared" si="16"/>
        <v>0.4793174767</v>
      </c>
    </row>
    <row r="50">
      <c r="A50" s="61" t="s">
        <v>129</v>
      </c>
      <c r="B50" s="46" t="s">
        <v>370</v>
      </c>
      <c r="C50" s="47"/>
      <c r="D50" s="38">
        <v>460.0</v>
      </c>
      <c r="E50" s="38">
        <v>1753.0</v>
      </c>
      <c r="F50" s="38">
        <v>180.0</v>
      </c>
      <c r="G50" s="38">
        <v>164.0</v>
      </c>
      <c r="H50" s="38">
        <v>161.0</v>
      </c>
      <c r="I50" s="48">
        <f t="shared" si="3"/>
        <v>2393</v>
      </c>
      <c r="J50" s="48">
        <f t="shared" si="4"/>
        <v>2718</v>
      </c>
      <c r="K50" s="49">
        <f t="shared" si="5"/>
        <v>0.1922273297</v>
      </c>
      <c r="L50" s="49">
        <f t="shared" si="6"/>
        <v>0.7325532804</v>
      </c>
      <c r="M50" s="49">
        <f t="shared" si="7"/>
        <v>0.07521938989</v>
      </c>
      <c r="N50" s="32" t="str">
        <f t="shared" si="8"/>
        <v>Mal. Lott</v>
      </c>
      <c r="O50" s="50" t="s">
        <v>77</v>
      </c>
      <c r="P50" s="38">
        <v>1395.0</v>
      </c>
      <c r="Q50" s="38">
        <v>853.0</v>
      </c>
      <c r="R50" s="38">
        <v>127.0</v>
      </c>
      <c r="S50" s="38">
        <v>207.0</v>
      </c>
      <c r="T50" s="38">
        <v>136.0</v>
      </c>
      <c r="U50" s="48">
        <f t="shared" si="9"/>
        <v>2375</v>
      </c>
      <c r="V50" s="48">
        <f t="shared" si="10"/>
        <v>2718</v>
      </c>
      <c r="W50" s="49">
        <f t="shared" si="11"/>
        <v>0.5873684211</v>
      </c>
      <c r="X50" s="49">
        <f t="shared" si="12"/>
        <v>0.3591578947</v>
      </c>
      <c r="Y50" s="49">
        <f t="shared" si="13"/>
        <v>0.05347368421</v>
      </c>
      <c r="Z50" s="32" t="str">
        <f t="shared" si="14"/>
        <v>Jango</v>
      </c>
      <c r="AA50" s="50" t="s">
        <v>77</v>
      </c>
      <c r="AB50" s="38">
        <v>4806.0</v>
      </c>
      <c r="AC50" s="48">
        <f t="shared" si="17"/>
        <v>2088</v>
      </c>
      <c r="AD50" s="51">
        <f t="shared" si="16"/>
        <v>0.5655430712</v>
      </c>
    </row>
    <row r="51">
      <c r="A51" s="24"/>
      <c r="B51" s="46" t="s">
        <v>371</v>
      </c>
      <c r="C51" s="47"/>
      <c r="D51" s="38">
        <v>607.0</v>
      </c>
      <c r="E51" s="38">
        <v>288.0</v>
      </c>
      <c r="F51" s="38">
        <v>51.0</v>
      </c>
      <c r="G51" s="38">
        <v>16.0</v>
      </c>
      <c r="H51" s="38">
        <v>23.0</v>
      </c>
      <c r="I51" s="48">
        <f t="shared" si="3"/>
        <v>946</v>
      </c>
      <c r="J51" s="48">
        <f t="shared" si="4"/>
        <v>985</v>
      </c>
      <c r="K51" s="49">
        <f t="shared" si="5"/>
        <v>0.6416490486</v>
      </c>
      <c r="L51" s="49">
        <f t="shared" si="6"/>
        <v>0.3044397463</v>
      </c>
      <c r="M51" s="49">
        <f t="shared" si="7"/>
        <v>0.05391120507</v>
      </c>
      <c r="N51" s="32" t="str">
        <f t="shared" si="8"/>
        <v>Jânio</v>
      </c>
      <c r="O51" s="50" t="s">
        <v>77</v>
      </c>
      <c r="P51" s="38">
        <v>303.0</v>
      </c>
      <c r="Q51" s="38">
        <v>581.0</v>
      </c>
      <c r="R51" s="38">
        <v>29.0</v>
      </c>
      <c r="S51" s="38">
        <v>47.0</v>
      </c>
      <c r="T51" s="38">
        <v>25.0</v>
      </c>
      <c r="U51" s="48">
        <f t="shared" si="9"/>
        <v>913</v>
      </c>
      <c r="V51" s="48">
        <f t="shared" si="10"/>
        <v>985</v>
      </c>
      <c r="W51" s="49">
        <f t="shared" si="11"/>
        <v>0.3318729463</v>
      </c>
      <c r="X51" s="49">
        <f t="shared" si="12"/>
        <v>0.6363636364</v>
      </c>
      <c r="Y51" s="49">
        <f t="shared" si="13"/>
        <v>0.03176341731</v>
      </c>
      <c r="Z51" s="32" t="str">
        <f t="shared" si="14"/>
        <v>Milton</v>
      </c>
      <c r="AA51" s="50" t="s">
        <v>77</v>
      </c>
      <c r="AB51" s="38">
        <v>1835.0</v>
      </c>
      <c r="AC51" s="48">
        <f t="shared" si="17"/>
        <v>850</v>
      </c>
      <c r="AD51" s="51">
        <f t="shared" si="16"/>
        <v>0.5367847411</v>
      </c>
    </row>
    <row r="52">
      <c r="A52" s="45" t="s">
        <v>131</v>
      </c>
      <c r="B52" s="46" t="s">
        <v>372</v>
      </c>
      <c r="C52" s="47"/>
      <c r="D52" s="38">
        <v>1168.0</v>
      </c>
      <c r="E52" s="38">
        <v>1317.0</v>
      </c>
      <c r="F52" s="38">
        <v>146.0</v>
      </c>
      <c r="G52" s="38">
        <v>105.0</v>
      </c>
      <c r="H52" s="38">
        <v>101.0</v>
      </c>
      <c r="I52" s="48">
        <f t="shared" si="3"/>
        <v>2631</v>
      </c>
      <c r="J52" s="48">
        <f t="shared" si="4"/>
        <v>2837</v>
      </c>
      <c r="K52" s="49">
        <f t="shared" si="5"/>
        <v>0.4439376663</v>
      </c>
      <c r="L52" s="49">
        <f t="shared" si="6"/>
        <v>0.5005701254</v>
      </c>
      <c r="M52" s="49">
        <f t="shared" si="7"/>
        <v>0.05549220829</v>
      </c>
      <c r="N52" s="32" t="str">
        <f t="shared" si="8"/>
        <v>Mal. Lott</v>
      </c>
      <c r="O52" s="50" t="s">
        <v>77</v>
      </c>
      <c r="P52" s="38">
        <v>1211.0</v>
      </c>
      <c r="Q52" s="38">
        <v>1029.0</v>
      </c>
      <c r="R52" s="38">
        <v>350.0</v>
      </c>
      <c r="S52" s="38">
        <v>175.0</v>
      </c>
      <c r="T52" s="38">
        <v>72.0</v>
      </c>
      <c r="U52" s="48">
        <f t="shared" si="9"/>
        <v>2590</v>
      </c>
      <c r="V52" s="48">
        <f t="shared" si="10"/>
        <v>2837</v>
      </c>
      <c r="W52" s="49">
        <f t="shared" si="11"/>
        <v>0.4675675676</v>
      </c>
      <c r="X52" s="49">
        <f t="shared" si="12"/>
        <v>0.3972972973</v>
      </c>
      <c r="Y52" s="49">
        <f t="shared" si="13"/>
        <v>0.1351351351</v>
      </c>
      <c r="Z52" s="32" t="str">
        <f t="shared" si="14"/>
        <v>Jango</v>
      </c>
      <c r="AA52" s="50" t="s">
        <v>77</v>
      </c>
      <c r="AB52" s="38">
        <v>6523.0</v>
      </c>
      <c r="AC52" s="48">
        <f t="shared" si="17"/>
        <v>3686</v>
      </c>
      <c r="AD52" s="51">
        <f t="shared" si="16"/>
        <v>0.4349225816</v>
      </c>
    </row>
    <row r="53">
      <c r="A53" s="45" t="s">
        <v>133</v>
      </c>
      <c r="B53" s="46" t="s">
        <v>373</v>
      </c>
      <c r="C53" s="47"/>
      <c r="D53" s="38">
        <v>1056.0</v>
      </c>
      <c r="E53" s="38">
        <v>1115.0</v>
      </c>
      <c r="F53" s="38">
        <v>132.0</v>
      </c>
      <c r="G53" s="38">
        <v>104.0</v>
      </c>
      <c r="H53" s="38">
        <v>128.0</v>
      </c>
      <c r="I53" s="48">
        <f t="shared" si="3"/>
        <v>2303</v>
      </c>
      <c r="J53" s="48">
        <f t="shared" si="4"/>
        <v>2535</v>
      </c>
      <c r="K53" s="49">
        <f t="shared" si="5"/>
        <v>0.4585323491</v>
      </c>
      <c r="L53" s="49">
        <f t="shared" si="6"/>
        <v>0.4841511073</v>
      </c>
      <c r="M53" s="49">
        <f t="shared" si="7"/>
        <v>0.05731654364</v>
      </c>
      <c r="N53" s="32" t="str">
        <f t="shared" si="8"/>
        <v>Mal. Lott</v>
      </c>
      <c r="O53" s="50" t="s">
        <v>77</v>
      </c>
      <c r="P53" s="38">
        <v>1185.0</v>
      </c>
      <c r="Q53" s="38">
        <v>1023.0</v>
      </c>
      <c r="R53" s="38">
        <v>67.0</v>
      </c>
      <c r="S53" s="38">
        <v>164.0</v>
      </c>
      <c r="T53" s="38">
        <v>96.0</v>
      </c>
      <c r="U53" s="48">
        <f t="shared" si="9"/>
        <v>2275</v>
      </c>
      <c r="V53" s="48">
        <f t="shared" si="10"/>
        <v>2535</v>
      </c>
      <c r="W53" s="49">
        <f t="shared" si="11"/>
        <v>0.5208791209</v>
      </c>
      <c r="X53" s="49">
        <f t="shared" si="12"/>
        <v>0.4496703297</v>
      </c>
      <c r="Y53" s="49">
        <f t="shared" si="13"/>
        <v>0.02945054945</v>
      </c>
      <c r="Z53" s="32" t="str">
        <f t="shared" si="14"/>
        <v>Jango</v>
      </c>
      <c r="AA53" s="50" t="s">
        <v>77</v>
      </c>
      <c r="AB53" s="38">
        <v>3643.0</v>
      </c>
      <c r="AC53" s="48">
        <f t="shared" si="17"/>
        <v>1108</v>
      </c>
      <c r="AD53" s="51">
        <f t="shared" si="16"/>
        <v>0.6958550645</v>
      </c>
    </row>
    <row r="54">
      <c r="A54" s="45" t="s">
        <v>135</v>
      </c>
      <c r="B54" s="46" t="s">
        <v>374</v>
      </c>
      <c r="C54" s="47"/>
      <c r="D54" s="38">
        <v>210.0</v>
      </c>
      <c r="E54" s="38">
        <v>213.0</v>
      </c>
      <c r="F54" s="38">
        <v>43.0</v>
      </c>
      <c r="G54" s="38">
        <v>11.0</v>
      </c>
      <c r="H54" s="38">
        <v>21.0</v>
      </c>
      <c r="I54" s="48">
        <f t="shared" si="3"/>
        <v>466</v>
      </c>
      <c r="J54" s="48">
        <f t="shared" si="4"/>
        <v>498</v>
      </c>
      <c r="K54" s="49">
        <f t="shared" si="5"/>
        <v>0.4506437768</v>
      </c>
      <c r="L54" s="49">
        <f t="shared" si="6"/>
        <v>0.4570815451</v>
      </c>
      <c r="M54" s="49">
        <f t="shared" si="7"/>
        <v>0.09227467811</v>
      </c>
      <c r="N54" s="32" t="str">
        <f t="shared" si="8"/>
        <v>Mal. Lott</v>
      </c>
      <c r="O54" s="50" t="s">
        <v>77</v>
      </c>
      <c r="P54" s="38">
        <v>266.0</v>
      </c>
      <c r="Q54" s="38">
        <v>139.0</v>
      </c>
      <c r="R54" s="38">
        <v>39.0</v>
      </c>
      <c r="S54" s="38">
        <v>21.0</v>
      </c>
      <c r="T54" s="38">
        <v>33.0</v>
      </c>
      <c r="U54" s="48">
        <f t="shared" si="9"/>
        <v>444</v>
      </c>
      <c r="V54" s="48">
        <f t="shared" si="10"/>
        <v>498</v>
      </c>
      <c r="W54" s="49">
        <f t="shared" si="11"/>
        <v>0.5990990991</v>
      </c>
      <c r="X54" s="49">
        <f t="shared" si="12"/>
        <v>0.3130630631</v>
      </c>
      <c r="Y54" s="49">
        <f t="shared" si="13"/>
        <v>0.08783783784</v>
      </c>
      <c r="Z54" s="32" t="str">
        <f t="shared" si="14"/>
        <v>Jango</v>
      </c>
      <c r="AA54" s="50" t="s">
        <v>77</v>
      </c>
      <c r="AB54" s="38">
        <v>2306.0</v>
      </c>
      <c r="AC54" s="48">
        <f t="shared" si="17"/>
        <v>1808</v>
      </c>
      <c r="AD54" s="51">
        <f t="shared" si="16"/>
        <v>0.2159583695</v>
      </c>
    </row>
    <row r="55">
      <c r="A55" s="45" t="s">
        <v>193</v>
      </c>
      <c r="B55" s="46" t="s">
        <v>375</v>
      </c>
      <c r="C55" s="47"/>
      <c r="D55" s="38">
        <v>138.0</v>
      </c>
      <c r="E55" s="38">
        <v>112.0</v>
      </c>
      <c r="F55" s="38">
        <v>15.0</v>
      </c>
      <c r="G55" s="38">
        <v>8.0</v>
      </c>
      <c r="H55" s="38">
        <v>10.0</v>
      </c>
      <c r="I55" s="48">
        <f t="shared" si="3"/>
        <v>265</v>
      </c>
      <c r="J55" s="48">
        <f t="shared" si="4"/>
        <v>283</v>
      </c>
      <c r="K55" s="49">
        <f t="shared" si="5"/>
        <v>0.520754717</v>
      </c>
      <c r="L55" s="49">
        <f t="shared" si="6"/>
        <v>0.4226415094</v>
      </c>
      <c r="M55" s="49">
        <f t="shared" si="7"/>
        <v>0.05660377358</v>
      </c>
      <c r="N55" s="32" t="str">
        <f t="shared" si="8"/>
        <v>Jânio</v>
      </c>
      <c r="O55" s="50" t="s">
        <v>77</v>
      </c>
      <c r="P55" s="38">
        <v>104.0</v>
      </c>
      <c r="Q55" s="38">
        <v>123.0</v>
      </c>
      <c r="R55" s="38">
        <v>25.0</v>
      </c>
      <c r="S55" s="38">
        <v>26.0</v>
      </c>
      <c r="T55" s="38">
        <v>5.0</v>
      </c>
      <c r="U55" s="48">
        <f t="shared" si="9"/>
        <v>252</v>
      </c>
      <c r="V55" s="48">
        <f t="shared" si="10"/>
        <v>283</v>
      </c>
      <c r="W55" s="49">
        <f t="shared" si="11"/>
        <v>0.4126984127</v>
      </c>
      <c r="X55" s="49">
        <f t="shared" si="12"/>
        <v>0.4880952381</v>
      </c>
      <c r="Y55" s="49">
        <f t="shared" si="13"/>
        <v>0.09920634921</v>
      </c>
      <c r="Z55" s="32" t="str">
        <f t="shared" si="14"/>
        <v>Milton</v>
      </c>
      <c r="AA55" s="50" t="s">
        <v>77</v>
      </c>
      <c r="AB55" s="38">
        <v>645.0</v>
      </c>
      <c r="AC55" s="48">
        <f t="shared" si="17"/>
        <v>362</v>
      </c>
      <c r="AD55" s="51">
        <f t="shared" si="16"/>
        <v>0.4387596899</v>
      </c>
    </row>
    <row r="56">
      <c r="A56" s="45" t="s">
        <v>196</v>
      </c>
      <c r="B56" s="46" t="s">
        <v>376</v>
      </c>
      <c r="C56" s="47"/>
      <c r="D56" s="38">
        <v>474.0</v>
      </c>
      <c r="E56" s="38">
        <v>1135.0</v>
      </c>
      <c r="F56" s="38">
        <v>56.0</v>
      </c>
      <c r="G56" s="38">
        <v>41.0</v>
      </c>
      <c r="H56" s="38">
        <v>40.0</v>
      </c>
      <c r="I56" s="48">
        <f t="shared" si="3"/>
        <v>1665</v>
      </c>
      <c r="J56" s="48">
        <f t="shared" si="4"/>
        <v>1746</v>
      </c>
      <c r="K56" s="49">
        <f t="shared" si="5"/>
        <v>0.2846846847</v>
      </c>
      <c r="L56" s="49">
        <f t="shared" si="6"/>
        <v>0.6816816817</v>
      </c>
      <c r="M56" s="49">
        <f t="shared" si="7"/>
        <v>0.03363363363</v>
      </c>
      <c r="N56" s="32" t="str">
        <f t="shared" si="8"/>
        <v>Mal. Lott</v>
      </c>
      <c r="O56" s="50" t="s">
        <v>77</v>
      </c>
      <c r="P56" s="38">
        <v>1134.0</v>
      </c>
      <c r="Q56" s="38">
        <v>467.0</v>
      </c>
      <c r="R56" s="38">
        <v>41.0</v>
      </c>
      <c r="S56" s="38">
        <v>80.0</v>
      </c>
      <c r="T56" s="38">
        <v>24.0</v>
      </c>
      <c r="U56" s="48">
        <f t="shared" si="9"/>
        <v>1642</v>
      </c>
      <c r="V56" s="48">
        <f t="shared" si="10"/>
        <v>1746</v>
      </c>
      <c r="W56" s="49">
        <f t="shared" si="11"/>
        <v>0.6906211937</v>
      </c>
      <c r="X56" s="49">
        <f t="shared" si="12"/>
        <v>0.284409257</v>
      </c>
      <c r="Y56" s="49">
        <f t="shared" si="13"/>
        <v>0.02496954933</v>
      </c>
      <c r="Z56" s="32" t="str">
        <f t="shared" si="14"/>
        <v>Jango</v>
      </c>
      <c r="AA56" s="50" t="s">
        <v>77</v>
      </c>
      <c r="AB56" s="38">
        <v>2237.0</v>
      </c>
      <c r="AC56" s="48">
        <f t="shared" si="17"/>
        <v>491</v>
      </c>
      <c r="AD56" s="51">
        <f t="shared" si="16"/>
        <v>0.7805096111</v>
      </c>
    </row>
    <row r="57">
      <c r="A57" s="61" t="s">
        <v>198</v>
      </c>
      <c r="B57" s="46" t="s">
        <v>377</v>
      </c>
      <c r="C57" s="47"/>
      <c r="D57" s="38">
        <v>144.0</v>
      </c>
      <c r="E57" s="38">
        <v>539.0</v>
      </c>
      <c r="F57" s="38">
        <v>36.0</v>
      </c>
      <c r="G57" s="38">
        <v>30.0</v>
      </c>
      <c r="H57" s="38">
        <v>27.0</v>
      </c>
      <c r="I57" s="48">
        <f t="shared" si="3"/>
        <v>719</v>
      </c>
      <c r="J57" s="48">
        <f t="shared" si="4"/>
        <v>776</v>
      </c>
      <c r="K57" s="49">
        <f t="shared" si="5"/>
        <v>0.2002781641</v>
      </c>
      <c r="L57" s="49">
        <f t="shared" si="6"/>
        <v>0.7496522949</v>
      </c>
      <c r="M57" s="49">
        <f t="shared" si="7"/>
        <v>0.05006954103</v>
      </c>
      <c r="N57" s="32" t="str">
        <f t="shared" si="8"/>
        <v>Mal. Lott</v>
      </c>
      <c r="O57" s="50" t="s">
        <v>77</v>
      </c>
      <c r="P57" s="38">
        <v>532.0</v>
      </c>
      <c r="Q57" s="38">
        <v>136.0</v>
      </c>
      <c r="R57" s="38">
        <v>39.0</v>
      </c>
      <c r="S57" s="38">
        <v>55.0</v>
      </c>
      <c r="T57" s="38">
        <v>14.0</v>
      </c>
      <c r="U57" s="48">
        <f t="shared" si="9"/>
        <v>707</v>
      </c>
      <c r="V57" s="48">
        <f t="shared" si="10"/>
        <v>776</v>
      </c>
      <c r="W57" s="49">
        <f t="shared" si="11"/>
        <v>0.7524752475</v>
      </c>
      <c r="X57" s="49">
        <f t="shared" si="12"/>
        <v>0.1923620934</v>
      </c>
      <c r="Y57" s="49">
        <f t="shared" si="13"/>
        <v>0.05516265912</v>
      </c>
      <c r="Z57" s="32" t="str">
        <f t="shared" si="14"/>
        <v>Jango</v>
      </c>
      <c r="AA57" s="50" t="s">
        <v>77</v>
      </c>
      <c r="AB57" s="38">
        <v>1715.0</v>
      </c>
      <c r="AC57" s="48">
        <f t="shared" si="17"/>
        <v>939</v>
      </c>
      <c r="AD57" s="51">
        <f t="shared" si="16"/>
        <v>0.4524781341</v>
      </c>
    </row>
    <row r="58">
      <c r="A58" s="23"/>
      <c r="B58" s="46" t="s">
        <v>378</v>
      </c>
      <c r="C58" s="47"/>
      <c r="D58" s="38">
        <v>181.0</v>
      </c>
      <c r="E58" s="38">
        <v>170.0</v>
      </c>
      <c r="F58" s="38">
        <v>13.0</v>
      </c>
      <c r="G58" s="38">
        <v>8.0</v>
      </c>
      <c r="H58" s="38">
        <v>15.0</v>
      </c>
      <c r="I58" s="48">
        <f t="shared" si="3"/>
        <v>364</v>
      </c>
      <c r="J58" s="48">
        <f t="shared" si="4"/>
        <v>387</v>
      </c>
      <c r="K58" s="49">
        <f t="shared" si="5"/>
        <v>0.4972527473</v>
      </c>
      <c r="L58" s="49">
        <f t="shared" si="6"/>
        <v>0.467032967</v>
      </c>
      <c r="M58" s="49">
        <f t="shared" si="7"/>
        <v>0.03571428571</v>
      </c>
      <c r="N58" s="32" t="str">
        <f t="shared" si="8"/>
        <v>Jânio</v>
      </c>
      <c r="O58" s="50" t="s">
        <v>77</v>
      </c>
      <c r="P58" s="38">
        <v>178.0</v>
      </c>
      <c r="Q58" s="38">
        <v>176.0</v>
      </c>
      <c r="R58" s="38">
        <v>9.0</v>
      </c>
      <c r="S58" s="38">
        <v>17.0</v>
      </c>
      <c r="T58" s="38">
        <v>7.0</v>
      </c>
      <c r="U58" s="48">
        <f t="shared" si="9"/>
        <v>363</v>
      </c>
      <c r="V58" s="48">
        <f t="shared" si="10"/>
        <v>387</v>
      </c>
      <c r="W58" s="49">
        <f t="shared" si="11"/>
        <v>0.4903581267</v>
      </c>
      <c r="X58" s="49">
        <f t="shared" si="12"/>
        <v>0.4848484848</v>
      </c>
      <c r="Y58" s="49">
        <f t="shared" si="13"/>
        <v>0.02479338843</v>
      </c>
      <c r="Z58" s="32" t="str">
        <f t="shared" si="14"/>
        <v>Jango</v>
      </c>
      <c r="AA58" s="50" t="s">
        <v>77</v>
      </c>
      <c r="AB58" s="38">
        <v>741.0</v>
      </c>
      <c r="AC58" s="48">
        <f t="shared" si="17"/>
        <v>354</v>
      </c>
      <c r="AD58" s="51">
        <f t="shared" si="16"/>
        <v>0.5222672065</v>
      </c>
    </row>
    <row r="59">
      <c r="A59" s="24"/>
      <c r="B59" s="46" t="s">
        <v>379</v>
      </c>
      <c r="C59" s="47"/>
      <c r="D59" s="38">
        <v>17.0</v>
      </c>
      <c r="E59" s="38">
        <v>854.0</v>
      </c>
      <c r="F59" s="38">
        <v>10.0</v>
      </c>
      <c r="G59" s="38">
        <v>6.0</v>
      </c>
      <c r="H59" s="38">
        <v>4.0</v>
      </c>
      <c r="I59" s="48">
        <f t="shared" si="3"/>
        <v>881</v>
      </c>
      <c r="J59" s="48">
        <f t="shared" si="4"/>
        <v>891</v>
      </c>
      <c r="K59" s="49">
        <f t="shared" si="5"/>
        <v>0.01929625426</v>
      </c>
      <c r="L59" s="49">
        <f t="shared" si="6"/>
        <v>0.9693530079</v>
      </c>
      <c r="M59" s="49">
        <f t="shared" si="7"/>
        <v>0.0113507378</v>
      </c>
      <c r="N59" s="32" t="str">
        <f t="shared" si="8"/>
        <v>Mal. Lott</v>
      </c>
      <c r="O59" s="50" t="s">
        <v>77</v>
      </c>
      <c r="P59" s="38">
        <v>863.0</v>
      </c>
      <c r="Q59" s="38">
        <v>13.0</v>
      </c>
      <c r="R59" s="38">
        <v>4.0</v>
      </c>
      <c r="S59" s="38">
        <v>8.0</v>
      </c>
      <c r="T59" s="38">
        <v>3.0</v>
      </c>
      <c r="U59" s="48">
        <f t="shared" si="9"/>
        <v>880</v>
      </c>
      <c r="V59" s="48">
        <f t="shared" si="10"/>
        <v>891</v>
      </c>
      <c r="W59" s="49">
        <f t="shared" si="11"/>
        <v>0.9806818182</v>
      </c>
      <c r="X59" s="49">
        <f t="shared" si="12"/>
        <v>0.01477272727</v>
      </c>
      <c r="Y59" s="49">
        <f t="shared" si="13"/>
        <v>0.004545454545</v>
      </c>
      <c r="Z59" s="32" t="str">
        <f t="shared" si="14"/>
        <v>Jango</v>
      </c>
      <c r="AA59" s="50" t="s">
        <v>77</v>
      </c>
      <c r="AB59" s="38">
        <v>919.0</v>
      </c>
      <c r="AC59" s="48">
        <f t="shared" si="17"/>
        <v>28</v>
      </c>
      <c r="AD59" s="51">
        <f t="shared" si="16"/>
        <v>0.9695321001</v>
      </c>
    </row>
    <row r="60">
      <c r="A60" s="61" t="s">
        <v>202</v>
      </c>
      <c r="B60" s="46" t="s">
        <v>380</v>
      </c>
      <c r="C60" s="47"/>
      <c r="D60" s="38">
        <v>241.0</v>
      </c>
      <c r="E60" s="38">
        <v>181.0</v>
      </c>
      <c r="F60" s="38">
        <v>18.0</v>
      </c>
      <c r="G60" s="38">
        <v>24.0</v>
      </c>
      <c r="H60" s="38">
        <v>12.0</v>
      </c>
      <c r="I60" s="48">
        <f t="shared" si="3"/>
        <v>440</v>
      </c>
      <c r="J60" s="48">
        <f t="shared" si="4"/>
        <v>476</v>
      </c>
      <c r="K60" s="49">
        <f t="shared" si="5"/>
        <v>0.5477272727</v>
      </c>
      <c r="L60" s="49">
        <f t="shared" si="6"/>
        <v>0.4113636364</v>
      </c>
      <c r="M60" s="49">
        <f t="shared" si="7"/>
        <v>0.04090909091</v>
      </c>
      <c r="N60" s="32" t="str">
        <f t="shared" si="8"/>
        <v>Jânio</v>
      </c>
      <c r="O60" s="50" t="s">
        <v>77</v>
      </c>
      <c r="P60" s="38">
        <v>195.0</v>
      </c>
      <c r="Q60" s="38">
        <v>230.0</v>
      </c>
      <c r="R60" s="38">
        <v>7.0</v>
      </c>
      <c r="S60" s="38">
        <v>29.0</v>
      </c>
      <c r="T60" s="38">
        <v>15.0</v>
      </c>
      <c r="U60" s="48">
        <f t="shared" si="9"/>
        <v>432</v>
      </c>
      <c r="V60" s="48">
        <f t="shared" si="10"/>
        <v>476</v>
      </c>
      <c r="W60" s="49">
        <f t="shared" si="11"/>
        <v>0.4513888889</v>
      </c>
      <c r="X60" s="49">
        <f t="shared" si="12"/>
        <v>0.5324074074</v>
      </c>
      <c r="Y60" s="49">
        <f t="shared" si="13"/>
        <v>0.0162037037</v>
      </c>
      <c r="Z60" s="32" t="str">
        <f t="shared" si="14"/>
        <v>Milton</v>
      </c>
      <c r="AA60" s="50" t="s">
        <v>77</v>
      </c>
      <c r="AB60" s="38">
        <v>1172.0</v>
      </c>
      <c r="AC60" s="48">
        <f t="shared" si="17"/>
        <v>696</v>
      </c>
      <c r="AD60" s="51">
        <f t="shared" si="16"/>
        <v>0.4061433447</v>
      </c>
    </row>
    <row r="61">
      <c r="A61" s="24"/>
      <c r="B61" s="46" t="s">
        <v>381</v>
      </c>
      <c r="C61" s="47"/>
      <c r="D61" s="38">
        <v>213.0</v>
      </c>
      <c r="E61" s="38">
        <v>315.0</v>
      </c>
      <c r="F61" s="38">
        <v>27.0</v>
      </c>
      <c r="G61" s="38">
        <v>15.0</v>
      </c>
      <c r="H61" s="38">
        <v>19.0</v>
      </c>
      <c r="I61" s="48">
        <f t="shared" si="3"/>
        <v>555</v>
      </c>
      <c r="J61" s="48">
        <f t="shared" si="4"/>
        <v>589</v>
      </c>
      <c r="K61" s="49">
        <f t="shared" si="5"/>
        <v>0.3837837838</v>
      </c>
      <c r="L61" s="49">
        <f t="shared" si="6"/>
        <v>0.5675675676</v>
      </c>
      <c r="M61" s="49">
        <f t="shared" si="7"/>
        <v>0.04864864865</v>
      </c>
      <c r="N61" s="32" t="str">
        <f t="shared" si="8"/>
        <v>Mal. Lott</v>
      </c>
      <c r="O61" s="50" t="s">
        <v>77</v>
      </c>
      <c r="P61" s="38">
        <v>357.0</v>
      </c>
      <c r="Q61" s="38">
        <v>138.0</v>
      </c>
      <c r="R61" s="38">
        <v>45.0</v>
      </c>
      <c r="S61" s="38">
        <v>30.0</v>
      </c>
      <c r="T61" s="38">
        <v>19.0</v>
      </c>
      <c r="U61" s="48">
        <f t="shared" si="9"/>
        <v>540</v>
      </c>
      <c r="V61" s="48">
        <f t="shared" si="10"/>
        <v>589</v>
      </c>
      <c r="W61" s="49">
        <f t="shared" si="11"/>
        <v>0.6611111111</v>
      </c>
      <c r="X61" s="49">
        <f t="shared" si="12"/>
        <v>0.2555555556</v>
      </c>
      <c r="Y61" s="49">
        <f t="shared" si="13"/>
        <v>0.08333333333</v>
      </c>
      <c r="Z61" s="32" t="str">
        <f t="shared" si="14"/>
        <v>Jango</v>
      </c>
      <c r="AA61" s="50" t="s">
        <v>77</v>
      </c>
      <c r="AB61" s="38">
        <v>1535.0</v>
      </c>
      <c r="AC61" s="48">
        <f t="shared" si="17"/>
        <v>946</v>
      </c>
      <c r="AD61" s="51">
        <f t="shared" si="16"/>
        <v>0.383713355</v>
      </c>
    </row>
    <row r="62">
      <c r="A62" s="61" t="s">
        <v>205</v>
      </c>
      <c r="B62" s="46" t="s">
        <v>382</v>
      </c>
      <c r="C62" s="47"/>
      <c r="D62" s="38">
        <v>511.0</v>
      </c>
      <c r="E62" s="38">
        <v>580.0</v>
      </c>
      <c r="F62" s="38">
        <v>123.0</v>
      </c>
      <c r="G62" s="38">
        <v>40.0</v>
      </c>
      <c r="H62" s="38">
        <v>57.0</v>
      </c>
      <c r="I62" s="48">
        <f t="shared" si="3"/>
        <v>1214</v>
      </c>
      <c r="J62" s="48">
        <f t="shared" si="4"/>
        <v>1311</v>
      </c>
      <c r="K62" s="49">
        <f t="shared" si="5"/>
        <v>0.42092257</v>
      </c>
      <c r="L62" s="49">
        <f t="shared" si="6"/>
        <v>0.4777594728</v>
      </c>
      <c r="M62" s="49">
        <f t="shared" si="7"/>
        <v>0.1013179572</v>
      </c>
      <c r="N62" s="32" t="str">
        <f t="shared" si="8"/>
        <v>Mal. Lott</v>
      </c>
      <c r="O62" s="50" t="s">
        <v>77</v>
      </c>
      <c r="P62" s="38">
        <v>627.0</v>
      </c>
      <c r="Q62" s="38">
        <v>499.0</v>
      </c>
      <c r="R62" s="38">
        <v>54.0</v>
      </c>
      <c r="S62" s="38">
        <v>83.0</v>
      </c>
      <c r="T62" s="38">
        <v>48.0</v>
      </c>
      <c r="U62" s="48">
        <f t="shared" si="9"/>
        <v>1180</v>
      </c>
      <c r="V62" s="48">
        <f t="shared" si="10"/>
        <v>1311</v>
      </c>
      <c r="W62" s="49">
        <f t="shared" si="11"/>
        <v>0.5313559322</v>
      </c>
      <c r="X62" s="49">
        <f t="shared" si="12"/>
        <v>0.4228813559</v>
      </c>
      <c r="Y62" s="49">
        <f t="shared" si="13"/>
        <v>0.04576271186</v>
      </c>
      <c r="Z62" s="32" t="str">
        <f t="shared" si="14"/>
        <v>Jango</v>
      </c>
      <c r="AA62" s="50" t="s">
        <v>77</v>
      </c>
      <c r="AB62" s="38">
        <v>2611.0</v>
      </c>
      <c r="AC62" s="48">
        <f t="shared" si="17"/>
        <v>1300</v>
      </c>
      <c r="AD62" s="51">
        <f t="shared" si="16"/>
        <v>0.5021064726</v>
      </c>
    </row>
    <row r="63">
      <c r="A63" s="24"/>
      <c r="B63" s="46" t="s">
        <v>383</v>
      </c>
      <c r="C63" s="47"/>
      <c r="D63" s="38">
        <v>220.0</v>
      </c>
      <c r="E63" s="38">
        <v>275.0</v>
      </c>
      <c r="F63" s="38">
        <v>28.0</v>
      </c>
      <c r="G63" s="38">
        <v>16.0</v>
      </c>
      <c r="H63" s="38">
        <v>12.0</v>
      </c>
      <c r="I63" s="48">
        <f t="shared" si="3"/>
        <v>523</v>
      </c>
      <c r="J63" s="48">
        <f t="shared" si="4"/>
        <v>551</v>
      </c>
      <c r="K63" s="49">
        <f t="shared" si="5"/>
        <v>0.4206500956</v>
      </c>
      <c r="L63" s="49">
        <f t="shared" si="6"/>
        <v>0.5258126195</v>
      </c>
      <c r="M63" s="49">
        <f t="shared" si="7"/>
        <v>0.05353728489</v>
      </c>
      <c r="N63" s="32" t="str">
        <f t="shared" si="8"/>
        <v>Mal. Lott</v>
      </c>
      <c r="O63" s="50" t="s">
        <v>77</v>
      </c>
      <c r="P63" s="38">
        <v>293.0</v>
      </c>
      <c r="Q63" s="38">
        <v>205.0</v>
      </c>
      <c r="R63" s="38">
        <v>19.0</v>
      </c>
      <c r="S63" s="38">
        <v>25.0</v>
      </c>
      <c r="T63" s="38">
        <v>9.0</v>
      </c>
      <c r="U63" s="48">
        <f t="shared" si="9"/>
        <v>517</v>
      </c>
      <c r="V63" s="48">
        <f t="shared" si="10"/>
        <v>551</v>
      </c>
      <c r="W63" s="49">
        <f t="shared" si="11"/>
        <v>0.5667311412</v>
      </c>
      <c r="X63" s="49">
        <f t="shared" si="12"/>
        <v>0.3965183752</v>
      </c>
      <c r="Y63" s="49">
        <f t="shared" si="13"/>
        <v>0.03675048356</v>
      </c>
      <c r="Z63" s="32" t="str">
        <f t="shared" si="14"/>
        <v>Jango</v>
      </c>
      <c r="AA63" s="50" t="s">
        <v>77</v>
      </c>
      <c r="AB63" s="38">
        <v>1166.0</v>
      </c>
      <c r="AC63" s="48">
        <f>AB63-J63</f>
        <v>615</v>
      </c>
      <c r="AD63" s="51">
        <f t="shared" si="16"/>
        <v>0.4725557461</v>
      </c>
    </row>
    <row r="64">
      <c r="A64" s="45" t="s">
        <v>141</v>
      </c>
      <c r="B64" s="46" t="s">
        <v>384</v>
      </c>
      <c r="C64" s="47"/>
      <c r="D64" s="38">
        <v>247.0</v>
      </c>
      <c r="E64" s="38">
        <v>375.0</v>
      </c>
      <c r="F64" s="38">
        <v>28.0</v>
      </c>
      <c r="G64" s="38">
        <v>28.0</v>
      </c>
      <c r="H64" s="38">
        <v>22.0</v>
      </c>
      <c r="I64" s="48">
        <f t="shared" si="3"/>
        <v>650</v>
      </c>
      <c r="J64" s="48">
        <f t="shared" si="4"/>
        <v>700</v>
      </c>
      <c r="K64" s="49">
        <f t="shared" si="5"/>
        <v>0.38</v>
      </c>
      <c r="L64" s="49">
        <f t="shared" si="6"/>
        <v>0.5769230769</v>
      </c>
      <c r="M64" s="49">
        <f t="shared" si="7"/>
        <v>0.04307692308</v>
      </c>
      <c r="N64" s="32" t="str">
        <f t="shared" si="8"/>
        <v>Mal. Lott</v>
      </c>
      <c r="O64" s="50" t="s">
        <v>77</v>
      </c>
      <c r="P64" s="38">
        <v>385.0</v>
      </c>
      <c r="Q64" s="38">
        <v>236.0</v>
      </c>
      <c r="R64" s="38">
        <v>27.0</v>
      </c>
      <c r="S64" s="38">
        <v>31.0</v>
      </c>
      <c r="T64" s="38">
        <v>21.0</v>
      </c>
      <c r="U64" s="48">
        <f t="shared" si="9"/>
        <v>648</v>
      </c>
      <c r="V64" s="48">
        <f t="shared" si="10"/>
        <v>700</v>
      </c>
      <c r="W64" s="49">
        <f t="shared" si="11"/>
        <v>0.5941358025</v>
      </c>
      <c r="X64" s="49">
        <f t="shared" si="12"/>
        <v>0.3641975309</v>
      </c>
      <c r="Y64" s="49">
        <f t="shared" si="13"/>
        <v>0.04166666667</v>
      </c>
      <c r="Z64" s="32" t="str">
        <f t="shared" si="14"/>
        <v>Jango</v>
      </c>
      <c r="AA64" s="50" t="s">
        <v>77</v>
      </c>
      <c r="AB64" s="38">
        <v>1222.0</v>
      </c>
      <c r="AC64" s="48">
        <f t="shared" ref="AC64:AC87" si="18">AB64-V64</f>
        <v>522</v>
      </c>
      <c r="AD64" s="51">
        <f t="shared" si="16"/>
        <v>0.5728314239</v>
      </c>
    </row>
    <row r="65">
      <c r="A65" s="45" t="s">
        <v>143</v>
      </c>
      <c r="B65" s="46" t="s">
        <v>385</v>
      </c>
      <c r="C65" s="47"/>
      <c r="D65" s="38">
        <v>917.0</v>
      </c>
      <c r="E65" s="38">
        <v>444.0</v>
      </c>
      <c r="F65" s="38">
        <v>70.0</v>
      </c>
      <c r="G65" s="38">
        <v>70.0</v>
      </c>
      <c r="H65" s="38">
        <v>62.0</v>
      </c>
      <c r="I65" s="48">
        <f t="shared" si="3"/>
        <v>1431</v>
      </c>
      <c r="J65" s="48">
        <f t="shared" si="4"/>
        <v>1563</v>
      </c>
      <c r="K65" s="49">
        <f t="shared" si="5"/>
        <v>0.6408106219</v>
      </c>
      <c r="L65" s="49">
        <f t="shared" si="6"/>
        <v>0.3102725367</v>
      </c>
      <c r="M65" s="49">
        <f t="shared" si="7"/>
        <v>0.04891684137</v>
      </c>
      <c r="N65" s="32" t="str">
        <f t="shared" si="8"/>
        <v>Jânio</v>
      </c>
      <c r="O65" s="50" t="s">
        <v>77</v>
      </c>
      <c r="P65" s="38">
        <v>469.0</v>
      </c>
      <c r="Q65" s="38">
        <v>885.0</v>
      </c>
      <c r="R65" s="38">
        <v>76.0</v>
      </c>
      <c r="S65" s="38">
        <v>80.0</v>
      </c>
      <c r="T65" s="38">
        <v>53.0</v>
      </c>
      <c r="U65" s="48">
        <f t="shared" si="9"/>
        <v>1430</v>
      </c>
      <c r="V65" s="48">
        <f t="shared" si="10"/>
        <v>1563</v>
      </c>
      <c r="W65" s="49">
        <f t="shared" si="11"/>
        <v>0.327972028</v>
      </c>
      <c r="X65" s="49">
        <f t="shared" si="12"/>
        <v>0.6188811189</v>
      </c>
      <c r="Y65" s="49">
        <f t="shared" si="13"/>
        <v>0.05314685315</v>
      </c>
      <c r="Z65" s="32" t="str">
        <f t="shared" si="14"/>
        <v>Milton</v>
      </c>
      <c r="AA65" s="50" t="s">
        <v>77</v>
      </c>
      <c r="AB65" s="38">
        <v>2702.0</v>
      </c>
      <c r="AC65" s="48">
        <f t="shared" si="18"/>
        <v>1139</v>
      </c>
      <c r="AD65" s="51">
        <f t="shared" si="16"/>
        <v>0.5784603997</v>
      </c>
    </row>
    <row r="66">
      <c r="A66" s="61" t="s">
        <v>145</v>
      </c>
      <c r="B66" s="46" t="s">
        <v>386</v>
      </c>
      <c r="C66" s="47"/>
      <c r="D66" s="38">
        <v>623.0</v>
      </c>
      <c r="E66" s="38">
        <v>1319.0</v>
      </c>
      <c r="F66" s="38">
        <v>109.0</v>
      </c>
      <c r="G66" s="38">
        <v>44.0</v>
      </c>
      <c r="H66" s="38">
        <v>52.0</v>
      </c>
      <c r="I66" s="48">
        <f t="shared" si="3"/>
        <v>2051</v>
      </c>
      <c r="J66" s="48">
        <f t="shared" si="4"/>
        <v>2147</v>
      </c>
      <c r="K66" s="49">
        <f t="shared" si="5"/>
        <v>0.3037542662</v>
      </c>
      <c r="L66" s="49">
        <f t="shared" si="6"/>
        <v>0.6431009264</v>
      </c>
      <c r="M66" s="49">
        <f t="shared" si="7"/>
        <v>0.05314480741</v>
      </c>
      <c r="N66" s="32" t="str">
        <f t="shared" si="8"/>
        <v>Mal. Lott</v>
      </c>
      <c r="O66" s="50" t="s">
        <v>77</v>
      </c>
      <c r="P66" s="38">
        <v>1615.0</v>
      </c>
      <c r="Q66" s="38">
        <v>323.0</v>
      </c>
      <c r="R66" s="38">
        <v>104.0</v>
      </c>
      <c r="S66" s="38">
        <v>66.0</v>
      </c>
      <c r="T66" s="38">
        <v>39.0</v>
      </c>
      <c r="U66" s="48">
        <f t="shared" si="9"/>
        <v>2042</v>
      </c>
      <c r="V66" s="48">
        <f t="shared" si="10"/>
        <v>2147</v>
      </c>
      <c r="W66" s="49">
        <f t="shared" si="11"/>
        <v>0.7908912831</v>
      </c>
      <c r="X66" s="49">
        <f t="shared" si="12"/>
        <v>0.1581782566</v>
      </c>
      <c r="Y66" s="49">
        <f t="shared" si="13"/>
        <v>0.05093046033</v>
      </c>
      <c r="Z66" s="32" t="str">
        <f t="shared" si="14"/>
        <v>Jango</v>
      </c>
      <c r="AA66" s="50" t="s">
        <v>77</v>
      </c>
      <c r="AB66" s="38">
        <v>3744.0</v>
      </c>
      <c r="AC66" s="48">
        <f t="shared" si="18"/>
        <v>1597</v>
      </c>
      <c r="AD66" s="51">
        <f t="shared" si="16"/>
        <v>0.5734508547</v>
      </c>
    </row>
    <row r="67">
      <c r="A67" s="24"/>
      <c r="B67" s="46" t="s">
        <v>387</v>
      </c>
      <c r="C67" s="47"/>
      <c r="D67" s="38">
        <v>453.0</v>
      </c>
      <c r="E67" s="38">
        <v>981.0</v>
      </c>
      <c r="F67" s="38">
        <v>120.0</v>
      </c>
      <c r="G67" s="38">
        <v>36.0</v>
      </c>
      <c r="H67" s="38">
        <v>64.0</v>
      </c>
      <c r="I67" s="48">
        <f t="shared" si="3"/>
        <v>1554</v>
      </c>
      <c r="J67" s="48">
        <f t="shared" si="4"/>
        <v>1654</v>
      </c>
      <c r="K67" s="49">
        <f t="shared" si="5"/>
        <v>0.2915057915</v>
      </c>
      <c r="L67" s="49">
        <f t="shared" si="6"/>
        <v>0.6312741313</v>
      </c>
      <c r="M67" s="49">
        <f t="shared" si="7"/>
        <v>0.07722007722</v>
      </c>
      <c r="N67" s="32" t="str">
        <f t="shared" si="8"/>
        <v>Mal. Lott</v>
      </c>
      <c r="O67" s="50" t="s">
        <v>77</v>
      </c>
      <c r="P67" s="38">
        <v>980.0</v>
      </c>
      <c r="Q67" s="38">
        <v>485.0</v>
      </c>
      <c r="R67" s="38">
        <v>68.0</v>
      </c>
      <c r="S67" s="38">
        <v>82.0</v>
      </c>
      <c r="T67" s="38">
        <v>39.0</v>
      </c>
      <c r="U67" s="48">
        <f t="shared" si="9"/>
        <v>1533</v>
      </c>
      <c r="V67" s="48">
        <f t="shared" si="10"/>
        <v>1654</v>
      </c>
      <c r="W67" s="49">
        <f t="shared" si="11"/>
        <v>0.6392694064</v>
      </c>
      <c r="X67" s="49">
        <f t="shared" si="12"/>
        <v>0.3163731246</v>
      </c>
      <c r="Y67" s="49">
        <f t="shared" si="13"/>
        <v>0.04435746902</v>
      </c>
      <c r="Z67" s="32" t="str">
        <f t="shared" si="14"/>
        <v>Jango</v>
      </c>
      <c r="AA67" s="50" t="s">
        <v>77</v>
      </c>
      <c r="AB67" s="38">
        <v>4529.0</v>
      </c>
      <c r="AC67" s="48">
        <f t="shared" si="18"/>
        <v>2875</v>
      </c>
      <c r="AD67" s="51">
        <f t="shared" si="16"/>
        <v>0.3652020314</v>
      </c>
    </row>
    <row r="68">
      <c r="A68" s="45" t="s">
        <v>207</v>
      </c>
      <c r="B68" s="46" t="s">
        <v>388</v>
      </c>
      <c r="C68" s="47"/>
      <c r="D68" s="38">
        <v>66.0</v>
      </c>
      <c r="E68" s="38">
        <v>188.0</v>
      </c>
      <c r="F68" s="38">
        <v>269.0</v>
      </c>
      <c r="G68" s="38">
        <v>13.0</v>
      </c>
      <c r="H68" s="38">
        <v>11.0</v>
      </c>
      <c r="I68" s="48">
        <f t="shared" si="3"/>
        <v>523</v>
      </c>
      <c r="J68" s="48">
        <f t="shared" si="4"/>
        <v>547</v>
      </c>
      <c r="K68" s="49">
        <f t="shared" si="5"/>
        <v>0.1261950287</v>
      </c>
      <c r="L68" s="49">
        <f t="shared" si="6"/>
        <v>0.3594646272</v>
      </c>
      <c r="M68" s="49">
        <f t="shared" si="7"/>
        <v>0.5143403442</v>
      </c>
      <c r="N68" s="32" t="str">
        <f t="shared" si="8"/>
        <v>Adhemar</v>
      </c>
      <c r="O68" s="50" t="s">
        <v>77</v>
      </c>
      <c r="P68" s="38">
        <v>188.0</v>
      </c>
      <c r="Q68" s="38">
        <v>38.0</v>
      </c>
      <c r="R68" s="38">
        <v>285.0</v>
      </c>
      <c r="S68" s="38">
        <v>28.0</v>
      </c>
      <c r="T68" s="38">
        <v>8.0</v>
      </c>
      <c r="U68" s="48">
        <f t="shared" si="9"/>
        <v>511</v>
      </c>
      <c r="V68" s="48">
        <f t="shared" si="10"/>
        <v>547</v>
      </c>
      <c r="W68" s="49">
        <f t="shared" si="11"/>
        <v>0.3679060665</v>
      </c>
      <c r="X68" s="49">
        <f t="shared" si="12"/>
        <v>0.07436399217</v>
      </c>
      <c r="Y68" s="49">
        <f t="shared" si="13"/>
        <v>0.5577299413</v>
      </c>
      <c r="Z68" s="32" t="str">
        <f t="shared" si="14"/>
        <v>Ferrari</v>
      </c>
      <c r="AA68" s="50" t="s">
        <v>77</v>
      </c>
      <c r="AB68" s="38">
        <v>1561.0</v>
      </c>
      <c r="AC68" s="48">
        <f t="shared" si="18"/>
        <v>1014</v>
      </c>
      <c r="AD68" s="51">
        <f t="shared" si="16"/>
        <v>0.3504163997</v>
      </c>
    </row>
    <row r="69">
      <c r="A69" s="61" t="s">
        <v>209</v>
      </c>
      <c r="B69" s="46" t="s">
        <v>389</v>
      </c>
      <c r="C69" s="47"/>
      <c r="D69" s="38">
        <v>817.0</v>
      </c>
      <c r="E69" s="38">
        <v>924.0</v>
      </c>
      <c r="F69" s="38">
        <v>114.0</v>
      </c>
      <c r="G69" s="38">
        <v>70.0</v>
      </c>
      <c r="H69" s="38">
        <v>56.0</v>
      </c>
      <c r="I69" s="48">
        <f t="shared" si="3"/>
        <v>1855</v>
      </c>
      <c r="J69" s="48">
        <f t="shared" si="4"/>
        <v>1981</v>
      </c>
      <c r="K69" s="49">
        <f t="shared" si="5"/>
        <v>0.4404312668</v>
      </c>
      <c r="L69" s="49">
        <f t="shared" si="6"/>
        <v>0.4981132075</v>
      </c>
      <c r="M69" s="49">
        <f t="shared" si="7"/>
        <v>0.06145552561</v>
      </c>
      <c r="N69" s="32" t="str">
        <f t="shared" si="8"/>
        <v>Mal. Lott</v>
      </c>
      <c r="O69" s="50" t="s">
        <v>77</v>
      </c>
      <c r="P69" s="38">
        <v>993.0</v>
      </c>
      <c r="Q69" s="38">
        <v>699.0</v>
      </c>
      <c r="R69" s="38">
        <v>128.0</v>
      </c>
      <c r="S69" s="38">
        <v>118.0</v>
      </c>
      <c r="T69" s="38">
        <v>43.0</v>
      </c>
      <c r="U69" s="48">
        <f t="shared" si="9"/>
        <v>1820</v>
      </c>
      <c r="V69" s="48">
        <f t="shared" si="10"/>
        <v>1981</v>
      </c>
      <c r="W69" s="49">
        <f t="shared" si="11"/>
        <v>0.5456043956</v>
      </c>
      <c r="X69" s="49">
        <f t="shared" si="12"/>
        <v>0.3840659341</v>
      </c>
      <c r="Y69" s="49">
        <f t="shared" si="13"/>
        <v>0.07032967033</v>
      </c>
      <c r="Z69" s="32" t="str">
        <f t="shared" si="14"/>
        <v>Jango</v>
      </c>
      <c r="AA69" s="50" t="s">
        <v>77</v>
      </c>
      <c r="AB69" s="38">
        <v>3392.0</v>
      </c>
      <c r="AC69" s="48">
        <f t="shared" si="18"/>
        <v>1411</v>
      </c>
      <c r="AD69" s="51">
        <f t="shared" si="16"/>
        <v>0.5840212264</v>
      </c>
    </row>
    <row r="70">
      <c r="A70" s="24"/>
      <c r="B70" s="46" t="s">
        <v>390</v>
      </c>
      <c r="C70" s="47"/>
      <c r="D70" s="38">
        <v>451.0</v>
      </c>
      <c r="E70" s="38">
        <v>188.0</v>
      </c>
      <c r="F70" s="38">
        <v>15.0</v>
      </c>
      <c r="G70" s="38">
        <v>22.0</v>
      </c>
      <c r="H70" s="38">
        <v>11.0</v>
      </c>
      <c r="I70" s="48">
        <f t="shared" si="3"/>
        <v>654</v>
      </c>
      <c r="J70" s="48">
        <f t="shared" si="4"/>
        <v>687</v>
      </c>
      <c r="K70" s="49">
        <f t="shared" si="5"/>
        <v>0.6896024465</v>
      </c>
      <c r="L70" s="49">
        <f t="shared" si="6"/>
        <v>0.2874617737</v>
      </c>
      <c r="M70" s="49">
        <f t="shared" si="7"/>
        <v>0.02293577982</v>
      </c>
      <c r="N70" s="32" t="str">
        <f t="shared" si="8"/>
        <v>Jânio</v>
      </c>
      <c r="O70" s="50" t="s">
        <v>77</v>
      </c>
      <c r="P70" s="38">
        <v>192.0</v>
      </c>
      <c r="Q70" s="38">
        <v>432.0</v>
      </c>
      <c r="R70" s="38">
        <v>19.0</v>
      </c>
      <c r="S70" s="38">
        <v>28.0</v>
      </c>
      <c r="T70" s="38">
        <v>16.0</v>
      </c>
      <c r="U70" s="48">
        <f t="shared" si="9"/>
        <v>643</v>
      </c>
      <c r="V70" s="48">
        <f t="shared" si="10"/>
        <v>687</v>
      </c>
      <c r="W70" s="49">
        <f t="shared" si="11"/>
        <v>0.298600311</v>
      </c>
      <c r="X70" s="49">
        <f t="shared" si="12"/>
        <v>0.6718506998</v>
      </c>
      <c r="Y70" s="49">
        <f t="shared" si="13"/>
        <v>0.02954898911</v>
      </c>
      <c r="Z70" s="32" t="str">
        <f t="shared" si="14"/>
        <v>Milton</v>
      </c>
      <c r="AA70" s="50" t="s">
        <v>77</v>
      </c>
      <c r="AB70" s="38">
        <v>1603.0</v>
      </c>
      <c r="AC70" s="48">
        <f t="shared" si="18"/>
        <v>916</v>
      </c>
      <c r="AD70" s="51">
        <f t="shared" si="16"/>
        <v>0.4285714286</v>
      </c>
    </row>
    <row r="71">
      <c r="A71" s="45" t="s">
        <v>211</v>
      </c>
      <c r="B71" s="46" t="s">
        <v>391</v>
      </c>
      <c r="C71" s="47"/>
      <c r="D71" s="38">
        <v>1248.0</v>
      </c>
      <c r="E71" s="38">
        <v>987.0</v>
      </c>
      <c r="F71" s="38">
        <v>188.0</v>
      </c>
      <c r="G71" s="38">
        <v>80.0</v>
      </c>
      <c r="H71" s="38">
        <v>82.0</v>
      </c>
      <c r="I71" s="48">
        <f t="shared" si="3"/>
        <v>2423</v>
      </c>
      <c r="J71" s="48">
        <f t="shared" si="4"/>
        <v>2585</v>
      </c>
      <c r="K71" s="49">
        <f t="shared" si="5"/>
        <v>0.5150639703</v>
      </c>
      <c r="L71" s="49">
        <f t="shared" si="6"/>
        <v>0.407346265</v>
      </c>
      <c r="M71" s="49">
        <f t="shared" si="7"/>
        <v>0.07758976475</v>
      </c>
      <c r="N71" s="32" t="str">
        <f t="shared" si="8"/>
        <v>Jânio</v>
      </c>
      <c r="O71" s="50" t="s">
        <v>77</v>
      </c>
      <c r="P71" s="38">
        <v>1097.0</v>
      </c>
      <c r="Q71" s="38">
        <v>1199.0</v>
      </c>
      <c r="R71" s="38">
        <v>96.0</v>
      </c>
      <c r="S71" s="38">
        <v>136.0</v>
      </c>
      <c r="T71" s="38">
        <v>57.0</v>
      </c>
      <c r="U71" s="48">
        <f t="shared" si="9"/>
        <v>2392</v>
      </c>
      <c r="V71" s="48">
        <f t="shared" si="10"/>
        <v>2585</v>
      </c>
      <c r="W71" s="49">
        <f t="shared" si="11"/>
        <v>0.4586120401</v>
      </c>
      <c r="X71" s="49">
        <f t="shared" si="12"/>
        <v>0.5012541806</v>
      </c>
      <c r="Y71" s="49">
        <f t="shared" si="13"/>
        <v>0.04013377926</v>
      </c>
      <c r="Z71" s="32" t="str">
        <f t="shared" si="14"/>
        <v>Milton</v>
      </c>
      <c r="AA71" s="50" t="s">
        <v>77</v>
      </c>
      <c r="AB71" s="38">
        <v>4241.0</v>
      </c>
      <c r="AC71" s="48">
        <f t="shared" si="18"/>
        <v>1656</v>
      </c>
      <c r="AD71" s="51">
        <f t="shared" si="16"/>
        <v>0.6095260552</v>
      </c>
    </row>
    <row r="72">
      <c r="A72" s="45" t="s">
        <v>213</v>
      </c>
      <c r="B72" s="46" t="s">
        <v>392</v>
      </c>
      <c r="C72" s="47"/>
      <c r="D72" s="38">
        <v>461.0</v>
      </c>
      <c r="E72" s="38">
        <v>1456.0</v>
      </c>
      <c r="F72" s="38">
        <v>57.0</v>
      </c>
      <c r="G72" s="38">
        <v>65.0</v>
      </c>
      <c r="H72" s="38">
        <v>45.0</v>
      </c>
      <c r="I72" s="48">
        <f t="shared" si="3"/>
        <v>1974</v>
      </c>
      <c r="J72" s="48">
        <f t="shared" si="4"/>
        <v>2084</v>
      </c>
      <c r="K72" s="49">
        <f t="shared" si="5"/>
        <v>0.2335359676</v>
      </c>
      <c r="L72" s="49">
        <f t="shared" si="6"/>
        <v>0.7375886525</v>
      </c>
      <c r="M72" s="49">
        <f t="shared" si="7"/>
        <v>0.02887537994</v>
      </c>
      <c r="N72" s="32" t="str">
        <f t="shared" si="8"/>
        <v>Mal. Lott</v>
      </c>
      <c r="O72" s="50" t="s">
        <v>77</v>
      </c>
      <c r="P72" s="38">
        <v>925.0</v>
      </c>
      <c r="Q72" s="38">
        <v>349.0</v>
      </c>
      <c r="R72" s="38">
        <v>676.0</v>
      </c>
      <c r="S72" s="38">
        <v>103.0</v>
      </c>
      <c r="T72" s="38">
        <v>31.0</v>
      </c>
      <c r="U72" s="48">
        <f t="shared" si="9"/>
        <v>1950</v>
      </c>
      <c r="V72" s="48">
        <f t="shared" si="10"/>
        <v>2084</v>
      </c>
      <c r="W72" s="49">
        <f t="shared" si="11"/>
        <v>0.4743589744</v>
      </c>
      <c r="X72" s="49">
        <f t="shared" si="12"/>
        <v>0.178974359</v>
      </c>
      <c r="Y72" s="49">
        <f t="shared" si="13"/>
        <v>0.3466666667</v>
      </c>
      <c r="Z72" s="32" t="str">
        <f t="shared" si="14"/>
        <v>Jango</v>
      </c>
      <c r="AA72" s="50" t="s">
        <v>77</v>
      </c>
      <c r="AB72" s="38">
        <v>3776.0</v>
      </c>
      <c r="AC72" s="48">
        <f t="shared" si="18"/>
        <v>1692</v>
      </c>
      <c r="AD72" s="51">
        <f t="shared" si="16"/>
        <v>0.5519067797</v>
      </c>
    </row>
    <row r="73">
      <c r="A73" s="61" t="s">
        <v>215</v>
      </c>
      <c r="B73" s="46" t="s">
        <v>393</v>
      </c>
      <c r="C73" s="47"/>
      <c r="D73" s="38">
        <v>283.0</v>
      </c>
      <c r="E73" s="38">
        <v>275.0</v>
      </c>
      <c r="F73" s="38">
        <v>28.0</v>
      </c>
      <c r="G73" s="38">
        <v>22.0</v>
      </c>
      <c r="H73" s="38">
        <v>29.0</v>
      </c>
      <c r="I73" s="48">
        <f t="shared" si="3"/>
        <v>586</v>
      </c>
      <c r="J73" s="48">
        <f t="shared" si="4"/>
        <v>637</v>
      </c>
      <c r="K73" s="49">
        <f t="shared" si="5"/>
        <v>0.4829351536</v>
      </c>
      <c r="L73" s="49">
        <f t="shared" si="6"/>
        <v>0.4692832765</v>
      </c>
      <c r="M73" s="49">
        <f t="shared" si="7"/>
        <v>0.04778156997</v>
      </c>
      <c r="N73" s="32" t="str">
        <f t="shared" si="8"/>
        <v>Jânio</v>
      </c>
      <c r="O73" s="50" t="s">
        <v>77</v>
      </c>
      <c r="P73" s="38">
        <v>284.0</v>
      </c>
      <c r="Q73" s="38">
        <v>275.0</v>
      </c>
      <c r="R73" s="38">
        <v>20.0</v>
      </c>
      <c r="S73" s="38">
        <v>28.0</v>
      </c>
      <c r="T73" s="38">
        <v>30.0</v>
      </c>
      <c r="U73" s="48">
        <f t="shared" si="9"/>
        <v>579</v>
      </c>
      <c r="V73" s="48">
        <f t="shared" si="10"/>
        <v>637</v>
      </c>
      <c r="W73" s="49">
        <f t="shared" si="11"/>
        <v>0.4905008636</v>
      </c>
      <c r="X73" s="49">
        <f t="shared" si="12"/>
        <v>0.4749568221</v>
      </c>
      <c r="Y73" s="49">
        <f t="shared" si="13"/>
        <v>0.03454231434</v>
      </c>
      <c r="Z73" s="32" t="str">
        <f t="shared" si="14"/>
        <v>Jango</v>
      </c>
      <c r="AA73" s="50" t="s">
        <v>77</v>
      </c>
      <c r="AB73" s="38">
        <v>1203.0</v>
      </c>
      <c r="AC73" s="48">
        <f t="shared" si="18"/>
        <v>566</v>
      </c>
      <c r="AD73" s="51">
        <f t="shared" si="16"/>
        <v>0.5295095594</v>
      </c>
    </row>
    <row r="74">
      <c r="A74" s="24"/>
      <c r="B74" s="46" t="s">
        <v>394</v>
      </c>
      <c r="C74" s="47"/>
      <c r="D74" s="38">
        <v>231.0</v>
      </c>
      <c r="E74" s="38">
        <v>193.0</v>
      </c>
      <c r="F74" s="38">
        <v>18.0</v>
      </c>
      <c r="G74" s="38">
        <v>20.0</v>
      </c>
      <c r="H74" s="38">
        <v>36.0</v>
      </c>
      <c r="I74" s="48">
        <f t="shared" si="3"/>
        <v>442</v>
      </c>
      <c r="J74" s="48">
        <f t="shared" si="4"/>
        <v>498</v>
      </c>
      <c r="K74" s="49">
        <f t="shared" si="5"/>
        <v>0.5226244344</v>
      </c>
      <c r="L74" s="49">
        <f t="shared" si="6"/>
        <v>0.4366515837</v>
      </c>
      <c r="M74" s="49">
        <f t="shared" si="7"/>
        <v>0.0407239819</v>
      </c>
      <c r="N74" s="32" t="str">
        <f t="shared" si="8"/>
        <v>Jânio</v>
      </c>
      <c r="O74" s="50" t="s">
        <v>77</v>
      </c>
      <c r="P74" s="38">
        <v>204.0</v>
      </c>
      <c r="Q74" s="38">
        <v>220.0</v>
      </c>
      <c r="R74" s="38">
        <v>19.0</v>
      </c>
      <c r="S74" s="38">
        <v>16.0</v>
      </c>
      <c r="T74" s="38">
        <v>39.0</v>
      </c>
      <c r="U74" s="48">
        <f t="shared" si="9"/>
        <v>443</v>
      </c>
      <c r="V74" s="48">
        <f t="shared" si="10"/>
        <v>498</v>
      </c>
      <c r="W74" s="49">
        <f t="shared" si="11"/>
        <v>0.460496614</v>
      </c>
      <c r="X74" s="49">
        <f t="shared" si="12"/>
        <v>0.4966139955</v>
      </c>
      <c r="Y74" s="49">
        <f t="shared" si="13"/>
        <v>0.04288939052</v>
      </c>
      <c r="Z74" s="32" t="str">
        <f t="shared" si="14"/>
        <v>Milton</v>
      </c>
      <c r="AA74" s="50" t="s">
        <v>77</v>
      </c>
      <c r="AB74" s="38">
        <v>1620.0</v>
      </c>
      <c r="AC74" s="48">
        <f t="shared" si="18"/>
        <v>1122</v>
      </c>
      <c r="AD74" s="51">
        <f t="shared" si="16"/>
        <v>0.3074074074</v>
      </c>
    </row>
    <row r="75">
      <c r="A75" s="45" t="s">
        <v>218</v>
      </c>
      <c r="B75" s="46" t="s">
        <v>395</v>
      </c>
      <c r="C75" s="47"/>
      <c r="D75" s="38">
        <v>819.0</v>
      </c>
      <c r="E75" s="38">
        <v>901.0</v>
      </c>
      <c r="F75" s="38">
        <v>101.0</v>
      </c>
      <c r="G75" s="38">
        <v>79.0</v>
      </c>
      <c r="H75" s="38">
        <v>59.0</v>
      </c>
      <c r="I75" s="48">
        <f t="shared" si="3"/>
        <v>1821</v>
      </c>
      <c r="J75" s="48">
        <f t="shared" si="4"/>
        <v>1959</v>
      </c>
      <c r="K75" s="49">
        <f t="shared" si="5"/>
        <v>0.449752883</v>
      </c>
      <c r="L75" s="49">
        <f t="shared" si="6"/>
        <v>0.4947830862</v>
      </c>
      <c r="M75" s="49">
        <f t="shared" si="7"/>
        <v>0.05546403075</v>
      </c>
      <c r="N75" s="32" t="str">
        <f t="shared" si="8"/>
        <v>Mal. Lott</v>
      </c>
      <c r="O75" s="50" t="s">
        <v>77</v>
      </c>
      <c r="P75" s="38">
        <v>923.0</v>
      </c>
      <c r="Q75" s="38">
        <v>789.0</v>
      </c>
      <c r="R75" s="38">
        <v>68.0</v>
      </c>
      <c r="S75" s="38">
        <v>118.0</v>
      </c>
      <c r="T75" s="38">
        <v>61.0</v>
      </c>
      <c r="U75" s="48">
        <f t="shared" si="9"/>
        <v>1780</v>
      </c>
      <c r="V75" s="48">
        <f t="shared" si="10"/>
        <v>1959</v>
      </c>
      <c r="W75" s="49">
        <f t="shared" si="11"/>
        <v>0.5185393258</v>
      </c>
      <c r="X75" s="49">
        <f t="shared" si="12"/>
        <v>0.443258427</v>
      </c>
      <c r="Y75" s="49">
        <f t="shared" si="13"/>
        <v>0.03820224719</v>
      </c>
      <c r="Z75" s="32" t="str">
        <f t="shared" si="14"/>
        <v>Jango</v>
      </c>
      <c r="AA75" s="50" t="s">
        <v>77</v>
      </c>
      <c r="AB75" s="38">
        <v>2754.0</v>
      </c>
      <c r="AC75" s="48">
        <f t="shared" si="18"/>
        <v>795</v>
      </c>
      <c r="AD75" s="51">
        <f t="shared" si="16"/>
        <v>0.711328976</v>
      </c>
    </row>
    <row r="76">
      <c r="A76" s="45" t="s">
        <v>220</v>
      </c>
      <c r="B76" s="46" t="s">
        <v>396</v>
      </c>
      <c r="C76" s="47"/>
      <c r="D76" s="38">
        <v>852.0</v>
      </c>
      <c r="E76" s="38">
        <v>617.0</v>
      </c>
      <c r="F76" s="38">
        <v>82.0</v>
      </c>
      <c r="G76" s="38">
        <v>75.0</v>
      </c>
      <c r="H76" s="38">
        <v>59.0</v>
      </c>
      <c r="I76" s="48">
        <f t="shared" si="3"/>
        <v>1551</v>
      </c>
      <c r="J76" s="48">
        <f t="shared" si="4"/>
        <v>1685</v>
      </c>
      <c r="K76" s="49">
        <f t="shared" si="5"/>
        <v>0.5493230174</v>
      </c>
      <c r="L76" s="49">
        <f t="shared" si="6"/>
        <v>0.3978078659</v>
      </c>
      <c r="M76" s="49">
        <f t="shared" si="7"/>
        <v>0.0528691167</v>
      </c>
      <c r="N76" s="32" t="str">
        <f t="shared" si="8"/>
        <v>Jânio</v>
      </c>
      <c r="O76" s="50" t="s">
        <v>77</v>
      </c>
      <c r="P76" s="38">
        <v>647.0</v>
      </c>
      <c r="Q76" s="38">
        <v>743.0</v>
      </c>
      <c r="R76" s="38">
        <v>87.0</v>
      </c>
      <c r="S76" s="38">
        <v>142.0</v>
      </c>
      <c r="T76" s="38">
        <v>66.0</v>
      </c>
      <c r="U76" s="48">
        <f t="shared" si="9"/>
        <v>1477</v>
      </c>
      <c r="V76" s="48">
        <f t="shared" si="10"/>
        <v>1685</v>
      </c>
      <c r="W76" s="49">
        <f t="shared" si="11"/>
        <v>0.4380501016</v>
      </c>
      <c r="X76" s="49">
        <f t="shared" si="12"/>
        <v>0.5030467163</v>
      </c>
      <c r="Y76" s="49">
        <f t="shared" si="13"/>
        <v>0.05890318213</v>
      </c>
      <c r="Z76" s="32" t="str">
        <f t="shared" si="14"/>
        <v>Milton</v>
      </c>
      <c r="AA76" s="50" t="s">
        <v>77</v>
      </c>
      <c r="AB76" s="38">
        <v>3723.0</v>
      </c>
      <c r="AC76" s="48">
        <f t="shared" si="18"/>
        <v>2038</v>
      </c>
      <c r="AD76" s="51">
        <f t="shared" si="16"/>
        <v>0.4525919957</v>
      </c>
    </row>
    <row r="77">
      <c r="A77" s="61" t="s">
        <v>295</v>
      </c>
      <c r="B77" s="46" t="s">
        <v>397</v>
      </c>
      <c r="C77" s="47"/>
      <c r="D77" s="38">
        <v>759.0</v>
      </c>
      <c r="E77" s="38">
        <v>732.0</v>
      </c>
      <c r="F77" s="38">
        <v>65.0</v>
      </c>
      <c r="G77" s="38">
        <v>104.0</v>
      </c>
      <c r="H77" s="38">
        <v>69.0</v>
      </c>
      <c r="I77" s="48">
        <f t="shared" si="3"/>
        <v>1556</v>
      </c>
      <c r="J77" s="48">
        <f t="shared" si="4"/>
        <v>1729</v>
      </c>
      <c r="K77" s="49">
        <f t="shared" si="5"/>
        <v>0.4877892031</v>
      </c>
      <c r="L77" s="49">
        <f t="shared" si="6"/>
        <v>0.470437018</v>
      </c>
      <c r="M77" s="49">
        <f t="shared" si="7"/>
        <v>0.04177377892</v>
      </c>
      <c r="N77" s="32" t="str">
        <f t="shared" si="8"/>
        <v>Jânio</v>
      </c>
      <c r="O77" s="50" t="s">
        <v>77</v>
      </c>
      <c r="P77" s="38">
        <v>752.0</v>
      </c>
      <c r="Q77" s="38">
        <v>617.0</v>
      </c>
      <c r="R77" s="38">
        <v>169.0</v>
      </c>
      <c r="S77" s="38">
        <v>132.0</v>
      </c>
      <c r="T77" s="38">
        <v>59.0</v>
      </c>
      <c r="U77" s="48">
        <f t="shared" si="9"/>
        <v>1538</v>
      </c>
      <c r="V77" s="48">
        <f t="shared" si="10"/>
        <v>1729</v>
      </c>
      <c r="W77" s="49">
        <f t="shared" si="11"/>
        <v>0.488946684</v>
      </c>
      <c r="X77" s="49">
        <f t="shared" si="12"/>
        <v>0.4011703511</v>
      </c>
      <c r="Y77" s="49">
        <f t="shared" si="13"/>
        <v>0.1098829649</v>
      </c>
      <c r="Z77" s="32" t="str">
        <f t="shared" si="14"/>
        <v>Jango</v>
      </c>
      <c r="AA77" s="50" t="s">
        <v>77</v>
      </c>
      <c r="AB77" s="38">
        <v>3917.0</v>
      </c>
      <c r="AC77" s="48">
        <f t="shared" si="18"/>
        <v>2188</v>
      </c>
      <c r="AD77" s="51">
        <f t="shared" si="16"/>
        <v>0.4414092418</v>
      </c>
    </row>
    <row r="78">
      <c r="A78" s="24"/>
      <c r="B78" s="46" t="s">
        <v>398</v>
      </c>
      <c r="C78" s="47"/>
      <c r="D78" s="38">
        <v>539.0</v>
      </c>
      <c r="E78" s="38">
        <v>272.0</v>
      </c>
      <c r="F78" s="38">
        <v>30.0</v>
      </c>
      <c r="G78" s="38">
        <v>70.0</v>
      </c>
      <c r="H78" s="38">
        <v>50.0</v>
      </c>
      <c r="I78" s="48">
        <f t="shared" si="3"/>
        <v>841</v>
      </c>
      <c r="J78" s="48">
        <f t="shared" si="4"/>
        <v>961</v>
      </c>
      <c r="K78" s="49">
        <f t="shared" si="5"/>
        <v>0.6409036861</v>
      </c>
      <c r="L78" s="49">
        <f t="shared" si="6"/>
        <v>0.3234244946</v>
      </c>
      <c r="M78" s="49">
        <f t="shared" si="7"/>
        <v>0.03567181926</v>
      </c>
      <c r="N78" s="32" t="str">
        <f t="shared" si="8"/>
        <v>Jânio</v>
      </c>
      <c r="O78" s="50" t="s">
        <v>77</v>
      </c>
      <c r="P78" s="38">
        <v>174.0</v>
      </c>
      <c r="Q78" s="38">
        <v>485.0</v>
      </c>
      <c r="R78" s="38">
        <v>151.0</v>
      </c>
      <c r="S78" s="38">
        <v>107.0</v>
      </c>
      <c r="T78" s="38">
        <v>44.0</v>
      </c>
      <c r="U78" s="48">
        <f t="shared" si="9"/>
        <v>810</v>
      </c>
      <c r="V78" s="48">
        <f t="shared" si="10"/>
        <v>961</v>
      </c>
      <c r="W78" s="49">
        <f t="shared" si="11"/>
        <v>0.2148148148</v>
      </c>
      <c r="X78" s="49">
        <f t="shared" si="12"/>
        <v>0.5987654321</v>
      </c>
      <c r="Y78" s="49">
        <f t="shared" si="13"/>
        <v>0.1864197531</v>
      </c>
      <c r="Z78" s="32" t="str">
        <f t="shared" si="14"/>
        <v>Milton</v>
      </c>
      <c r="AA78" s="50" t="s">
        <v>77</v>
      </c>
      <c r="AB78" s="38">
        <v>2506.0</v>
      </c>
      <c r="AC78" s="48">
        <f t="shared" si="18"/>
        <v>1545</v>
      </c>
      <c r="AD78" s="51">
        <f t="shared" si="16"/>
        <v>0.3834796488</v>
      </c>
    </row>
    <row r="79">
      <c r="A79" s="45" t="s">
        <v>299</v>
      </c>
      <c r="B79" s="46" t="s">
        <v>399</v>
      </c>
      <c r="C79" s="47"/>
      <c r="D79" s="38">
        <v>291.0</v>
      </c>
      <c r="E79" s="38">
        <v>490.0</v>
      </c>
      <c r="F79" s="38">
        <v>27.0</v>
      </c>
      <c r="G79" s="38">
        <v>18.0</v>
      </c>
      <c r="H79" s="38">
        <v>15.0</v>
      </c>
      <c r="I79" s="48">
        <f t="shared" si="3"/>
        <v>808</v>
      </c>
      <c r="J79" s="48">
        <f t="shared" si="4"/>
        <v>841</v>
      </c>
      <c r="K79" s="49">
        <f t="shared" si="5"/>
        <v>0.3601485149</v>
      </c>
      <c r="L79" s="49">
        <f t="shared" si="6"/>
        <v>0.6064356436</v>
      </c>
      <c r="M79" s="49">
        <f t="shared" si="7"/>
        <v>0.03341584158</v>
      </c>
      <c r="N79" s="32" t="str">
        <f t="shared" si="8"/>
        <v>Mal. Lott</v>
      </c>
      <c r="O79" s="50" t="s">
        <v>77</v>
      </c>
      <c r="P79" s="38">
        <v>453.0</v>
      </c>
      <c r="Q79" s="38">
        <v>292.0</v>
      </c>
      <c r="R79" s="38">
        <v>50.0</v>
      </c>
      <c r="S79" s="38">
        <v>36.0</v>
      </c>
      <c r="T79" s="38">
        <v>10.0</v>
      </c>
      <c r="U79" s="48">
        <f t="shared" si="9"/>
        <v>795</v>
      </c>
      <c r="V79" s="48">
        <f t="shared" si="10"/>
        <v>841</v>
      </c>
      <c r="W79" s="49">
        <f t="shared" si="11"/>
        <v>0.5698113208</v>
      </c>
      <c r="X79" s="49">
        <f t="shared" si="12"/>
        <v>0.3672955975</v>
      </c>
      <c r="Y79" s="49">
        <f t="shared" si="13"/>
        <v>0.06289308176</v>
      </c>
      <c r="Z79" s="32" t="str">
        <f t="shared" si="14"/>
        <v>Jango</v>
      </c>
      <c r="AA79" s="50" t="s">
        <v>77</v>
      </c>
      <c r="AB79" s="38">
        <v>2820.0</v>
      </c>
      <c r="AC79" s="48">
        <f t="shared" si="18"/>
        <v>1979</v>
      </c>
      <c r="AD79" s="51">
        <f t="shared" si="16"/>
        <v>0.2982269504</v>
      </c>
    </row>
    <row r="80">
      <c r="A80" s="45" t="s">
        <v>302</v>
      </c>
      <c r="B80" s="46" t="s">
        <v>400</v>
      </c>
      <c r="C80" s="47"/>
      <c r="D80" s="38">
        <v>926.0</v>
      </c>
      <c r="E80" s="38">
        <v>752.0</v>
      </c>
      <c r="F80" s="38">
        <v>140.0</v>
      </c>
      <c r="G80" s="38">
        <v>42.0</v>
      </c>
      <c r="H80" s="38">
        <v>122.0</v>
      </c>
      <c r="I80" s="48">
        <f t="shared" si="3"/>
        <v>1818</v>
      </c>
      <c r="J80" s="48">
        <f t="shared" si="4"/>
        <v>1982</v>
      </c>
      <c r="K80" s="49">
        <f t="shared" si="5"/>
        <v>0.5093509351</v>
      </c>
      <c r="L80" s="49">
        <f t="shared" si="6"/>
        <v>0.4136413641</v>
      </c>
      <c r="M80" s="49">
        <f t="shared" si="7"/>
        <v>0.07700770077</v>
      </c>
      <c r="N80" s="32" t="str">
        <f t="shared" si="8"/>
        <v>Jânio</v>
      </c>
      <c r="O80" s="50" t="s">
        <v>77</v>
      </c>
      <c r="P80" s="38">
        <v>1168.0</v>
      </c>
      <c r="Q80" s="38">
        <v>388.0</v>
      </c>
      <c r="R80" s="38">
        <v>211.0</v>
      </c>
      <c r="S80" s="38">
        <v>131.0</v>
      </c>
      <c r="T80" s="38">
        <v>84.0</v>
      </c>
      <c r="U80" s="48">
        <f t="shared" si="9"/>
        <v>1767</v>
      </c>
      <c r="V80" s="48">
        <f t="shared" si="10"/>
        <v>1982</v>
      </c>
      <c r="W80" s="49">
        <f t="shared" si="11"/>
        <v>0.6610073571</v>
      </c>
      <c r="X80" s="49">
        <f t="shared" si="12"/>
        <v>0.2195812111</v>
      </c>
      <c r="Y80" s="49">
        <f t="shared" si="13"/>
        <v>0.1194114318</v>
      </c>
      <c r="Z80" s="32" t="str">
        <f t="shared" si="14"/>
        <v>Jango</v>
      </c>
      <c r="AA80" s="50" t="s">
        <v>77</v>
      </c>
      <c r="AB80" s="38">
        <v>3810.0</v>
      </c>
      <c r="AC80" s="48">
        <f t="shared" si="18"/>
        <v>1828</v>
      </c>
      <c r="AD80" s="51">
        <f t="shared" si="16"/>
        <v>0.5202099738</v>
      </c>
    </row>
    <row r="81">
      <c r="A81" s="45" t="s">
        <v>304</v>
      </c>
      <c r="B81" s="46" t="s">
        <v>401</v>
      </c>
      <c r="C81" s="47"/>
      <c r="D81" s="38">
        <v>511.0</v>
      </c>
      <c r="E81" s="38">
        <v>796.0</v>
      </c>
      <c r="F81" s="38">
        <v>249.0</v>
      </c>
      <c r="G81" s="38">
        <v>37.0</v>
      </c>
      <c r="H81" s="38">
        <v>33.0</v>
      </c>
      <c r="I81" s="48">
        <f t="shared" si="3"/>
        <v>1556</v>
      </c>
      <c r="J81" s="48">
        <f t="shared" si="4"/>
        <v>1626</v>
      </c>
      <c r="K81" s="49">
        <f t="shared" si="5"/>
        <v>0.3284061697</v>
      </c>
      <c r="L81" s="49">
        <f t="shared" si="6"/>
        <v>0.5115681234</v>
      </c>
      <c r="M81" s="49">
        <f t="shared" si="7"/>
        <v>0.1600257069</v>
      </c>
      <c r="N81" s="32" t="str">
        <f t="shared" si="8"/>
        <v>Mal. Lott</v>
      </c>
      <c r="O81" s="50" t="s">
        <v>77</v>
      </c>
      <c r="P81" s="38">
        <v>858.0</v>
      </c>
      <c r="Q81" s="38">
        <v>456.0</v>
      </c>
      <c r="R81" s="38">
        <v>145.0</v>
      </c>
      <c r="S81" s="38">
        <v>145.0</v>
      </c>
      <c r="T81" s="38">
        <v>22.0</v>
      </c>
      <c r="U81" s="48">
        <f t="shared" si="9"/>
        <v>1459</v>
      </c>
      <c r="V81" s="48">
        <f t="shared" si="10"/>
        <v>1626</v>
      </c>
      <c r="W81" s="49">
        <f t="shared" si="11"/>
        <v>0.5880740233</v>
      </c>
      <c r="X81" s="49">
        <f t="shared" si="12"/>
        <v>0.3125428376</v>
      </c>
      <c r="Y81" s="49">
        <f t="shared" si="13"/>
        <v>0.09938313914</v>
      </c>
      <c r="Z81" s="32" t="str">
        <f t="shared" si="14"/>
        <v>Jango</v>
      </c>
      <c r="AA81" s="50" t="s">
        <v>77</v>
      </c>
      <c r="AB81" s="38">
        <v>3401.0</v>
      </c>
      <c r="AC81" s="48">
        <f t="shared" si="18"/>
        <v>1775</v>
      </c>
      <c r="AD81" s="51">
        <f t="shared" si="16"/>
        <v>0.478094678</v>
      </c>
    </row>
    <row r="82">
      <c r="A82" s="45" t="s">
        <v>308</v>
      </c>
      <c r="B82" s="46" t="s">
        <v>402</v>
      </c>
      <c r="C82" s="47"/>
      <c r="D82" s="38">
        <v>221.0</v>
      </c>
      <c r="E82" s="38">
        <v>601.0</v>
      </c>
      <c r="F82" s="38">
        <v>42.0</v>
      </c>
      <c r="G82" s="38">
        <v>29.0</v>
      </c>
      <c r="H82" s="38">
        <v>38.0</v>
      </c>
      <c r="I82" s="48">
        <f t="shared" si="3"/>
        <v>864</v>
      </c>
      <c r="J82" s="48">
        <f t="shared" si="4"/>
        <v>931</v>
      </c>
      <c r="K82" s="49">
        <f t="shared" si="5"/>
        <v>0.255787037</v>
      </c>
      <c r="L82" s="49">
        <f t="shared" si="6"/>
        <v>0.6956018519</v>
      </c>
      <c r="M82" s="49">
        <f t="shared" si="7"/>
        <v>0.04861111111</v>
      </c>
      <c r="N82" s="32" t="str">
        <f t="shared" si="8"/>
        <v>Mal. Lott</v>
      </c>
      <c r="O82" s="50" t="s">
        <v>77</v>
      </c>
      <c r="P82" s="38">
        <v>631.0</v>
      </c>
      <c r="Q82" s="38">
        <v>198.0</v>
      </c>
      <c r="R82" s="38">
        <v>26.0</v>
      </c>
      <c r="S82" s="38">
        <v>47.0</v>
      </c>
      <c r="T82" s="38">
        <v>29.0</v>
      </c>
      <c r="U82" s="48">
        <f t="shared" si="9"/>
        <v>855</v>
      </c>
      <c r="V82" s="48">
        <f t="shared" si="10"/>
        <v>931</v>
      </c>
      <c r="W82" s="49">
        <f t="shared" si="11"/>
        <v>0.7380116959</v>
      </c>
      <c r="X82" s="49">
        <f t="shared" si="12"/>
        <v>0.2315789474</v>
      </c>
      <c r="Y82" s="49">
        <f t="shared" si="13"/>
        <v>0.03040935673</v>
      </c>
      <c r="Z82" s="32" t="str">
        <f t="shared" si="14"/>
        <v>Jango</v>
      </c>
      <c r="AA82" s="50" t="s">
        <v>77</v>
      </c>
      <c r="AB82" s="38">
        <v>2314.0</v>
      </c>
      <c r="AC82" s="48">
        <f t="shared" si="18"/>
        <v>1383</v>
      </c>
      <c r="AD82" s="51">
        <f t="shared" si="16"/>
        <v>0.4023336214</v>
      </c>
    </row>
    <row r="83">
      <c r="A83" s="45" t="s">
        <v>312</v>
      </c>
      <c r="B83" s="46" t="s">
        <v>403</v>
      </c>
      <c r="C83" s="47"/>
      <c r="D83" s="38">
        <v>584.0</v>
      </c>
      <c r="E83" s="38">
        <v>800.0</v>
      </c>
      <c r="F83" s="38">
        <v>64.0</v>
      </c>
      <c r="G83" s="38">
        <v>50.0</v>
      </c>
      <c r="H83" s="38">
        <v>63.0</v>
      </c>
      <c r="I83" s="48">
        <f t="shared" si="3"/>
        <v>1448</v>
      </c>
      <c r="J83" s="48">
        <f t="shared" si="4"/>
        <v>1561</v>
      </c>
      <c r="K83" s="49">
        <f t="shared" si="5"/>
        <v>0.4033149171</v>
      </c>
      <c r="L83" s="49">
        <f t="shared" si="6"/>
        <v>0.5524861878</v>
      </c>
      <c r="M83" s="49">
        <f t="shared" si="7"/>
        <v>0.04419889503</v>
      </c>
      <c r="N83" s="32" t="str">
        <f t="shared" si="8"/>
        <v>Mal. Lott</v>
      </c>
      <c r="O83" s="50" t="s">
        <v>77</v>
      </c>
      <c r="P83" s="38">
        <v>810.0</v>
      </c>
      <c r="Q83" s="38">
        <v>565.0</v>
      </c>
      <c r="R83" s="38">
        <v>69.0</v>
      </c>
      <c r="S83" s="38">
        <v>71.0</v>
      </c>
      <c r="T83" s="38">
        <v>46.0</v>
      </c>
      <c r="U83" s="48">
        <f t="shared" si="9"/>
        <v>1444</v>
      </c>
      <c r="V83" s="48">
        <f t="shared" si="10"/>
        <v>1561</v>
      </c>
      <c r="W83" s="49">
        <f t="shared" si="11"/>
        <v>0.5609418283</v>
      </c>
      <c r="X83" s="49">
        <f t="shared" si="12"/>
        <v>0.3912742382</v>
      </c>
      <c r="Y83" s="49">
        <f t="shared" si="13"/>
        <v>0.04778393352</v>
      </c>
      <c r="Z83" s="32" t="str">
        <f t="shared" si="14"/>
        <v>Jango</v>
      </c>
      <c r="AA83" s="50" t="s">
        <v>77</v>
      </c>
      <c r="AB83" s="38">
        <v>3215.0</v>
      </c>
      <c r="AC83" s="48">
        <f t="shared" si="18"/>
        <v>1654</v>
      </c>
      <c r="AD83" s="51">
        <f t="shared" si="16"/>
        <v>0.4855365474</v>
      </c>
    </row>
    <row r="84">
      <c r="A84" s="45" t="s">
        <v>314</v>
      </c>
      <c r="B84" s="46" t="s">
        <v>404</v>
      </c>
      <c r="C84" s="47"/>
      <c r="D84" s="38">
        <v>281.0</v>
      </c>
      <c r="E84" s="38">
        <v>149.0</v>
      </c>
      <c r="F84" s="38">
        <v>11.0</v>
      </c>
      <c r="G84" s="38">
        <v>19.0</v>
      </c>
      <c r="H84" s="38">
        <v>10.0</v>
      </c>
      <c r="I84" s="48">
        <f t="shared" si="3"/>
        <v>441</v>
      </c>
      <c r="J84" s="48">
        <f t="shared" si="4"/>
        <v>470</v>
      </c>
      <c r="K84" s="49">
        <f t="shared" si="5"/>
        <v>0.6371882086</v>
      </c>
      <c r="L84" s="49">
        <f t="shared" si="6"/>
        <v>0.3378684807</v>
      </c>
      <c r="M84" s="49">
        <f t="shared" si="7"/>
        <v>0.02494331066</v>
      </c>
      <c r="N84" s="32" t="str">
        <f t="shared" si="8"/>
        <v>Jânio</v>
      </c>
      <c r="O84" s="50" t="s">
        <v>77</v>
      </c>
      <c r="P84" s="38">
        <v>211.0</v>
      </c>
      <c r="Q84" s="38">
        <v>174.0</v>
      </c>
      <c r="R84" s="38">
        <v>49.0</v>
      </c>
      <c r="S84" s="38">
        <v>28.0</v>
      </c>
      <c r="T84" s="38">
        <v>8.0</v>
      </c>
      <c r="U84" s="48">
        <f t="shared" si="9"/>
        <v>434</v>
      </c>
      <c r="V84" s="48">
        <f t="shared" si="10"/>
        <v>470</v>
      </c>
      <c r="W84" s="49">
        <f t="shared" si="11"/>
        <v>0.4861751152</v>
      </c>
      <c r="X84" s="49">
        <f t="shared" si="12"/>
        <v>0.400921659</v>
      </c>
      <c r="Y84" s="49">
        <f t="shared" si="13"/>
        <v>0.1129032258</v>
      </c>
      <c r="Z84" s="32" t="str">
        <f t="shared" si="14"/>
        <v>Jango</v>
      </c>
      <c r="AA84" s="50" t="s">
        <v>77</v>
      </c>
      <c r="AB84" s="38">
        <v>1418.0</v>
      </c>
      <c r="AC84" s="48">
        <f t="shared" si="18"/>
        <v>948</v>
      </c>
      <c r="AD84" s="51">
        <f t="shared" si="16"/>
        <v>0.3314527504</v>
      </c>
    </row>
    <row r="85">
      <c r="A85" s="45" t="s">
        <v>254</v>
      </c>
      <c r="B85" s="46" t="s">
        <v>405</v>
      </c>
      <c r="C85" s="47"/>
      <c r="D85" s="38">
        <v>309.0</v>
      </c>
      <c r="E85" s="38">
        <v>805.0</v>
      </c>
      <c r="F85" s="38">
        <v>110.0</v>
      </c>
      <c r="G85" s="38">
        <v>52.0</v>
      </c>
      <c r="H85" s="38">
        <v>68.0</v>
      </c>
      <c r="I85" s="48">
        <f t="shared" si="3"/>
        <v>1224</v>
      </c>
      <c r="J85" s="48">
        <f t="shared" si="4"/>
        <v>1344</v>
      </c>
      <c r="K85" s="49">
        <f t="shared" si="5"/>
        <v>0.2524509804</v>
      </c>
      <c r="L85" s="49">
        <f t="shared" si="6"/>
        <v>0.6576797386</v>
      </c>
      <c r="M85" s="49">
        <f t="shared" si="7"/>
        <v>0.08986928105</v>
      </c>
      <c r="N85" s="32" t="str">
        <f t="shared" si="8"/>
        <v>Mal. Lott</v>
      </c>
      <c r="O85" s="50" t="s">
        <v>77</v>
      </c>
      <c r="P85" s="38">
        <v>854.0</v>
      </c>
      <c r="Q85" s="38">
        <v>251.0</v>
      </c>
      <c r="R85" s="38">
        <v>89.0</v>
      </c>
      <c r="S85" s="38">
        <v>95.0</v>
      </c>
      <c r="T85" s="38">
        <v>55.0</v>
      </c>
      <c r="U85" s="48">
        <f t="shared" si="9"/>
        <v>1194</v>
      </c>
      <c r="V85" s="48">
        <f t="shared" si="10"/>
        <v>1344</v>
      </c>
      <c r="W85" s="49">
        <f t="shared" si="11"/>
        <v>0.7152428811</v>
      </c>
      <c r="X85" s="49">
        <f t="shared" si="12"/>
        <v>0.2102177554</v>
      </c>
      <c r="Y85" s="49">
        <f t="shared" si="13"/>
        <v>0.07453936348</v>
      </c>
      <c r="Z85" s="32" t="str">
        <f t="shared" si="14"/>
        <v>Jango</v>
      </c>
      <c r="AA85" s="50" t="s">
        <v>77</v>
      </c>
      <c r="AB85" s="38">
        <v>2385.0</v>
      </c>
      <c r="AC85" s="48">
        <f t="shared" si="18"/>
        <v>1041</v>
      </c>
      <c r="AD85" s="51">
        <f t="shared" si="16"/>
        <v>0.5635220126</v>
      </c>
    </row>
    <row r="86">
      <c r="A86" s="45" t="s">
        <v>258</v>
      </c>
      <c r="B86" s="46" t="s">
        <v>406</v>
      </c>
      <c r="C86" s="47"/>
      <c r="D86" s="38">
        <v>246.0</v>
      </c>
      <c r="E86" s="38">
        <v>1442.0</v>
      </c>
      <c r="F86" s="38">
        <v>29.0</v>
      </c>
      <c r="G86" s="38">
        <v>3.0</v>
      </c>
      <c r="H86" s="38">
        <v>38.0</v>
      </c>
      <c r="I86" s="48">
        <f t="shared" si="3"/>
        <v>1717</v>
      </c>
      <c r="J86" s="48">
        <f t="shared" si="4"/>
        <v>1758</v>
      </c>
      <c r="K86" s="49">
        <f t="shared" si="5"/>
        <v>0.1432731508</v>
      </c>
      <c r="L86" s="49">
        <f t="shared" si="6"/>
        <v>0.8398369249</v>
      </c>
      <c r="M86" s="49">
        <f t="shared" si="7"/>
        <v>0.01688992429</v>
      </c>
      <c r="N86" s="32" t="str">
        <f t="shared" si="8"/>
        <v>Mal. Lott</v>
      </c>
      <c r="O86" s="50" t="s">
        <v>77</v>
      </c>
      <c r="P86" s="38">
        <v>1426.0</v>
      </c>
      <c r="Q86" s="38">
        <v>222.0</v>
      </c>
      <c r="R86" s="38">
        <v>77.0</v>
      </c>
      <c r="S86" s="38">
        <v>9.0</v>
      </c>
      <c r="T86" s="38">
        <v>24.0</v>
      </c>
      <c r="U86" s="48">
        <f t="shared" si="9"/>
        <v>1725</v>
      </c>
      <c r="V86" s="48">
        <f t="shared" si="10"/>
        <v>1758</v>
      </c>
      <c r="W86" s="49">
        <f t="shared" si="11"/>
        <v>0.8266666667</v>
      </c>
      <c r="X86" s="49">
        <f t="shared" si="12"/>
        <v>0.1286956522</v>
      </c>
      <c r="Y86" s="49">
        <f t="shared" si="13"/>
        <v>0.04463768116</v>
      </c>
      <c r="Z86" s="32" t="str">
        <f t="shared" si="14"/>
        <v>Jango</v>
      </c>
      <c r="AA86" s="50" t="s">
        <v>77</v>
      </c>
      <c r="AB86" s="38">
        <v>2193.0</v>
      </c>
      <c r="AC86" s="48">
        <f t="shared" si="18"/>
        <v>435</v>
      </c>
      <c r="AD86" s="51">
        <f t="shared" si="16"/>
        <v>0.8016415869</v>
      </c>
    </row>
    <row r="87">
      <c r="A87" s="69" t="s">
        <v>54</v>
      </c>
      <c r="B87" s="13"/>
      <c r="C87" s="47"/>
      <c r="D87" s="38">
        <f t="shared" ref="D87:H87" si="19">SUM(D14,D17:D86)</f>
        <v>53172</v>
      </c>
      <c r="E87" s="38">
        <f t="shared" si="19"/>
        <v>61061</v>
      </c>
      <c r="F87" s="38">
        <f t="shared" si="19"/>
        <v>7780</v>
      </c>
      <c r="G87" s="38">
        <f t="shared" si="19"/>
        <v>4638</v>
      </c>
      <c r="H87" s="38">
        <f t="shared" si="19"/>
        <v>5682</v>
      </c>
      <c r="I87" s="48">
        <f t="shared" si="3"/>
        <v>122013</v>
      </c>
      <c r="J87" s="48">
        <f t="shared" si="4"/>
        <v>132333</v>
      </c>
      <c r="K87" s="49">
        <f t="shared" si="5"/>
        <v>0.435789629</v>
      </c>
      <c r="L87" s="49">
        <f t="shared" si="6"/>
        <v>0.5004466737</v>
      </c>
      <c r="M87" s="49">
        <f t="shared" si="7"/>
        <v>0.06376369731</v>
      </c>
      <c r="N87" s="32" t="str">
        <f t="shared" si="8"/>
        <v>Mal. Lott</v>
      </c>
      <c r="O87" s="50"/>
      <c r="P87" s="38">
        <f t="shared" ref="P87:T87" si="20">SUM(P14,P17:P86)</f>
        <v>62110</v>
      </c>
      <c r="Q87" s="38">
        <f t="shared" si="20"/>
        <v>47324</v>
      </c>
      <c r="R87" s="38">
        <f t="shared" si="20"/>
        <v>10637</v>
      </c>
      <c r="S87" s="38">
        <f t="shared" si="20"/>
        <v>7984</v>
      </c>
      <c r="T87" s="38">
        <f t="shared" si="20"/>
        <v>4278</v>
      </c>
      <c r="U87" s="48">
        <f t="shared" si="9"/>
        <v>120071</v>
      </c>
      <c r="V87" s="48">
        <f t="shared" si="10"/>
        <v>132333</v>
      </c>
      <c r="W87" s="49">
        <f t="shared" si="11"/>
        <v>0.5172772776</v>
      </c>
      <c r="X87" s="49">
        <f t="shared" si="12"/>
        <v>0.394133471</v>
      </c>
      <c r="Y87" s="49">
        <f t="shared" si="13"/>
        <v>0.08858925136</v>
      </c>
      <c r="Z87" s="32" t="str">
        <f t="shared" si="14"/>
        <v>Jango</v>
      </c>
      <c r="AA87" s="44"/>
      <c r="AB87" s="38">
        <f>SUM(AB14,AB17:AB86)</f>
        <v>244262</v>
      </c>
      <c r="AC87" s="48">
        <f t="shared" si="18"/>
        <v>111929</v>
      </c>
      <c r="AD87" s="51">
        <f t="shared" si="16"/>
        <v>0.5417666276</v>
      </c>
    </row>
    <row r="88">
      <c r="O88" s="73"/>
    </row>
    <row r="89">
      <c r="B89" s="74" t="s">
        <v>138</v>
      </c>
      <c r="D89" s="75"/>
      <c r="E89" s="75"/>
      <c r="F89" s="75"/>
      <c r="G89" s="75"/>
    </row>
    <row r="90">
      <c r="B90" s="76" t="s">
        <v>139</v>
      </c>
      <c r="C90" s="33"/>
      <c r="D90" s="29"/>
      <c r="E90" s="29"/>
      <c r="F90" s="77"/>
      <c r="G90" s="77"/>
    </row>
    <row r="91">
      <c r="D91" s="29"/>
      <c r="E91" s="29"/>
      <c r="F91" s="77"/>
      <c r="G91" s="77"/>
    </row>
  </sheetData>
  <mergeCells count="24">
    <mergeCell ref="D2:G2"/>
    <mergeCell ref="A10:C10"/>
    <mergeCell ref="D10:N10"/>
    <mergeCell ref="P10:Z10"/>
    <mergeCell ref="AA10:AD10"/>
    <mergeCell ref="A18:A19"/>
    <mergeCell ref="A20:A23"/>
    <mergeCell ref="A25:A26"/>
    <mergeCell ref="A27:A28"/>
    <mergeCell ref="A29:A31"/>
    <mergeCell ref="A32:A34"/>
    <mergeCell ref="A37:A38"/>
    <mergeCell ref="A40:A41"/>
    <mergeCell ref="A43:A44"/>
    <mergeCell ref="A73:A74"/>
    <mergeCell ref="A77:A78"/>
    <mergeCell ref="A87:B87"/>
    <mergeCell ref="A45:A49"/>
    <mergeCell ref="A50:A51"/>
    <mergeCell ref="A57:A59"/>
    <mergeCell ref="A60:A61"/>
    <mergeCell ref="A62:A63"/>
    <mergeCell ref="A66:A67"/>
    <mergeCell ref="A69:A70"/>
  </mergeCells>
  <conditionalFormatting sqref="K12:M87 N12:N88 Z12:Z87">
    <cfRule type="colorScale" priority="1">
      <colorScale>
        <cfvo type="percent" val="0"/>
        <cfvo type="percent" val="50"/>
        <cfvo type="percent" val="100"/>
        <color rgb="FFFFFFFF"/>
        <color rgb="FFABDDC5"/>
        <color rgb="FF57BB8A"/>
      </colorScale>
    </cfRule>
  </conditionalFormatting>
  <conditionalFormatting sqref="W12:Y87">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c r="AA1" s="109"/>
    </row>
    <row r="2">
      <c r="D2" s="31" t="s">
        <v>45</v>
      </c>
      <c r="E2" s="12"/>
      <c r="F2" s="12"/>
      <c r="G2" s="13"/>
      <c r="AA2" s="109"/>
    </row>
    <row r="3">
      <c r="D3" s="32" t="s">
        <v>46</v>
      </c>
      <c r="E3" s="22">
        <f t="shared" ref="E3:E6" si="1">IF(COUNTIF($N$17:$N$158,D3)=0,"-",COUNTIF($N$17:$N$158,D3))</f>
        <v>81</v>
      </c>
      <c r="F3" s="32" t="s">
        <v>47</v>
      </c>
      <c r="G3" s="22">
        <f t="shared" ref="G3:G6" si="2">IF(COUNTIF($Z$17:$Z$158,F3)=0,"-",COUNTIF($Z$17:$Z$158,F3))</f>
        <v>86</v>
      </c>
      <c r="AA3" s="109"/>
    </row>
    <row r="4">
      <c r="D4" s="32" t="s">
        <v>48</v>
      </c>
      <c r="E4" s="22">
        <f t="shared" si="1"/>
        <v>61</v>
      </c>
      <c r="F4" s="32" t="s">
        <v>49</v>
      </c>
      <c r="G4" s="22">
        <f t="shared" si="2"/>
        <v>55</v>
      </c>
      <c r="AA4" s="109"/>
    </row>
    <row r="5">
      <c r="D5" s="32" t="s">
        <v>50</v>
      </c>
      <c r="E5" s="22" t="str">
        <f t="shared" si="1"/>
        <v>-</v>
      </c>
      <c r="F5" s="32" t="s">
        <v>51</v>
      </c>
      <c r="G5" s="22" t="str">
        <f t="shared" si="2"/>
        <v>-</v>
      </c>
      <c r="AA5" s="109"/>
    </row>
    <row r="6">
      <c r="D6" s="32" t="s">
        <v>52</v>
      </c>
      <c r="E6" s="22" t="str">
        <f t="shared" si="1"/>
        <v>-</v>
      </c>
      <c r="F6" s="32" t="s">
        <v>52</v>
      </c>
      <c r="G6" s="22">
        <f t="shared" si="2"/>
        <v>1</v>
      </c>
      <c r="AA6" s="109"/>
    </row>
    <row r="7">
      <c r="D7" s="32" t="s">
        <v>54</v>
      </c>
      <c r="E7" s="32">
        <f>SUM(E3:E6)</f>
        <v>142</v>
      </c>
      <c r="F7" s="32" t="s">
        <v>54</v>
      </c>
      <c r="G7" s="32">
        <f>SUM(G3:G6)</f>
        <v>142</v>
      </c>
      <c r="AA7" s="109"/>
    </row>
    <row r="8">
      <c r="AA8" s="109"/>
    </row>
    <row r="9">
      <c r="AA9" s="109"/>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85"/>
      <c r="AB11" s="41" t="s">
        <v>70</v>
      </c>
      <c r="AC11" s="41" t="s">
        <v>71</v>
      </c>
      <c r="AD11" s="41" t="s">
        <v>72</v>
      </c>
    </row>
    <row r="12">
      <c r="A12" s="45" t="s">
        <v>73</v>
      </c>
      <c r="B12" s="46" t="s">
        <v>407</v>
      </c>
      <c r="C12" s="47"/>
      <c r="D12" s="38">
        <v>3806.0</v>
      </c>
      <c r="E12" s="38">
        <v>4465.0</v>
      </c>
      <c r="F12" s="38">
        <v>525.0</v>
      </c>
      <c r="G12" s="38">
        <v>287.0</v>
      </c>
      <c r="H12" s="38">
        <v>330.0</v>
      </c>
      <c r="I12" s="48">
        <f t="shared" ref="I12:I159" si="3">SUM(D12:F12)</f>
        <v>8796</v>
      </c>
      <c r="J12" s="48">
        <f t="shared" ref="J12:J159" si="4">SUM(G12:I12)</f>
        <v>9413</v>
      </c>
      <c r="K12" s="49">
        <f t="shared" ref="K12:K159" si="5">D12/I12</f>
        <v>0.4326966803</v>
      </c>
      <c r="L12" s="49">
        <f t="shared" ref="L12:L159" si="6">E12/I12</f>
        <v>0.5076170987</v>
      </c>
      <c r="M12" s="49">
        <f t="shared" ref="M12:M159" si="7">F12/I12</f>
        <v>0.05968622101</v>
      </c>
      <c r="N12" s="32" t="str">
        <f t="shared" ref="N12:N159" si="8">IF(LARGE(D12:F12,1)=0,#REF!,IF(LARGE(D12:F12,1)=LARGE(D12:F12,2),$D$6,IF(LARGE(D12:F12,1)=D12,$D$3,IF(LARGE(D12:F12,1)=E12,$D$4,IF(LARGE(D12:F12,1)=F12,$D$5)))))</f>
        <v>Mal. Lott</v>
      </c>
      <c r="O12" s="50"/>
      <c r="P12" s="38">
        <v>4041.0</v>
      </c>
      <c r="Q12" s="38">
        <v>3379.0</v>
      </c>
      <c r="R12" s="38">
        <v>1197.0</v>
      </c>
      <c r="S12" s="38">
        <v>540.0</v>
      </c>
      <c r="T12" s="38">
        <v>256.0</v>
      </c>
      <c r="U12" s="48">
        <f t="shared" ref="U12:U159" si="9">SUM(P12:R12)</f>
        <v>8617</v>
      </c>
      <c r="V12" s="48">
        <f t="shared" ref="V12:V159" si="10">SUM(S12:U12)</f>
        <v>9413</v>
      </c>
      <c r="W12" s="49">
        <f t="shared" ref="W12:W159" si="11">P12/U12</f>
        <v>0.4689567135</v>
      </c>
      <c r="X12" s="49">
        <f t="shared" ref="X12:X159" si="12">Q12/U12</f>
        <v>0.3921318324</v>
      </c>
      <c r="Y12" s="49">
        <f t="shared" ref="Y12:Y159" si="13">R12/U12</f>
        <v>0.1389114541</v>
      </c>
      <c r="Z12" s="32" t="str">
        <f t="shared" ref="Z12:Z159" si="14">IF(LARGE(P12:R12,1)=0,#REF!,IF(LARGE(P12:R12,1)=LARGE(P12:R12,2),$F$6,IF(LARGE(P12:R12,1)=P12,$F$3,IF(LARGE(P12:R12,1)=Q12,$F$4,IF(LARGE(P12:R12,1)=R12,$F$5)))))</f>
        <v>Jango</v>
      </c>
      <c r="AA12" s="85"/>
      <c r="AB12" s="38">
        <v>12887.0</v>
      </c>
      <c r="AC12" s="48">
        <f t="shared" ref="AC12:AC25" si="15">AB12-V12</f>
        <v>3474</v>
      </c>
      <c r="AD12" s="51">
        <f t="shared" ref="AD12:AD25" si="16">V12/AB12</f>
        <v>0.7304260107</v>
      </c>
    </row>
    <row r="13">
      <c r="A13" s="45" t="s">
        <v>75</v>
      </c>
      <c r="B13" s="46" t="s">
        <v>408</v>
      </c>
      <c r="C13" s="47"/>
      <c r="D13" s="38">
        <v>7550.0</v>
      </c>
      <c r="E13" s="38">
        <v>8269.0</v>
      </c>
      <c r="F13" s="38">
        <v>1080.0</v>
      </c>
      <c r="G13" s="38">
        <v>236.0</v>
      </c>
      <c r="H13" s="38">
        <v>960.0</v>
      </c>
      <c r="I13" s="48">
        <f t="shared" si="3"/>
        <v>16899</v>
      </c>
      <c r="J13" s="48">
        <f t="shared" si="4"/>
        <v>18095</v>
      </c>
      <c r="K13" s="49">
        <f t="shared" si="5"/>
        <v>0.4467719983</v>
      </c>
      <c r="L13" s="49">
        <f t="shared" si="6"/>
        <v>0.4893188946</v>
      </c>
      <c r="M13" s="49">
        <f t="shared" si="7"/>
        <v>0.06390910705</v>
      </c>
      <c r="N13" s="32" t="str">
        <f t="shared" si="8"/>
        <v>Mal. Lott</v>
      </c>
      <c r="O13" s="50"/>
      <c r="P13" s="38">
        <v>7059.0</v>
      </c>
      <c r="Q13" s="38">
        <v>6981.0</v>
      </c>
      <c r="R13" s="38">
        <v>2632.0</v>
      </c>
      <c r="S13" s="38">
        <v>564.0</v>
      </c>
      <c r="T13" s="38">
        <v>859.0</v>
      </c>
      <c r="U13" s="48">
        <f t="shared" si="9"/>
        <v>16672</v>
      </c>
      <c r="V13" s="48">
        <f t="shared" si="10"/>
        <v>18095</v>
      </c>
      <c r="W13" s="49">
        <f t="shared" si="11"/>
        <v>0.4234045106</v>
      </c>
      <c r="X13" s="49">
        <f t="shared" si="12"/>
        <v>0.4187260077</v>
      </c>
      <c r="Y13" s="49">
        <f t="shared" si="13"/>
        <v>0.1578694818</v>
      </c>
      <c r="Z13" s="32" t="str">
        <f t="shared" si="14"/>
        <v>Jango</v>
      </c>
      <c r="AA13" s="85"/>
      <c r="AB13" s="38">
        <v>22625.0</v>
      </c>
      <c r="AC13" s="48">
        <f t="shared" si="15"/>
        <v>4530</v>
      </c>
      <c r="AD13" s="51">
        <f t="shared" si="16"/>
        <v>0.7997790055</v>
      </c>
    </row>
    <row r="14">
      <c r="A14" s="45" t="s">
        <v>79</v>
      </c>
      <c r="B14" s="46" t="s">
        <v>409</v>
      </c>
      <c r="C14" s="47"/>
      <c r="D14" s="38">
        <v>4727.0</v>
      </c>
      <c r="E14" s="38">
        <v>5003.0</v>
      </c>
      <c r="F14" s="38">
        <v>623.0</v>
      </c>
      <c r="G14" s="38">
        <v>141.0</v>
      </c>
      <c r="H14" s="38">
        <v>243.0</v>
      </c>
      <c r="I14" s="48">
        <f t="shared" si="3"/>
        <v>10353</v>
      </c>
      <c r="J14" s="48">
        <f t="shared" si="4"/>
        <v>10737</v>
      </c>
      <c r="K14" s="49">
        <f t="shared" si="5"/>
        <v>0.4565826331</v>
      </c>
      <c r="L14" s="49">
        <f t="shared" si="6"/>
        <v>0.4832415725</v>
      </c>
      <c r="M14" s="49">
        <f t="shared" si="7"/>
        <v>0.06017579446</v>
      </c>
      <c r="N14" s="32" t="str">
        <f t="shared" si="8"/>
        <v>Mal. Lott</v>
      </c>
      <c r="O14" s="50"/>
      <c r="P14" s="38">
        <v>4314.0</v>
      </c>
      <c r="Q14" s="38">
        <v>4323.0</v>
      </c>
      <c r="R14" s="38">
        <v>1574.0</v>
      </c>
      <c r="S14" s="38">
        <v>372.0</v>
      </c>
      <c r="T14" s="38">
        <v>154.0</v>
      </c>
      <c r="U14" s="48">
        <f t="shared" si="9"/>
        <v>10211</v>
      </c>
      <c r="V14" s="48">
        <f t="shared" si="10"/>
        <v>10737</v>
      </c>
      <c r="W14" s="49">
        <f t="shared" si="11"/>
        <v>0.4224855548</v>
      </c>
      <c r="X14" s="49">
        <f t="shared" si="12"/>
        <v>0.4233669572</v>
      </c>
      <c r="Y14" s="49">
        <f t="shared" si="13"/>
        <v>0.154147488</v>
      </c>
      <c r="Z14" s="32" t="str">
        <f t="shared" si="14"/>
        <v>Milton</v>
      </c>
      <c r="AA14" s="85"/>
      <c r="AB14" s="38">
        <v>13738.0</v>
      </c>
      <c r="AC14" s="48">
        <f t="shared" si="15"/>
        <v>3001</v>
      </c>
      <c r="AD14" s="51">
        <f t="shared" si="16"/>
        <v>0.7815548115</v>
      </c>
    </row>
    <row r="15">
      <c r="A15" s="45" t="s">
        <v>410</v>
      </c>
      <c r="B15" s="46" t="s">
        <v>411</v>
      </c>
      <c r="C15" s="47"/>
      <c r="D15" s="38">
        <v>9078.0</v>
      </c>
      <c r="E15" s="38">
        <v>13797.0</v>
      </c>
      <c r="F15" s="38">
        <v>1487.0</v>
      </c>
      <c r="G15" s="38">
        <v>675.0</v>
      </c>
      <c r="H15" s="38">
        <v>1022.0</v>
      </c>
      <c r="I15" s="48">
        <f t="shared" si="3"/>
        <v>24362</v>
      </c>
      <c r="J15" s="48">
        <f t="shared" si="4"/>
        <v>26059</v>
      </c>
      <c r="K15" s="49">
        <f t="shared" si="5"/>
        <v>0.372629505</v>
      </c>
      <c r="L15" s="49">
        <f t="shared" si="6"/>
        <v>0.5663328134</v>
      </c>
      <c r="M15" s="49">
        <f t="shared" si="7"/>
        <v>0.06103768164</v>
      </c>
      <c r="N15" s="32" t="str">
        <f t="shared" si="8"/>
        <v>Mal. Lott</v>
      </c>
      <c r="O15" s="50"/>
      <c r="P15" s="38">
        <v>13171.0</v>
      </c>
      <c r="Q15" s="38">
        <v>7593.0</v>
      </c>
      <c r="R15" s="38">
        <v>3015.0</v>
      </c>
      <c r="S15" s="38">
        <v>1598.0</v>
      </c>
      <c r="T15" s="38">
        <v>682.0</v>
      </c>
      <c r="U15" s="48">
        <f t="shared" si="9"/>
        <v>23779</v>
      </c>
      <c r="V15" s="48">
        <f t="shared" si="10"/>
        <v>26059</v>
      </c>
      <c r="W15" s="49">
        <f t="shared" si="11"/>
        <v>0.5538920897</v>
      </c>
      <c r="X15" s="49">
        <f t="shared" si="12"/>
        <v>0.3193153623</v>
      </c>
      <c r="Y15" s="49">
        <f t="shared" si="13"/>
        <v>0.126792548</v>
      </c>
      <c r="Z15" s="32" t="str">
        <f t="shared" si="14"/>
        <v>Jango</v>
      </c>
      <c r="AA15" s="85"/>
      <c r="AB15" s="38">
        <v>34694.0</v>
      </c>
      <c r="AC15" s="48">
        <f t="shared" si="15"/>
        <v>8635</v>
      </c>
      <c r="AD15" s="51">
        <f t="shared" si="16"/>
        <v>0.751109702</v>
      </c>
    </row>
    <row r="16">
      <c r="A16" s="45" t="s">
        <v>412</v>
      </c>
      <c r="B16" s="46" t="s">
        <v>413</v>
      </c>
      <c r="C16" s="47"/>
      <c r="D16" s="38">
        <v>10173.0</v>
      </c>
      <c r="E16" s="38">
        <v>11656.0</v>
      </c>
      <c r="F16" s="38">
        <v>1535.0</v>
      </c>
      <c r="G16" s="38">
        <v>745.0</v>
      </c>
      <c r="H16" s="38">
        <v>1235.0</v>
      </c>
      <c r="I16" s="48">
        <f t="shared" si="3"/>
        <v>23364</v>
      </c>
      <c r="J16" s="48">
        <f t="shared" si="4"/>
        <v>25344</v>
      </c>
      <c r="K16" s="49">
        <f t="shared" si="5"/>
        <v>0.4354134566</v>
      </c>
      <c r="L16" s="49">
        <f t="shared" si="6"/>
        <v>0.4988871769</v>
      </c>
      <c r="M16" s="49">
        <f t="shared" si="7"/>
        <v>0.06569936655</v>
      </c>
      <c r="N16" s="32" t="str">
        <f t="shared" si="8"/>
        <v>Mal. Lott</v>
      </c>
      <c r="O16" s="50"/>
      <c r="P16" s="38">
        <v>12748.0</v>
      </c>
      <c r="Q16" s="38">
        <v>7496.0</v>
      </c>
      <c r="R16" s="38">
        <v>2594.0</v>
      </c>
      <c r="S16" s="38">
        <v>1769.0</v>
      </c>
      <c r="T16" s="38">
        <v>737.0</v>
      </c>
      <c r="U16" s="48">
        <f t="shared" si="9"/>
        <v>22838</v>
      </c>
      <c r="V16" s="48">
        <f t="shared" si="10"/>
        <v>25344</v>
      </c>
      <c r="W16" s="49">
        <f t="shared" si="11"/>
        <v>0.5581924862</v>
      </c>
      <c r="X16" s="49">
        <f t="shared" si="12"/>
        <v>0.3282248883</v>
      </c>
      <c r="Y16" s="49">
        <f t="shared" si="13"/>
        <v>0.1135826254</v>
      </c>
      <c r="Z16" s="32" t="str">
        <f t="shared" si="14"/>
        <v>Jango</v>
      </c>
      <c r="AA16" s="85"/>
      <c r="AB16" s="38">
        <v>35014.0</v>
      </c>
      <c r="AC16" s="48">
        <f t="shared" si="15"/>
        <v>9670</v>
      </c>
      <c r="AD16" s="51">
        <f t="shared" si="16"/>
        <v>0.7238247558</v>
      </c>
    </row>
    <row r="17">
      <c r="A17" s="45" t="s">
        <v>77</v>
      </c>
      <c r="B17" s="46" t="s">
        <v>414</v>
      </c>
      <c r="C17" s="47"/>
      <c r="D17" s="38">
        <v>35334.0</v>
      </c>
      <c r="E17" s="38">
        <v>43190.0</v>
      </c>
      <c r="F17" s="38">
        <v>5250.0</v>
      </c>
      <c r="G17" s="38">
        <v>2084.0</v>
      </c>
      <c r="H17" s="38">
        <v>3790.0</v>
      </c>
      <c r="I17" s="48">
        <f t="shared" si="3"/>
        <v>83774</v>
      </c>
      <c r="J17" s="48">
        <f t="shared" si="4"/>
        <v>89648</v>
      </c>
      <c r="K17" s="49">
        <f t="shared" si="5"/>
        <v>0.4217776398</v>
      </c>
      <c r="L17" s="49">
        <f t="shared" si="6"/>
        <v>0.5155537518</v>
      </c>
      <c r="M17" s="49">
        <f t="shared" si="7"/>
        <v>0.0626686084</v>
      </c>
      <c r="N17" s="32" t="str">
        <f t="shared" si="8"/>
        <v>Mal. Lott</v>
      </c>
      <c r="O17" s="50" t="s">
        <v>77</v>
      </c>
      <c r="P17" s="38">
        <v>41333.0</v>
      </c>
      <c r="Q17" s="38">
        <v>29772.0</v>
      </c>
      <c r="R17" s="38">
        <v>11012.0</v>
      </c>
      <c r="S17" s="38">
        <v>4843.0</v>
      </c>
      <c r="T17" s="38">
        <v>2688.0</v>
      </c>
      <c r="U17" s="48">
        <f t="shared" si="9"/>
        <v>82117</v>
      </c>
      <c r="V17" s="48">
        <f t="shared" si="10"/>
        <v>89648</v>
      </c>
      <c r="W17" s="49">
        <f t="shared" si="11"/>
        <v>0.5033427914</v>
      </c>
      <c r="X17" s="49">
        <f t="shared" si="12"/>
        <v>0.3625558654</v>
      </c>
      <c r="Y17" s="49">
        <f t="shared" si="13"/>
        <v>0.1341013432</v>
      </c>
      <c r="Z17" s="32" t="str">
        <f t="shared" si="14"/>
        <v>Jango</v>
      </c>
      <c r="AA17" s="50" t="s">
        <v>77</v>
      </c>
      <c r="AB17" s="38">
        <v>118958.0</v>
      </c>
      <c r="AC17" s="48">
        <f t="shared" si="15"/>
        <v>29310</v>
      </c>
      <c r="AD17" s="51">
        <f t="shared" si="16"/>
        <v>0.753610518</v>
      </c>
    </row>
    <row r="18">
      <c r="A18" s="61" t="s">
        <v>85</v>
      </c>
      <c r="B18" s="46" t="s">
        <v>415</v>
      </c>
      <c r="C18" s="47"/>
      <c r="D18" s="38">
        <v>3895.0</v>
      </c>
      <c r="E18" s="38">
        <v>3126.0</v>
      </c>
      <c r="F18" s="38">
        <v>248.0</v>
      </c>
      <c r="G18" s="38">
        <v>187.0</v>
      </c>
      <c r="H18" s="38">
        <v>337.0</v>
      </c>
      <c r="I18" s="48">
        <f t="shared" si="3"/>
        <v>7269</v>
      </c>
      <c r="J18" s="48">
        <f t="shared" si="4"/>
        <v>7793</v>
      </c>
      <c r="K18" s="49">
        <f t="shared" si="5"/>
        <v>0.5358371165</v>
      </c>
      <c r="L18" s="49">
        <f t="shared" si="6"/>
        <v>0.4300453983</v>
      </c>
      <c r="M18" s="49">
        <f t="shared" si="7"/>
        <v>0.03411748521</v>
      </c>
      <c r="N18" s="32" t="str">
        <f t="shared" si="8"/>
        <v>Jânio</v>
      </c>
      <c r="O18" s="50" t="s">
        <v>77</v>
      </c>
      <c r="P18" s="38">
        <v>3158.0</v>
      </c>
      <c r="Q18" s="38">
        <v>3682.0</v>
      </c>
      <c r="R18" s="38">
        <v>326.0</v>
      </c>
      <c r="S18" s="38">
        <v>398.0</v>
      </c>
      <c r="T18" s="38">
        <v>229.0</v>
      </c>
      <c r="U18" s="48">
        <f t="shared" si="9"/>
        <v>7166</v>
      </c>
      <c r="V18" s="48">
        <f t="shared" si="10"/>
        <v>7793</v>
      </c>
      <c r="W18" s="49">
        <f t="shared" si="11"/>
        <v>0.4406921574</v>
      </c>
      <c r="X18" s="49">
        <f t="shared" si="12"/>
        <v>0.5138152386</v>
      </c>
      <c r="Y18" s="49">
        <f t="shared" si="13"/>
        <v>0.04549260396</v>
      </c>
      <c r="Z18" s="32" t="str">
        <f t="shared" si="14"/>
        <v>Milton</v>
      </c>
      <c r="AA18" s="50" t="s">
        <v>77</v>
      </c>
      <c r="AB18" s="38">
        <v>10455.0</v>
      </c>
      <c r="AC18" s="48">
        <f t="shared" si="15"/>
        <v>2662</v>
      </c>
      <c r="AD18" s="51">
        <f t="shared" si="16"/>
        <v>0.7453849833</v>
      </c>
    </row>
    <row r="19">
      <c r="A19" s="24"/>
      <c r="B19" s="46" t="s">
        <v>416</v>
      </c>
      <c r="C19" s="47"/>
      <c r="D19" s="38">
        <v>282.0</v>
      </c>
      <c r="E19" s="38">
        <v>542.0</v>
      </c>
      <c r="F19" s="38">
        <v>83.0</v>
      </c>
      <c r="G19" s="38">
        <v>34.0</v>
      </c>
      <c r="H19" s="38">
        <v>60.0</v>
      </c>
      <c r="I19" s="48">
        <f t="shared" si="3"/>
        <v>907</v>
      </c>
      <c r="J19" s="48">
        <f t="shared" si="4"/>
        <v>1001</v>
      </c>
      <c r="K19" s="49">
        <f t="shared" si="5"/>
        <v>0.3109151047</v>
      </c>
      <c r="L19" s="49">
        <f t="shared" si="6"/>
        <v>0.5975744212</v>
      </c>
      <c r="M19" s="49">
        <f t="shared" si="7"/>
        <v>0.09151047409</v>
      </c>
      <c r="N19" s="32" t="str">
        <f t="shared" si="8"/>
        <v>Mal. Lott</v>
      </c>
      <c r="O19" s="50" t="s">
        <v>77</v>
      </c>
      <c r="P19" s="38">
        <v>583.0</v>
      </c>
      <c r="Q19" s="38">
        <v>276.0</v>
      </c>
      <c r="R19" s="38">
        <v>33.0</v>
      </c>
      <c r="S19" s="38">
        <v>68.0</v>
      </c>
      <c r="T19" s="38">
        <v>41.0</v>
      </c>
      <c r="U19" s="48">
        <f t="shared" si="9"/>
        <v>892</v>
      </c>
      <c r="V19" s="48">
        <f t="shared" si="10"/>
        <v>1001</v>
      </c>
      <c r="W19" s="49">
        <f t="shared" si="11"/>
        <v>0.6535874439</v>
      </c>
      <c r="X19" s="49">
        <f t="shared" si="12"/>
        <v>0.3094170404</v>
      </c>
      <c r="Y19" s="49">
        <f t="shared" si="13"/>
        <v>0.0369955157</v>
      </c>
      <c r="Z19" s="32" t="str">
        <f t="shared" si="14"/>
        <v>Jango</v>
      </c>
      <c r="AA19" s="50" t="s">
        <v>77</v>
      </c>
      <c r="AB19" s="38">
        <v>1533.0</v>
      </c>
      <c r="AC19" s="48">
        <f t="shared" si="15"/>
        <v>532</v>
      </c>
      <c r="AD19" s="51">
        <f t="shared" si="16"/>
        <v>0.6529680365</v>
      </c>
    </row>
    <row r="20">
      <c r="A20" s="61" t="s">
        <v>90</v>
      </c>
      <c r="B20" s="46" t="s">
        <v>417</v>
      </c>
      <c r="C20" s="47"/>
      <c r="D20" s="38">
        <v>1457.0</v>
      </c>
      <c r="E20" s="38">
        <v>1445.0</v>
      </c>
      <c r="F20" s="38">
        <v>413.0</v>
      </c>
      <c r="G20" s="38">
        <v>146.0</v>
      </c>
      <c r="H20" s="38">
        <v>193.0</v>
      </c>
      <c r="I20" s="48">
        <f t="shared" si="3"/>
        <v>3315</v>
      </c>
      <c r="J20" s="48">
        <f t="shared" si="4"/>
        <v>3654</v>
      </c>
      <c r="K20" s="49">
        <f t="shared" si="5"/>
        <v>0.4395173454</v>
      </c>
      <c r="L20" s="49">
        <f t="shared" si="6"/>
        <v>0.4358974359</v>
      </c>
      <c r="M20" s="49">
        <f t="shared" si="7"/>
        <v>0.1245852187</v>
      </c>
      <c r="N20" s="32" t="str">
        <f t="shared" si="8"/>
        <v>Jânio</v>
      </c>
      <c r="O20" s="50" t="s">
        <v>77</v>
      </c>
      <c r="P20" s="38">
        <v>1419.0</v>
      </c>
      <c r="Q20" s="38">
        <v>1146.0</v>
      </c>
      <c r="R20" s="38">
        <v>683.0</v>
      </c>
      <c r="S20" s="38">
        <v>281.0</v>
      </c>
      <c r="T20" s="38">
        <v>125.0</v>
      </c>
      <c r="U20" s="48">
        <f t="shared" si="9"/>
        <v>3248</v>
      </c>
      <c r="V20" s="48">
        <f t="shared" si="10"/>
        <v>3654</v>
      </c>
      <c r="W20" s="49">
        <f t="shared" si="11"/>
        <v>0.4368842365</v>
      </c>
      <c r="X20" s="49">
        <f t="shared" si="12"/>
        <v>0.3528325123</v>
      </c>
      <c r="Y20" s="49">
        <f t="shared" si="13"/>
        <v>0.2102832512</v>
      </c>
      <c r="Z20" s="32" t="str">
        <f t="shared" si="14"/>
        <v>Jango</v>
      </c>
      <c r="AA20" s="50" t="s">
        <v>77</v>
      </c>
      <c r="AB20" s="38">
        <v>5639.0</v>
      </c>
      <c r="AC20" s="48">
        <f t="shared" si="15"/>
        <v>1985</v>
      </c>
      <c r="AD20" s="51">
        <f t="shared" si="16"/>
        <v>0.6479872318</v>
      </c>
    </row>
    <row r="21">
      <c r="A21" s="23"/>
      <c r="B21" s="46" t="s">
        <v>418</v>
      </c>
      <c r="C21" s="47"/>
      <c r="D21" s="38">
        <v>574.0</v>
      </c>
      <c r="E21" s="38">
        <v>641.0</v>
      </c>
      <c r="F21" s="38">
        <v>52.0</v>
      </c>
      <c r="G21" s="38">
        <v>63.0</v>
      </c>
      <c r="H21" s="38">
        <v>127.0</v>
      </c>
      <c r="I21" s="48">
        <f t="shared" si="3"/>
        <v>1267</v>
      </c>
      <c r="J21" s="48">
        <f t="shared" si="4"/>
        <v>1457</v>
      </c>
      <c r="K21" s="49">
        <f t="shared" si="5"/>
        <v>0.453038674</v>
      </c>
      <c r="L21" s="49">
        <f t="shared" si="6"/>
        <v>0.5059194949</v>
      </c>
      <c r="M21" s="49">
        <f t="shared" si="7"/>
        <v>0.0410418311</v>
      </c>
      <c r="N21" s="32" t="str">
        <f t="shared" si="8"/>
        <v>Mal. Lott</v>
      </c>
      <c r="O21" s="50" t="s">
        <v>77</v>
      </c>
      <c r="P21" s="38">
        <v>683.0</v>
      </c>
      <c r="Q21" s="38">
        <v>489.0</v>
      </c>
      <c r="R21" s="38">
        <v>79.0</v>
      </c>
      <c r="S21" s="38">
        <v>124.0</v>
      </c>
      <c r="T21" s="38">
        <v>82.0</v>
      </c>
      <c r="U21" s="48">
        <f t="shared" si="9"/>
        <v>1251</v>
      </c>
      <c r="V21" s="48">
        <f t="shared" si="10"/>
        <v>1457</v>
      </c>
      <c r="W21" s="49">
        <f t="shared" si="11"/>
        <v>0.5459632294</v>
      </c>
      <c r="X21" s="49">
        <f t="shared" si="12"/>
        <v>0.3908872902</v>
      </c>
      <c r="Y21" s="49">
        <f t="shared" si="13"/>
        <v>0.06314948042</v>
      </c>
      <c r="Z21" s="32" t="str">
        <f t="shared" si="14"/>
        <v>Jango</v>
      </c>
      <c r="AA21" s="50" t="s">
        <v>77</v>
      </c>
      <c r="AB21" s="38">
        <v>2064.0</v>
      </c>
      <c r="AC21" s="48">
        <f t="shared" si="15"/>
        <v>607</v>
      </c>
      <c r="AD21" s="51">
        <f t="shared" si="16"/>
        <v>0.7059108527</v>
      </c>
    </row>
    <row r="22">
      <c r="A22" s="24"/>
      <c r="B22" s="46" t="s">
        <v>419</v>
      </c>
      <c r="C22" s="47"/>
      <c r="D22" s="38">
        <v>646.0</v>
      </c>
      <c r="E22" s="38">
        <v>422.0</v>
      </c>
      <c r="F22" s="38">
        <v>81.0</v>
      </c>
      <c r="G22" s="38">
        <v>49.0</v>
      </c>
      <c r="H22" s="38">
        <v>53.0</v>
      </c>
      <c r="I22" s="48">
        <f t="shared" si="3"/>
        <v>1149</v>
      </c>
      <c r="J22" s="48">
        <f t="shared" si="4"/>
        <v>1251</v>
      </c>
      <c r="K22" s="49">
        <f t="shared" si="5"/>
        <v>0.5622280244</v>
      </c>
      <c r="L22" s="49">
        <f t="shared" si="6"/>
        <v>0.3672758921</v>
      </c>
      <c r="M22" s="49">
        <f t="shared" si="7"/>
        <v>0.07049608355</v>
      </c>
      <c r="N22" s="32" t="str">
        <f t="shared" si="8"/>
        <v>Jânio</v>
      </c>
      <c r="O22" s="50" t="s">
        <v>77</v>
      </c>
      <c r="P22" s="38">
        <v>451.0</v>
      </c>
      <c r="Q22" s="38">
        <v>595.0</v>
      </c>
      <c r="R22" s="38">
        <v>77.0</v>
      </c>
      <c r="S22" s="38">
        <v>86.0</v>
      </c>
      <c r="T22" s="38">
        <v>42.0</v>
      </c>
      <c r="U22" s="48">
        <f t="shared" si="9"/>
        <v>1123</v>
      </c>
      <c r="V22" s="48">
        <f t="shared" si="10"/>
        <v>1251</v>
      </c>
      <c r="W22" s="49">
        <f t="shared" si="11"/>
        <v>0.4016028495</v>
      </c>
      <c r="X22" s="49">
        <f t="shared" si="12"/>
        <v>0.5298308103</v>
      </c>
      <c r="Y22" s="49">
        <f t="shared" si="13"/>
        <v>0.06856634016</v>
      </c>
      <c r="Z22" s="32" t="str">
        <f t="shared" si="14"/>
        <v>Milton</v>
      </c>
      <c r="AA22" s="50" t="s">
        <v>77</v>
      </c>
      <c r="AB22" s="38">
        <v>1511.0</v>
      </c>
      <c r="AC22" s="48">
        <f t="shared" si="15"/>
        <v>260</v>
      </c>
      <c r="AD22" s="51">
        <f t="shared" si="16"/>
        <v>0.8279285242</v>
      </c>
    </row>
    <row r="23">
      <c r="A23" s="45" t="s">
        <v>92</v>
      </c>
      <c r="B23" s="46" t="s">
        <v>420</v>
      </c>
      <c r="C23" s="47"/>
      <c r="D23" s="38">
        <v>4373.0</v>
      </c>
      <c r="E23" s="38">
        <v>3463.0</v>
      </c>
      <c r="F23" s="38">
        <v>964.0</v>
      </c>
      <c r="G23" s="38">
        <v>393.0</v>
      </c>
      <c r="H23" s="38">
        <v>598.0</v>
      </c>
      <c r="I23" s="48">
        <f t="shared" si="3"/>
        <v>8800</v>
      </c>
      <c r="J23" s="48">
        <f t="shared" si="4"/>
        <v>9791</v>
      </c>
      <c r="K23" s="49">
        <f t="shared" si="5"/>
        <v>0.4969318182</v>
      </c>
      <c r="L23" s="49">
        <f t="shared" si="6"/>
        <v>0.3935227273</v>
      </c>
      <c r="M23" s="49">
        <f t="shared" si="7"/>
        <v>0.1095454545</v>
      </c>
      <c r="N23" s="32" t="str">
        <f t="shared" si="8"/>
        <v>Jânio</v>
      </c>
      <c r="O23" s="50" t="s">
        <v>77</v>
      </c>
      <c r="P23" s="38">
        <v>3956.0</v>
      </c>
      <c r="Q23" s="38">
        <v>3637.0</v>
      </c>
      <c r="R23" s="38">
        <v>960.0</v>
      </c>
      <c r="S23" s="38">
        <v>892.0</v>
      </c>
      <c r="T23" s="38">
        <v>346.0</v>
      </c>
      <c r="U23" s="48">
        <f t="shared" si="9"/>
        <v>8553</v>
      </c>
      <c r="V23" s="48">
        <f t="shared" si="10"/>
        <v>9791</v>
      </c>
      <c r="W23" s="49">
        <f t="shared" si="11"/>
        <v>0.462527768</v>
      </c>
      <c r="X23" s="49">
        <f t="shared" si="12"/>
        <v>0.4252309131</v>
      </c>
      <c r="Y23" s="49">
        <f t="shared" si="13"/>
        <v>0.1122413188</v>
      </c>
      <c r="Z23" s="32" t="str">
        <f t="shared" si="14"/>
        <v>Jango</v>
      </c>
      <c r="AA23" s="50" t="s">
        <v>77</v>
      </c>
      <c r="AB23" s="38">
        <v>15413.0</v>
      </c>
      <c r="AC23" s="48">
        <f t="shared" si="15"/>
        <v>5622</v>
      </c>
      <c r="AD23" s="51">
        <f t="shared" si="16"/>
        <v>0.6352429767</v>
      </c>
    </row>
    <row r="24">
      <c r="A24" s="61" t="s">
        <v>94</v>
      </c>
      <c r="B24" s="46" t="s">
        <v>421</v>
      </c>
      <c r="C24" s="47"/>
      <c r="D24" s="38">
        <v>922.0</v>
      </c>
      <c r="E24" s="38">
        <v>1772.0</v>
      </c>
      <c r="F24" s="38">
        <v>199.0</v>
      </c>
      <c r="G24" s="38">
        <v>148.0</v>
      </c>
      <c r="H24" s="38">
        <v>232.0</v>
      </c>
      <c r="I24" s="48">
        <f t="shared" si="3"/>
        <v>2893</v>
      </c>
      <c r="J24" s="48">
        <f t="shared" si="4"/>
        <v>3273</v>
      </c>
      <c r="K24" s="49">
        <f t="shared" si="5"/>
        <v>0.3187003111</v>
      </c>
      <c r="L24" s="49">
        <f t="shared" si="6"/>
        <v>0.6125129623</v>
      </c>
      <c r="M24" s="49">
        <f t="shared" si="7"/>
        <v>0.06878672658</v>
      </c>
      <c r="N24" s="32" t="str">
        <f t="shared" si="8"/>
        <v>Mal. Lott</v>
      </c>
      <c r="O24" s="50" t="s">
        <v>77</v>
      </c>
      <c r="P24" s="38">
        <v>1564.0</v>
      </c>
      <c r="Q24" s="38">
        <v>817.0</v>
      </c>
      <c r="R24" s="38">
        <v>211.0</v>
      </c>
      <c r="S24" s="38">
        <v>552.0</v>
      </c>
      <c r="T24" s="38">
        <v>129.0</v>
      </c>
      <c r="U24" s="48">
        <f t="shared" si="9"/>
        <v>2592</v>
      </c>
      <c r="V24" s="48">
        <f t="shared" si="10"/>
        <v>3273</v>
      </c>
      <c r="W24" s="49">
        <f t="shared" si="11"/>
        <v>0.6033950617</v>
      </c>
      <c r="X24" s="49">
        <f t="shared" si="12"/>
        <v>0.3152006173</v>
      </c>
      <c r="Y24" s="49">
        <f t="shared" si="13"/>
        <v>0.08140432099</v>
      </c>
      <c r="Z24" s="32" t="str">
        <f t="shared" si="14"/>
        <v>Jango</v>
      </c>
      <c r="AA24" s="50" t="s">
        <v>77</v>
      </c>
      <c r="AB24" s="38">
        <v>5205.0</v>
      </c>
      <c r="AC24" s="48">
        <f t="shared" si="15"/>
        <v>1932</v>
      </c>
      <c r="AD24" s="51">
        <f t="shared" si="16"/>
        <v>0.6288184438</v>
      </c>
    </row>
    <row r="25">
      <c r="A25" s="24"/>
      <c r="B25" s="46" t="s">
        <v>422</v>
      </c>
      <c r="C25" s="47"/>
      <c r="D25" s="38">
        <v>348.0</v>
      </c>
      <c r="E25" s="38">
        <v>791.0</v>
      </c>
      <c r="F25" s="38">
        <v>50.0</v>
      </c>
      <c r="G25" s="38">
        <v>37.0</v>
      </c>
      <c r="H25" s="38">
        <v>80.0</v>
      </c>
      <c r="I25" s="48">
        <f t="shared" si="3"/>
        <v>1189</v>
      </c>
      <c r="J25" s="48">
        <f t="shared" si="4"/>
        <v>1306</v>
      </c>
      <c r="K25" s="49">
        <f t="shared" si="5"/>
        <v>0.2926829268</v>
      </c>
      <c r="L25" s="49">
        <f t="shared" si="6"/>
        <v>0.6652649285</v>
      </c>
      <c r="M25" s="49">
        <f t="shared" si="7"/>
        <v>0.04205214466</v>
      </c>
      <c r="N25" s="32" t="str">
        <f t="shared" si="8"/>
        <v>Mal. Lott</v>
      </c>
      <c r="O25" s="50" t="s">
        <v>77</v>
      </c>
      <c r="P25" s="38">
        <v>756.0</v>
      </c>
      <c r="Q25" s="38">
        <v>187.0</v>
      </c>
      <c r="R25" s="38">
        <v>216.0</v>
      </c>
      <c r="S25" s="38">
        <v>122.0</v>
      </c>
      <c r="T25" s="38">
        <v>25.0</v>
      </c>
      <c r="U25" s="48">
        <f t="shared" si="9"/>
        <v>1159</v>
      </c>
      <c r="V25" s="48">
        <f t="shared" si="10"/>
        <v>1306</v>
      </c>
      <c r="W25" s="49">
        <f t="shared" si="11"/>
        <v>0.6522864538</v>
      </c>
      <c r="X25" s="49">
        <f t="shared" si="12"/>
        <v>0.1613459879</v>
      </c>
      <c r="Y25" s="49">
        <f t="shared" si="13"/>
        <v>0.1863675582</v>
      </c>
      <c r="Z25" s="32" t="str">
        <f t="shared" si="14"/>
        <v>Jango</v>
      </c>
      <c r="AA25" s="50" t="s">
        <v>77</v>
      </c>
      <c r="AB25" s="38">
        <v>2716.0</v>
      </c>
      <c r="AC25" s="48">
        <f t="shared" si="15"/>
        <v>1410</v>
      </c>
      <c r="AD25" s="51">
        <f t="shared" si="16"/>
        <v>0.4808541973</v>
      </c>
    </row>
    <row r="26">
      <c r="A26" s="45" t="s">
        <v>97</v>
      </c>
      <c r="B26" s="46" t="s">
        <v>423</v>
      </c>
      <c r="C26" s="47"/>
      <c r="D26" s="38">
        <v>2438.0</v>
      </c>
      <c r="E26" s="38">
        <v>1627.0</v>
      </c>
      <c r="F26" s="38">
        <v>105.0</v>
      </c>
      <c r="G26" s="38">
        <v>138.0</v>
      </c>
      <c r="H26" s="38">
        <v>397.0</v>
      </c>
      <c r="I26" s="48">
        <f t="shared" si="3"/>
        <v>4170</v>
      </c>
      <c r="J26" s="48">
        <f t="shared" si="4"/>
        <v>4705</v>
      </c>
      <c r="K26" s="49">
        <f t="shared" si="5"/>
        <v>0.5846522782</v>
      </c>
      <c r="L26" s="49">
        <f t="shared" si="6"/>
        <v>0.3901678657</v>
      </c>
      <c r="M26" s="49">
        <f t="shared" si="7"/>
        <v>0.02517985612</v>
      </c>
      <c r="N26" s="32" t="str">
        <f t="shared" si="8"/>
        <v>Jânio</v>
      </c>
      <c r="O26" s="50" t="s">
        <v>77</v>
      </c>
      <c r="P26" s="38">
        <v>1534.0</v>
      </c>
      <c r="Q26" s="38">
        <v>1691.0</v>
      </c>
      <c r="R26" s="38">
        <v>875.0</v>
      </c>
      <c r="S26" s="38">
        <v>271.0</v>
      </c>
      <c r="T26" s="38">
        <v>334.0</v>
      </c>
      <c r="U26" s="48">
        <f t="shared" si="9"/>
        <v>4100</v>
      </c>
      <c r="V26" s="48">
        <f t="shared" si="10"/>
        <v>4705</v>
      </c>
      <c r="W26" s="49">
        <f t="shared" si="11"/>
        <v>0.3741463415</v>
      </c>
      <c r="X26" s="49">
        <f t="shared" si="12"/>
        <v>0.4124390244</v>
      </c>
      <c r="Y26" s="49">
        <f t="shared" si="13"/>
        <v>0.2134146341</v>
      </c>
      <c r="Z26" s="32" t="str">
        <f t="shared" si="14"/>
        <v>Milton</v>
      </c>
      <c r="AA26" s="50" t="s">
        <v>77</v>
      </c>
      <c r="AB26" s="38">
        <v>7469.0</v>
      </c>
      <c r="AC26" s="48">
        <f>AB26-J26</f>
        <v>2764</v>
      </c>
      <c r="AD26" s="51">
        <f>J26/AB26</f>
        <v>0.6299370732</v>
      </c>
    </row>
    <row r="27">
      <c r="A27" s="61" t="s">
        <v>99</v>
      </c>
      <c r="B27" s="46" t="s">
        <v>424</v>
      </c>
      <c r="C27" s="47"/>
      <c r="D27" s="38">
        <v>2474.0</v>
      </c>
      <c r="E27" s="38">
        <v>1671.0</v>
      </c>
      <c r="F27" s="38">
        <v>237.0</v>
      </c>
      <c r="G27" s="38">
        <v>204.0</v>
      </c>
      <c r="H27" s="38">
        <v>286.0</v>
      </c>
      <c r="I27" s="48">
        <f t="shared" si="3"/>
        <v>4382</v>
      </c>
      <c r="J27" s="48">
        <f t="shared" si="4"/>
        <v>4872</v>
      </c>
      <c r="K27" s="49">
        <f t="shared" si="5"/>
        <v>0.5645823825</v>
      </c>
      <c r="L27" s="49">
        <f t="shared" si="6"/>
        <v>0.3813327248</v>
      </c>
      <c r="M27" s="49">
        <f t="shared" si="7"/>
        <v>0.05408489274</v>
      </c>
      <c r="N27" s="32" t="str">
        <f t="shared" si="8"/>
        <v>Jânio</v>
      </c>
      <c r="O27" s="50" t="s">
        <v>77</v>
      </c>
      <c r="P27" s="38">
        <v>1768.0</v>
      </c>
      <c r="Q27" s="38">
        <v>2242.0</v>
      </c>
      <c r="R27" s="38">
        <v>389.0</v>
      </c>
      <c r="S27" s="38">
        <v>414.0</v>
      </c>
      <c r="T27" s="38">
        <v>159.0</v>
      </c>
      <c r="U27" s="48">
        <f t="shared" si="9"/>
        <v>4399</v>
      </c>
      <c r="V27" s="48">
        <f t="shared" si="10"/>
        <v>4972</v>
      </c>
      <c r="W27" s="49">
        <f t="shared" si="11"/>
        <v>0.4019095249</v>
      </c>
      <c r="X27" s="49">
        <f t="shared" si="12"/>
        <v>0.5096612867</v>
      </c>
      <c r="Y27" s="49">
        <f t="shared" si="13"/>
        <v>0.08842918845</v>
      </c>
      <c r="Z27" s="32" t="str">
        <f t="shared" si="14"/>
        <v>Milton</v>
      </c>
      <c r="AA27" s="50" t="s">
        <v>77</v>
      </c>
      <c r="AB27" s="38">
        <v>6126.0</v>
      </c>
      <c r="AC27" s="48">
        <f>AB27-4872</f>
        <v>1254</v>
      </c>
      <c r="AD27" s="51">
        <f t="shared" ref="AD27:AD31" si="17">V27/AB27</f>
        <v>0.8116225922</v>
      </c>
    </row>
    <row r="28">
      <c r="A28" s="23"/>
      <c r="B28" s="46" t="s">
        <v>425</v>
      </c>
      <c r="C28" s="47"/>
      <c r="D28" s="38">
        <v>247.0</v>
      </c>
      <c r="E28" s="38">
        <v>440.0</v>
      </c>
      <c r="F28" s="38">
        <v>110.0</v>
      </c>
      <c r="G28" s="38">
        <v>43.0</v>
      </c>
      <c r="H28" s="38">
        <v>62.0</v>
      </c>
      <c r="I28" s="48">
        <f t="shared" si="3"/>
        <v>797</v>
      </c>
      <c r="J28" s="48">
        <f t="shared" si="4"/>
        <v>902</v>
      </c>
      <c r="K28" s="49">
        <f t="shared" si="5"/>
        <v>0.3099121706</v>
      </c>
      <c r="L28" s="49">
        <f t="shared" si="6"/>
        <v>0.5520702635</v>
      </c>
      <c r="M28" s="49">
        <f t="shared" si="7"/>
        <v>0.1380175659</v>
      </c>
      <c r="N28" s="32" t="str">
        <f t="shared" si="8"/>
        <v>Mal. Lott</v>
      </c>
      <c r="O28" s="50" t="s">
        <v>77</v>
      </c>
      <c r="P28" s="38">
        <v>500.0</v>
      </c>
      <c r="Q28" s="38">
        <v>216.0</v>
      </c>
      <c r="R28" s="38">
        <v>63.0</v>
      </c>
      <c r="S28" s="38">
        <v>104.0</v>
      </c>
      <c r="T28" s="38">
        <v>19.0</v>
      </c>
      <c r="U28" s="48">
        <f t="shared" si="9"/>
        <v>779</v>
      </c>
      <c r="V28" s="48">
        <f t="shared" si="10"/>
        <v>902</v>
      </c>
      <c r="W28" s="49">
        <f t="shared" si="11"/>
        <v>0.6418485237</v>
      </c>
      <c r="X28" s="49">
        <f t="shared" si="12"/>
        <v>0.2772785623</v>
      </c>
      <c r="Y28" s="49">
        <f t="shared" si="13"/>
        <v>0.08087291399</v>
      </c>
      <c r="Z28" s="32" t="str">
        <f t="shared" si="14"/>
        <v>Jango</v>
      </c>
      <c r="AA28" s="50" t="s">
        <v>77</v>
      </c>
      <c r="AB28" s="38">
        <v>990.0</v>
      </c>
      <c r="AC28" s="48">
        <f t="shared" ref="AC28:AC31" si="18">AB28-V28</f>
        <v>88</v>
      </c>
      <c r="AD28" s="51">
        <f t="shared" si="17"/>
        <v>0.9111111111</v>
      </c>
    </row>
    <row r="29">
      <c r="A29" s="24"/>
      <c r="B29" s="46" t="s">
        <v>426</v>
      </c>
      <c r="C29" s="47"/>
      <c r="D29" s="38">
        <v>751.0</v>
      </c>
      <c r="E29" s="38">
        <v>379.0</v>
      </c>
      <c r="F29" s="38">
        <v>31.0</v>
      </c>
      <c r="G29" s="38">
        <v>31.0</v>
      </c>
      <c r="H29" s="38">
        <v>37.0</v>
      </c>
      <c r="I29" s="48">
        <f t="shared" si="3"/>
        <v>1161</v>
      </c>
      <c r="J29" s="48">
        <f t="shared" si="4"/>
        <v>1229</v>
      </c>
      <c r="K29" s="49">
        <f t="shared" si="5"/>
        <v>0.6468561585</v>
      </c>
      <c r="L29" s="49">
        <f t="shared" si="6"/>
        <v>0.3264427218</v>
      </c>
      <c r="M29" s="49">
        <f t="shared" si="7"/>
        <v>0.02670111972</v>
      </c>
      <c r="N29" s="32" t="str">
        <f t="shared" si="8"/>
        <v>Jânio</v>
      </c>
      <c r="O29" s="50" t="s">
        <v>77</v>
      </c>
      <c r="P29" s="38">
        <v>412.0</v>
      </c>
      <c r="Q29" s="38">
        <v>717.0</v>
      </c>
      <c r="R29" s="38">
        <v>25.0</v>
      </c>
      <c r="S29" s="38">
        <v>55.0</v>
      </c>
      <c r="T29" s="38">
        <v>20.0</v>
      </c>
      <c r="U29" s="48">
        <f t="shared" si="9"/>
        <v>1154</v>
      </c>
      <c r="V29" s="48">
        <f t="shared" si="10"/>
        <v>1229</v>
      </c>
      <c r="W29" s="49">
        <f t="shared" si="11"/>
        <v>0.3570190641</v>
      </c>
      <c r="X29" s="49">
        <f t="shared" si="12"/>
        <v>0.6213171577</v>
      </c>
      <c r="Y29" s="49">
        <f t="shared" si="13"/>
        <v>0.02166377816</v>
      </c>
      <c r="Z29" s="32" t="str">
        <f t="shared" si="14"/>
        <v>Milton</v>
      </c>
      <c r="AA29" s="50" t="s">
        <v>77</v>
      </c>
      <c r="AB29" s="38">
        <v>1431.0</v>
      </c>
      <c r="AC29" s="48">
        <f t="shared" si="18"/>
        <v>202</v>
      </c>
      <c r="AD29" s="51">
        <f t="shared" si="17"/>
        <v>0.858839972</v>
      </c>
    </row>
    <row r="30">
      <c r="A30" s="45" t="s">
        <v>104</v>
      </c>
      <c r="B30" s="46" t="s">
        <v>427</v>
      </c>
      <c r="C30" s="47"/>
      <c r="D30" s="38">
        <v>1901.0</v>
      </c>
      <c r="E30" s="38">
        <v>1260.0</v>
      </c>
      <c r="F30" s="38">
        <v>194.0</v>
      </c>
      <c r="G30" s="38">
        <v>200.0</v>
      </c>
      <c r="H30" s="38">
        <v>324.0</v>
      </c>
      <c r="I30" s="48">
        <f t="shared" si="3"/>
        <v>3355</v>
      </c>
      <c r="J30" s="48">
        <f t="shared" si="4"/>
        <v>3879</v>
      </c>
      <c r="K30" s="49">
        <f t="shared" si="5"/>
        <v>0.5666169896</v>
      </c>
      <c r="L30" s="49">
        <f t="shared" si="6"/>
        <v>0.3755588674</v>
      </c>
      <c r="M30" s="49">
        <f t="shared" si="7"/>
        <v>0.05782414307</v>
      </c>
      <c r="N30" s="32" t="str">
        <f t="shared" si="8"/>
        <v>Jânio</v>
      </c>
      <c r="O30" s="50" t="s">
        <v>77</v>
      </c>
      <c r="P30" s="38">
        <v>1228.0</v>
      </c>
      <c r="Q30" s="38">
        <v>1784.0</v>
      </c>
      <c r="R30" s="38">
        <v>188.0</v>
      </c>
      <c r="S30" s="38">
        <v>393.0</v>
      </c>
      <c r="T30" s="38">
        <v>286.0</v>
      </c>
      <c r="U30" s="48">
        <f t="shared" si="9"/>
        <v>3200</v>
      </c>
      <c r="V30" s="48">
        <f t="shared" si="10"/>
        <v>3879</v>
      </c>
      <c r="W30" s="49">
        <f t="shared" si="11"/>
        <v>0.38375</v>
      </c>
      <c r="X30" s="49">
        <f t="shared" si="12"/>
        <v>0.5575</v>
      </c>
      <c r="Y30" s="49">
        <f t="shared" si="13"/>
        <v>0.05875</v>
      </c>
      <c r="Z30" s="32" t="str">
        <f t="shared" si="14"/>
        <v>Milton</v>
      </c>
      <c r="AA30" s="50" t="s">
        <v>77</v>
      </c>
      <c r="AB30" s="38">
        <v>6000.0</v>
      </c>
      <c r="AC30" s="48">
        <f t="shared" si="18"/>
        <v>2121</v>
      </c>
      <c r="AD30" s="51">
        <f t="shared" si="17"/>
        <v>0.6465</v>
      </c>
    </row>
    <row r="31">
      <c r="A31" s="45" t="s">
        <v>107</v>
      </c>
      <c r="B31" s="46" t="s">
        <v>428</v>
      </c>
      <c r="C31" s="47"/>
      <c r="D31" s="38">
        <v>2096.0</v>
      </c>
      <c r="E31" s="38">
        <v>2079.0</v>
      </c>
      <c r="F31" s="38">
        <v>416.0</v>
      </c>
      <c r="G31" s="38">
        <v>235.0</v>
      </c>
      <c r="H31" s="38">
        <v>313.0</v>
      </c>
      <c r="I31" s="48">
        <f t="shared" si="3"/>
        <v>4591</v>
      </c>
      <c r="J31" s="48">
        <f t="shared" si="4"/>
        <v>5139</v>
      </c>
      <c r="K31" s="49">
        <f t="shared" si="5"/>
        <v>0.4565454149</v>
      </c>
      <c r="L31" s="49">
        <f t="shared" si="6"/>
        <v>0.452842518</v>
      </c>
      <c r="M31" s="49">
        <f t="shared" si="7"/>
        <v>0.09061206709</v>
      </c>
      <c r="N31" s="32" t="str">
        <f t="shared" si="8"/>
        <v>Jânio</v>
      </c>
      <c r="O31" s="50" t="s">
        <v>77</v>
      </c>
      <c r="P31" s="38">
        <v>2159.0</v>
      </c>
      <c r="Q31" s="38">
        <v>1993.0</v>
      </c>
      <c r="R31" s="38">
        <v>315.0</v>
      </c>
      <c r="S31" s="38">
        <v>432.0</v>
      </c>
      <c r="T31" s="38">
        <v>240.0</v>
      </c>
      <c r="U31" s="48">
        <f t="shared" si="9"/>
        <v>4467</v>
      </c>
      <c r="V31" s="48">
        <f t="shared" si="10"/>
        <v>5139</v>
      </c>
      <c r="W31" s="49">
        <f t="shared" si="11"/>
        <v>0.4833221401</v>
      </c>
      <c r="X31" s="49">
        <f t="shared" si="12"/>
        <v>0.4461607343</v>
      </c>
      <c r="Y31" s="49">
        <f t="shared" si="13"/>
        <v>0.07051712559</v>
      </c>
      <c r="Z31" s="32" t="str">
        <f t="shared" si="14"/>
        <v>Jango</v>
      </c>
      <c r="AA31" s="50" t="s">
        <v>77</v>
      </c>
      <c r="AB31" s="38">
        <v>7332.0</v>
      </c>
      <c r="AC31" s="48">
        <f t="shared" si="18"/>
        <v>2193</v>
      </c>
      <c r="AD31" s="51">
        <f t="shared" si="17"/>
        <v>0.7009001637</v>
      </c>
    </row>
    <row r="32">
      <c r="A32" s="61" t="s">
        <v>111</v>
      </c>
      <c r="B32" s="46" t="s">
        <v>429</v>
      </c>
      <c r="C32" s="47"/>
      <c r="D32" s="38">
        <v>1703.0</v>
      </c>
      <c r="E32" s="38">
        <v>798.0</v>
      </c>
      <c r="F32" s="38">
        <v>167.0</v>
      </c>
      <c r="G32" s="38">
        <v>54.0</v>
      </c>
      <c r="H32" s="38">
        <v>106.0</v>
      </c>
      <c r="I32" s="48">
        <f t="shared" si="3"/>
        <v>2668</v>
      </c>
      <c r="J32" s="48">
        <f t="shared" si="4"/>
        <v>2828</v>
      </c>
      <c r="K32" s="49">
        <f t="shared" si="5"/>
        <v>0.6383058471</v>
      </c>
      <c r="L32" s="49">
        <f t="shared" si="6"/>
        <v>0.2991004498</v>
      </c>
      <c r="M32" s="49">
        <f t="shared" si="7"/>
        <v>0.06259370315</v>
      </c>
      <c r="N32" s="32" t="str">
        <f t="shared" si="8"/>
        <v>Jânio</v>
      </c>
      <c r="O32" s="50" t="s">
        <v>77</v>
      </c>
      <c r="P32" s="38">
        <v>1174.0</v>
      </c>
      <c r="Q32" s="38">
        <v>1122.0</v>
      </c>
      <c r="R32" s="38">
        <v>126.0</v>
      </c>
      <c r="S32" s="38">
        <v>226.0</v>
      </c>
      <c r="T32" s="38">
        <v>80.0</v>
      </c>
      <c r="U32" s="48">
        <f t="shared" si="9"/>
        <v>2422</v>
      </c>
      <c r="V32" s="48">
        <f t="shared" si="10"/>
        <v>2728</v>
      </c>
      <c r="W32" s="49">
        <f t="shared" si="11"/>
        <v>0.4847233691</v>
      </c>
      <c r="X32" s="49">
        <f t="shared" si="12"/>
        <v>0.4632535095</v>
      </c>
      <c r="Y32" s="49">
        <f t="shared" si="13"/>
        <v>0.05202312139</v>
      </c>
      <c r="Z32" s="32" t="str">
        <f t="shared" si="14"/>
        <v>Jango</v>
      </c>
      <c r="AA32" s="50" t="s">
        <v>77</v>
      </c>
      <c r="AB32" s="38">
        <v>4432.0</v>
      </c>
      <c r="AC32" s="48">
        <f>AB32-J32</f>
        <v>1604</v>
      </c>
      <c r="AD32" s="51">
        <f>J32/AB32</f>
        <v>0.6380866426</v>
      </c>
    </row>
    <row r="33">
      <c r="A33" s="24"/>
      <c r="B33" s="46" t="s">
        <v>430</v>
      </c>
      <c r="C33" s="47"/>
      <c r="D33" s="38">
        <v>402.0</v>
      </c>
      <c r="E33" s="38">
        <v>765.0</v>
      </c>
      <c r="F33" s="38">
        <v>61.0</v>
      </c>
      <c r="G33" s="38">
        <v>46.0</v>
      </c>
      <c r="H33" s="38">
        <v>75.0</v>
      </c>
      <c r="I33" s="48">
        <f t="shared" si="3"/>
        <v>1228</v>
      </c>
      <c r="J33" s="48">
        <f t="shared" si="4"/>
        <v>1349</v>
      </c>
      <c r="K33" s="49">
        <f t="shared" si="5"/>
        <v>0.3273615635</v>
      </c>
      <c r="L33" s="49">
        <f t="shared" si="6"/>
        <v>0.6229641694</v>
      </c>
      <c r="M33" s="49">
        <f t="shared" si="7"/>
        <v>0.0496742671</v>
      </c>
      <c r="N33" s="32" t="str">
        <f t="shared" si="8"/>
        <v>Mal. Lott</v>
      </c>
      <c r="O33" s="50" t="s">
        <v>77</v>
      </c>
      <c r="P33" s="38">
        <v>774.0</v>
      </c>
      <c r="Q33" s="38">
        <v>373.0</v>
      </c>
      <c r="R33" s="38">
        <v>41.0</v>
      </c>
      <c r="S33" s="38">
        <v>99.0</v>
      </c>
      <c r="T33" s="38">
        <v>62.0</v>
      </c>
      <c r="U33" s="48">
        <f t="shared" si="9"/>
        <v>1188</v>
      </c>
      <c r="V33" s="48">
        <f t="shared" si="10"/>
        <v>1349</v>
      </c>
      <c r="W33" s="49">
        <f t="shared" si="11"/>
        <v>0.6515151515</v>
      </c>
      <c r="X33" s="49">
        <f t="shared" si="12"/>
        <v>0.313973064</v>
      </c>
      <c r="Y33" s="49">
        <f t="shared" si="13"/>
        <v>0.03451178451</v>
      </c>
      <c r="Z33" s="32" t="str">
        <f t="shared" si="14"/>
        <v>Jango</v>
      </c>
      <c r="AA33" s="50" t="s">
        <v>77</v>
      </c>
      <c r="AB33" s="38">
        <v>2171.0</v>
      </c>
      <c r="AC33" s="48">
        <f t="shared" ref="AC33:AC159" si="19">AB33-V33</f>
        <v>822</v>
      </c>
      <c r="AD33" s="51">
        <f t="shared" ref="AD33:AD159" si="20">V33/AB33</f>
        <v>0.6213726393</v>
      </c>
    </row>
    <row r="34">
      <c r="A34" s="45" t="s">
        <v>114</v>
      </c>
      <c r="B34" s="46" t="s">
        <v>431</v>
      </c>
      <c r="C34" s="47"/>
      <c r="D34" s="38">
        <v>3150.0</v>
      </c>
      <c r="E34" s="38">
        <v>2403.0</v>
      </c>
      <c r="F34" s="38">
        <v>270.0</v>
      </c>
      <c r="G34" s="38">
        <v>210.0</v>
      </c>
      <c r="H34" s="38">
        <v>322.0</v>
      </c>
      <c r="I34" s="48">
        <f t="shared" si="3"/>
        <v>5823</v>
      </c>
      <c r="J34" s="48">
        <f t="shared" si="4"/>
        <v>6355</v>
      </c>
      <c r="K34" s="49">
        <f t="shared" si="5"/>
        <v>0.5409582689</v>
      </c>
      <c r="L34" s="49">
        <f t="shared" si="6"/>
        <v>0.4126738794</v>
      </c>
      <c r="M34" s="49">
        <f t="shared" si="7"/>
        <v>0.04636785162</v>
      </c>
      <c r="N34" s="32" t="str">
        <f t="shared" si="8"/>
        <v>Jânio</v>
      </c>
      <c r="O34" s="50" t="s">
        <v>77</v>
      </c>
      <c r="P34" s="38">
        <v>2689.0</v>
      </c>
      <c r="Q34" s="38">
        <v>2765.0</v>
      </c>
      <c r="R34" s="38">
        <v>268.0</v>
      </c>
      <c r="S34" s="38">
        <v>414.0</v>
      </c>
      <c r="T34" s="38">
        <v>219.0</v>
      </c>
      <c r="U34" s="48">
        <f t="shared" si="9"/>
        <v>5722</v>
      </c>
      <c r="V34" s="48">
        <f t="shared" si="10"/>
        <v>6355</v>
      </c>
      <c r="W34" s="49">
        <f t="shared" si="11"/>
        <v>0.4699405802</v>
      </c>
      <c r="X34" s="49">
        <f t="shared" si="12"/>
        <v>0.4832226494</v>
      </c>
      <c r="Y34" s="49">
        <f t="shared" si="13"/>
        <v>0.04683677036</v>
      </c>
      <c r="Z34" s="32" t="str">
        <f t="shared" si="14"/>
        <v>Milton</v>
      </c>
      <c r="AA34" s="50" t="s">
        <v>77</v>
      </c>
      <c r="AB34" s="38">
        <v>10385.0</v>
      </c>
      <c r="AC34" s="48">
        <f t="shared" si="19"/>
        <v>4030</v>
      </c>
      <c r="AD34" s="51">
        <f t="shared" si="20"/>
        <v>0.6119402985</v>
      </c>
    </row>
    <row r="35">
      <c r="A35" s="45" t="s">
        <v>117</v>
      </c>
      <c r="B35" s="46" t="s">
        <v>432</v>
      </c>
      <c r="C35" s="47"/>
      <c r="D35" s="38">
        <v>1915.0</v>
      </c>
      <c r="E35" s="38">
        <v>1588.0</v>
      </c>
      <c r="F35" s="38">
        <v>143.0</v>
      </c>
      <c r="G35" s="38">
        <v>118.0</v>
      </c>
      <c r="H35" s="38">
        <v>196.0</v>
      </c>
      <c r="I35" s="48">
        <f t="shared" si="3"/>
        <v>3646</v>
      </c>
      <c r="J35" s="48">
        <f t="shared" si="4"/>
        <v>3960</v>
      </c>
      <c r="K35" s="49">
        <f t="shared" si="5"/>
        <v>0.5252331322</v>
      </c>
      <c r="L35" s="49">
        <f t="shared" si="6"/>
        <v>0.4355458036</v>
      </c>
      <c r="M35" s="49">
        <f t="shared" si="7"/>
        <v>0.03922106418</v>
      </c>
      <c r="N35" s="32" t="str">
        <f t="shared" si="8"/>
        <v>Jânio</v>
      </c>
      <c r="O35" s="50" t="s">
        <v>77</v>
      </c>
      <c r="P35" s="38">
        <v>2379.0</v>
      </c>
      <c r="Q35" s="38">
        <v>1132.0</v>
      </c>
      <c r="R35" s="38">
        <v>121.0</v>
      </c>
      <c r="S35" s="38">
        <v>186.0</v>
      </c>
      <c r="T35" s="38">
        <v>142.0</v>
      </c>
      <c r="U35" s="48">
        <f t="shared" si="9"/>
        <v>3632</v>
      </c>
      <c r="V35" s="48">
        <f t="shared" si="10"/>
        <v>3960</v>
      </c>
      <c r="W35" s="49">
        <f t="shared" si="11"/>
        <v>0.6550110132</v>
      </c>
      <c r="X35" s="49">
        <f t="shared" si="12"/>
        <v>0.3116740088</v>
      </c>
      <c r="Y35" s="49">
        <f t="shared" si="13"/>
        <v>0.03331497797</v>
      </c>
      <c r="Z35" s="32" t="str">
        <f t="shared" si="14"/>
        <v>Jango</v>
      </c>
      <c r="AA35" s="50" t="s">
        <v>77</v>
      </c>
      <c r="AB35" s="38">
        <v>5848.0</v>
      </c>
      <c r="AC35" s="48">
        <f t="shared" si="19"/>
        <v>1888</v>
      </c>
      <c r="AD35" s="51">
        <f t="shared" si="20"/>
        <v>0.6771545828</v>
      </c>
    </row>
    <row r="36">
      <c r="A36" s="61" t="s">
        <v>119</v>
      </c>
      <c r="B36" s="46" t="s">
        <v>433</v>
      </c>
      <c r="C36" s="47"/>
      <c r="D36" s="38">
        <v>962.0</v>
      </c>
      <c r="E36" s="38">
        <v>1529.0</v>
      </c>
      <c r="F36" s="38">
        <v>239.0</v>
      </c>
      <c r="G36" s="38">
        <v>110.0</v>
      </c>
      <c r="H36" s="38">
        <v>151.0</v>
      </c>
      <c r="I36" s="48">
        <f t="shared" si="3"/>
        <v>2730</v>
      </c>
      <c r="J36" s="48">
        <f t="shared" si="4"/>
        <v>2991</v>
      </c>
      <c r="K36" s="49">
        <f t="shared" si="5"/>
        <v>0.3523809524</v>
      </c>
      <c r="L36" s="49">
        <f t="shared" si="6"/>
        <v>0.5600732601</v>
      </c>
      <c r="M36" s="49">
        <f t="shared" si="7"/>
        <v>0.08754578755</v>
      </c>
      <c r="N36" s="32" t="str">
        <f t="shared" si="8"/>
        <v>Mal. Lott</v>
      </c>
      <c r="O36" s="50" t="s">
        <v>77</v>
      </c>
      <c r="P36" s="38">
        <v>1798.0</v>
      </c>
      <c r="Q36" s="38">
        <v>702.0</v>
      </c>
      <c r="R36" s="38">
        <v>149.0</v>
      </c>
      <c r="S36" s="38">
        <v>236.0</v>
      </c>
      <c r="T36" s="38">
        <v>106.0</v>
      </c>
      <c r="U36" s="48">
        <f t="shared" si="9"/>
        <v>2649</v>
      </c>
      <c r="V36" s="48">
        <f t="shared" si="10"/>
        <v>2991</v>
      </c>
      <c r="W36" s="49">
        <f t="shared" si="11"/>
        <v>0.6787466969</v>
      </c>
      <c r="X36" s="49">
        <f t="shared" si="12"/>
        <v>0.2650056625</v>
      </c>
      <c r="Y36" s="49">
        <f t="shared" si="13"/>
        <v>0.05624764062</v>
      </c>
      <c r="Z36" s="32" t="str">
        <f t="shared" si="14"/>
        <v>Jango</v>
      </c>
      <c r="AA36" s="50" t="s">
        <v>77</v>
      </c>
      <c r="AB36" s="38">
        <v>4666.0</v>
      </c>
      <c r="AC36" s="48">
        <f t="shared" si="19"/>
        <v>1675</v>
      </c>
      <c r="AD36" s="51">
        <f t="shared" si="20"/>
        <v>0.6410201457</v>
      </c>
    </row>
    <row r="37">
      <c r="A37" s="24"/>
      <c r="B37" s="46" t="s">
        <v>434</v>
      </c>
      <c r="C37" s="47"/>
      <c r="D37" s="38">
        <v>659.0</v>
      </c>
      <c r="E37" s="38">
        <v>143.0</v>
      </c>
      <c r="F37" s="38">
        <v>33.0</v>
      </c>
      <c r="G37" s="38">
        <v>17.0</v>
      </c>
      <c r="H37" s="38">
        <v>42.0</v>
      </c>
      <c r="I37" s="48">
        <f t="shared" si="3"/>
        <v>835</v>
      </c>
      <c r="J37" s="48">
        <f t="shared" si="4"/>
        <v>894</v>
      </c>
      <c r="K37" s="49">
        <f t="shared" si="5"/>
        <v>0.7892215569</v>
      </c>
      <c r="L37" s="49">
        <f t="shared" si="6"/>
        <v>0.171257485</v>
      </c>
      <c r="M37" s="49">
        <f t="shared" si="7"/>
        <v>0.03952095808</v>
      </c>
      <c r="N37" s="32" t="str">
        <f t="shared" si="8"/>
        <v>Jânio</v>
      </c>
      <c r="O37" s="50" t="s">
        <v>77</v>
      </c>
      <c r="P37" s="38">
        <v>152.0</v>
      </c>
      <c r="Q37" s="38">
        <v>542.0</v>
      </c>
      <c r="R37" s="38">
        <v>122.0</v>
      </c>
      <c r="S37" s="38">
        <v>48.0</v>
      </c>
      <c r="T37" s="38">
        <v>30.0</v>
      </c>
      <c r="U37" s="48">
        <f t="shared" si="9"/>
        <v>816</v>
      </c>
      <c r="V37" s="48">
        <f t="shared" si="10"/>
        <v>894</v>
      </c>
      <c r="W37" s="49">
        <f t="shared" si="11"/>
        <v>0.1862745098</v>
      </c>
      <c r="X37" s="49">
        <f t="shared" si="12"/>
        <v>0.6642156863</v>
      </c>
      <c r="Y37" s="49">
        <f t="shared" si="13"/>
        <v>0.1495098039</v>
      </c>
      <c r="Z37" s="32" t="str">
        <f t="shared" si="14"/>
        <v>Milton</v>
      </c>
      <c r="AA37" s="50" t="s">
        <v>77</v>
      </c>
      <c r="AB37" s="38">
        <v>1452.0</v>
      </c>
      <c r="AC37" s="48">
        <f t="shared" si="19"/>
        <v>558</v>
      </c>
      <c r="AD37" s="51">
        <f t="shared" si="20"/>
        <v>0.6157024793</v>
      </c>
    </row>
    <row r="38">
      <c r="A38" s="45" t="s">
        <v>123</v>
      </c>
      <c r="B38" s="46" t="s">
        <v>435</v>
      </c>
      <c r="C38" s="47"/>
      <c r="D38" s="38">
        <v>1251.0</v>
      </c>
      <c r="E38" s="38">
        <v>1225.0</v>
      </c>
      <c r="F38" s="38">
        <v>376.0</v>
      </c>
      <c r="G38" s="38">
        <v>127.0</v>
      </c>
      <c r="H38" s="38">
        <v>172.0</v>
      </c>
      <c r="I38" s="48">
        <f t="shared" si="3"/>
        <v>2852</v>
      </c>
      <c r="J38" s="48">
        <f t="shared" si="4"/>
        <v>3151</v>
      </c>
      <c r="K38" s="49">
        <f t="shared" si="5"/>
        <v>0.4386395512</v>
      </c>
      <c r="L38" s="49">
        <f t="shared" si="6"/>
        <v>0.4295231417</v>
      </c>
      <c r="M38" s="49">
        <f t="shared" si="7"/>
        <v>0.1318373072</v>
      </c>
      <c r="N38" s="32" t="str">
        <f t="shared" si="8"/>
        <v>Jânio</v>
      </c>
      <c r="O38" s="50" t="s">
        <v>77</v>
      </c>
      <c r="P38" s="38">
        <v>1456.0</v>
      </c>
      <c r="Q38" s="38">
        <v>1209.0</v>
      </c>
      <c r="R38" s="38">
        <v>153.0</v>
      </c>
      <c r="S38" s="38">
        <v>233.0</v>
      </c>
      <c r="T38" s="38">
        <v>100.0</v>
      </c>
      <c r="U38" s="48">
        <f t="shared" si="9"/>
        <v>2818</v>
      </c>
      <c r="V38" s="48">
        <f t="shared" si="10"/>
        <v>3151</v>
      </c>
      <c r="W38" s="49">
        <f t="shared" si="11"/>
        <v>0.5166784954</v>
      </c>
      <c r="X38" s="49">
        <f t="shared" si="12"/>
        <v>0.4290276792</v>
      </c>
      <c r="Y38" s="49">
        <f t="shared" si="13"/>
        <v>0.05429382541</v>
      </c>
      <c r="Z38" s="32" t="str">
        <f t="shared" si="14"/>
        <v>Jango</v>
      </c>
      <c r="AA38" s="50" t="s">
        <v>77</v>
      </c>
      <c r="AB38" s="38">
        <v>5018.0</v>
      </c>
      <c r="AC38" s="48">
        <f t="shared" si="19"/>
        <v>1867</v>
      </c>
      <c r="AD38" s="51">
        <f t="shared" si="20"/>
        <v>0.6279394181</v>
      </c>
    </row>
    <row r="39">
      <c r="A39" s="45" t="s">
        <v>125</v>
      </c>
      <c r="B39" s="46" t="s">
        <v>436</v>
      </c>
      <c r="C39" s="47"/>
      <c r="D39" s="38">
        <v>3573.0</v>
      </c>
      <c r="E39" s="38">
        <v>2718.0</v>
      </c>
      <c r="F39" s="38">
        <v>254.0</v>
      </c>
      <c r="G39" s="38">
        <v>171.0</v>
      </c>
      <c r="H39" s="38">
        <v>458.0</v>
      </c>
      <c r="I39" s="48">
        <f t="shared" si="3"/>
        <v>6545</v>
      </c>
      <c r="J39" s="48">
        <f t="shared" si="4"/>
        <v>7174</v>
      </c>
      <c r="K39" s="49">
        <f t="shared" si="5"/>
        <v>0.5459129106</v>
      </c>
      <c r="L39" s="49">
        <f t="shared" si="6"/>
        <v>0.4152788388</v>
      </c>
      <c r="M39" s="49">
        <f t="shared" si="7"/>
        <v>0.03880825057</v>
      </c>
      <c r="N39" s="32" t="str">
        <f t="shared" si="8"/>
        <v>Jânio</v>
      </c>
      <c r="O39" s="50" t="s">
        <v>77</v>
      </c>
      <c r="P39" s="38">
        <v>2945.0</v>
      </c>
      <c r="Q39" s="38">
        <v>3146.0</v>
      </c>
      <c r="R39" s="38">
        <v>360.0</v>
      </c>
      <c r="S39" s="38">
        <v>393.0</v>
      </c>
      <c r="T39" s="38">
        <v>330.0</v>
      </c>
      <c r="U39" s="48">
        <f t="shared" si="9"/>
        <v>6451</v>
      </c>
      <c r="V39" s="48">
        <f t="shared" si="10"/>
        <v>7174</v>
      </c>
      <c r="W39" s="49">
        <f t="shared" si="11"/>
        <v>0.4565183692</v>
      </c>
      <c r="X39" s="49">
        <f t="shared" si="12"/>
        <v>0.4876763293</v>
      </c>
      <c r="Y39" s="49">
        <f t="shared" si="13"/>
        <v>0.0558053015</v>
      </c>
      <c r="Z39" s="32" t="str">
        <f t="shared" si="14"/>
        <v>Milton</v>
      </c>
      <c r="AA39" s="50" t="s">
        <v>77</v>
      </c>
      <c r="AB39" s="38">
        <v>12454.0</v>
      </c>
      <c r="AC39" s="48">
        <f t="shared" si="19"/>
        <v>5280</v>
      </c>
      <c r="AD39" s="51">
        <f t="shared" si="20"/>
        <v>0.5760398266</v>
      </c>
    </row>
    <row r="40">
      <c r="A40" s="45" t="s">
        <v>127</v>
      </c>
      <c r="B40" s="46" t="s">
        <v>437</v>
      </c>
      <c r="C40" s="47"/>
      <c r="D40" s="38">
        <v>708.0</v>
      </c>
      <c r="E40" s="38">
        <v>1268.0</v>
      </c>
      <c r="F40" s="38">
        <v>118.0</v>
      </c>
      <c r="G40" s="38">
        <v>115.0</v>
      </c>
      <c r="H40" s="38">
        <v>194.0</v>
      </c>
      <c r="I40" s="48">
        <f t="shared" si="3"/>
        <v>2094</v>
      </c>
      <c r="J40" s="48">
        <f t="shared" si="4"/>
        <v>2403</v>
      </c>
      <c r="K40" s="49">
        <f t="shared" si="5"/>
        <v>0.3381088825</v>
      </c>
      <c r="L40" s="49">
        <f t="shared" si="6"/>
        <v>0.6055396371</v>
      </c>
      <c r="M40" s="49">
        <f t="shared" si="7"/>
        <v>0.05635148042</v>
      </c>
      <c r="N40" s="32" t="str">
        <f t="shared" si="8"/>
        <v>Mal. Lott</v>
      </c>
      <c r="O40" s="50" t="s">
        <v>77</v>
      </c>
      <c r="P40" s="38">
        <v>1261.0</v>
      </c>
      <c r="Q40" s="38">
        <v>620.0</v>
      </c>
      <c r="R40" s="38">
        <v>161.0</v>
      </c>
      <c r="S40" s="38">
        <v>223.0</v>
      </c>
      <c r="T40" s="38">
        <v>138.0</v>
      </c>
      <c r="U40" s="48">
        <f t="shared" si="9"/>
        <v>2042</v>
      </c>
      <c r="V40" s="48">
        <f t="shared" si="10"/>
        <v>2403</v>
      </c>
      <c r="W40" s="49">
        <f t="shared" si="11"/>
        <v>0.6175318315</v>
      </c>
      <c r="X40" s="49">
        <f t="shared" si="12"/>
        <v>0.3036238981</v>
      </c>
      <c r="Y40" s="49">
        <f t="shared" si="13"/>
        <v>0.07884427032</v>
      </c>
      <c r="Z40" s="32" t="str">
        <f t="shared" si="14"/>
        <v>Jango</v>
      </c>
      <c r="AA40" s="50" t="s">
        <v>77</v>
      </c>
      <c r="AB40" s="38">
        <v>4016.0</v>
      </c>
      <c r="AC40" s="48">
        <f t="shared" si="19"/>
        <v>1613</v>
      </c>
      <c r="AD40" s="51">
        <f t="shared" si="20"/>
        <v>0.5983565737</v>
      </c>
    </row>
    <row r="41">
      <c r="A41" s="61" t="s">
        <v>129</v>
      </c>
      <c r="B41" s="46" t="s">
        <v>438</v>
      </c>
      <c r="C41" s="47"/>
      <c r="D41" s="38">
        <v>1452.0</v>
      </c>
      <c r="E41" s="38">
        <v>1594.0</v>
      </c>
      <c r="F41" s="38">
        <v>508.0</v>
      </c>
      <c r="G41" s="38">
        <v>109.0</v>
      </c>
      <c r="H41" s="38">
        <v>210.0</v>
      </c>
      <c r="I41" s="48">
        <f t="shared" si="3"/>
        <v>3554</v>
      </c>
      <c r="J41" s="48">
        <f t="shared" si="4"/>
        <v>3873</v>
      </c>
      <c r="K41" s="49">
        <f t="shared" si="5"/>
        <v>0.4085537423</v>
      </c>
      <c r="L41" s="49">
        <f t="shared" si="6"/>
        <v>0.4485087226</v>
      </c>
      <c r="M41" s="49">
        <f t="shared" si="7"/>
        <v>0.1429375352</v>
      </c>
      <c r="N41" s="32" t="str">
        <f t="shared" si="8"/>
        <v>Mal. Lott</v>
      </c>
      <c r="O41" s="50" t="s">
        <v>77</v>
      </c>
      <c r="P41" s="38">
        <v>2229.0</v>
      </c>
      <c r="Q41" s="38">
        <v>790.0</v>
      </c>
      <c r="R41" s="38">
        <v>505.0</v>
      </c>
      <c r="S41" s="38">
        <v>200.0</v>
      </c>
      <c r="T41" s="38">
        <v>149.0</v>
      </c>
      <c r="U41" s="48">
        <f t="shared" si="9"/>
        <v>3524</v>
      </c>
      <c r="V41" s="48">
        <f t="shared" si="10"/>
        <v>3873</v>
      </c>
      <c r="W41" s="49">
        <f t="shared" si="11"/>
        <v>0.6325198638</v>
      </c>
      <c r="X41" s="49">
        <f t="shared" si="12"/>
        <v>0.2241770715</v>
      </c>
      <c r="Y41" s="49">
        <f t="shared" si="13"/>
        <v>0.1433030647</v>
      </c>
      <c r="Z41" s="32" t="str">
        <f t="shared" si="14"/>
        <v>Jango</v>
      </c>
      <c r="AA41" s="50" t="s">
        <v>77</v>
      </c>
      <c r="AB41" s="38">
        <v>6492.0</v>
      </c>
      <c r="AC41" s="48">
        <f t="shared" si="19"/>
        <v>2619</v>
      </c>
      <c r="AD41" s="51">
        <f t="shared" si="20"/>
        <v>0.5965804067</v>
      </c>
    </row>
    <row r="42">
      <c r="A42" s="23"/>
      <c r="B42" s="46" t="s">
        <v>439</v>
      </c>
      <c r="C42" s="47"/>
      <c r="D42" s="38">
        <v>210.0</v>
      </c>
      <c r="E42" s="38">
        <v>281.0</v>
      </c>
      <c r="F42" s="38">
        <v>10.0</v>
      </c>
      <c r="G42" s="38">
        <v>9.0</v>
      </c>
      <c r="H42" s="38">
        <v>18.0</v>
      </c>
      <c r="I42" s="48">
        <f t="shared" si="3"/>
        <v>501</v>
      </c>
      <c r="J42" s="48">
        <f t="shared" si="4"/>
        <v>528</v>
      </c>
      <c r="K42" s="49">
        <f t="shared" si="5"/>
        <v>0.4191616766</v>
      </c>
      <c r="L42" s="49">
        <f t="shared" si="6"/>
        <v>0.5608782435</v>
      </c>
      <c r="M42" s="49">
        <f t="shared" si="7"/>
        <v>0.01996007984</v>
      </c>
      <c r="N42" s="32" t="str">
        <f t="shared" si="8"/>
        <v>Mal. Lott</v>
      </c>
      <c r="O42" s="50" t="s">
        <v>77</v>
      </c>
      <c r="P42" s="38">
        <v>269.0</v>
      </c>
      <c r="Q42" s="38">
        <v>206.0</v>
      </c>
      <c r="R42" s="38">
        <v>24.0</v>
      </c>
      <c r="S42" s="38">
        <v>20.0</v>
      </c>
      <c r="T42" s="38">
        <v>9.0</v>
      </c>
      <c r="U42" s="48">
        <f t="shared" si="9"/>
        <v>499</v>
      </c>
      <c r="V42" s="48">
        <f t="shared" si="10"/>
        <v>528</v>
      </c>
      <c r="W42" s="49">
        <f t="shared" si="11"/>
        <v>0.5390781563</v>
      </c>
      <c r="X42" s="49">
        <f t="shared" si="12"/>
        <v>0.4128256513</v>
      </c>
      <c r="Y42" s="49">
        <f t="shared" si="13"/>
        <v>0.04809619238</v>
      </c>
      <c r="Z42" s="32" t="str">
        <f t="shared" si="14"/>
        <v>Jango</v>
      </c>
      <c r="AA42" s="50" t="s">
        <v>77</v>
      </c>
      <c r="AB42" s="38">
        <v>968.0</v>
      </c>
      <c r="AC42" s="48">
        <f t="shared" si="19"/>
        <v>440</v>
      </c>
      <c r="AD42" s="51">
        <f t="shared" si="20"/>
        <v>0.5454545455</v>
      </c>
    </row>
    <row r="43">
      <c r="A43" s="23"/>
      <c r="B43" s="46" t="s">
        <v>440</v>
      </c>
      <c r="C43" s="47"/>
      <c r="D43" s="38">
        <v>369.0</v>
      </c>
      <c r="E43" s="38">
        <v>240.0</v>
      </c>
      <c r="F43" s="38">
        <v>4.0</v>
      </c>
      <c r="G43" s="38">
        <v>8.0</v>
      </c>
      <c r="H43" s="38">
        <v>2.0</v>
      </c>
      <c r="I43" s="48">
        <f t="shared" si="3"/>
        <v>613</v>
      </c>
      <c r="J43" s="48">
        <f t="shared" si="4"/>
        <v>623</v>
      </c>
      <c r="K43" s="49">
        <f t="shared" si="5"/>
        <v>0.6019575856</v>
      </c>
      <c r="L43" s="49">
        <f t="shared" si="6"/>
        <v>0.3915171289</v>
      </c>
      <c r="M43" s="49">
        <f t="shared" si="7"/>
        <v>0.006525285481</v>
      </c>
      <c r="N43" s="32" t="str">
        <f t="shared" si="8"/>
        <v>Jânio</v>
      </c>
      <c r="O43" s="50" t="s">
        <v>77</v>
      </c>
      <c r="P43" s="38">
        <v>237.0</v>
      </c>
      <c r="Q43" s="38">
        <v>346.0</v>
      </c>
      <c r="R43" s="38">
        <v>30.0</v>
      </c>
      <c r="S43" s="38">
        <v>8.0</v>
      </c>
      <c r="T43" s="38">
        <v>2.0</v>
      </c>
      <c r="U43" s="48">
        <f t="shared" si="9"/>
        <v>613</v>
      </c>
      <c r="V43" s="48">
        <f t="shared" si="10"/>
        <v>623</v>
      </c>
      <c r="W43" s="49">
        <f t="shared" si="11"/>
        <v>0.3866231648</v>
      </c>
      <c r="X43" s="49">
        <f t="shared" si="12"/>
        <v>0.5644371941</v>
      </c>
      <c r="Y43" s="49">
        <f t="shared" si="13"/>
        <v>0.04893964111</v>
      </c>
      <c r="Z43" s="32" t="str">
        <f t="shared" si="14"/>
        <v>Milton</v>
      </c>
      <c r="AA43" s="50" t="s">
        <v>77</v>
      </c>
      <c r="AB43" s="38">
        <v>696.0</v>
      </c>
      <c r="AC43" s="48">
        <f t="shared" si="19"/>
        <v>73</v>
      </c>
      <c r="AD43" s="51">
        <f t="shared" si="20"/>
        <v>0.8951149425</v>
      </c>
    </row>
    <row r="44">
      <c r="A44" s="24"/>
      <c r="B44" s="46" t="s">
        <v>441</v>
      </c>
      <c r="C44" s="47"/>
      <c r="D44" s="38">
        <v>351.0</v>
      </c>
      <c r="E44" s="38">
        <v>631.0</v>
      </c>
      <c r="F44" s="38">
        <v>63.0</v>
      </c>
      <c r="G44" s="38">
        <v>40.0</v>
      </c>
      <c r="H44" s="38">
        <v>137.0</v>
      </c>
      <c r="I44" s="48">
        <f t="shared" si="3"/>
        <v>1045</v>
      </c>
      <c r="J44" s="48">
        <f t="shared" si="4"/>
        <v>1222</v>
      </c>
      <c r="K44" s="49">
        <f t="shared" si="5"/>
        <v>0.3358851675</v>
      </c>
      <c r="L44" s="49">
        <f t="shared" si="6"/>
        <v>0.6038277512</v>
      </c>
      <c r="M44" s="49">
        <f t="shared" si="7"/>
        <v>0.06028708134</v>
      </c>
      <c r="N44" s="32" t="str">
        <f t="shared" si="8"/>
        <v>Mal. Lott</v>
      </c>
      <c r="O44" s="50" t="s">
        <v>77</v>
      </c>
      <c r="P44" s="38">
        <v>712.0</v>
      </c>
      <c r="Q44" s="38">
        <v>107.0</v>
      </c>
      <c r="R44" s="38">
        <v>204.0</v>
      </c>
      <c r="S44" s="38">
        <v>80.0</v>
      </c>
      <c r="T44" s="38">
        <v>119.0</v>
      </c>
      <c r="U44" s="48">
        <f t="shared" si="9"/>
        <v>1023</v>
      </c>
      <c r="V44" s="48">
        <f t="shared" si="10"/>
        <v>1222</v>
      </c>
      <c r="W44" s="49">
        <f t="shared" si="11"/>
        <v>0.6959921799</v>
      </c>
      <c r="X44" s="49">
        <f t="shared" si="12"/>
        <v>0.1045943304</v>
      </c>
      <c r="Y44" s="49">
        <f t="shared" si="13"/>
        <v>0.1994134897</v>
      </c>
      <c r="Z44" s="32" t="str">
        <f t="shared" si="14"/>
        <v>Jango</v>
      </c>
      <c r="AA44" s="50" t="s">
        <v>77</v>
      </c>
      <c r="AB44" s="38">
        <v>2999.0</v>
      </c>
      <c r="AC44" s="48">
        <f t="shared" si="19"/>
        <v>1777</v>
      </c>
      <c r="AD44" s="51">
        <f t="shared" si="20"/>
        <v>0.4074691564</v>
      </c>
    </row>
    <row r="45">
      <c r="A45" s="45" t="s">
        <v>131</v>
      </c>
      <c r="B45" s="46" t="s">
        <v>442</v>
      </c>
      <c r="C45" s="47"/>
      <c r="D45" s="38">
        <v>2702.0</v>
      </c>
      <c r="E45" s="38">
        <v>2397.0</v>
      </c>
      <c r="F45" s="38">
        <v>292.0</v>
      </c>
      <c r="G45" s="38">
        <v>124.0</v>
      </c>
      <c r="H45" s="38">
        <v>304.0</v>
      </c>
      <c r="I45" s="48">
        <f t="shared" si="3"/>
        <v>5391</v>
      </c>
      <c r="J45" s="48">
        <f t="shared" si="4"/>
        <v>5819</v>
      </c>
      <c r="K45" s="49">
        <f t="shared" si="5"/>
        <v>0.5012057132</v>
      </c>
      <c r="L45" s="49">
        <f t="shared" si="6"/>
        <v>0.4446299388</v>
      </c>
      <c r="M45" s="49">
        <f t="shared" si="7"/>
        <v>0.05416434799</v>
      </c>
      <c r="N45" s="32" t="str">
        <f t="shared" si="8"/>
        <v>Jânio</v>
      </c>
      <c r="O45" s="50" t="s">
        <v>77</v>
      </c>
      <c r="P45" s="38">
        <v>2488.0</v>
      </c>
      <c r="Q45" s="38">
        <v>2637.0</v>
      </c>
      <c r="R45" s="38">
        <v>216.0</v>
      </c>
      <c r="S45" s="38">
        <v>272.0</v>
      </c>
      <c r="T45" s="38">
        <v>206.0</v>
      </c>
      <c r="U45" s="48">
        <f t="shared" si="9"/>
        <v>5341</v>
      </c>
      <c r="V45" s="48">
        <f t="shared" si="10"/>
        <v>5819</v>
      </c>
      <c r="W45" s="49">
        <f t="shared" si="11"/>
        <v>0.4658303688</v>
      </c>
      <c r="X45" s="49">
        <f t="shared" si="12"/>
        <v>0.4937277663</v>
      </c>
      <c r="Y45" s="49">
        <f t="shared" si="13"/>
        <v>0.04044186482</v>
      </c>
      <c r="Z45" s="32" t="str">
        <f t="shared" si="14"/>
        <v>Milton</v>
      </c>
      <c r="AA45" s="50" t="s">
        <v>77</v>
      </c>
      <c r="AB45" s="38">
        <v>9736.0</v>
      </c>
      <c r="AC45" s="48">
        <f t="shared" si="19"/>
        <v>3917</v>
      </c>
      <c r="AD45" s="51">
        <f t="shared" si="20"/>
        <v>0.5976787182</v>
      </c>
    </row>
    <row r="46">
      <c r="A46" s="45" t="s">
        <v>133</v>
      </c>
      <c r="B46" s="46" t="s">
        <v>443</v>
      </c>
      <c r="C46" s="47"/>
      <c r="D46" s="38">
        <v>2235.0</v>
      </c>
      <c r="E46" s="38">
        <v>1720.0</v>
      </c>
      <c r="F46" s="38">
        <v>401.0</v>
      </c>
      <c r="G46" s="38">
        <v>113.0</v>
      </c>
      <c r="H46" s="38">
        <v>218.0</v>
      </c>
      <c r="I46" s="48">
        <f t="shared" si="3"/>
        <v>4356</v>
      </c>
      <c r="J46" s="48">
        <f t="shared" si="4"/>
        <v>4687</v>
      </c>
      <c r="K46" s="49">
        <f t="shared" si="5"/>
        <v>0.5130853994</v>
      </c>
      <c r="L46" s="49">
        <f t="shared" si="6"/>
        <v>0.3948576676</v>
      </c>
      <c r="M46" s="49">
        <f t="shared" si="7"/>
        <v>0.09205693297</v>
      </c>
      <c r="N46" s="32" t="str">
        <f t="shared" si="8"/>
        <v>Jânio</v>
      </c>
      <c r="O46" s="50" t="s">
        <v>77</v>
      </c>
      <c r="P46" s="38">
        <v>1923.0</v>
      </c>
      <c r="Q46" s="38">
        <v>2158.0</v>
      </c>
      <c r="R46" s="38">
        <v>144.0</v>
      </c>
      <c r="S46" s="38">
        <v>327.0</v>
      </c>
      <c r="T46" s="38">
        <v>135.0</v>
      </c>
      <c r="U46" s="48">
        <f t="shared" si="9"/>
        <v>4225</v>
      </c>
      <c r="V46" s="48">
        <f t="shared" si="10"/>
        <v>4687</v>
      </c>
      <c r="W46" s="49">
        <f t="shared" si="11"/>
        <v>0.455147929</v>
      </c>
      <c r="X46" s="49">
        <f t="shared" si="12"/>
        <v>0.5107692308</v>
      </c>
      <c r="Y46" s="49">
        <f t="shared" si="13"/>
        <v>0.03408284024</v>
      </c>
      <c r="Z46" s="32" t="str">
        <f t="shared" si="14"/>
        <v>Milton</v>
      </c>
      <c r="AA46" s="50" t="s">
        <v>77</v>
      </c>
      <c r="AB46" s="38">
        <v>7823.0</v>
      </c>
      <c r="AC46" s="48">
        <f t="shared" si="19"/>
        <v>3136</v>
      </c>
      <c r="AD46" s="51">
        <f t="shared" si="20"/>
        <v>0.5991307682</v>
      </c>
    </row>
    <row r="47">
      <c r="A47" s="61" t="s">
        <v>135</v>
      </c>
      <c r="B47" s="46" t="s">
        <v>444</v>
      </c>
      <c r="C47" s="47"/>
      <c r="D47" s="38">
        <v>1825.0</v>
      </c>
      <c r="E47" s="38">
        <v>862.0</v>
      </c>
      <c r="F47" s="38">
        <v>483.0</v>
      </c>
      <c r="G47" s="38">
        <v>86.0</v>
      </c>
      <c r="H47" s="38">
        <v>171.0</v>
      </c>
      <c r="I47" s="48">
        <f t="shared" si="3"/>
        <v>3170</v>
      </c>
      <c r="J47" s="48">
        <f t="shared" si="4"/>
        <v>3427</v>
      </c>
      <c r="K47" s="49">
        <f t="shared" si="5"/>
        <v>0.5757097792</v>
      </c>
      <c r="L47" s="49">
        <f t="shared" si="6"/>
        <v>0.2719242902</v>
      </c>
      <c r="M47" s="49">
        <f t="shared" si="7"/>
        <v>0.1523659306</v>
      </c>
      <c r="N47" s="32" t="str">
        <f t="shared" si="8"/>
        <v>Jânio</v>
      </c>
      <c r="O47" s="50" t="s">
        <v>77</v>
      </c>
      <c r="P47" s="38">
        <v>1267.0</v>
      </c>
      <c r="Q47" s="38">
        <v>1734.0</v>
      </c>
      <c r="R47" s="38">
        <v>126.0</v>
      </c>
      <c r="S47" s="38">
        <v>190.0</v>
      </c>
      <c r="T47" s="38">
        <v>110.0</v>
      </c>
      <c r="U47" s="48">
        <f t="shared" si="9"/>
        <v>3127</v>
      </c>
      <c r="V47" s="48">
        <f t="shared" si="10"/>
        <v>3427</v>
      </c>
      <c r="W47" s="49">
        <f t="shared" si="11"/>
        <v>0.4051806844</v>
      </c>
      <c r="X47" s="49">
        <f t="shared" si="12"/>
        <v>0.5545251039</v>
      </c>
      <c r="Y47" s="49">
        <f t="shared" si="13"/>
        <v>0.0402942117</v>
      </c>
      <c r="Z47" s="32" t="str">
        <f t="shared" si="14"/>
        <v>Milton</v>
      </c>
      <c r="AA47" s="50" t="s">
        <v>77</v>
      </c>
      <c r="AB47" s="38">
        <v>4674.0</v>
      </c>
      <c r="AC47" s="48">
        <f t="shared" si="19"/>
        <v>1247</v>
      </c>
      <c r="AD47" s="51">
        <f t="shared" si="20"/>
        <v>0.7332049636</v>
      </c>
    </row>
    <row r="48">
      <c r="A48" s="23"/>
      <c r="B48" s="46" t="s">
        <v>445</v>
      </c>
      <c r="C48" s="47"/>
      <c r="D48" s="38">
        <v>399.0</v>
      </c>
      <c r="E48" s="38">
        <v>83.0</v>
      </c>
      <c r="F48" s="38">
        <v>40.0</v>
      </c>
      <c r="G48" s="38">
        <v>90.0</v>
      </c>
      <c r="H48" s="38">
        <v>30.0</v>
      </c>
      <c r="I48" s="48">
        <f t="shared" si="3"/>
        <v>522</v>
      </c>
      <c r="J48" s="48">
        <f t="shared" si="4"/>
        <v>642</v>
      </c>
      <c r="K48" s="49">
        <f t="shared" si="5"/>
        <v>0.7643678161</v>
      </c>
      <c r="L48" s="49">
        <f t="shared" si="6"/>
        <v>0.1590038314</v>
      </c>
      <c r="M48" s="49">
        <f t="shared" si="7"/>
        <v>0.07662835249</v>
      </c>
      <c r="N48" s="32" t="str">
        <f t="shared" si="8"/>
        <v>Jânio</v>
      </c>
      <c r="O48" s="50" t="s">
        <v>77</v>
      </c>
      <c r="P48" s="38">
        <v>117.0</v>
      </c>
      <c r="Q48" s="38">
        <v>386.0</v>
      </c>
      <c r="R48" s="38">
        <v>9.0</v>
      </c>
      <c r="S48" s="38">
        <v>105.0</v>
      </c>
      <c r="T48" s="38">
        <v>25.0</v>
      </c>
      <c r="U48" s="48">
        <f t="shared" si="9"/>
        <v>512</v>
      </c>
      <c r="V48" s="48">
        <f t="shared" si="10"/>
        <v>642</v>
      </c>
      <c r="W48" s="49">
        <f t="shared" si="11"/>
        <v>0.228515625</v>
      </c>
      <c r="X48" s="49">
        <f t="shared" si="12"/>
        <v>0.75390625</v>
      </c>
      <c r="Y48" s="49">
        <f t="shared" si="13"/>
        <v>0.017578125</v>
      </c>
      <c r="Z48" s="32" t="str">
        <f t="shared" si="14"/>
        <v>Milton</v>
      </c>
      <c r="AA48" s="50" t="s">
        <v>77</v>
      </c>
      <c r="AB48" s="38">
        <v>793.0</v>
      </c>
      <c r="AC48" s="48">
        <f t="shared" si="19"/>
        <v>151</v>
      </c>
      <c r="AD48" s="51">
        <f t="shared" si="20"/>
        <v>0.8095838588</v>
      </c>
    </row>
    <row r="49">
      <c r="A49" s="24"/>
      <c r="B49" s="46" t="s">
        <v>446</v>
      </c>
      <c r="C49" s="47"/>
      <c r="D49" s="38">
        <v>203.0</v>
      </c>
      <c r="E49" s="38">
        <v>287.0</v>
      </c>
      <c r="F49" s="38">
        <v>78.0</v>
      </c>
      <c r="G49" s="38">
        <v>9.0</v>
      </c>
      <c r="H49" s="38">
        <v>19.0</v>
      </c>
      <c r="I49" s="48">
        <f t="shared" si="3"/>
        <v>568</v>
      </c>
      <c r="J49" s="48">
        <f t="shared" si="4"/>
        <v>596</v>
      </c>
      <c r="K49" s="49">
        <f t="shared" si="5"/>
        <v>0.3573943662</v>
      </c>
      <c r="L49" s="49">
        <f t="shared" si="6"/>
        <v>0.5052816901</v>
      </c>
      <c r="M49" s="49">
        <f t="shared" si="7"/>
        <v>0.1373239437</v>
      </c>
      <c r="N49" s="32" t="str">
        <f t="shared" si="8"/>
        <v>Mal. Lott</v>
      </c>
      <c r="O49" s="50" t="s">
        <v>77</v>
      </c>
      <c r="P49" s="38">
        <v>358.0</v>
      </c>
      <c r="Q49" s="38">
        <v>193.0</v>
      </c>
      <c r="R49" s="38">
        <v>17.0</v>
      </c>
      <c r="S49" s="38">
        <v>17.0</v>
      </c>
      <c r="T49" s="38">
        <v>11.0</v>
      </c>
      <c r="U49" s="48">
        <f t="shared" si="9"/>
        <v>568</v>
      </c>
      <c r="V49" s="48">
        <f t="shared" si="10"/>
        <v>596</v>
      </c>
      <c r="W49" s="49">
        <f t="shared" si="11"/>
        <v>0.6302816901</v>
      </c>
      <c r="X49" s="49">
        <f t="shared" si="12"/>
        <v>0.3397887324</v>
      </c>
      <c r="Y49" s="49">
        <f t="shared" si="13"/>
        <v>0.02992957746</v>
      </c>
      <c r="Z49" s="32" t="str">
        <f t="shared" si="14"/>
        <v>Jango</v>
      </c>
      <c r="AA49" s="50" t="s">
        <v>77</v>
      </c>
      <c r="AB49" s="38">
        <v>808.0</v>
      </c>
      <c r="AC49" s="48">
        <f t="shared" si="19"/>
        <v>212</v>
      </c>
      <c r="AD49" s="51">
        <f t="shared" si="20"/>
        <v>0.7376237624</v>
      </c>
    </row>
    <row r="50">
      <c r="A50" s="61" t="s">
        <v>193</v>
      </c>
      <c r="B50" s="46" t="s">
        <v>447</v>
      </c>
      <c r="C50" s="47"/>
      <c r="D50" s="38">
        <v>1814.0</v>
      </c>
      <c r="E50" s="38">
        <v>1506.0</v>
      </c>
      <c r="F50" s="38">
        <v>225.0</v>
      </c>
      <c r="G50" s="38">
        <v>144.0</v>
      </c>
      <c r="H50" s="38">
        <v>122.0</v>
      </c>
      <c r="I50" s="48">
        <f t="shared" si="3"/>
        <v>3545</v>
      </c>
      <c r="J50" s="48">
        <f t="shared" si="4"/>
        <v>3811</v>
      </c>
      <c r="K50" s="49">
        <f t="shared" si="5"/>
        <v>0.5117066291</v>
      </c>
      <c r="L50" s="49">
        <f t="shared" si="6"/>
        <v>0.4248236953</v>
      </c>
      <c r="M50" s="49">
        <f t="shared" si="7"/>
        <v>0.0634696756</v>
      </c>
      <c r="N50" s="32" t="str">
        <f t="shared" si="8"/>
        <v>Jânio</v>
      </c>
      <c r="O50" s="50" t="s">
        <v>77</v>
      </c>
      <c r="P50" s="38">
        <v>2063.0</v>
      </c>
      <c r="Q50" s="38">
        <v>1319.0</v>
      </c>
      <c r="R50" s="38">
        <v>190.0</v>
      </c>
      <c r="S50" s="38">
        <v>157.0</v>
      </c>
      <c r="T50" s="38">
        <v>82.0</v>
      </c>
      <c r="U50" s="48">
        <f t="shared" si="9"/>
        <v>3572</v>
      </c>
      <c r="V50" s="48">
        <f t="shared" si="10"/>
        <v>3811</v>
      </c>
      <c r="W50" s="49">
        <f t="shared" si="11"/>
        <v>0.5775475924</v>
      </c>
      <c r="X50" s="49">
        <f t="shared" si="12"/>
        <v>0.3692609183</v>
      </c>
      <c r="Y50" s="49">
        <f t="shared" si="13"/>
        <v>0.05319148936</v>
      </c>
      <c r="Z50" s="32" t="str">
        <f t="shared" si="14"/>
        <v>Jango</v>
      </c>
      <c r="AA50" s="50" t="s">
        <v>77</v>
      </c>
      <c r="AB50" s="38">
        <v>5569.0</v>
      </c>
      <c r="AC50" s="48">
        <f t="shared" si="19"/>
        <v>1758</v>
      </c>
      <c r="AD50" s="51">
        <f t="shared" si="20"/>
        <v>0.6843239361</v>
      </c>
    </row>
    <row r="51">
      <c r="A51" s="24"/>
      <c r="B51" s="46" t="s">
        <v>448</v>
      </c>
      <c r="C51" s="47"/>
      <c r="D51" s="38">
        <v>609.0</v>
      </c>
      <c r="E51" s="38">
        <v>504.0</v>
      </c>
      <c r="F51" s="38">
        <v>29.0</v>
      </c>
      <c r="G51" s="38">
        <v>34.0</v>
      </c>
      <c r="H51" s="38">
        <v>57.0</v>
      </c>
      <c r="I51" s="48">
        <f t="shared" si="3"/>
        <v>1142</v>
      </c>
      <c r="J51" s="48">
        <f t="shared" si="4"/>
        <v>1233</v>
      </c>
      <c r="K51" s="49">
        <f t="shared" si="5"/>
        <v>0.5332749562</v>
      </c>
      <c r="L51" s="49">
        <f t="shared" si="6"/>
        <v>0.4413309982</v>
      </c>
      <c r="M51" s="49">
        <f t="shared" si="7"/>
        <v>0.02539404553</v>
      </c>
      <c r="N51" s="32" t="str">
        <f t="shared" si="8"/>
        <v>Jânio</v>
      </c>
      <c r="O51" s="50" t="s">
        <v>77</v>
      </c>
      <c r="P51" s="38">
        <v>518.0</v>
      </c>
      <c r="Q51" s="38">
        <v>529.0</v>
      </c>
      <c r="R51" s="38">
        <v>62.0</v>
      </c>
      <c r="S51" s="38">
        <v>92.0</v>
      </c>
      <c r="T51" s="38">
        <v>32.0</v>
      </c>
      <c r="U51" s="48">
        <f t="shared" si="9"/>
        <v>1109</v>
      </c>
      <c r="V51" s="48">
        <f t="shared" si="10"/>
        <v>1233</v>
      </c>
      <c r="W51" s="49">
        <f t="shared" si="11"/>
        <v>0.4670874662</v>
      </c>
      <c r="X51" s="49">
        <f t="shared" si="12"/>
        <v>0.477006312</v>
      </c>
      <c r="Y51" s="49">
        <f t="shared" si="13"/>
        <v>0.05590622182</v>
      </c>
      <c r="Z51" s="32" t="str">
        <f t="shared" si="14"/>
        <v>Milton</v>
      </c>
      <c r="AA51" s="50" t="s">
        <v>77</v>
      </c>
      <c r="AB51" s="38">
        <v>1829.0</v>
      </c>
      <c r="AC51" s="48">
        <f t="shared" si="19"/>
        <v>596</v>
      </c>
      <c r="AD51" s="51">
        <f t="shared" si="20"/>
        <v>0.6741388737</v>
      </c>
    </row>
    <row r="52">
      <c r="A52" s="61" t="s">
        <v>196</v>
      </c>
      <c r="B52" s="46" t="s">
        <v>449</v>
      </c>
      <c r="C52" s="47"/>
      <c r="D52" s="38">
        <v>6066.0</v>
      </c>
      <c r="E52" s="38">
        <v>5729.0</v>
      </c>
      <c r="F52" s="38">
        <v>298.0</v>
      </c>
      <c r="G52" s="38">
        <v>321.0</v>
      </c>
      <c r="H52" s="38">
        <v>424.0</v>
      </c>
      <c r="I52" s="48">
        <f t="shared" si="3"/>
        <v>12093</v>
      </c>
      <c r="J52" s="48">
        <f t="shared" si="4"/>
        <v>12838</v>
      </c>
      <c r="K52" s="49">
        <f t="shared" si="5"/>
        <v>0.5016125031</v>
      </c>
      <c r="L52" s="49">
        <f t="shared" si="6"/>
        <v>0.4737451418</v>
      </c>
      <c r="M52" s="49">
        <f t="shared" si="7"/>
        <v>0.02464235508</v>
      </c>
      <c r="N52" s="32" t="str">
        <f t="shared" si="8"/>
        <v>Jânio</v>
      </c>
      <c r="O52" s="50" t="s">
        <v>77</v>
      </c>
      <c r="P52" s="38">
        <v>5872.0</v>
      </c>
      <c r="Q52" s="38">
        <v>5722.0</v>
      </c>
      <c r="R52" s="38">
        <v>398.0</v>
      </c>
      <c r="S52" s="38">
        <v>524.0</v>
      </c>
      <c r="T52" s="38">
        <v>322.0</v>
      </c>
      <c r="U52" s="48">
        <f t="shared" si="9"/>
        <v>11992</v>
      </c>
      <c r="V52" s="48">
        <f t="shared" si="10"/>
        <v>12838</v>
      </c>
      <c r="W52" s="49">
        <f t="shared" si="11"/>
        <v>0.4896597732</v>
      </c>
      <c r="X52" s="49">
        <f t="shared" si="12"/>
        <v>0.4771514343</v>
      </c>
      <c r="Y52" s="49">
        <f t="shared" si="13"/>
        <v>0.03318879253</v>
      </c>
      <c r="Z52" s="32" t="str">
        <f t="shared" si="14"/>
        <v>Jango</v>
      </c>
      <c r="AA52" s="50" t="s">
        <v>77</v>
      </c>
      <c r="AB52" s="38">
        <v>17833.0</v>
      </c>
      <c r="AC52" s="48">
        <f t="shared" si="19"/>
        <v>4995</v>
      </c>
      <c r="AD52" s="51">
        <f t="shared" si="20"/>
        <v>0.7199013066</v>
      </c>
    </row>
    <row r="53">
      <c r="A53" s="23"/>
      <c r="B53" s="46" t="s">
        <v>450</v>
      </c>
      <c r="C53" s="47"/>
      <c r="D53" s="38">
        <v>249.0</v>
      </c>
      <c r="E53" s="38">
        <v>293.0</v>
      </c>
      <c r="F53" s="38">
        <v>189.0</v>
      </c>
      <c r="G53" s="38">
        <v>25.0</v>
      </c>
      <c r="H53" s="38">
        <v>29.0</v>
      </c>
      <c r="I53" s="48">
        <f t="shared" si="3"/>
        <v>731</v>
      </c>
      <c r="J53" s="48">
        <f t="shared" si="4"/>
        <v>785</v>
      </c>
      <c r="K53" s="49">
        <f t="shared" si="5"/>
        <v>0.340629275</v>
      </c>
      <c r="L53" s="49">
        <f t="shared" si="6"/>
        <v>0.4008207934</v>
      </c>
      <c r="M53" s="49">
        <f t="shared" si="7"/>
        <v>0.2585499316</v>
      </c>
      <c r="N53" s="32" t="str">
        <f t="shared" si="8"/>
        <v>Mal. Lott</v>
      </c>
      <c r="O53" s="50" t="s">
        <v>77</v>
      </c>
      <c r="P53" s="38">
        <v>446.0</v>
      </c>
      <c r="Q53" s="38">
        <v>246.0</v>
      </c>
      <c r="R53" s="38">
        <v>25.0</v>
      </c>
      <c r="S53" s="38">
        <v>47.0</v>
      </c>
      <c r="T53" s="38">
        <v>21.0</v>
      </c>
      <c r="U53" s="48">
        <f t="shared" si="9"/>
        <v>717</v>
      </c>
      <c r="V53" s="48">
        <f t="shared" si="10"/>
        <v>785</v>
      </c>
      <c r="W53" s="49">
        <f t="shared" si="11"/>
        <v>0.6220362622</v>
      </c>
      <c r="X53" s="49">
        <f t="shared" si="12"/>
        <v>0.3430962343</v>
      </c>
      <c r="Y53" s="49">
        <f t="shared" si="13"/>
        <v>0.03486750349</v>
      </c>
      <c r="Z53" s="32" t="str">
        <f t="shared" si="14"/>
        <v>Jango</v>
      </c>
      <c r="AA53" s="50" t="s">
        <v>77</v>
      </c>
      <c r="AB53" s="38">
        <v>1466.0</v>
      </c>
      <c r="AC53" s="48">
        <f t="shared" si="19"/>
        <v>681</v>
      </c>
      <c r="AD53" s="51">
        <f t="shared" si="20"/>
        <v>0.5354706685</v>
      </c>
    </row>
    <row r="54">
      <c r="A54" s="24"/>
      <c r="B54" s="46" t="s">
        <v>451</v>
      </c>
      <c r="C54" s="47"/>
      <c r="D54" s="38">
        <v>334.0</v>
      </c>
      <c r="E54" s="38">
        <v>769.0</v>
      </c>
      <c r="F54" s="38">
        <v>48.0</v>
      </c>
      <c r="G54" s="38">
        <v>52.0</v>
      </c>
      <c r="H54" s="38">
        <v>76.0</v>
      </c>
      <c r="I54" s="48">
        <f t="shared" si="3"/>
        <v>1151</v>
      </c>
      <c r="J54" s="48">
        <f t="shared" si="4"/>
        <v>1279</v>
      </c>
      <c r="K54" s="49">
        <f t="shared" si="5"/>
        <v>0.29018245</v>
      </c>
      <c r="L54" s="49">
        <f t="shared" si="6"/>
        <v>0.6681146829</v>
      </c>
      <c r="M54" s="49">
        <f t="shared" si="7"/>
        <v>0.04170286707</v>
      </c>
      <c r="N54" s="32" t="str">
        <f t="shared" si="8"/>
        <v>Mal. Lott</v>
      </c>
      <c r="O54" s="50" t="s">
        <v>77</v>
      </c>
      <c r="P54" s="38">
        <v>808.0</v>
      </c>
      <c r="Q54" s="38">
        <v>280.0</v>
      </c>
      <c r="R54" s="38">
        <v>41.0</v>
      </c>
      <c r="S54" s="38">
        <v>89.0</v>
      </c>
      <c r="T54" s="38">
        <v>61.0</v>
      </c>
      <c r="U54" s="48">
        <f t="shared" si="9"/>
        <v>1129</v>
      </c>
      <c r="V54" s="48">
        <f t="shared" si="10"/>
        <v>1279</v>
      </c>
      <c r="W54" s="49">
        <f t="shared" si="11"/>
        <v>0.7156775908</v>
      </c>
      <c r="X54" s="49">
        <f t="shared" si="12"/>
        <v>0.2480070859</v>
      </c>
      <c r="Y54" s="49">
        <f t="shared" si="13"/>
        <v>0.03631532329</v>
      </c>
      <c r="Z54" s="32" t="str">
        <f t="shared" si="14"/>
        <v>Jango</v>
      </c>
      <c r="AA54" s="50" t="s">
        <v>77</v>
      </c>
      <c r="AB54" s="38">
        <v>2249.0</v>
      </c>
      <c r="AC54" s="48">
        <f t="shared" si="19"/>
        <v>970</v>
      </c>
      <c r="AD54" s="51">
        <f t="shared" si="20"/>
        <v>0.5686971988</v>
      </c>
    </row>
    <row r="55">
      <c r="A55" s="61" t="s">
        <v>198</v>
      </c>
      <c r="B55" s="46" t="s">
        <v>452</v>
      </c>
      <c r="C55" s="47"/>
      <c r="D55" s="38">
        <v>1510.0</v>
      </c>
      <c r="E55" s="38">
        <v>960.0</v>
      </c>
      <c r="F55" s="38">
        <v>660.0</v>
      </c>
      <c r="G55" s="38">
        <v>100.0</v>
      </c>
      <c r="H55" s="38">
        <v>131.0</v>
      </c>
      <c r="I55" s="48">
        <f t="shared" si="3"/>
        <v>3130</v>
      </c>
      <c r="J55" s="48">
        <f t="shared" si="4"/>
        <v>3361</v>
      </c>
      <c r="K55" s="49">
        <f t="shared" si="5"/>
        <v>0.482428115</v>
      </c>
      <c r="L55" s="49">
        <f t="shared" si="6"/>
        <v>0.3067092652</v>
      </c>
      <c r="M55" s="49">
        <f t="shared" si="7"/>
        <v>0.2108626198</v>
      </c>
      <c r="N55" s="32" t="str">
        <f t="shared" si="8"/>
        <v>Jânio</v>
      </c>
      <c r="O55" s="50" t="s">
        <v>77</v>
      </c>
      <c r="P55" s="38">
        <v>1658.0</v>
      </c>
      <c r="Q55" s="38">
        <v>1267.0</v>
      </c>
      <c r="R55" s="38">
        <v>124.0</v>
      </c>
      <c r="S55" s="38">
        <v>249.0</v>
      </c>
      <c r="T55" s="38">
        <v>63.0</v>
      </c>
      <c r="U55" s="48">
        <f t="shared" si="9"/>
        <v>3049</v>
      </c>
      <c r="V55" s="48">
        <f t="shared" si="10"/>
        <v>3361</v>
      </c>
      <c r="W55" s="49">
        <f t="shared" si="11"/>
        <v>0.5437848475</v>
      </c>
      <c r="X55" s="49">
        <f t="shared" si="12"/>
        <v>0.4155460807</v>
      </c>
      <c r="Y55" s="49">
        <f t="shared" si="13"/>
        <v>0.04066907183</v>
      </c>
      <c r="Z55" s="32" t="str">
        <f t="shared" si="14"/>
        <v>Jango</v>
      </c>
      <c r="AA55" s="50" t="s">
        <v>77</v>
      </c>
      <c r="AB55" s="38">
        <v>5066.0</v>
      </c>
      <c r="AC55" s="48">
        <f t="shared" si="19"/>
        <v>1705</v>
      </c>
      <c r="AD55" s="51">
        <f t="shared" si="20"/>
        <v>0.6634425582</v>
      </c>
    </row>
    <row r="56">
      <c r="A56" s="23"/>
      <c r="B56" s="46" t="s">
        <v>453</v>
      </c>
      <c r="C56" s="47"/>
      <c r="D56" s="38">
        <v>237.0</v>
      </c>
      <c r="E56" s="38">
        <v>86.0</v>
      </c>
      <c r="F56" s="38">
        <v>141.0</v>
      </c>
      <c r="G56" s="38">
        <v>11.0</v>
      </c>
      <c r="H56" s="38">
        <v>11.0</v>
      </c>
      <c r="I56" s="48">
        <f t="shared" si="3"/>
        <v>464</v>
      </c>
      <c r="J56" s="48">
        <f t="shared" si="4"/>
        <v>486</v>
      </c>
      <c r="K56" s="49">
        <f t="shared" si="5"/>
        <v>0.5107758621</v>
      </c>
      <c r="L56" s="49">
        <f t="shared" si="6"/>
        <v>0.1853448276</v>
      </c>
      <c r="M56" s="49">
        <f t="shared" si="7"/>
        <v>0.3038793103</v>
      </c>
      <c r="N56" s="32" t="str">
        <f t="shared" si="8"/>
        <v>Jânio</v>
      </c>
      <c r="O56" s="50" t="s">
        <v>77</v>
      </c>
      <c r="P56" s="38">
        <v>259.0</v>
      </c>
      <c r="Q56" s="38">
        <v>185.0</v>
      </c>
      <c r="R56" s="38">
        <v>7.0</v>
      </c>
      <c r="S56" s="38">
        <v>30.0</v>
      </c>
      <c r="T56" s="38">
        <v>5.0</v>
      </c>
      <c r="U56" s="48">
        <f t="shared" si="9"/>
        <v>451</v>
      </c>
      <c r="V56" s="48">
        <f t="shared" si="10"/>
        <v>486</v>
      </c>
      <c r="W56" s="49">
        <f t="shared" si="11"/>
        <v>0.5742793792</v>
      </c>
      <c r="X56" s="49">
        <f t="shared" si="12"/>
        <v>0.4101995565</v>
      </c>
      <c r="Y56" s="49">
        <f t="shared" si="13"/>
        <v>0.0155210643</v>
      </c>
      <c r="Z56" s="32" t="str">
        <f t="shared" si="14"/>
        <v>Jango</v>
      </c>
      <c r="AA56" s="50" t="s">
        <v>77</v>
      </c>
      <c r="AB56" s="38">
        <v>782.0</v>
      </c>
      <c r="AC56" s="48">
        <f t="shared" si="19"/>
        <v>296</v>
      </c>
      <c r="AD56" s="51">
        <f t="shared" si="20"/>
        <v>0.621483376</v>
      </c>
    </row>
    <row r="57">
      <c r="A57" s="24"/>
      <c r="B57" s="46" t="s">
        <v>454</v>
      </c>
      <c r="C57" s="47"/>
      <c r="D57" s="38">
        <v>761.0</v>
      </c>
      <c r="E57" s="38">
        <v>72.0</v>
      </c>
      <c r="F57" s="38">
        <v>42.0</v>
      </c>
      <c r="G57" s="38">
        <v>27.0</v>
      </c>
      <c r="H57" s="38">
        <v>27.0</v>
      </c>
      <c r="I57" s="48">
        <f t="shared" si="3"/>
        <v>875</v>
      </c>
      <c r="J57" s="48">
        <f t="shared" si="4"/>
        <v>929</v>
      </c>
      <c r="K57" s="49">
        <f t="shared" si="5"/>
        <v>0.8697142857</v>
      </c>
      <c r="L57" s="49">
        <f t="shared" si="6"/>
        <v>0.08228571429</v>
      </c>
      <c r="M57" s="49">
        <f t="shared" si="7"/>
        <v>0.048</v>
      </c>
      <c r="N57" s="32" t="str">
        <f t="shared" si="8"/>
        <v>Jânio</v>
      </c>
      <c r="O57" s="50" t="s">
        <v>77</v>
      </c>
      <c r="P57" s="38">
        <v>564.0</v>
      </c>
      <c r="Q57" s="38">
        <v>291.0</v>
      </c>
      <c r="R57" s="38">
        <v>13.0</v>
      </c>
      <c r="S57" s="38">
        <v>53.0</v>
      </c>
      <c r="T57" s="38">
        <v>8.0</v>
      </c>
      <c r="U57" s="48">
        <f t="shared" si="9"/>
        <v>868</v>
      </c>
      <c r="V57" s="48">
        <f t="shared" si="10"/>
        <v>929</v>
      </c>
      <c r="W57" s="49">
        <f t="shared" si="11"/>
        <v>0.6497695853</v>
      </c>
      <c r="X57" s="49">
        <f t="shared" si="12"/>
        <v>0.3352534562</v>
      </c>
      <c r="Y57" s="49">
        <f t="shared" si="13"/>
        <v>0.01497695853</v>
      </c>
      <c r="Z57" s="32" t="str">
        <f t="shared" si="14"/>
        <v>Jango</v>
      </c>
      <c r="AA57" s="50" t="s">
        <v>77</v>
      </c>
      <c r="AB57" s="38">
        <v>1351.0</v>
      </c>
      <c r="AC57" s="48">
        <f t="shared" si="19"/>
        <v>422</v>
      </c>
      <c r="AD57" s="51">
        <f t="shared" si="20"/>
        <v>0.6876387861</v>
      </c>
    </row>
    <row r="58">
      <c r="A58" s="61" t="s">
        <v>202</v>
      </c>
      <c r="B58" s="46" t="s">
        <v>455</v>
      </c>
      <c r="C58" s="47"/>
      <c r="D58" s="38">
        <v>889.0</v>
      </c>
      <c r="E58" s="38">
        <v>630.0</v>
      </c>
      <c r="F58" s="38">
        <v>242.0</v>
      </c>
      <c r="G58" s="38">
        <v>84.0</v>
      </c>
      <c r="H58" s="38">
        <v>160.0</v>
      </c>
      <c r="I58" s="48">
        <f t="shared" si="3"/>
        <v>1761</v>
      </c>
      <c r="J58" s="48">
        <f t="shared" si="4"/>
        <v>2005</v>
      </c>
      <c r="K58" s="49">
        <f t="shared" si="5"/>
        <v>0.504826803</v>
      </c>
      <c r="L58" s="49">
        <f t="shared" si="6"/>
        <v>0.3577512777</v>
      </c>
      <c r="M58" s="49">
        <f t="shared" si="7"/>
        <v>0.1374219194</v>
      </c>
      <c r="N58" s="32" t="str">
        <f t="shared" si="8"/>
        <v>Jânio</v>
      </c>
      <c r="O58" s="50" t="s">
        <v>77</v>
      </c>
      <c r="P58" s="38">
        <v>752.0</v>
      </c>
      <c r="Q58" s="38">
        <v>827.0</v>
      </c>
      <c r="R58" s="38">
        <v>138.0</v>
      </c>
      <c r="S58" s="38">
        <v>178.0</v>
      </c>
      <c r="T58" s="38">
        <v>110.0</v>
      </c>
      <c r="U58" s="48">
        <f t="shared" si="9"/>
        <v>1717</v>
      </c>
      <c r="V58" s="48">
        <f t="shared" si="10"/>
        <v>2005</v>
      </c>
      <c r="W58" s="49">
        <f t="shared" si="11"/>
        <v>0.4379732091</v>
      </c>
      <c r="X58" s="49">
        <f t="shared" si="12"/>
        <v>0.4816540478</v>
      </c>
      <c r="Y58" s="49">
        <f t="shared" si="13"/>
        <v>0.08037274316</v>
      </c>
      <c r="Z58" s="32" t="str">
        <f t="shared" si="14"/>
        <v>Milton</v>
      </c>
      <c r="AA58" s="50" t="s">
        <v>77</v>
      </c>
      <c r="AB58" s="38">
        <v>2859.0</v>
      </c>
      <c r="AC58" s="48">
        <f t="shared" si="19"/>
        <v>854</v>
      </c>
      <c r="AD58" s="51">
        <f t="shared" si="20"/>
        <v>0.7012941588</v>
      </c>
    </row>
    <row r="59">
      <c r="A59" s="23"/>
      <c r="B59" s="46" t="s">
        <v>456</v>
      </c>
      <c r="C59" s="47"/>
      <c r="D59" s="38">
        <v>267.0</v>
      </c>
      <c r="E59" s="38">
        <v>194.0</v>
      </c>
      <c r="F59" s="38">
        <v>44.0</v>
      </c>
      <c r="G59" s="38">
        <v>28.0</v>
      </c>
      <c r="H59" s="38">
        <v>35.0</v>
      </c>
      <c r="I59" s="48">
        <f t="shared" si="3"/>
        <v>505</v>
      </c>
      <c r="J59" s="48">
        <f t="shared" si="4"/>
        <v>568</v>
      </c>
      <c r="K59" s="49">
        <f t="shared" si="5"/>
        <v>0.5287128713</v>
      </c>
      <c r="L59" s="49">
        <f t="shared" si="6"/>
        <v>0.3841584158</v>
      </c>
      <c r="M59" s="49">
        <f t="shared" si="7"/>
        <v>0.08712871287</v>
      </c>
      <c r="N59" s="32" t="str">
        <f t="shared" si="8"/>
        <v>Jânio</v>
      </c>
      <c r="O59" s="50" t="s">
        <v>77</v>
      </c>
      <c r="P59" s="38">
        <v>197.0</v>
      </c>
      <c r="Q59" s="38">
        <v>250.0</v>
      </c>
      <c r="R59" s="38">
        <v>42.0</v>
      </c>
      <c r="S59" s="38">
        <v>62.0</v>
      </c>
      <c r="T59" s="38">
        <v>17.0</v>
      </c>
      <c r="U59" s="48">
        <f t="shared" si="9"/>
        <v>489</v>
      </c>
      <c r="V59" s="48">
        <f t="shared" si="10"/>
        <v>568</v>
      </c>
      <c r="W59" s="49">
        <f t="shared" si="11"/>
        <v>0.4028629857</v>
      </c>
      <c r="X59" s="49">
        <f t="shared" si="12"/>
        <v>0.5112474438</v>
      </c>
      <c r="Y59" s="49">
        <f t="shared" si="13"/>
        <v>0.08588957055</v>
      </c>
      <c r="Z59" s="32" t="str">
        <f t="shared" si="14"/>
        <v>Milton</v>
      </c>
      <c r="AA59" s="50" t="s">
        <v>77</v>
      </c>
      <c r="AB59" s="38">
        <v>753.0</v>
      </c>
      <c r="AC59" s="48">
        <f t="shared" si="19"/>
        <v>185</v>
      </c>
      <c r="AD59" s="51">
        <f t="shared" si="20"/>
        <v>0.7543160691</v>
      </c>
    </row>
    <row r="60">
      <c r="A60" s="24"/>
      <c r="B60" s="46" t="s">
        <v>457</v>
      </c>
      <c r="C60" s="47"/>
      <c r="D60" s="38">
        <v>802.0</v>
      </c>
      <c r="E60" s="38">
        <v>832.0</v>
      </c>
      <c r="F60" s="38">
        <v>108.0</v>
      </c>
      <c r="G60" s="38">
        <v>49.0</v>
      </c>
      <c r="H60" s="38">
        <v>127.0</v>
      </c>
      <c r="I60" s="48">
        <f t="shared" si="3"/>
        <v>1742</v>
      </c>
      <c r="J60" s="48">
        <f t="shared" si="4"/>
        <v>1918</v>
      </c>
      <c r="K60" s="49">
        <f t="shared" si="5"/>
        <v>0.4603903559</v>
      </c>
      <c r="L60" s="49">
        <f t="shared" si="6"/>
        <v>0.4776119403</v>
      </c>
      <c r="M60" s="49">
        <f t="shared" si="7"/>
        <v>0.06199770379</v>
      </c>
      <c r="N60" s="32" t="str">
        <f t="shared" si="8"/>
        <v>Mal. Lott</v>
      </c>
      <c r="O60" s="50" t="s">
        <v>77</v>
      </c>
      <c r="P60" s="38">
        <v>891.0</v>
      </c>
      <c r="Q60" s="38">
        <v>751.0</v>
      </c>
      <c r="R60" s="38">
        <v>77.0</v>
      </c>
      <c r="S60" s="38">
        <v>111.0</v>
      </c>
      <c r="T60" s="38">
        <v>88.0</v>
      </c>
      <c r="U60" s="48">
        <f t="shared" si="9"/>
        <v>1719</v>
      </c>
      <c r="V60" s="48">
        <f t="shared" si="10"/>
        <v>1918</v>
      </c>
      <c r="W60" s="49">
        <f t="shared" si="11"/>
        <v>0.5183246073</v>
      </c>
      <c r="X60" s="49">
        <f t="shared" si="12"/>
        <v>0.4368819081</v>
      </c>
      <c r="Y60" s="49">
        <f t="shared" si="13"/>
        <v>0.04479348458</v>
      </c>
      <c r="Z60" s="32" t="str">
        <f t="shared" si="14"/>
        <v>Jango</v>
      </c>
      <c r="AA60" s="50" t="s">
        <v>77</v>
      </c>
      <c r="AB60" s="38">
        <v>2898.0</v>
      </c>
      <c r="AC60" s="48">
        <f t="shared" si="19"/>
        <v>980</v>
      </c>
      <c r="AD60" s="51">
        <f t="shared" si="20"/>
        <v>0.6618357488</v>
      </c>
    </row>
    <row r="61">
      <c r="A61" s="45" t="s">
        <v>205</v>
      </c>
      <c r="B61" s="46" t="s">
        <v>458</v>
      </c>
      <c r="C61" s="47"/>
      <c r="D61" s="38">
        <v>4095.0</v>
      </c>
      <c r="E61" s="38">
        <v>2743.0</v>
      </c>
      <c r="F61" s="38">
        <v>546.0</v>
      </c>
      <c r="G61" s="38">
        <v>277.0</v>
      </c>
      <c r="H61" s="38">
        <v>369.0</v>
      </c>
      <c r="I61" s="48">
        <f t="shared" si="3"/>
        <v>7384</v>
      </c>
      <c r="J61" s="48">
        <f t="shared" si="4"/>
        <v>8030</v>
      </c>
      <c r="K61" s="49">
        <f t="shared" si="5"/>
        <v>0.5545774648</v>
      </c>
      <c r="L61" s="49">
        <f t="shared" si="6"/>
        <v>0.3714788732</v>
      </c>
      <c r="M61" s="49">
        <f t="shared" si="7"/>
        <v>0.07394366197</v>
      </c>
      <c r="N61" s="32" t="str">
        <f t="shared" si="8"/>
        <v>Jânio</v>
      </c>
      <c r="O61" s="50" t="s">
        <v>77</v>
      </c>
      <c r="P61" s="38">
        <v>2815.0</v>
      </c>
      <c r="Q61" s="38">
        <v>3718.0</v>
      </c>
      <c r="R61" s="38">
        <v>773.0</v>
      </c>
      <c r="S61" s="38">
        <v>460.0</v>
      </c>
      <c r="T61" s="38">
        <v>264.0</v>
      </c>
      <c r="U61" s="48">
        <f t="shared" si="9"/>
        <v>7306</v>
      </c>
      <c r="V61" s="48">
        <f t="shared" si="10"/>
        <v>8030</v>
      </c>
      <c r="W61" s="49">
        <f t="shared" si="11"/>
        <v>0.3852997536</v>
      </c>
      <c r="X61" s="49">
        <f t="shared" si="12"/>
        <v>0.5088967972</v>
      </c>
      <c r="Y61" s="49">
        <f t="shared" si="13"/>
        <v>0.1058034492</v>
      </c>
      <c r="Z61" s="32" t="str">
        <f t="shared" si="14"/>
        <v>Milton</v>
      </c>
      <c r="AA61" s="50" t="s">
        <v>77</v>
      </c>
      <c r="AB61" s="38">
        <v>11781.0</v>
      </c>
      <c r="AC61" s="48">
        <f t="shared" si="19"/>
        <v>3751</v>
      </c>
      <c r="AD61" s="51">
        <f t="shared" si="20"/>
        <v>0.6816059757</v>
      </c>
    </row>
    <row r="62">
      <c r="A62" s="45" t="s">
        <v>141</v>
      </c>
      <c r="B62" s="46" t="s">
        <v>459</v>
      </c>
      <c r="C62" s="47"/>
      <c r="D62" s="38">
        <v>3471.0</v>
      </c>
      <c r="E62" s="38">
        <v>2322.0</v>
      </c>
      <c r="F62" s="38">
        <v>500.0</v>
      </c>
      <c r="G62" s="38">
        <v>200.0</v>
      </c>
      <c r="H62" s="38">
        <v>273.0</v>
      </c>
      <c r="I62" s="48">
        <f t="shared" si="3"/>
        <v>6293</v>
      </c>
      <c r="J62" s="48">
        <f t="shared" si="4"/>
        <v>6766</v>
      </c>
      <c r="K62" s="49">
        <f t="shared" si="5"/>
        <v>0.5515652312</v>
      </c>
      <c r="L62" s="49">
        <f t="shared" si="6"/>
        <v>0.3689814079</v>
      </c>
      <c r="M62" s="49">
        <f t="shared" si="7"/>
        <v>0.07945336088</v>
      </c>
      <c r="N62" s="32" t="str">
        <f t="shared" si="8"/>
        <v>Jânio</v>
      </c>
      <c r="O62" s="50" t="s">
        <v>77</v>
      </c>
      <c r="P62" s="38">
        <v>2333.0</v>
      </c>
      <c r="Q62" s="38">
        <v>2355.0</v>
      </c>
      <c r="R62" s="38">
        <v>1403.0</v>
      </c>
      <c r="S62" s="38">
        <v>478.0</v>
      </c>
      <c r="T62" s="38">
        <v>197.0</v>
      </c>
      <c r="U62" s="48">
        <f t="shared" si="9"/>
        <v>6091</v>
      </c>
      <c r="V62" s="48">
        <f t="shared" si="10"/>
        <v>6766</v>
      </c>
      <c r="W62" s="49">
        <f t="shared" si="11"/>
        <v>0.383024134</v>
      </c>
      <c r="X62" s="49">
        <f t="shared" si="12"/>
        <v>0.3866360204</v>
      </c>
      <c r="Y62" s="49">
        <f t="shared" si="13"/>
        <v>0.2303398457</v>
      </c>
      <c r="Z62" s="32" t="str">
        <f t="shared" si="14"/>
        <v>Milton</v>
      </c>
      <c r="AA62" s="50" t="s">
        <v>77</v>
      </c>
      <c r="AB62" s="38">
        <v>12327.0</v>
      </c>
      <c r="AC62" s="48">
        <f t="shared" si="19"/>
        <v>5561</v>
      </c>
      <c r="AD62" s="51">
        <f t="shared" si="20"/>
        <v>0.5488764501</v>
      </c>
    </row>
    <row r="63">
      <c r="A63" s="61" t="s">
        <v>143</v>
      </c>
      <c r="B63" s="46" t="s">
        <v>460</v>
      </c>
      <c r="C63" s="47"/>
      <c r="D63" s="38">
        <v>1637.0</v>
      </c>
      <c r="E63" s="38">
        <v>1451.0</v>
      </c>
      <c r="F63" s="38">
        <v>98.0</v>
      </c>
      <c r="G63" s="38">
        <v>75.0</v>
      </c>
      <c r="H63" s="38">
        <v>91.0</v>
      </c>
      <c r="I63" s="48">
        <f t="shared" si="3"/>
        <v>3186</v>
      </c>
      <c r="J63" s="48">
        <f t="shared" si="4"/>
        <v>3352</v>
      </c>
      <c r="K63" s="49">
        <f t="shared" si="5"/>
        <v>0.5138104206</v>
      </c>
      <c r="L63" s="49">
        <f t="shared" si="6"/>
        <v>0.4554300063</v>
      </c>
      <c r="M63" s="49">
        <f t="shared" si="7"/>
        <v>0.03075957313</v>
      </c>
      <c r="N63" s="32" t="str">
        <f t="shared" si="8"/>
        <v>Jânio</v>
      </c>
      <c r="O63" s="50" t="s">
        <v>77</v>
      </c>
      <c r="P63" s="38">
        <v>1479.0</v>
      </c>
      <c r="Q63" s="38">
        <v>1408.0</v>
      </c>
      <c r="R63" s="38">
        <v>215.0</v>
      </c>
      <c r="S63" s="38">
        <v>178.0</v>
      </c>
      <c r="T63" s="38">
        <v>72.0</v>
      </c>
      <c r="U63" s="48">
        <f t="shared" si="9"/>
        <v>3102</v>
      </c>
      <c r="V63" s="48">
        <f t="shared" si="10"/>
        <v>3352</v>
      </c>
      <c r="W63" s="49">
        <f t="shared" si="11"/>
        <v>0.4767891683</v>
      </c>
      <c r="X63" s="49">
        <f t="shared" si="12"/>
        <v>0.4539007092</v>
      </c>
      <c r="Y63" s="49">
        <f t="shared" si="13"/>
        <v>0.0693101225</v>
      </c>
      <c r="Z63" s="32" t="str">
        <f t="shared" si="14"/>
        <v>Jango</v>
      </c>
      <c r="AA63" s="50" t="s">
        <v>77</v>
      </c>
      <c r="AB63" s="38">
        <v>4233.0</v>
      </c>
      <c r="AC63" s="48">
        <f t="shared" si="19"/>
        <v>881</v>
      </c>
      <c r="AD63" s="51">
        <f t="shared" si="20"/>
        <v>0.7918733759</v>
      </c>
    </row>
    <row r="64">
      <c r="A64" s="23"/>
      <c r="B64" s="46" t="s">
        <v>461</v>
      </c>
      <c r="C64" s="47"/>
      <c r="D64" s="38">
        <v>506.0</v>
      </c>
      <c r="E64" s="38">
        <v>407.0</v>
      </c>
      <c r="F64" s="38">
        <v>37.0</v>
      </c>
      <c r="G64" s="38">
        <v>39.0</v>
      </c>
      <c r="H64" s="38">
        <v>53.0</v>
      </c>
      <c r="I64" s="48">
        <f t="shared" si="3"/>
        <v>950</v>
      </c>
      <c r="J64" s="48">
        <f t="shared" si="4"/>
        <v>1042</v>
      </c>
      <c r="K64" s="49">
        <f t="shared" si="5"/>
        <v>0.5326315789</v>
      </c>
      <c r="L64" s="49">
        <f t="shared" si="6"/>
        <v>0.4284210526</v>
      </c>
      <c r="M64" s="49">
        <f t="shared" si="7"/>
        <v>0.03894736842</v>
      </c>
      <c r="N64" s="32" t="str">
        <f t="shared" si="8"/>
        <v>Jânio</v>
      </c>
      <c r="O64" s="50" t="s">
        <v>77</v>
      </c>
      <c r="P64" s="38">
        <v>399.0</v>
      </c>
      <c r="Q64" s="38">
        <v>462.0</v>
      </c>
      <c r="R64" s="38">
        <v>58.0</v>
      </c>
      <c r="S64" s="38">
        <v>74.0</v>
      </c>
      <c r="T64" s="38">
        <v>49.0</v>
      </c>
      <c r="U64" s="48">
        <f t="shared" si="9"/>
        <v>919</v>
      </c>
      <c r="V64" s="48">
        <f t="shared" si="10"/>
        <v>1042</v>
      </c>
      <c r="W64" s="49">
        <f t="shared" si="11"/>
        <v>0.4341675734</v>
      </c>
      <c r="X64" s="49">
        <f t="shared" si="12"/>
        <v>0.5027203482</v>
      </c>
      <c r="Y64" s="49">
        <f t="shared" si="13"/>
        <v>0.06311207835</v>
      </c>
      <c r="Z64" s="32" t="str">
        <f t="shared" si="14"/>
        <v>Milton</v>
      </c>
      <c r="AA64" s="50" t="s">
        <v>77</v>
      </c>
      <c r="AB64" s="38">
        <v>1676.0</v>
      </c>
      <c r="AC64" s="48">
        <f t="shared" si="19"/>
        <v>634</v>
      </c>
      <c r="AD64" s="51">
        <f t="shared" si="20"/>
        <v>0.6217183771</v>
      </c>
    </row>
    <row r="65">
      <c r="A65" s="23"/>
      <c r="B65" s="46" t="s">
        <v>462</v>
      </c>
      <c r="C65" s="47"/>
      <c r="D65" s="38">
        <v>736.0</v>
      </c>
      <c r="E65" s="38">
        <v>407.0</v>
      </c>
      <c r="F65" s="38">
        <v>56.0</v>
      </c>
      <c r="G65" s="38">
        <v>31.0</v>
      </c>
      <c r="H65" s="38">
        <v>56.0</v>
      </c>
      <c r="I65" s="48">
        <f t="shared" si="3"/>
        <v>1199</v>
      </c>
      <c r="J65" s="48">
        <f t="shared" si="4"/>
        <v>1286</v>
      </c>
      <c r="K65" s="49">
        <f t="shared" si="5"/>
        <v>0.6138448707</v>
      </c>
      <c r="L65" s="49">
        <f t="shared" si="6"/>
        <v>0.3394495413</v>
      </c>
      <c r="M65" s="49">
        <f t="shared" si="7"/>
        <v>0.04670558799</v>
      </c>
      <c r="N65" s="32" t="str">
        <f t="shared" si="8"/>
        <v>Jânio</v>
      </c>
      <c r="O65" s="50" t="s">
        <v>77</v>
      </c>
      <c r="P65" s="38">
        <v>479.0</v>
      </c>
      <c r="Q65" s="38">
        <v>632.0</v>
      </c>
      <c r="R65" s="38">
        <v>68.0</v>
      </c>
      <c r="S65" s="38">
        <v>63.0</v>
      </c>
      <c r="T65" s="38">
        <v>44.0</v>
      </c>
      <c r="U65" s="48">
        <f t="shared" si="9"/>
        <v>1179</v>
      </c>
      <c r="V65" s="48">
        <f t="shared" si="10"/>
        <v>1286</v>
      </c>
      <c r="W65" s="49">
        <f t="shared" si="11"/>
        <v>0.4062765055</v>
      </c>
      <c r="X65" s="49">
        <f t="shared" si="12"/>
        <v>0.5360474979</v>
      </c>
      <c r="Y65" s="49">
        <f t="shared" si="13"/>
        <v>0.05767599661</v>
      </c>
      <c r="Z65" s="32" t="str">
        <f t="shared" si="14"/>
        <v>Milton</v>
      </c>
      <c r="AA65" s="50" t="s">
        <v>77</v>
      </c>
      <c r="AB65" s="38">
        <v>1579.0</v>
      </c>
      <c r="AC65" s="48">
        <f t="shared" si="19"/>
        <v>293</v>
      </c>
      <c r="AD65" s="51">
        <f t="shared" si="20"/>
        <v>0.8144395187</v>
      </c>
    </row>
    <row r="66">
      <c r="A66" s="24"/>
      <c r="B66" s="46" t="s">
        <v>463</v>
      </c>
      <c r="C66" s="47"/>
      <c r="D66" s="38">
        <v>755.0</v>
      </c>
      <c r="E66" s="38">
        <v>1223.0</v>
      </c>
      <c r="F66" s="38">
        <v>109.0</v>
      </c>
      <c r="G66" s="38">
        <v>51.0</v>
      </c>
      <c r="H66" s="38">
        <v>60.0</v>
      </c>
      <c r="I66" s="48">
        <f t="shared" si="3"/>
        <v>2087</v>
      </c>
      <c r="J66" s="48">
        <f t="shared" si="4"/>
        <v>2198</v>
      </c>
      <c r="K66" s="49">
        <f t="shared" si="5"/>
        <v>0.3617632966</v>
      </c>
      <c r="L66" s="49">
        <f t="shared" si="6"/>
        <v>0.5860086248</v>
      </c>
      <c r="M66" s="49">
        <f t="shared" si="7"/>
        <v>0.05222807858</v>
      </c>
      <c r="N66" s="32" t="str">
        <f t="shared" si="8"/>
        <v>Mal. Lott</v>
      </c>
      <c r="O66" s="50" t="s">
        <v>77</v>
      </c>
      <c r="P66" s="38">
        <v>1255.0</v>
      </c>
      <c r="Q66" s="38">
        <v>805.0</v>
      </c>
      <c r="R66" s="38">
        <v>26.0</v>
      </c>
      <c r="S66" s="38">
        <v>63.0</v>
      </c>
      <c r="T66" s="38">
        <v>49.0</v>
      </c>
      <c r="U66" s="48">
        <f t="shared" si="9"/>
        <v>2086</v>
      </c>
      <c r="V66" s="48">
        <f t="shared" si="10"/>
        <v>2198</v>
      </c>
      <c r="W66" s="49">
        <f t="shared" si="11"/>
        <v>0.6016299137</v>
      </c>
      <c r="X66" s="49">
        <f t="shared" si="12"/>
        <v>0.3859060403</v>
      </c>
      <c r="Y66" s="49">
        <f t="shared" si="13"/>
        <v>0.01246404602</v>
      </c>
      <c r="Z66" s="32" t="str">
        <f t="shared" si="14"/>
        <v>Jango</v>
      </c>
      <c r="AA66" s="50" t="s">
        <v>77</v>
      </c>
      <c r="AB66" s="38">
        <v>2840.0</v>
      </c>
      <c r="AC66" s="48">
        <f t="shared" si="19"/>
        <v>642</v>
      </c>
      <c r="AD66" s="51">
        <f t="shared" si="20"/>
        <v>0.773943662</v>
      </c>
    </row>
    <row r="67">
      <c r="A67" s="61" t="s">
        <v>145</v>
      </c>
      <c r="B67" s="46" t="s">
        <v>464</v>
      </c>
      <c r="C67" s="47"/>
      <c r="D67" s="38">
        <v>1597.0</v>
      </c>
      <c r="E67" s="38">
        <v>1858.0</v>
      </c>
      <c r="F67" s="48">
        <v>141.0</v>
      </c>
      <c r="G67" s="38">
        <v>132.0</v>
      </c>
      <c r="H67" s="38">
        <v>286.0</v>
      </c>
      <c r="I67" s="48">
        <f t="shared" si="3"/>
        <v>3596</v>
      </c>
      <c r="J67" s="48">
        <f t="shared" si="4"/>
        <v>4014</v>
      </c>
      <c r="K67" s="49">
        <f t="shared" si="5"/>
        <v>0.4441045606</v>
      </c>
      <c r="L67" s="49">
        <f t="shared" si="6"/>
        <v>0.5166852058</v>
      </c>
      <c r="M67" s="49">
        <f t="shared" si="7"/>
        <v>0.03921023359</v>
      </c>
      <c r="N67" s="32" t="str">
        <f t="shared" si="8"/>
        <v>Mal. Lott</v>
      </c>
      <c r="O67" s="50" t="s">
        <v>77</v>
      </c>
      <c r="P67" s="38">
        <v>2039.0</v>
      </c>
      <c r="Q67" s="38">
        <v>1286.0</v>
      </c>
      <c r="R67" s="38">
        <v>173.0</v>
      </c>
      <c r="S67" s="38">
        <v>203.0</v>
      </c>
      <c r="T67" s="38">
        <v>313.0</v>
      </c>
      <c r="U67" s="48">
        <f t="shared" si="9"/>
        <v>3498</v>
      </c>
      <c r="V67" s="48">
        <f t="shared" si="10"/>
        <v>4014</v>
      </c>
      <c r="W67" s="49">
        <f t="shared" si="11"/>
        <v>0.5829045169</v>
      </c>
      <c r="X67" s="49">
        <f t="shared" si="12"/>
        <v>0.3676386507</v>
      </c>
      <c r="Y67" s="49">
        <f t="shared" si="13"/>
        <v>0.04945683248</v>
      </c>
      <c r="Z67" s="32" t="str">
        <f t="shared" si="14"/>
        <v>Jango</v>
      </c>
      <c r="AA67" s="50" t="s">
        <v>77</v>
      </c>
      <c r="AB67" s="38">
        <v>13147.0</v>
      </c>
      <c r="AC67" s="48">
        <f t="shared" si="19"/>
        <v>9133</v>
      </c>
      <c r="AD67" s="51">
        <f t="shared" si="20"/>
        <v>0.3053168023</v>
      </c>
    </row>
    <row r="68">
      <c r="A68" s="24"/>
      <c r="B68" s="46" t="s">
        <v>465</v>
      </c>
      <c r="C68" s="47"/>
      <c r="D68" s="38">
        <v>732.0</v>
      </c>
      <c r="E68" s="38">
        <v>329.0</v>
      </c>
      <c r="F68" s="108">
        <v>23.0</v>
      </c>
      <c r="G68" s="38">
        <v>55.0</v>
      </c>
      <c r="H68" s="38">
        <v>56.0</v>
      </c>
      <c r="I68" s="48">
        <f t="shared" si="3"/>
        <v>1084</v>
      </c>
      <c r="J68" s="48">
        <f t="shared" si="4"/>
        <v>1195</v>
      </c>
      <c r="K68" s="49">
        <f t="shared" si="5"/>
        <v>0.6752767528</v>
      </c>
      <c r="L68" s="49">
        <f t="shared" si="6"/>
        <v>0.3035055351</v>
      </c>
      <c r="M68" s="49">
        <f t="shared" si="7"/>
        <v>0.02121771218</v>
      </c>
      <c r="N68" s="32" t="str">
        <f t="shared" si="8"/>
        <v>Jânio</v>
      </c>
      <c r="O68" s="50" t="s">
        <v>77</v>
      </c>
      <c r="P68" s="38">
        <v>366.0</v>
      </c>
      <c r="Q68" s="38">
        <v>670.0</v>
      </c>
      <c r="R68" s="38">
        <v>29.0</v>
      </c>
      <c r="S68" s="38">
        <v>70.0</v>
      </c>
      <c r="T68" s="38">
        <v>60.0</v>
      </c>
      <c r="U68" s="48">
        <f t="shared" si="9"/>
        <v>1065</v>
      </c>
      <c r="V68" s="48">
        <f t="shared" si="10"/>
        <v>1195</v>
      </c>
      <c r="W68" s="49">
        <f t="shared" si="11"/>
        <v>0.3436619718</v>
      </c>
      <c r="X68" s="49">
        <f t="shared" si="12"/>
        <v>0.6291079812</v>
      </c>
      <c r="Y68" s="49">
        <f t="shared" si="13"/>
        <v>0.02723004695</v>
      </c>
      <c r="Z68" s="32" t="str">
        <f t="shared" si="14"/>
        <v>Milton</v>
      </c>
      <c r="AA68" s="50" t="s">
        <v>77</v>
      </c>
      <c r="AB68" s="38">
        <v>2819.0</v>
      </c>
      <c r="AC68" s="48">
        <f t="shared" si="19"/>
        <v>1624</v>
      </c>
      <c r="AD68" s="51">
        <f t="shared" si="20"/>
        <v>0.4239091877</v>
      </c>
    </row>
    <row r="69">
      <c r="A69" s="45" t="s">
        <v>207</v>
      </c>
      <c r="B69" s="46" t="s">
        <v>466</v>
      </c>
      <c r="C69" s="47"/>
      <c r="D69" s="38">
        <v>1157.0</v>
      </c>
      <c r="E69" s="38">
        <v>1108.0</v>
      </c>
      <c r="F69" s="108">
        <v>324.0</v>
      </c>
      <c r="G69" s="38">
        <v>105.0</v>
      </c>
      <c r="H69" s="38">
        <v>110.0</v>
      </c>
      <c r="I69" s="48">
        <f t="shared" si="3"/>
        <v>2589</v>
      </c>
      <c r="J69" s="48">
        <f t="shared" si="4"/>
        <v>2804</v>
      </c>
      <c r="K69" s="49">
        <f t="shared" si="5"/>
        <v>0.4468906914</v>
      </c>
      <c r="L69" s="49">
        <f t="shared" si="6"/>
        <v>0.427964465</v>
      </c>
      <c r="M69" s="49">
        <f t="shared" si="7"/>
        <v>0.1251448436</v>
      </c>
      <c r="N69" s="32" t="str">
        <f t="shared" si="8"/>
        <v>Jânio</v>
      </c>
      <c r="O69" s="50" t="s">
        <v>77</v>
      </c>
      <c r="P69" s="38">
        <v>1376.0</v>
      </c>
      <c r="Q69" s="38">
        <v>992.0</v>
      </c>
      <c r="R69" s="38">
        <v>173.0</v>
      </c>
      <c r="S69" s="38">
        <v>182.0</v>
      </c>
      <c r="T69" s="38">
        <v>81.0</v>
      </c>
      <c r="U69" s="48">
        <f t="shared" si="9"/>
        <v>2541</v>
      </c>
      <c r="V69" s="48">
        <f t="shared" si="10"/>
        <v>2804</v>
      </c>
      <c r="W69" s="49">
        <f t="shared" si="11"/>
        <v>0.541519087</v>
      </c>
      <c r="X69" s="49">
        <f t="shared" si="12"/>
        <v>0.3903974813</v>
      </c>
      <c r="Y69" s="49">
        <f t="shared" si="13"/>
        <v>0.06808343172</v>
      </c>
      <c r="Z69" s="32" t="str">
        <f t="shared" si="14"/>
        <v>Jango</v>
      </c>
      <c r="AA69" s="50" t="s">
        <v>77</v>
      </c>
      <c r="AB69" s="38">
        <v>4194.0</v>
      </c>
      <c r="AC69" s="48">
        <f t="shared" si="19"/>
        <v>1390</v>
      </c>
      <c r="AD69" s="51">
        <f t="shared" si="20"/>
        <v>0.6685741536</v>
      </c>
    </row>
    <row r="70">
      <c r="A70" s="61" t="s">
        <v>209</v>
      </c>
      <c r="B70" s="46" t="s">
        <v>467</v>
      </c>
      <c r="C70" s="47"/>
      <c r="D70" s="38">
        <v>1298.0</v>
      </c>
      <c r="E70" s="38">
        <v>2343.0</v>
      </c>
      <c r="F70" s="108">
        <v>172.0</v>
      </c>
      <c r="G70" s="38">
        <v>135.0</v>
      </c>
      <c r="H70" s="38">
        <v>169.0</v>
      </c>
      <c r="I70" s="48">
        <f t="shared" si="3"/>
        <v>3813</v>
      </c>
      <c r="J70" s="48">
        <f t="shared" si="4"/>
        <v>4117</v>
      </c>
      <c r="K70" s="49">
        <f t="shared" si="5"/>
        <v>0.3404143719</v>
      </c>
      <c r="L70" s="49">
        <f t="shared" si="6"/>
        <v>0.6144767899</v>
      </c>
      <c r="M70" s="49">
        <f t="shared" si="7"/>
        <v>0.04510883819</v>
      </c>
      <c r="N70" s="32" t="str">
        <f t="shared" si="8"/>
        <v>Mal. Lott</v>
      </c>
      <c r="O70" s="50" t="s">
        <v>77</v>
      </c>
      <c r="P70" s="38">
        <v>2388.0</v>
      </c>
      <c r="Q70" s="38">
        <v>1136.0</v>
      </c>
      <c r="R70" s="38">
        <v>255.0</v>
      </c>
      <c r="S70" s="38">
        <v>228.0</v>
      </c>
      <c r="T70" s="38">
        <v>110.0</v>
      </c>
      <c r="U70" s="48">
        <f t="shared" si="9"/>
        <v>3779</v>
      </c>
      <c r="V70" s="48">
        <f t="shared" si="10"/>
        <v>4117</v>
      </c>
      <c r="W70" s="49">
        <f t="shared" si="11"/>
        <v>0.6319132046</v>
      </c>
      <c r="X70" s="49">
        <f t="shared" si="12"/>
        <v>0.3006086266</v>
      </c>
      <c r="Y70" s="49">
        <f t="shared" si="13"/>
        <v>0.06747816883</v>
      </c>
      <c r="Z70" s="32" t="str">
        <f t="shared" si="14"/>
        <v>Jango</v>
      </c>
      <c r="AA70" s="50" t="s">
        <v>77</v>
      </c>
      <c r="AB70" s="38">
        <v>6461.0</v>
      </c>
      <c r="AC70" s="48">
        <f t="shared" si="19"/>
        <v>2344</v>
      </c>
      <c r="AD70" s="51">
        <f t="shared" si="20"/>
        <v>0.6372078626</v>
      </c>
    </row>
    <row r="71">
      <c r="A71" s="24"/>
      <c r="B71" s="46" t="s">
        <v>468</v>
      </c>
      <c r="C71" s="47"/>
      <c r="D71" s="38">
        <v>88.0</v>
      </c>
      <c r="E71" s="38">
        <v>309.0</v>
      </c>
      <c r="F71" s="108">
        <v>140.0</v>
      </c>
      <c r="G71" s="38">
        <v>14.0</v>
      </c>
      <c r="H71" s="38">
        <v>26.0</v>
      </c>
      <c r="I71" s="48">
        <f t="shared" si="3"/>
        <v>537</v>
      </c>
      <c r="J71" s="48">
        <f t="shared" si="4"/>
        <v>577</v>
      </c>
      <c r="K71" s="49">
        <f t="shared" si="5"/>
        <v>0.1638733706</v>
      </c>
      <c r="L71" s="49">
        <f t="shared" si="6"/>
        <v>0.5754189944</v>
      </c>
      <c r="M71" s="49">
        <f t="shared" si="7"/>
        <v>0.260707635</v>
      </c>
      <c r="N71" s="32" t="str">
        <f t="shared" si="8"/>
        <v>Mal. Lott</v>
      </c>
      <c r="O71" s="50" t="s">
        <v>77</v>
      </c>
      <c r="P71" s="38">
        <v>400.0</v>
      </c>
      <c r="Q71" s="38">
        <v>94.0</v>
      </c>
      <c r="R71" s="38">
        <v>25.0</v>
      </c>
      <c r="S71" s="38">
        <v>43.0</v>
      </c>
      <c r="T71" s="38">
        <v>15.0</v>
      </c>
      <c r="U71" s="48">
        <f t="shared" si="9"/>
        <v>519</v>
      </c>
      <c r="V71" s="48">
        <f t="shared" si="10"/>
        <v>577</v>
      </c>
      <c r="W71" s="49">
        <f t="shared" si="11"/>
        <v>0.7707129094</v>
      </c>
      <c r="X71" s="49">
        <f t="shared" si="12"/>
        <v>0.1811175337</v>
      </c>
      <c r="Y71" s="49">
        <f t="shared" si="13"/>
        <v>0.04816955684</v>
      </c>
      <c r="Z71" s="32" t="str">
        <f t="shared" si="14"/>
        <v>Jango</v>
      </c>
      <c r="AA71" s="50" t="s">
        <v>77</v>
      </c>
      <c r="AB71" s="38">
        <v>827.0</v>
      </c>
      <c r="AC71" s="48">
        <f t="shared" si="19"/>
        <v>250</v>
      </c>
      <c r="AD71" s="51">
        <f t="shared" si="20"/>
        <v>0.6977025393</v>
      </c>
    </row>
    <row r="72">
      <c r="A72" s="61" t="s">
        <v>211</v>
      </c>
      <c r="B72" s="46" t="s">
        <v>469</v>
      </c>
      <c r="C72" s="47"/>
      <c r="D72" s="38">
        <v>1373.0</v>
      </c>
      <c r="E72" s="38">
        <v>853.0</v>
      </c>
      <c r="F72" s="108">
        <v>76.0</v>
      </c>
      <c r="G72" s="38">
        <v>89.0</v>
      </c>
      <c r="H72" s="38">
        <v>216.0</v>
      </c>
      <c r="I72" s="48">
        <f t="shared" si="3"/>
        <v>2302</v>
      </c>
      <c r="J72" s="48">
        <f t="shared" si="4"/>
        <v>2607</v>
      </c>
      <c r="K72" s="49">
        <f t="shared" si="5"/>
        <v>0.5964378801</v>
      </c>
      <c r="L72" s="49">
        <f t="shared" si="6"/>
        <v>0.3705473501</v>
      </c>
      <c r="M72" s="49">
        <f t="shared" si="7"/>
        <v>0.03301476977</v>
      </c>
      <c r="N72" s="32" t="str">
        <f t="shared" si="8"/>
        <v>Jânio</v>
      </c>
      <c r="O72" s="50" t="s">
        <v>77</v>
      </c>
      <c r="P72" s="38">
        <v>827.0</v>
      </c>
      <c r="Q72" s="38">
        <v>1296.0</v>
      </c>
      <c r="R72" s="38">
        <v>100.0</v>
      </c>
      <c r="S72" s="38">
        <v>231.0</v>
      </c>
      <c r="T72" s="38">
        <v>153.0</v>
      </c>
      <c r="U72" s="48">
        <f t="shared" si="9"/>
        <v>2223</v>
      </c>
      <c r="V72" s="48">
        <f t="shared" si="10"/>
        <v>2607</v>
      </c>
      <c r="W72" s="49">
        <f t="shared" si="11"/>
        <v>0.3720197931</v>
      </c>
      <c r="X72" s="49">
        <f t="shared" si="12"/>
        <v>0.5829959514</v>
      </c>
      <c r="Y72" s="49">
        <f t="shared" si="13"/>
        <v>0.04498425551</v>
      </c>
      <c r="Z72" s="32" t="str">
        <f t="shared" si="14"/>
        <v>Milton</v>
      </c>
      <c r="AA72" s="50" t="s">
        <v>77</v>
      </c>
      <c r="AB72" s="38">
        <v>5302.0</v>
      </c>
      <c r="AC72" s="48">
        <f t="shared" si="19"/>
        <v>2695</v>
      </c>
      <c r="AD72" s="51">
        <f t="shared" si="20"/>
        <v>0.4917012448</v>
      </c>
    </row>
    <row r="73">
      <c r="A73" s="23"/>
      <c r="B73" s="46" t="s">
        <v>470</v>
      </c>
      <c r="C73" s="47"/>
      <c r="D73" s="38">
        <v>388.0</v>
      </c>
      <c r="E73" s="38">
        <v>459.0</v>
      </c>
      <c r="F73" s="108">
        <v>63.0</v>
      </c>
      <c r="G73" s="38">
        <v>36.0</v>
      </c>
      <c r="H73" s="38">
        <v>108.0</v>
      </c>
      <c r="I73" s="48">
        <f t="shared" si="3"/>
        <v>910</v>
      </c>
      <c r="J73" s="48">
        <f t="shared" si="4"/>
        <v>1054</v>
      </c>
      <c r="K73" s="49">
        <f t="shared" si="5"/>
        <v>0.4263736264</v>
      </c>
      <c r="L73" s="49">
        <f t="shared" si="6"/>
        <v>0.5043956044</v>
      </c>
      <c r="M73" s="49">
        <f t="shared" si="7"/>
        <v>0.06923076923</v>
      </c>
      <c r="N73" s="32" t="str">
        <f t="shared" si="8"/>
        <v>Mal. Lott</v>
      </c>
      <c r="O73" s="50" t="s">
        <v>77</v>
      </c>
      <c r="P73" s="38">
        <v>483.0</v>
      </c>
      <c r="Q73" s="38">
        <v>355.0</v>
      </c>
      <c r="R73" s="38">
        <v>51.0</v>
      </c>
      <c r="S73" s="38">
        <v>92.0</v>
      </c>
      <c r="T73" s="38">
        <v>73.0</v>
      </c>
      <c r="U73" s="48">
        <f t="shared" si="9"/>
        <v>889</v>
      </c>
      <c r="V73" s="48">
        <f t="shared" si="10"/>
        <v>1054</v>
      </c>
      <c r="W73" s="49">
        <f t="shared" si="11"/>
        <v>0.5433070866</v>
      </c>
      <c r="X73" s="49">
        <f t="shared" si="12"/>
        <v>0.3993250844</v>
      </c>
      <c r="Y73" s="49">
        <f t="shared" si="13"/>
        <v>0.05736782902</v>
      </c>
      <c r="Z73" s="32" t="str">
        <f t="shared" si="14"/>
        <v>Jango</v>
      </c>
      <c r="AA73" s="50" t="s">
        <v>77</v>
      </c>
      <c r="AB73" s="38">
        <v>2168.0</v>
      </c>
      <c r="AC73" s="48">
        <f t="shared" si="19"/>
        <v>1114</v>
      </c>
      <c r="AD73" s="51">
        <f t="shared" si="20"/>
        <v>0.4861623616</v>
      </c>
    </row>
    <row r="74">
      <c r="A74" s="23"/>
      <c r="B74" s="46" t="s">
        <v>471</v>
      </c>
      <c r="C74" s="47"/>
      <c r="D74" s="38">
        <v>663.0</v>
      </c>
      <c r="E74" s="38">
        <v>649.0</v>
      </c>
      <c r="F74" s="108">
        <v>148.0</v>
      </c>
      <c r="G74" s="38">
        <v>83.0</v>
      </c>
      <c r="H74" s="38">
        <v>197.0</v>
      </c>
      <c r="I74" s="48">
        <f t="shared" si="3"/>
        <v>1460</v>
      </c>
      <c r="J74" s="48">
        <f t="shared" si="4"/>
        <v>1740</v>
      </c>
      <c r="K74" s="49">
        <f t="shared" si="5"/>
        <v>0.454109589</v>
      </c>
      <c r="L74" s="49">
        <f t="shared" si="6"/>
        <v>0.4445205479</v>
      </c>
      <c r="M74" s="49">
        <f t="shared" si="7"/>
        <v>0.101369863</v>
      </c>
      <c r="N74" s="32" t="str">
        <f t="shared" si="8"/>
        <v>Jânio</v>
      </c>
      <c r="O74" s="50" t="s">
        <v>77</v>
      </c>
      <c r="P74" s="38">
        <v>750.0</v>
      </c>
      <c r="Q74" s="38">
        <v>565.0</v>
      </c>
      <c r="R74" s="38">
        <v>120.0</v>
      </c>
      <c r="S74" s="38">
        <v>178.0</v>
      </c>
      <c r="T74" s="38">
        <v>127.0</v>
      </c>
      <c r="U74" s="48">
        <f t="shared" si="9"/>
        <v>1435</v>
      </c>
      <c r="V74" s="48">
        <f t="shared" si="10"/>
        <v>1740</v>
      </c>
      <c r="W74" s="49">
        <f t="shared" si="11"/>
        <v>0.5226480836</v>
      </c>
      <c r="X74" s="49">
        <f t="shared" si="12"/>
        <v>0.393728223</v>
      </c>
      <c r="Y74" s="49">
        <f t="shared" si="13"/>
        <v>0.08362369338</v>
      </c>
      <c r="Z74" s="32" t="str">
        <f t="shared" si="14"/>
        <v>Jango</v>
      </c>
      <c r="AA74" s="50" t="s">
        <v>77</v>
      </c>
      <c r="AB74" s="38">
        <v>2202.0</v>
      </c>
      <c r="AC74" s="48">
        <f t="shared" si="19"/>
        <v>462</v>
      </c>
      <c r="AD74" s="51">
        <f t="shared" si="20"/>
        <v>0.7901907357</v>
      </c>
    </row>
    <row r="75">
      <c r="A75" s="24"/>
      <c r="B75" s="46" t="s">
        <v>472</v>
      </c>
      <c r="C75" s="47"/>
      <c r="D75" s="38">
        <v>327.0</v>
      </c>
      <c r="E75" s="38">
        <v>127.0</v>
      </c>
      <c r="F75" s="108">
        <v>7.0</v>
      </c>
      <c r="G75" s="38">
        <v>22.0</v>
      </c>
      <c r="H75" s="38">
        <v>33.0</v>
      </c>
      <c r="I75" s="48">
        <f t="shared" si="3"/>
        <v>461</v>
      </c>
      <c r="J75" s="48">
        <f t="shared" si="4"/>
        <v>516</v>
      </c>
      <c r="K75" s="49">
        <f t="shared" si="5"/>
        <v>0.7093275488</v>
      </c>
      <c r="L75" s="49">
        <f t="shared" si="6"/>
        <v>0.2754880694</v>
      </c>
      <c r="M75" s="49">
        <f t="shared" si="7"/>
        <v>0.01518438178</v>
      </c>
      <c r="N75" s="32" t="str">
        <f t="shared" si="8"/>
        <v>Jânio</v>
      </c>
      <c r="O75" s="50" t="s">
        <v>77</v>
      </c>
      <c r="P75" s="38">
        <v>128.0</v>
      </c>
      <c r="Q75" s="38">
        <v>320.0</v>
      </c>
      <c r="R75" s="38">
        <v>5.0</v>
      </c>
      <c r="S75" s="38">
        <v>39.0</v>
      </c>
      <c r="T75" s="38">
        <v>24.0</v>
      </c>
      <c r="U75" s="48">
        <f t="shared" si="9"/>
        <v>453</v>
      </c>
      <c r="V75" s="48">
        <f t="shared" si="10"/>
        <v>516</v>
      </c>
      <c r="W75" s="49">
        <f t="shared" si="11"/>
        <v>0.2825607064</v>
      </c>
      <c r="X75" s="49">
        <f t="shared" si="12"/>
        <v>0.706401766</v>
      </c>
      <c r="Y75" s="49">
        <f t="shared" si="13"/>
        <v>0.01103752759</v>
      </c>
      <c r="Z75" s="32" t="str">
        <f t="shared" si="14"/>
        <v>Milton</v>
      </c>
      <c r="AA75" s="50" t="s">
        <v>77</v>
      </c>
      <c r="AB75" s="38">
        <v>774.0</v>
      </c>
      <c r="AC75" s="48">
        <f t="shared" si="19"/>
        <v>258</v>
      </c>
      <c r="AD75" s="51">
        <f t="shared" si="20"/>
        <v>0.6666666667</v>
      </c>
    </row>
    <row r="76">
      <c r="A76" s="45" t="s">
        <v>213</v>
      </c>
      <c r="B76" s="46" t="s">
        <v>473</v>
      </c>
      <c r="C76" s="47"/>
      <c r="D76" s="38">
        <v>1295.0</v>
      </c>
      <c r="E76" s="38">
        <v>1387.0</v>
      </c>
      <c r="F76" s="108">
        <v>390.0</v>
      </c>
      <c r="G76" s="38">
        <v>89.0</v>
      </c>
      <c r="H76" s="38">
        <v>197.0</v>
      </c>
      <c r="I76" s="48">
        <f t="shared" si="3"/>
        <v>3072</v>
      </c>
      <c r="J76" s="48">
        <f t="shared" si="4"/>
        <v>3358</v>
      </c>
      <c r="K76" s="49">
        <f t="shared" si="5"/>
        <v>0.4215494792</v>
      </c>
      <c r="L76" s="49">
        <f t="shared" si="6"/>
        <v>0.4514973958</v>
      </c>
      <c r="M76" s="49">
        <f t="shared" si="7"/>
        <v>0.126953125</v>
      </c>
      <c r="N76" s="32" t="str">
        <f t="shared" si="8"/>
        <v>Mal. Lott</v>
      </c>
      <c r="O76" s="50" t="s">
        <v>77</v>
      </c>
      <c r="P76" s="38">
        <v>1785.0</v>
      </c>
      <c r="Q76" s="38">
        <v>1147.0</v>
      </c>
      <c r="R76" s="38">
        <v>117.0</v>
      </c>
      <c r="S76" s="38">
        <v>196.0</v>
      </c>
      <c r="T76" s="38">
        <v>113.0</v>
      </c>
      <c r="U76" s="48">
        <f t="shared" si="9"/>
        <v>3049</v>
      </c>
      <c r="V76" s="48">
        <f t="shared" si="10"/>
        <v>3358</v>
      </c>
      <c r="W76" s="49">
        <f t="shared" si="11"/>
        <v>0.5854378485</v>
      </c>
      <c r="X76" s="49">
        <f t="shared" si="12"/>
        <v>0.3761889144</v>
      </c>
      <c r="Y76" s="49">
        <f t="shared" si="13"/>
        <v>0.03837323713</v>
      </c>
      <c r="Z76" s="32" t="str">
        <f t="shared" si="14"/>
        <v>Jango</v>
      </c>
      <c r="AA76" s="50" t="s">
        <v>77</v>
      </c>
      <c r="AB76" s="38">
        <v>5094.0</v>
      </c>
      <c r="AC76" s="48">
        <f t="shared" si="19"/>
        <v>1736</v>
      </c>
      <c r="AD76" s="51">
        <f t="shared" si="20"/>
        <v>0.6592069101</v>
      </c>
    </row>
    <row r="77">
      <c r="A77" s="45" t="s">
        <v>215</v>
      </c>
      <c r="B77" s="46" t="s">
        <v>474</v>
      </c>
      <c r="C77" s="47"/>
      <c r="D77" s="38">
        <v>906.0</v>
      </c>
      <c r="E77" s="38">
        <v>1214.0</v>
      </c>
      <c r="F77" s="108">
        <v>112.0</v>
      </c>
      <c r="G77" s="38">
        <v>52.0</v>
      </c>
      <c r="H77" s="38">
        <v>106.0</v>
      </c>
      <c r="I77" s="48">
        <f t="shared" si="3"/>
        <v>2232</v>
      </c>
      <c r="J77" s="48">
        <f t="shared" si="4"/>
        <v>2390</v>
      </c>
      <c r="K77" s="49">
        <f t="shared" si="5"/>
        <v>0.4059139785</v>
      </c>
      <c r="L77" s="49">
        <f t="shared" si="6"/>
        <v>0.54390681</v>
      </c>
      <c r="M77" s="49">
        <f t="shared" si="7"/>
        <v>0.05017921147</v>
      </c>
      <c r="N77" s="32" t="str">
        <f t="shared" si="8"/>
        <v>Mal. Lott</v>
      </c>
      <c r="O77" s="50" t="s">
        <v>77</v>
      </c>
      <c r="P77" s="38">
        <v>1363.0</v>
      </c>
      <c r="Q77" s="38">
        <v>778.0</v>
      </c>
      <c r="R77" s="38">
        <v>82.0</v>
      </c>
      <c r="S77" s="38">
        <v>108.0</v>
      </c>
      <c r="T77" s="38">
        <v>59.0</v>
      </c>
      <c r="U77" s="48">
        <f t="shared" si="9"/>
        <v>2223</v>
      </c>
      <c r="V77" s="48">
        <f t="shared" si="10"/>
        <v>2390</v>
      </c>
      <c r="W77" s="49">
        <f t="shared" si="11"/>
        <v>0.6131354026</v>
      </c>
      <c r="X77" s="49">
        <f t="shared" si="12"/>
        <v>0.3499775079</v>
      </c>
      <c r="Y77" s="49">
        <f t="shared" si="13"/>
        <v>0.03688708952</v>
      </c>
      <c r="Z77" s="32" t="str">
        <f t="shared" si="14"/>
        <v>Jango</v>
      </c>
      <c r="AA77" s="50" t="s">
        <v>77</v>
      </c>
      <c r="AB77" s="38">
        <v>4850.0</v>
      </c>
      <c r="AC77" s="48">
        <f t="shared" si="19"/>
        <v>2460</v>
      </c>
      <c r="AD77" s="51">
        <f t="shared" si="20"/>
        <v>0.4927835052</v>
      </c>
    </row>
    <row r="78">
      <c r="A78" s="61" t="s">
        <v>218</v>
      </c>
      <c r="B78" s="46" t="s">
        <v>475</v>
      </c>
      <c r="C78" s="47"/>
      <c r="D78" s="38">
        <v>752.0</v>
      </c>
      <c r="E78" s="38">
        <v>1303.0</v>
      </c>
      <c r="F78" s="38">
        <v>88.0</v>
      </c>
      <c r="G78" s="38">
        <v>75.0</v>
      </c>
      <c r="H78" s="38">
        <v>85.0</v>
      </c>
      <c r="I78" s="48">
        <f t="shared" si="3"/>
        <v>2143</v>
      </c>
      <c r="J78" s="48">
        <f t="shared" si="4"/>
        <v>2303</v>
      </c>
      <c r="K78" s="49">
        <f t="shared" si="5"/>
        <v>0.3509099393</v>
      </c>
      <c r="L78" s="49">
        <f t="shared" si="6"/>
        <v>0.6080261316</v>
      </c>
      <c r="M78" s="49">
        <f t="shared" si="7"/>
        <v>0.04106392907</v>
      </c>
      <c r="N78" s="32" t="str">
        <f t="shared" si="8"/>
        <v>Mal. Lott</v>
      </c>
      <c r="O78" s="50" t="s">
        <v>77</v>
      </c>
      <c r="P78" s="38">
        <v>1329.0</v>
      </c>
      <c r="Q78" s="38">
        <v>696.0</v>
      </c>
      <c r="R78" s="38">
        <v>79.0</v>
      </c>
      <c r="S78" s="38">
        <v>139.0</v>
      </c>
      <c r="T78" s="38">
        <v>60.0</v>
      </c>
      <c r="U78" s="48">
        <f t="shared" si="9"/>
        <v>2104</v>
      </c>
      <c r="V78" s="48">
        <f t="shared" si="10"/>
        <v>2303</v>
      </c>
      <c r="W78" s="49">
        <f t="shared" si="11"/>
        <v>0.6316539924</v>
      </c>
      <c r="X78" s="49">
        <f t="shared" si="12"/>
        <v>0.3307984791</v>
      </c>
      <c r="Y78" s="49">
        <f t="shared" si="13"/>
        <v>0.03754752852</v>
      </c>
      <c r="Z78" s="32" t="str">
        <f t="shared" si="14"/>
        <v>Jango</v>
      </c>
      <c r="AA78" s="50" t="s">
        <v>77</v>
      </c>
      <c r="AB78" s="38">
        <v>3997.0</v>
      </c>
      <c r="AC78" s="48">
        <f t="shared" si="19"/>
        <v>1694</v>
      </c>
      <c r="AD78" s="51">
        <f t="shared" si="20"/>
        <v>0.5761821366</v>
      </c>
    </row>
    <row r="79">
      <c r="A79" s="23"/>
      <c r="B79" s="46" t="s">
        <v>476</v>
      </c>
      <c r="C79" s="47"/>
      <c r="D79" s="38">
        <v>719.0</v>
      </c>
      <c r="E79" s="38">
        <v>1044.0</v>
      </c>
      <c r="F79" s="38">
        <v>273.0</v>
      </c>
      <c r="G79" s="38">
        <v>58.0</v>
      </c>
      <c r="H79" s="38">
        <v>103.0</v>
      </c>
      <c r="I79" s="48">
        <f t="shared" si="3"/>
        <v>2036</v>
      </c>
      <c r="J79" s="48">
        <f t="shared" si="4"/>
        <v>2197</v>
      </c>
      <c r="K79" s="49">
        <f t="shared" si="5"/>
        <v>0.3531434185</v>
      </c>
      <c r="L79" s="49">
        <f t="shared" si="6"/>
        <v>0.5127701375</v>
      </c>
      <c r="M79" s="49">
        <f t="shared" si="7"/>
        <v>0.134086444</v>
      </c>
      <c r="N79" s="32" t="str">
        <f t="shared" si="8"/>
        <v>Mal. Lott</v>
      </c>
      <c r="O79" s="50" t="s">
        <v>77</v>
      </c>
      <c r="P79" s="38">
        <v>1131.0</v>
      </c>
      <c r="Q79" s="38">
        <v>661.0</v>
      </c>
      <c r="R79" s="38">
        <v>129.0</v>
      </c>
      <c r="S79" s="38">
        <v>228.0</v>
      </c>
      <c r="T79" s="38">
        <v>48.0</v>
      </c>
      <c r="U79" s="48">
        <f t="shared" si="9"/>
        <v>1921</v>
      </c>
      <c r="V79" s="48">
        <f t="shared" si="10"/>
        <v>2197</v>
      </c>
      <c r="W79" s="49">
        <f t="shared" si="11"/>
        <v>0.5887558563</v>
      </c>
      <c r="X79" s="49">
        <f t="shared" si="12"/>
        <v>0.3440916189</v>
      </c>
      <c r="Y79" s="49">
        <f t="shared" si="13"/>
        <v>0.06715252473</v>
      </c>
      <c r="Z79" s="32" t="str">
        <f t="shared" si="14"/>
        <v>Jango</v>
      </c>
      <c r="AA79" s="50" t="s">
        <v>77</v>
      </c>
      <c r="AB79" s="38">
        <v>3460.0</v>
      </c>
      <c r="AC79" s="48">
        <f t="shared" si="19"/>
        <v>1263</v>
      </c>
      <c r="AD79" s="51">
        <f t="shared" si="20"/>
        <v>0.6349710983</v>
      </c>
    </row>
    <row r="80">
      <c r="A80" s="24"/>
      <c r="B80" s="46" t="s">
        <v>477</v>
      </c>
      <c r="C80" s="47"/>
      <c r="D80" s="38">
        <v>514.0</v>
      </c>
      <c r="E80" s="38">
        <v>1053.0</v>
      </c>
      <c r="F80" s="38">
        <v>43.0</v>
      </c>
      <c r="G80" s="38">
        <v>47.0</v>
      </c>
      <c r="H80" s="38">
        <v>53.0</v>
      </c>
      <c r="I80" s="48">
        <f t="shared" si="3"/>
        <v>1610</v>
      </c>
      <c r="J80" s="48">
        <f t="shared" si="4"/>
        <v>1710</v>
      </c>
      <c r="K80" s="49">
        <f t="shared" si="5"/>
        <v>0.3192546584</v>
      </c>
      <c r="L80" s="49">
        <f t="shared" si="6"/>
        <v>0.6540372671</v>
      </c>
      <c r="M80" s="49">
        <f t="shared" si="7"/>
        <v>0.02670807453</v>
      </c>
      <c r="N80" s="32" t="str">
        <f t="shared" si="8"/>
        <v>Mal. Lott</v>
      </c>
      <c r="O80" s="50" t="s">
        <v>77</v>
      </c>
      <c r="P80" s="38">
        <v>1060.0</v>
      </c>
      <c r="Q80" s="38">
        <v>487.0</v>
      </c>
      <c r="R80" s="38">
        <v>59.0</v>
      </c>
      <c r="S80" s="38">
        <v>73.0</v>
      </c>
      <c r="T80" s="38">
        <v>31.0</v>
      </c>
      <c r="U80" s="48">
        <f t="shared" si="9"/>
        <v>1606</v>
      </c>
      <c r="V80" s="48">
        <f t="shared" si="10"/>
        <v>1710</v>
      </c>
      <c r="W80" s="49">
        <f t="shared" si="11"/>
        <v>0.6600249066</v>
      </c>
      <c r="X80" s="49">
        <f t="shared" si="12"/>
        <v>0.303237858</v>
      </c>
      <c r="Y80" s="49">
        <f t="shared" si="13"/>
        <v>0.03673723537</v>
      </c>
      <c r="Z80" s="32" t="str">
        <f t="shared" si="14"/>
        <v>Jango</v>
      </c>
      <c r="AA80" s="50" t="s">
        <v>77</v>
      </c>
      <c r="AB80" s="38">
        <v>2738.0</v>
      </c>
      <c r="AC80" s="48">
        <f t="shared" si="19"/>
        <v>1028</v>
      </c>
      <c r="AD80" s="51">
        <f t="shared" si="20"/>
        <v>0.6245434624</v>
      </c>
    </row>
    <row r="81">
      <c r="A81" s="45" t="s">
        <v>220</v>
      </c>
      <c r="B81" s="46" t="s">
        <v>478</v>
      </c>
      <c r="C81" s="47"/>
      <c r="D81" s="38">
        <v>3410.0</v>
      </c>
      <c r="E81" s="38">
        <v>2086.0</v>
      </c>
      <c r="F81" s="38">
        <v>174.0</v>
      </c>
      <c r="G81" s="38">
        <v>163.0</v>
      </c>
      <c r="H81" s="38">
        <v>268.0</v>
      </c>
      <c r="I81" s="48">
        <f t="shared" si="3"/>
        <v>5670</v>
      </c>
      <c r="J81" s="48">
        <f t="shared" si="4"/>
        <v>6101</v>
      </c>
      <c r="K81" s="49">
        <f t="shared" si="5"/>
        <v>0.6014109347</v>
      </c>
      <c r="L81" s="49">
        <f t="shared" si="6"/>
        <v>0.3679012346</v>
      </c>
      <c r="M81" s="49">
        <f t="shared" si="7"/>
        <v>0.03068783069</v>
      </c>
      <c r="N81" s="32" t="str">
        <f t="shared" si="8"/>
        <v>Jânio</v>
      </c>
      <c r="O81" s="50" t="s">
        <v>77</v>
      </c>
      <c r="P81" s="38">
        <v>2136.0</v>
      </c>
      <c r="Q81" s="38">
        <v>3230.0</v>
      </c>
      <c r="R81" s="38">
        <v>220.0</v>
      </c>
      <c r="S81" s="38">
        <v>332.0</v>
      </c>
      <c r="T81" s="38">
        <v>183.0</v>
      </c>
      <c r="U81" s="48">
        <f t="shared" si="9"/>
        <v>5586</v>
      </c>
      <c r="V81" s="48">
        <f t="shared" si="10"/>
        <v>6101</v>
      </c>
      <c r="W81" s="49">
        <f t="shared" si="11"/>
        <v>0.3823845328</v>
      </c>
      <c r="X81" s="49">
        <f t="shared" si="12"/>
        <v>0.5782312925</v>
      </c>
      <c r="Y81" s="49">
        <f t="shared" si="13"/>
        <v>0.03938417472</v>
      </c>
      <c r="Z81" s="32" t="str">
        <f t="shared" si="14"/>
        <v>Milton</v>
      </c>
      <c r="AA81" s="50" t="s">
        <v>77</v>
      </c>
      <c r="AB81" s="38">
        <v>8568.0</v>
      </c>
      <c r="AC81" s="48">
        <f t="shared" si="19"/>
        <v>2467</v>
      </c>
      <c r="AD81" s="51">
        <f t="shared" si="20"/>
        <v>0.7120681606</v>
      </c>
    </row>
    <row r="82">
      <c r="A82" s="45" t="s">
        <v>295</v>
      </c>
      <c r="B82" s="46" t="s">
        <v>479</v>
      </c>
      <c r="C82" s="47"/>
      <c r="D82" s="38">
        <v>1584.0</v>
      </c>
      <c r="E82" s="38">
        <v>948.0</v>
      </c>
      <c r="F82" s="38">
        <v>58.0</v>
      </c>
      <c r="G82" s="38">
        <v>77.0</v>
      </c>
      <c r="H82" s="38">
        <v>122.0</v>
      </c>
      <c r="I82" s="48">
        <f t="shared" si="3"/>
        <v>2590</v>
      </c>
      <c r="J82" s="48">
        <f t="shared" si="4"/>
        <v>2789</v>
      </c>
      <c r="K82" s="49">
        <f t="shared" si="5"/>
        <v>0.6115830116</v>
      </c>
      <c r="L82" s="49">
        <f t="shared" si="6"/>
        <v>0.366023166</v>
      </c>
      <c r="M82" s="49">
        <f t="shared" si="7"/>
        <v>0.02239382239</v>
      </c>
      <c r="N82" s="32" t="str">
        <f t="shared" si="8"/>
        <v>Jânio</v>
      </c>
      <c r="O82" s="50" t="s">
        <v>77</v>
      </c>
      <c r="P82" s="38">
        <v>927.0</v>
      </c>
      <c r="Q82" s="38">
        <v>1502.0</v>
      </c>
      <c r="R82" s="38">
        <v>146.0</v>
      </c>
      <c r="S82" s="38">
        <v>114.0</v>
      </c>
      <c r="T82" s="38">
        <v>100.0</v>
      </c>
      <c r="U82" s="48">
        <f t="shared" si="9"/>
        <v>2575</v>
      </c>
      <c r="V82" s="48">
        <f t="shared" si="10"/>
        <v>2789</v>
      </c>
      <c r="W82" s="49">
        <f t="shared" si="11"/>
        <v>0.36</v>
      </c>
      <c r="X82" s="49">
        <f t="shared" si="12"/>
        <v>0.5833009709</v>
      </c>
      <c r="Y82" s="49">
        <f t="shared" si="13"/>
        <v>0.05669902913</v>
      </c>
      <c r="Z82" s="32" t="str">
        <f t="shared" si="14"/>
        <v>Milton</v>
      </c>
      <c r="AA82" s="50" t="s">
        <v>77</v>
      </c>
      <c r="AB82" s="38">
        <v>4480.0</v>
      </c>
      <c r="AC82" s="48">
        <f t="shared" si="19"/>
        <v>1691</v>
      </c>
      <c r="AD82" s="51">
        <f t="shared" si="20"/>
        <v>0.6225446429</v>
      </c>
    </row>
    <row r="83">
      <c r="A83" s="61" t="s">
        <v>299</v>
      </c>
      <c r="B83" s="46" t="s">
        <v>480</v>
      </c>
      <c r="C83" s="47"/>
      <c r="D83" s="38">
        <v>1932.0</v>
      </c>
      <c r="E83" s="38">
        <v>1272.0</v>
      </c>
      <c r="F83" s="38">
        <v>319.0</v>
      </c>
      <c r="G83" s="38">
        <v>91.0</v>
      </c>
      <c r="H83" s="38">
        <v>137.0</v>
      </c>
      <c r="I83" s="48">
        <f t="shared" si="3"/>
        <v>3523</v>
      </c>
      <c r="J83" s="48">
        <f t="shared" si="4"/>
        <v>3751</v>
      </c>
      <c r="K83" s="49">
        <f t="shared" si="5"/>
        <v>0.5483962532</v>
      </c>
      <c r="L83" s="49">
        <f t="shared" si="6"/>
        <v>0.3610559183</v>
      </c>
      <c r="M83" s="49">
        <f t="shared" si="7"/>
        <v>0.09054782856</v>
      </c>
      <c r="N83" s="32" t="str">
        <f t="shared" si="8"/>
        <v>Jânio</v>
      </c>
      <c r="O83" s="50" t="s">
        <v>77</v>
      </c>
      <c r="P83" s="38">
        <v>1453.0</v>
      </c>
      <c r="Q83" s="38">
        <v>1840.0</v>
      </c>
      <c r="R83" s="38">
        <v>127.0</v>
      </c>
      <c r="S83" s="38">
        <v>230.0</v>
      </c>
      <c r="T83" s="38">
        <v>101.0</v>
      </c>
      <c r="U83" s="48">
        <f t="shared" si="9"/>
        <v>3420</v>
      </c>
      <c r="V83" s="48">
        <f t="shared" si="10"/>
        <v>3751</v>
      </c>
      <c r="W83" s="49">
        <f t="shared" si="11"/>
        <v>0.4248538012</v>
      </c>
      <c r="X83" s="49">
        <f t="shared" si="12"/>
        <v>0.5380116959</v>
      </c>
      <c r="Y83" s="49">
        <f t="shared" si="13"/>
        <v>0.03713450292</v>
      </c>
      <c r="Z83" s="32" t="str">
        <f t="shared" si="14"/>
        <v>Milton</v>
      </c>
      <c r="AA83" s="50" t="s">
        <v>77</v>
      </c>
      <c r="AB83" s="38">
        <v>6381.0</v>
      </c>
      <c r="AC83" s="48">
        <f t="shared" si="19"/>
        <v>2630</v>
      </c>
      <c r="AD83" s="51">
        <f t="shared" si="20"/>
        <v>0.5878388967</v>
      </c>
    </row>
    <row r="84">
      <c r="A84" s="24"/>
      <c r="B84" s="46" t="s">
        <v>481</v>
      </c>
      <c r="C84" s="47"/>
      <c r="D84" s="38">
        <v>393.0</v>
      </c>
      <c r="E84" s="38">
        <v>218.0</v>
      </c>
      <c r="F84" s="38">
        <v>53.0</v>
      </c>
      <c r="G84" s="38">
        <v>20.0</v>
      </c>
      <c r="H84" s="38">
        <v>31.0</v>
      </c>
      <c r="I84" s="48">
        <f t="shared" si="3"/>
        <v>664</v>
      </c>
      <c r="J84" s="48">
        <f t="shared" si="4"/>
        <v>715</v>
      </c>
      <c r="K84" s="49">
        <f t="shared" si="5"/>
        <v>0.5918674699</v>
      </c>
      <c r="L84" s="49">
        <f t="shared" si="6"/>
        <v>0.328313253</v>
      </c>
      <c r="M84" s="49">
        <f t="shared" si="7"/>
        <v>0.07981927711</v>
      </c>
      <c r="N84" s="32" t="str">
        <f t="shared" si="8"/>
        <v>Jânio</v>
      </c>
      <c r="O84" s="50" t="s">
        <v>77</v>
      </c>
      <c r="P84" s="38">
        <v>251.0</v>
      </c>
      <c r="Q84" s="38">
        <v>378.0</v>
      </c>
      <c r="R84" s="38">
        <v>25.0</v>
      </c>
      <c r="S84" s="38">
        <v>35.0</v>
      </c>
      <c r="T84" s="38">
        <v>26.0</v>
      </c>
      <c r="U84" s="48">
        <f t="shared" si="9"/>
        <v>654</v>
      </c>
      <c r="V84" s="48">
        <f t="shared" si="10"/>
        <v>715</v>
      </c>
      <c r="W84" s="49">
        <f t="shared" si="11"/>
        <v>0.3837920489</v>
      </c>
      <c r="X84" s="49">
        <f t="shared" si="12"/>
        <v>0.5779816514</v>
      </c>
      <c r="Y84" s="49">
        <f t="shared" si="13"/>
        <v>0.03822629969</v>
      </c>
      <c r="Z84" s="32" t="str">
        <f t="shared" si="14"/>
        <v>Milton</v>
      </c>
      <c r="AA84" s="50" t="s">
        <v>77</v>
      </c>
      <c r="AB84" s="38">
        <v>1269.0</v>
      </c>
      <c r="AC84" s="48">
        <f t="shared" si="19"/>
        <v>554</v>
      </c>
      <c r="AD84" s="51">
        <f t="shared" si="20"/>
        <v>0.5634357762</v>
      </c>
    </row>
    <row r="85">
      <c r="A85" s="61" t="s">
        <v>302</v>
      </c>
      <c r="B85" s="46" t="s">
        <v>482</v>
      </c>
      <c r="C85" s="47"/>
      <c r="D85" s="38">
        <v>1846.0</v>
      </c>
      <c r="E85" s="38">
        <v>1460.0</v>
      </c>
      <c r="F85" s="38">
        <v>114.0</v>
      </c>
      <c r="G85" s="38">
        <v>95.0</v>
      </c>
      <c r="H85" s="38">
        <v>108.0</v>
      </c>
      <c r="I85" s="48">
        <f t="shared" si="3"/>
        <v>3420</v>
      </c>
      <c r="J85" s="48">
        <f t="shared" si="4"/>
        <v>3623</v>
      </c>
      <c r="K85" s="49">
        <f t="shared" si="5"/>
        <v>0.5397660819</v>
      </c>
      <c r="L85" s="49">
        <f t="shared" si="6"/>
        <v>0.4269005848</v>
      </c>
      <c r="M85" s="49">
        <f t="shared" si="7"/>
        <v>0.03333333333</v>
      </c>
      <c r="N85" s="32" t="str">
        <f t="shared" si="8"/>
        <v>Jânio</v>
      </c>
      <c r="O85" s="50" t="s">
        <v>77</v>
      </c>
      <c r="P85" s="38">
        <v>1451.0</v>
      </c>
      <c r="Q85" s="38">
        <v>1825.0</v>
      </c>
      <c r="R85" s="38">
        <v>91.0</v>
      </c>
      <c r="S85" s="38">
        <v>171.0</v>
      </c>
      <c r="T85" s="38">
        <v>85.0</v>
      </c>
      <c r="U85" s="48">
        <f t="shared" si="9"/>
        <v>3367</v>
      </c>
      <c r="V85" s="48">
        <f t="shared" si="10"/>
        <v>3623</v>
      </c>
      <c r="W85" s="49">
        <f t="shared" si="11"/>
        <v>0.4309474309</v>
      </c>
      <c r="X85" s="49">
        <f t="shared" si="12"/>
        <v>0.542025542</v>
      </c>
      <c r="Y85" s="49">
        <f t="shared" si="13"/>
        <v>0.02702702703</v>
      </c>
      <c r="Z85" s="32" t="str">
        <f t="shared" si="14"/>
        <v>Milton</v>
      </c>
      <c r="AA85" s="50" t="s">
        <v>77</v>
      </c>
      <c r="AB85" s="38">
        <v>5875.0</v>
      </c>
      <c r="AC85" s="48">
        <f t="shared" si="19"/>
        <v>2252</v>
      </c>
      <c r="AD85" s="51">
        <f t="shared" si="20"/>
        <v>0.6166808511</v>
      </c>
    </row>
    <row r="86">
      <c r="A86" s="24"/>
      <c r="B86" s="46" t="s">
        <v>483</v>
      </c>
      <c r="C86" s="47"/>
      <c r="D86" s="38">
        <v>119.0</v>
      </c>
      <c r="E86" s="38">
        <v>427.0</v>
      </c>
      <c r="F86" s="38">
        <v>30.0</v>
      </c>
      <c r="G86" s="38">
        <v>23.0</v>
      </c>
      <c r="H86" s="38">
        <v>10.0</v>
      </c>
      <c r="I86" s="48">
        <f t="shared" si="3"/>
        <v>576</v>
      </c>
      <c r="J86" s="48">
        <f t="shared" si="4"/>
        <v>609</v>
      </c>
      <c r="K86" s="49">
        <f t="shared" si="5"/>
        <v>0.2065972222</v>
      </c>
      <c r="L86" s="49">
        <f t="shared" si="6"/>
        <v>0.7413194444</v>
      </c>
      <c r="M86" s="49">
        <f t="shared" si="7"/>
        <v>0.05208333333</v>
      </c>
      <c r="N86" s="32" t="str">
        <f t="shared" si="8"/>
        <v>Mal. Lott</v>
      </c>
      <c r="O86" s="50" t="s">
        <v>77</v>
      </c>
      <c r="P86" s="38">
        <v>444.0</v>
      </c>
      <c r="Q86" s="38">
        <v>117.0</v>
      </c>
      <c r="R86" s="38">
        <v>18.0</v>
      </c>
      <c r="S86" s="38">
        <v>23.0</v>
      </c>
      <c r="T86" s="38">
        <v>7.0</v>
      </c>
      <c r="U86" s="48">
        <f t="shared" si="9"/>
        <v>579</v>
      </c>
      <c r="V86" s="48">
        <f t="shared" si="10"/>
        <v>609</v>
      </c>
      <c r="W86" s="49">
        <f t="shared" si="11"/>
        <v>0.7668393782</v>
      </c>
      <c r="X86" s="49">
        <f t="shared" si="12"/>
        <v>0.2020725389</v>
      </c>
      <c r="Y86" s="49">
        <f t="shared" si="13"/>
        <v>0.0310880829</v>
      </c>
      <c r="Z86" s="32" t="str">
        <f t="shared" si="14"/>
        <v>Jango</v>
      </c>
      <c r="AA86" s="50" t="s">
        <v>77</v>
      </c>
      <c r="AB86" s="38">
        <v>947.0</v>
      </c>
      <c r="AC86" s="48">
        <f t="shared" si="19"/>
        <v>338</v>
      </c>
      <c r="AD86" s="51">
        <f t="shared" si="20"/>
        <v>0.6430834213</v>
      </c>
    </row>
    <row r="87">
      <c r="A87" s="61" t="s">
        <v>304</v>
      </c>
      <c r="B87" s="46" t="s">
        <v>484</v>
      </c>
      <c r="C87" s="47"/>
      <c r="D87" s="38">
        <v>1407.0</v>
      </c>
      <c r="E87" s="38">
        <v>2146.0</v>
      </c>
      <c r="F87" s="38">
        <v>220.0</v>
      </c>
      <c r="G87" s="38">
        <v>224.0</v>
      </c>
      <c r="H87" s="38">
        <v>227.0</v>
      </c>
      <c r="I87" s="48">
        <f t="shared" si="3"/>
        <v>3773</v>
      </c>
      <c r="J87" s="48">
        <f t="shared" si="4"/>
        <v>4224</v>
      </c>
      <c r="K87" s="49">
        <f t="shared" si="5"/>
        <v>0.3729128015</v>
      </c>
      <c r="L87" s="49">
        <f t="shared" si="6"/>
        <v>0.5687781606</v>
      </c>
      <c r="M87" s="49">
        <f t="shared" si="7"/>
        <v>0.0583090379</v>
      </c>
      <c r="N87" s="32" t="str">
        <f t="shared" si="8"/>
        <v>Mal. Lott</v>
      </c>
      <c r="O87" s="50" t="s">
        <v>77</v>
      </c>
      <c r="P87" s="38">
        <v>2169.0</v>
      </c>
      <c r="Q87" s="38">
        <v>1314.0</v>
      </c>
      <c r="R87" s="38">
        <v>212.0</v>
      </c>
      <c r="S87" s="38">
        <v>385.0</v>
      </c>
      <c r="T87" s="38">
        <v>144.0</v>
      </c>
      <c r="U87" s="48">
        <f t="shared" si="9"/>
        <v>3695</v>
      </c>
      <c r="V87" s="48">
        <f t="shared" si="10"/>
        <v>4224</v>
      </c>
      <c r="W87" s="49">
        <f t="shared" si="11"/>
        <v>0.5870094723</v>
      </c>
      <c r="X87" s="49">
        <f t="shared" si="12"/>
        <v>0.3556156969</v>
      </c>
      <c r="Y87" s="49">
        <f t="shared" si="13"/>
        <v>0.05737483085</v>
      </c>
      <c r="Z87" s="32" t="str">
        <f t="shared" si="14"/>
        <v>Jango</v>
      </c>
      <c r="AA87" s="50" t="s">
        <v>77</v>
      </c>
      <c r="AB87" s="38">
        <v>6598.0</v>
      </c>
      <c r="AC87" s="48">
        <f t="shared" si="19"/>
        <v>2374</v>
      </c>
      <c r="AD87" s="51">
        <f t="shared" si="20"/>
        <v>0.6401939982</v>
      </c>
    </row>
    <row r="88">
      <c r="A88" s="24"/>
      <c r="B88" s="46" t="s">
        <v>485</v>
      </c>
      <c r="C88" s="47"/>
      <c r="D88" s="38">
        <v>777.0</v>
      </c>
      <c r="E88" s="38">
        <v>354.0</v>
      </c>
      <c r="F88" s="38">
        <v>42.0</v>
      </c>
      <c r="G88" s="38">
        <v>45.0</v>
      </c>
      <c r="H88" s="38">
        <v>62.0</v>
      </c>
      <c r="I88" s="48">
        <f t="shared" si="3"/>
        <v>1173</v>
      </c>
      <c r="J88" s="48">
        <f t="shared" si="4"/>
        <v>1280</v>
      </c>
      <c r="K88" s="49">
        <f t="shared" si="5"/>
        <v>0.6624040921</v>
      </c>
      <c r="L88" s="49">
        <f t="shared" si="6"/>
        <v>0.3017902813</v>
      </c>
      <c r="M88" s="49">
        <f t="shared" si="7"/>
        <v>0.0358056266</v>
      </c>
      <c r="N88" s="32" t="str">
        <f t="shared" si="8"/>
        <v>Jânio</v>
      </c>
      <c r="O88" s="50" t="s">
        <v>77</v>
      </c>
      <c r="P88" s="38">
        <v>349.0</v>
      </c>
      <c r="Q88" s="38">
        <v>742.0</v>
      </c>
      <c r="R88" s="38">
        <v>52.0</v>
      </c>
      <c r="S88" s="38">
        <v>92.0</v>
      </c>
      <c r="T88" s="38">
        <v>45.0</v>
      </c>
      <c r="U88" s="48">
        <f t="shared" si="9"/>
        <v>1143</v>
      </c>
      <c r="V88" s="48">
        <f t="shared" si="10"/>
        <v>1280</v>
      </c>
      <c r="W88" s="49">
        <f t="shared" si="11"/>
        <v>0.3053368329</v>
      </c>
      <c r="X88" s="49">
        <f t="shared" si="12"/>
        <v>0.6491688539</v>
      </c>
      <c r="Y88" s="49">
        <f t="shared" si="13"/>
        <v>0.04549431321</v>
      </c>
      <c r="Z88" s="32" t="str">
        <f t="shared" si="14"/>
        <v>Milton</v>
      </c>
      <c r="AA88" s="50" t="s">
        <v>77</v>
      </c>
      <c r="AB88" s="38">
        <v>1932.0</v>
      </c>
      <c r="AC88" s="48">
        <f t="shared" si="19"/>
        <v>652</v>
      </c>
      <c r="AD88" s="51">
        <f t="shared" si="20"/>
        <v>0.6625258799</v>
      </c>
    </row>
    <row r="89">
      <c r="A89" s="45" t="s">
        <v>308</v>
      </c>
      <c r="B89" s="46" t="s">
        <v>486</v>
      </c>
      <c r="C89" s="47"/>
      <c r="D89" s="38">
        <v>1166.0</v>
      </c>
      <c r="E89" s="38">
        <v>678.0</v>
      </c>
      <c r="F89" s="38">
        <v>73.0</v>
      </c>
      <c r="G89" s="38">
        <v>47.0</v>
      </c>
      <c r="H89" s="38">
        <v>80.0</v>
      </c>
      <c r="I89" s="48">
        <f t="shared" si="3"/>
        <v>1917</v>
      </c>
      <c r="J89" s="48">
        <f t="shared" si="4"/>
        <v>2044</v>
      </c>
      <c r="K89" s="49">
        <f t="shared" si="5"/>
        <v>0.6082420449</v>
      </c>
      <c r="L89" s="49">
        <f t="shared" si="6"/>
        <v>0.3536776213</v>
      </c>
      <c r="M89" s="49">
        <f t="shared" si="7"/>
        <v>0.03808033385</v>
      </c>
      <c r="N89" s="32" t="str">
        <f t="shared" si="8"/>
        <v>Jânio</v>
      </c>
      <c r="O89" s="50" t="s">
        <v>77</v>
      </c>
      <c r="P89" s="38">
        <v>702.0</v>
      </c>
      <c r="Q89" s="38">
        <v>1151.0</v>
      </c>
      <c r="R89" s="38">
        <v>46.0</v>
      </c>
      <c r="S89" s="38">
        <v>93.0</v>
      </c>
      <c r="T89" s="38">
        <v>52.0</v>
      </c>
      <c r="U89" s="48">
        <f t="shared" si="9"/>
        <v>1899</v>
      </c>
      <c r="V89" s="48">
        <f t="shared" si="10"/>
        <v>2044</v>
      </c>
      <c r="W89" s="49">
        <f t="shared" si="11"/>
        <v>0.3696682464</v>
      </c>
      <c r="X89" s="49">
        <f t="shared" si="12"/>
        <v>0.6061084781</v>
      </c>
      <c r="Y89" s="49">
        <f t="shared" si="13"/>
        <v>0.02422327541</v>
      </c>
      <c r="Z89" s="32" t="str">
        <f t="shared" si="14"/>
        <v>Milton</v>
      </c>
      <c r="AA89" s="50" t="s">
        <v>77</v>
      </c>
      <c r="AB89" s="38">
        <v>3273.0</v>
      </c>
      <c r="AC89" s="48">
        <f t="shared" si="19"/>
        <v>1229</v>
      </c>
      <c r="AD89" s="51">
        <f t="shared" si="20"/>
        <v>0.6245035136</v>
      </c>
    </row>
    <row r="90">
      <c r="A90" s="61" t="s">
        <v>312</v>
      </c>
      <c r="B90" s="46" t="s">
        <v>487</v>
      </c>
      <c r="C90" s="47"/>
      <c r="D90" s="38">
        <v>781.0</v>
      </c>
      <c r="E90" s="38">
        <v>782.0</v>
      </c>
      <c r="F90" s="38">
        <v>160.0</v>
      </c>
      <c r="G90" s="38">
        <v>74.0</v>
      </c>
      <c r="H90" s="38">
        <v>104.0</v>
      </c>
      <c r="I90" s="48">
        <f t="shared" si="3"/>
        <v>1723</v>
      </c>
      <c r="J90" s="48">
        <f t="shared" si="4"/>
        <v>1901</v>
      </c>
      <c r="K90" s="49">
        <f t="shared" si="5"/>
        <v>0.4532791642</v>
      </c>
      <c r="L90" s="49">
        <f t="shared" si="6"/>
        <v>0.4538595473</v>
      </c>
      <c r="M90" s="49">
        <f t="shared" si="7"/>
        <v>0.09286128845</v>
      </c>
      <c r="N90" s="32" t="str">
        <f t="shared" si="8"/>
        <v>Mal. Lott</v>
      </c>
      <c r="O90" s="50" t="s">
        <v>77</v>
      </c>
      <c r="P90" s="38">
        <v>864.0</v>
      </c>
      <c r="Q90" s="38">
        <v>757.0</v>
      </c>
      <c r="R90" s="38">
        <v>73.0</v>
      </c>
      <c r="S90" s="38">
        <v>134.0</v>
      </c>
      <c r="T90" s="38">
        <v>73.0</v>
      </c>
      <c r="U90" s="48">
        <f t="shared" si="9"/>
        <v>1694</v>
      </c>
      <c r="V90" s="48">
        <f t="shared" si="10"/>
        <v>1901</v>
      </c>
      <c r="W90" s="49">
        <f t="shared" si="11"/>
        <v>0.5100354191</v>
      </c>
      <c r="X90" s="49">
        <f t="shared" si="12"/>
        <v>0.4468713105</v>
      </c>
      <c r="Y90" s="49">
        <f t="shared" si="13"/>
        <v>0.04309327037</v>
      </c>
      <c r="Z90" s="32" t="str">
        <f t="shared" si="14"/>
        <v>Jango</v>
      </c>
      <c r="AA90" s="50" t="s">
        <v>77</v>
      </c>
      <c r="AB90" s="38">
        <v>2975.0</v>
      </c>
      <c r="AC90" s="48">
        <f t="shared" si="19"/>
        <v>1074</v>
      </c>
      <c r="AD90" s="51">
        <f t="shared" si="20"/>
        <v>0.6389915966</v>
      </c>
    </row>
    <row r="91">
      <c r="A91" s="24"/>
      <c r="B91" s="46" t="s">
        <v>488</v>
      </c>
      <c r="C91" s="47"/>
      <c r="D91" s="38">
        <v>574.0</v>
      </c>
      <c r="E91" s="38">
        <v>739.0</v>
      </c>
      <c r="F91" s="38">
        <v>66.0</v>
      </c>
      <c r="G91" s="38">
        <v>53.0</v>
      </c>
      <c r="H91" s="38">
        <v>104.0</v>
      </c>
      <c r="I91" s="48">
        <f t="shared" si="3"/>
        <v>1379</v>
      </c>
      <c r="J91" s="48">
        <f t="shared" si="4"/>
        <v>1536</v>
      </c>
      <c r="K91" s="49">
        <f t="shared" si="5"/>
        <v>0.4162436548</v>
      </c>
      <c r="L91" s="49">
        <f t="shared" si="6"/>
        <v>0.5358955765</v>
      </c>
      <c r="M91" s="49">
        <f t="shared" si="7"/>
        <v>0.04786076867</v>
      </c>
      <c r="N91" s="32" t="str">
        <f t="shared" si="8"/>
        <v>Mal. Lott</v>
      </c>
      <c r="O91" s="50" t="s">
        <v>77</v>
      </c>
      <c r="P91" s="38">
        <v>740.0</v>
      </c>
      <c r="Q91" s="38">
        <v>513.0</v>
      </c>
      <c r="R91" s="38">
        <v>74.0</v>
      </c>
      <c r="S91" s="38">
        <v>151.0</v>
      </c>
      <c r="T91" s="38">
        <v>58.0</v>
      </c>
      <c r="U91" s="48">
        <f t="shared" si="9"/>
        <v>1327</v>
      </c>
      <c r="V91" s="48">
        <f t="shared" si="10"/>
        <v>1536</v>
      </c>
      <c r="W91" s="49">
        <f t="shared" si="11"/>
        <v>0.557648832</v>
      </c>
      <c r="X91" s="49">
        <f t="shared" si="12"/>
        <v>0.3865862849</v>
      </c>
      <c r="Y91" s="49">
        <f t="shared" si="13"/>
        <v>0.0557648832</v>
      </c>
      <c r="Z91" s="32" t="str">
        <f t="shared" si="14"/>
        <v>Jango</v>
      </c>
      <c r="AA91" s="50" t="s">
        <v>77</v>
      </c>
      <c r="AB91" s="38">
        <v>2539.0</v>
      </c>
      <c r="AC91" s="48">
        <f t="shared" si="19"/>
        <v>1003</v>
      </c>
      <c r="AD91" s="51">
        <f t="shared" si="20"/>
        <v>0.6049625837</v>
      </c>
    </row>
    <row r="92">
      <c r="A92" s="61" t="s">
        <v>314</v>
      </c>
      <c r="B92" s="46" t="s">
        <v>489</v>
      </c>
      <c r="C92" s="47"/>
      <c r="D92" s="38">
        <v>767.0</v>
      </c>
      <c r="E92" s="38">
        <v>1238.0</v>
      </c>
      <c r="F92" s="38">
        <v>70.0</v>
      </c>
      <c r="G92" s="38">
        <v>48.0</v>
      </c>
      <c r="H92" s="38">
        <v>131.0</v>
      </c>
      <c r="I92" s="48">
        <f t="shared" si="3"/>
        <v>2075</v>
      </c>
      <c r="J92" s="48">
        <f t="shared" si="4"/>
        <v>2254</v>
      </c>
      <c r="K92" s="49">
        <f t="shared" si="5"/>
        <v>0.3696385542</v>
      </c>
      <c r="L92" s="49">
        <f t="shared" si="6"/>
        <v>0.596626506</v>
      </c>
      <c r="M92" s="49">
        <f t="shared" si="7"/>
        <v>0.03373493976</v>
      </c>
      <c r="N92" s="32" t="str">
        <f t="shared" si="8"/>
        <v>Mal. Lott</v>
      </c>
      <c r="O92" s="50" t="s">
        <v>77</v>
      </c>
      <c r="P92" s="38">
        <v>1227.0</v>
      </c>
      <c r="Q92" s="38">
        <v>732.0</v>
      </c>
      <c r="R92" s="38">
        <v>86.0</v>
      </c>
      <c r="S92" s="38">
        <v>117.0</v>
      </c>
      <c r="T92" s="38">
        <v>92.0</v>
      </c>
      <c r="U92" s="48">
        <f t="shared" si="9"/>
        <v>2045</v>
      </c>
      <c r="V92" s="48">
        <f t="shared" si="10"/>
        <v>2254</v>
      </c>
      <c r="W92" s="49">
        <f t="shared" si="11"/>
        <v>0.6</v>
      </c>
      <c r="X92" s="49">
        <f t="shared" si="12"/>
        <v>0.3579462103</v>
      </c>
      <c r="Y92" s="49">
        <f t="shared" si="13"/>
        <v>0.04205378973</v>
      </c>
      <c r="Z92" s="32" t="str">
        <f t="shared" si="14"/>
        <v>Jango</v>
      </c>
      <c r="AA92" s="50" t="s">
        <v>77</v>
      </c>
      <c r="AB92" s="38">
        <v>3573.0</v>
      </c>
      <c r="AC92" s="48">
        <f t="shared" si="19"/>
        <v>1319</v>
      </c>
      <c r="AD92" s="51">
        <f t="shared" si="20"/>
        <v>0.6308424293</v>
      </c>
    </row>
    <row r="93">
      <c r="A93" s="23"/>
      <c r="B93" s="46" t="s">
        <v>490</v>
      </c>
      <c r="C93" s="47"/>
      <c r="D93" s="38">
        <v>905.0</v>
      </c>
      <c r="E93" s="38">
        <v>1115.0</v>
      </c>
      <c r="F93" s="38">
        <v>216.0</v>
      </c>
      <c r="G93" s="38">
        <v>28.0</v>
      </c>
      <c r="H93" s="38">
        <v>72.0</v>
      </c>
      <c r="I93" s="48">
        <f t="shared" si="3"/>
        <v>2236</v>
      </c>
      <c r="J93" s="48">
        <f t="shared" si="4"/>
        <v>2336</v>
      </c>
      <c r="K93" s="49">
        <f t="shared" si="5"/>
        <v>0.4047406082</v>
      </c>
      <c r="L93" s="49">
        <f t="shared" si="6"/>
        <v>0.4986583184</v>
      </c>
      <c r="M93" s="49">
        <f t="shared" si="7"/>
        <v>0.09660107335</v>
      </c>
      <c r="N93" s="32" t="str">
        <f t="shared" si="8"/>
        <v>Mal. Lott</v>
      </c>
      <c r="O93" s="50" t="s">
        <v>77</v>
      </c>
      <c r="P93" s="38">
        <v>1173.0</v>
      </c>
      <c r="Q93" s="38">
        <v>950.0</v>
      </c>
      <c r="R93" s="38">
        <v>65.0</v>
      </c>
      <c r="S93" s="38">
        <v>94.0</v>
      </c>
      <c r="T93" s="38">
        <v>54.0</v>
      </c>
      <c r="U93" s="48">
        <f t="shared" si="9"/>
        <v>2188</v>
      </c>
      <c r="V93" s="48">
        <f t="shared" si="10"/>
        <v>2336</v>
      </c>
      <c r="W93" s="49">
        <f t="shared" si="11"/>
        <v>0.5361060329</v>
      </c>
      <c r="X93" s="49">
        <f t="shared" si="12"/>
        <v>0.4341864717</v>
      </c>
      <c r="Y93" s="49">
        <f t="shared" si="13"/>
        <v>0.02970749543</v>
      </c>
      <c r="Z93" s="32" t="str">
        <f t="shared" si="14"/>
        <v>Jango</v>
      </c>
      <c r="AA93" s="50" t="s">
        <v>77</v>
      </c>
      <c r="AB93" s="38">
        <v>2455.0</v>
      </c>
      <c r="AC93" s="48">
        <f t="shared" si="19"/>
        <v>119</v>
      </c>
      <c r="AD93" s="51">
        <f t="shared" si="20"/>
        <v>0.9515274949</v>
      </c>
    </row>
    <row r="94">
      <c r="A94" s="24"/>
      <c r="B94" s="46" t="s">
        <v>491</v>
      </c>
      <c r="C94" s="47"/>
      <c r="D94" s="38">
        <v>323.0</v>
      </c>
      <c r="E94" s="38">
        <v>666.0</v>
      </c>
      <c r="F94" s="38">
        <v>130.0</v>
      </c>
      <c r="G94" s="38">
        <v>21.0</v>
      </c>
      <c r="H94" s="38">
        <v>17.0</v>
      </c>
      <c r="I94" s="48">
        <f t="shared" si="3"/>
        <v>1119</v>
      </c>
      <c r="J94" s="48">
        <f t="shared" si="4"/>
        <v>1157</v>
      </c>
      <c r="K94" s="49">
        <f t="shared" si="5"/>
        <v>0.2886505809</v>
      </c>
      <c r="L94" s="49">
        <f t="shared" si="6"/>
        <v>0.5951742627</v>
      </c>
      <c r="M94" s="49">
        <f t="shared" si="7"/>
        <v>0.1161751564</v>
      </c>
      <c r="N94" s="32" t="str">
        <f t="shared" si="8"/>
        <v>Mal. Lott</v>
      </c>
      <c r="O94" s="50" t="s">
        <v>77</v>
      </c>
      <c r="P94" s="38">
        <v>774.0</v>
      </c>
      <c r="Q94" s="38">
        <v>318.0</v>
      </c>
      <c r="R94" s="38">
        <v>33.0</v>
      </c>
      <c r="S94" s="38">
        <v>15.0</v>
      </c>
      <c r="T94" s="38">
        <v>17.0</v>
      </c>
      <c r="U94" s="48">
        <f t="shared" si="9"/>
        <v>1125</v>
      </c>
      <c r="V94" s="48">
        <f t="shared" si="10"/>
        <v>1157</v>
      </c>
      <c r="W94" s="49">
        <f t="shared" si="11"/>
        <v>0.688</v>
      </c>
      <c r="X94" s="49">
        <f t="shared" si="12"/>
        <v>0.2826666667</v>
      </c>
      <c r="Y94" s="49">
        <f t="shared" si="13"/>
        <v>0.02933333333</v>
      </c>
      <c r="Z94" s="32" t="str">
        <f t="shared" si="14"/>
        <v>Jango</v>
      </c>
      <c r="AA94" s="50" t="s">
        <v>77</v>
      </c>
      <c r="AB94" s="38">
        <v>1500.0</v>
      </c>
      <c r="AC94" s="48">
        <f t="shared" si="19"/>
        <v>343</v>
      </c>
      <c r="AD94" s="51">
        <f t="shared" si="20"/>
        <v>0.7713333333</v>
      </c>
    </row>
    <row r="95">
      <c r="A95" s="61" t="s">
        <v>254</v>
      </c>
      <c r="B95" s="46" t="s">
        <v>492</v>
      </c>
      <c r="C95" s="47"/>
      <c r="D95" s="38">
        <v>1096.0</v>
      </c>
      <c r="E95" s="38">
        <v>1346.0</v>
      </c>
      <c r="F95" s="38">
        <v>162.0</v>
      </c>
      <c r="G95" s="38">
        <v>77.0</v>
      </c>
      <c r="H95" s="38">
        <v>124.0</v>
      </c>
      <c r="I95" s="48">
        <f t="shared" si="3"/>
        <v>2604</v>
      </c>
      <c r="J95" s="48">
        <f t="shared" si="4"/>
        <v>2805</v>
      </c>
      <c r="K95" s="49">
        <f t="shared" si="5"/>
        <v>0.420890937</v>
      </c>
      <c r="L95" s="49">
        <f t="shared" si="6"/>
        <v>0.5168970814</v>
      </c>
      <c r="M95" s="49">
        <f t="shared" si="7"/>
        <v>0.06221198157</v>
      </c>
      <c r="N95" s="32" t="str">
        <f t="shared" si="8"/>
        <v>Mal. Lott</v>
      </c>
      <c r="O95" s="50" t="s">
        <v>77</v>
      </c>
      <c r="P95" s="38">
        <v>1377.0</v>
      </c>
      <c r="Q95" s="38">
        <v>603.0</v>
      </c>
      <c r="R95" s="38">
        <v>596.0</v>
      </c>
      <c r="S95" s="38">
        <v>121.0</v>
      </c>
      <c r="T95" s="38">
        <v>108.0</v>
      </c>
      <c r="U95" s="48">
        <f t="shared" si="9"/>
        <v>2576</v>
      </c>
      <c r="V95" s="48">
        <f t="shared" si="10"/>
        <v>2805</v>
      </c>
      <c r="W95" s="49">
        <f t="shared" si="11"/>
        <v>0.5345496894</v>
      </c>
      <c r="X95" s="49">
        <f t="shared" si="12"/>
        <v>0.2340838509</v>
      </c>
      <c r="Y95" s="49">
        <f t="shared" si="13"/>
        <v>0.2313664596</v>
      </c>
      <c r="Z95" s="32" t="str">
        <f t="shared" si="14"/>
        <v>Jango</v>
      </c>
      <c r="AA95" s="50" t="s">
        <v>77</v>
      </c>
      <c r="AB95" s="38">
        <v>5887.0</v>
      </c>
      <c r="AC95" s="48">
        <f t="shared" si="19"/>
        <v>3082</v>
      </c>
      <c r="AD95" s="51">
        <f t="shared" si="20"/>
        <v>0.4764735859</v>
      </c>
    </row>
    <row r="96">
      <c r="A96" s="24"/>
      <c r="B96" s="46" t="s">
        <v>493</v>
      </c>
      <c r="C96" s="47"/>
      <c r="D96" s="38">
        <v>249.0</v>
      </c>
      <c r="E96" s="38">
        <v>97.0</v>
      </c>
      <c r="F96" s="38">
        <v>68.0</v>
      </c>
      <c r="G96" s="38">
        <v>0.0</v>
      </c>
      <c r="H96" s="38">
        <v>8.0</v>
      </c>
      <c r="I96" s="48">
        <f t="shared" si="3"/>
        <v>414</v>
      </c>
      <c r="J96" s="48">
        <f t="shared" si="4"/>
        <v>422</v>
      </c>
      <c r="K96" s="49">
        <f t="shared" si="5"/>
        <v>0.6014492754</v>
      </c>
      <c r="L96" s="49">
        <f t="shared" si="6"/>
        <v>0.2342995169</v>
      </c>
      <c r="M96" s="49">
        <f t="shared" si="7"/>
        <v>0.1642512077</v>
      </c>
      <c r="N96" s="32" t="str">
        <f t="shared" si="8"/>
        <v>Jânio</v>
      </c>
      <c r="O96" s="50" t="s">
        <v>77</v>
      </c>
      <c r="P96" s="38">
        <v>263.0</v>
      </c>
      <c r="Q96" s="38">
        <v>142.0</v>
      </c>
      <c r="R96" s="38">
        <v>10.0</v>
      </c>
      <c r="S96" s="38">
        <v>5.0</v>
      </c>
      <c r="T96" s="38">
        <v>2.0</v>
      </c>
      <c r="U96" s="48">
        <f t="shared" si="9"/>
        <v>415</v>
      </c>
      <c r="V96" s="48">
        <f t="shared" si="10"/>
        <v>422</v>
      </c>
      <c r="W96" s="49">
        <f t="shared" si="11"/>
        <v>0.6337349398</v>
      </c>
      <c r="X96" s="49">
        <f t="shared" si="12"/>
        <v>0.3421686747</v>
      </c>
      <c r="Y96" s="49">
        <f t="shared" si="13"/>
        <v>0.02409638554</v>
      </c>
      <c r="Z96" s="32" t="str">
        <f t="shared" si="14"/>
        <v>Jango</v>
      </c>
      <c r="AA96" s="50" t="s">
        <v>77</v>
      </c>
      <c r="AB96" s="38">
        <v>774.0</v>
      </c>
      <c r="AC96" s="48">
        <f t="shared" si="19"/>
        <v>352</v>
      </c>
      <c r="AD96" s="51">
        <f t="shared" si="20"/>
        <v>0.5452196382</v>
      </c>
    </row>
    <row r="97">
      <c r="A97" s="45" t="s">
        <v>258</v>
      </c>
      <c r="B97" s="46" t="s">
        <v>494</v>
      </c>
      <c r="C97" s="47"/>
      <c r="D97" s="38">
        <v>2613.0</v>
      </c>
      <c r="E97" s="38">
        <v>1783.0</v>
      </c>
      <c r="F97" s="38">
        <v>333.0</v>
      </c>
      <c r="G97" s="38">
        <v>131.0</v>
      </c>
      <c r="H97" s="38">
        <v>259.0</v>
      </c>
      <c r="I97" s="48">
        <f t="shared" si="3"/>
        <v>4729</v>
      </c>
      <c r="J97" s="48">
        <f t="shared" si="4"/>
        <v>5119</v>
      </c>
      <c r="K97" s="49">
        <f t="shared" si="5"/>
        <v>0.5525481074</v>
      </c>
      <c r="L97" s="49">
        <f t="shared" si="6"/>
        <v>0.377035314</v>
      </c>
      <c r="M97" s="49">
        <f t="shared" si="7"/>
        <v>0.07041657856</v>
      </c>
      <c r="N97" s="32" t="str">
        <f t="shared" si="8"/>
        <v>Jânio</v>
      </c>
      <c r="O97" s="50" t="s">
        <v>77</v>
      </c>
      <c r="P97" s="38">
        <v>2131.0</v>
      </c>
      <c r="Q97" s="38">
        <v>2379.0</v>
      </c>
      <c r="R97" s="38">
        <v>170.0</v>
      </c>
      <c r="S97" s="38">
        <v>279.0</v>
      </c>
      <c r="T97" s="38">
        <v>160.0</v>
      </c>
      <c r="U97" s="48">
        <f t="shared" si="9"/>
        <v>4680</v>
      </c>
      <c r="V97" s="48">
        <f t="shared" si="10"/>
        <v>5119</v>
      </c>
      <c r="W97" s="49">
        <f t="shared" si="11"/>
        <v>0.4553418803</v>
      </c>
      <c r="X97" s="49">
        <f t="shared" si="12"/>
        <v>0.5083333333</v>
      </c>
      <c r="Y97" s="49">
        <f t="shared" si="13"/>
        <v>0.03632478632</v>
      </c>
      <c r="Z97" s="32" t="str">
        <f t="shared" si="14"/>
        <v>Milton</v>
      </c>
      <c r="AA97" s="50" t="s">
        <v>77</v>
      </c>
      <c r="AB97" s="38">
        <v>7194.0</v>
      </c>
      <c r="AC97" s="48">
        <f t="shared" si="19"/>
        <v>2075</v>
      </c>
      <c r="AD97" s="51">
        <f t="shared" si="20"/>
        <v>0.7115651932</v>
      </c>
    </row>
    <row r="98">
      <c r="A98" s="45" t="s">
        <v>319</v>
      </c>
      <c r="B98" s="46" t="s">
        <v>495</v>
      </c>
      <c r="C98" s="47"/>
      <c r="D98" s="38">
        <v>3140.0</v>
      </c>
      <c r="E98" s="38">
        <v>2111.0</v>
      </c>
      <c r="F98" s="38">
        <v>593.0</v>
      </c>
      <c r="G98" s="38">
        <v>182.0</v>
      </c>
      <c r="H98" s="38">
        <v>351.0</v>
      </c>
      <c r="I98" s="48">
        <f t="shared" si="3"/>
        <v>5844</v>
      </c>
      <c r="J98" s="48">
        <f t="shared" si="4"/>
        <v>6377</v>
      </c>
      <c r="K98" s="49">
        <f t="shared" si="5"/>
        <v>0.537303217</v>
      </c>
      <c r="L98" s="49">
        <f t="shared" si="6"/>
        <v>0.3612251882</v>
      </c>
      <c r="M98" s="49">
        <f t="shared" si="7"/>
        <v>0.1014715948</v>
      </c>
      <c r="N98" s="32" t="str">
        <f t="shared" si="8"/>
        <v>Jânio</v>
      </c>
      <c r="O98" s="50" t="s">
        <v>77</v>
      </c>
      <c r="P98" s="38">
        <v>2555.0</v>
      </c>
      <c r="Q98" s="38">
        <v>3089.0</v>
      </c>
      <c r="R98" s="38">
        <v>147.0</v>
      </c>
      <c r="S98" s="38">
        <v>384.0</v>
      </c>
      <c r="T98" s="38">
        <v>202.0</v>
      </c>
      <c r="U98" s="48">
        <f t="shared" si="9"/>
        <v>5791</v>
      </c>
      <c r="V98" s="48">
        <f t="shared" si="10"/>
        <v>6377</v>
      </c>
      <c r="W98" s="49">
        <f t="shared" si="11"/>
        <v>0.441201865</v>
      </c>
      <c r="X98" s="49">
        <f t="shared" si="12"/>
        <v>0.5334139181</v>
      </c>
      <c r="Y98" s="49">
        <f t="shared" si="13"/>
        <v>0.02538421689</v>
      </c>
      <c r="Z98" s="32" t="str">
        <f t="shared" si="14"/>
        <v>Milton</v>
      </c>
      <c r="AA98" s="50" t="s">
        <v>77</v>
      </c>
      <c r="AB98" s="38">
        <v>7418.0</v>
      </c>
      <c r="AC98" s="48">
        <f t="shared" si="19"/>
        <v>1041</v>
      </c>
      <c r="AD98" s="51">
        <f t="shared" si="20"/>
        <v>0.8596656781</v>
      </c>
    </row>
    <row r="99">
      <c r="A99" s="45" t="s">
        <v>321</v>
      </c>
      <c r="B99" s="46" t="s">
        <v>496</v>
      </c>
      <c r="C99" s="47"/>
      <c r="D99" s="38">
        <v>2240.0</v>
      </c>
      <c r="E99" s="38">
        <v>1569.0</v>
      </c>
      <c r="F99" s="38">
        <v>630.0</v>
      </c>
      <c r="G99" s="38">
        <v>82.0</v>
      </c>
      <c r="H99" s="38">
        <v>204.0</v>
      </c>
      <c r="I99" s="48">
        <f t="shared" si="3"/>
        <v>4439</v>
      </c>
      <c r="J99" s="48">
        <f t="shared" si="4"/>
        <v>4725</v>
      </c>
      <c r="K99" s="49">
        <f t="shared" si="5"/>
        <v>0.5046181572</v>
      </c>
      <c r="L99" s="49">
        <f t="shared" si="6"/>
        <v>0.353457986</v>
      </c>
      <c r="M99" s="49">
        <f t="shared" si="7"/>
        <v>0.1419238567</v>
      </c>
      <c r="N99" s="32" t="str">
        <f t="shared" si="8"/>
        <v>Jânio</v>
      </c>
      <c r="O99" s="50" t="s">
        <v>77</v>
      </c>
      <c r="P99" s="38">
        <v>2602.0</v>
      </c>
      <c r="Q99" s="38">
        <v>1505.0</v>
      </c>
      <c r="R99" s="38">
        <v>284.0</v>
      </c>
      <c r="S99" s="38">
        <v>214.0</v>
      </c>
      <c r="T99" s="38">
        <v>120.0</v>
      </c>
      <c r="U99" s="48">
        <f t="shared" si="9"/>
        <v>4391</v>
      </c>
      <c r="V99" s="48">
        <f t="shared" si="10"/>
        <v>4725</v>
      </c>
      <c r="W99" s="49">
        <f t="shared" si="11"/>
        <v>0.5925757231</v>
      </c>
      <c r="X99" s="49">
        <f t="shared" si="12"/>
        <v>0.342746527</v>
      </c>
      <c r="Y99" s="49">
        <f t="shared" si="13"/>
        <v>0.06467774994</v>
      </c>
      <c r="Z99" s="32" t="str">
        <f t="shared" si="14"/>
        <v>Jango</v>
      </c>
      <c r="AA99" s="50" t="s">
        <v>77</v>
      </c>
      <c r="AB99" s="38">
        <v>8206.0</v>
      </c>
      <c r="AC99" s="48">
        <f t="shared" si="19"/>
        <v>3481</v>
      </c>
      <c r="AD99" s="51">
        <f t="shared" si="20"/>
        <v>0.5757981964</v>
      </c>
    </row>
    <row r="100">
      <c r="A100" s="45" t="s">
        <v>324</v>
      </c>
      <c r="B100" s="46" t="s">
        <v>497</v>
      </c>
      <c r="C100" s="47"/>
      <c r="D100" s="38">
        <v>789.0</v>
      </c>
      <c r="E100" s="38">
        <v>838.0</v>
      </c>
      <c r="F100" s="38">
        <v>312.0</v>
      </c>
      <c r="G100" s="38">
        <v>104.0</v>
      </c>
      <c r="H100" s="38">
        <v>133.0</v>
      </c>
      <c r="I100" s="48">
        <f t="shared" si="3"/>
        <v>1939</v>
      </c>
      <c r="J100" s="48">
        <f t="shared" si="4"/>
        <v>2176</v>
      </c>
      <c r="K100" s="49">
        <f t="shared" si="5"/>
        <v>0.4069107788</v>
      </c>
      <c r="L100" s="49">
        <f t="shared" si="6"/>
        <v>0.4321815369</v>
      </c>
      <c r="M100" s="49">
        <f t="shared" si="7"/>
        <v>0.1609076844</v>
      </c>
      <c r="N100" s="32" t="str">
        <f t="shared" si="8"/>
        <v>Mal. Lott</v>
      </c>
      <c r="O100" s="50" t="s">
        <v>77</v>
      </c>
      <c r="P100" s="38">
        <v>937.0</v>
      </c>
      <c r="Q100" s="38">
        <v>735.0</v>
      </c>
      <c r="R100" s="38">
        <v>195.0</v>
      </c>
      <c r="S100" s="38">
        <v>232.0</v>
      </c>
      <c r="T100" s="38">
        <v>77.0</v>
      </c>
      <c r="U100" s="48">
        <f t="shared" si="9"/>
        <v>1867</v>
      </c>
      <c r="V100" s="48">
        <f t="shared" si="10"/>
        <v>2176</v>
      </c>
      <c r="W100" s="49">
        <f t="shared" si="11"/>
        <v>0.5018746652</v>
      </c>
      <c r="X100" s="49">
        <f t="shared" si="12"/>
        <v>0.3936797001</v>
      </c>
      <c r="Y100" s="49">
        <f t="shared" si="13"/>
        <v>0.1044456347</v>
      </c>
      <c r="Z100" s="32" t="str">
        <f t="shared" si="14"/>
        <v>Jango</v>
      </c>
      <c r="AA100" s="50" t="s">
        <v>77</v>
      </c>
      <c r="AB100" s="38">
        <v>3461.0</v>
      </c>
      <c r="AC100" s="48">
        <f t="shared" si="19"/>
        <v>1285</v>
      </c>
      <c r="AD100" s="51">
        <f t="shared" si="20"/>
        <v>0.6287200231</v>
      </c>
    </row>
    <row r="101">
      <c r="A101" s="61" t="s">
        <v>327</v>
      </c>
      <c r="B101" s="46" t="s">
        <v>498</v>
      </c>
      <c r="C101" s="47"/>
      <c r="D101" s="38">
        <v>481.0</v>
      </c>
      <c r="E101" s="38">
        <v>1365.0</v>
      </c>
      <c r="F101" s="38">
        <v>80.0</v>
      </c>
      <c r="G101" s="38">
        <v>64.0</v>
      </c>
      <c r="H101" s="38">
        <v>84.0</v>
      </c>
      <c r="I101" s="48">
        <f t="shared" si="3"/>
        <v>1926</v>
      </c>
      <c r="J101" s="48">
        <f t="shared" si="4"/>
        <v>2074</v>
      </c>
      <c r="K101" s="49">
        <f t="shared" si="5"/>
        <v>0.2497403946</v>
      </c>
      <c r="L101" s="49">
        <f t="shared" si="6"/>
        <v>0.7087227414</v>
      </c>
      <c r="M101" s="49">
        <f t="shared" si="7"/>
        <v>0.04153686397</v>
      </c>
      <c r="N101" s="32" t="str">
        <f t="shared" si="8"/>
        <v>Mal. Lott</v>
      </c>
      <c r="O101" s="50" t="s">
        <v>77</v>
      </c>
      <c r="P101" s="38">
        <v>1361.0</v>
      </c>
      <c r="Q101" s="38">
        <v>446.0</v>
      </c>
      <c r="R101" s="38">
        <v>70.0</v>
      </c>
      <c r="S101" s="38">
        <v>131.0</v>
      </c>
      <c r="T101" s="38">
        <v>66.0</v>
      </c>
      <c r="U101" s="48">
        <f t="shared" si="9"/>
        <v>1877</v>
      </c>
      <c r="V101" s="48">
        <f t="shared" si="10"/>
        <v>2074</v>
      </c>
      <c r="W101" s="49">
        <f t="shared" si="11"/>
        <v>0.7250932339</v>
      </c>
      <c r="X101" s="49">
        <f t="shared" si="12"/>
        <v>0.2376132126</v>
      </c>
      <c r="Y101" s="49">
        <f t="shared" si="13"/>
        <v>0.03729355354</v>
      </c>
      <c r="Z101" s="32" t="str">
        <f t="shared" si="14"/>
        <v>Jango</v>
      </c>
      <c r="AA101" s="50" t="s">
        <v>77</v>
      </c>
      <c r="AB101" s="38">
        <v>3096.0</v>
      </c>
      <c r="AC101" s="48">
        <f t="shared" si="19"/>
        <v>1022</v>
      </c>
      <c r="AD101" s="51">
        <f t="shared" si="20"/>
        <v>0.6698966408</v>
      </c>
    </row>
    <row r="102">
      <c r="A102" s="23"/>
      <c r="B102" s="46" t="s">
        <v>499</v>
      </c>
      <c r="C102" s="47"/>
      <c r="D102" s="38">
        <v>365.0</v>
      </c>
      <c r="E102" s="38">
        <v>691.0</v>
      </c>
      <c r="F102" s="38">
        <v>16.0</v>
      </c>
      <c r="G102" s="38">
        <v>26.0</v>
      </c>
      <c r="H102" s="38">
        <v>44.0</v>
      </c>
      <c r="I102" s="48">
        <f t="shared" si="3"/>
        <v>1072</v>
      </c>
      <c r="J102" s="48">
        <f t="shared" si="4"/>
        <v>1142</v>
      </c>
      <c r="K102" s="49">
        <f t="shared" si="5"/>
        <v>0.3404850746</v>
      </c>
      <c r="L102" s="49">
        <f t="shared" si="6"/>
        <v>0.6445895522</v>
      </c>
      <c r="M102" s="49">
        <f t="shared" si="7"/>
        <v>0.01492537313</v>
      </c>
      <c r="N102" s="32" t="str">
        <f t="shared" si="8"/>
        <v>Mal. Lott</v>
      </c>
      <c r="O102" s="50" t="s">
        <v>77</v>
      </c>
      <c r="P102" s="38">
        <v>689.0</v>
      </c>
      <c r="Q102" s="38">
        <v>325.0</v>
      </c>
      <c r="R102" s="38">
        <v>30.0</v>
      </c>
      <c r="S102" s="38">
        <v>61.0</v>
      </c>
      <c r="T102" s="38">
        <v>37.0</v>
      </c>
      <c r="U102" s="48">
        <f t="shared" si="9"/>
        <v>1044</v>
      </c>
      <c r="V102" s="48">
        <f t="shared" si="10"/>
        <v>1142</v>
      </c>
      <c r="W102" s="49">
        <f t="shared" si="11"/>
        <v>0.6599616858</v>
      </c>
      <c r="X102" s="49">
        <f t="shared" si="12"/>
        <v>0.311302682</v>
      </c>
      <c r="Y102" s="49">
        <f t="shared" si="13"/>
        <v>0.02873563218</v>
      </c>
      <c r="Z102" s="32" t="str">
        <f t="shared" si="14"/>
        <v>Jango</v>
      </c>
      <c r="AA102" s="50" t="s">
        <v>77</v>
      </c>
      <c r="AB102" s="38">
        <v>1871.0</v>
      </c>
      <c r="AC102" s="48">
        <f t="shared" si="19"/>
        <v>729</v>
      </c>
      <c r="AD102" s="51">
        <f t="shared" si="20"/>
        <v>0.6103687867</v>
      </c>
    </row>
    <row r="103">
      <c r="A103" s="24"/>
      <c r="B103" s="46" t="s">
        <v>500</v>
      </c>
      <c r="C103" s="47"/>
      <c r="D103" s="38">
        <v>533.0</v>
      </c>
      <c r="E103" s="38">
        <v>68.0</v>
      </c>
      <c r="F103" s="38">
        <v>12.0</v>
      </c>
      <c r="G103" s="38">
        <v>19.0</v>
      </c>
      <c r="H103" s="38">
        <v>15.0</v>
      </c>
      <c r="I103" s="48">
        <f t="shared" si="3"/>
        <v>613</v>
      </c>
      <c r="J103" s="48">
        <f t="shared" si="4"/>
        <v>647</v>
      </c>
      <c r="K103" s="49">
        <f t="shared" si="5"/>
        <v>0.8694942904</v>
      </c>
      <c r="L103" s="49">
        <f t="shared" si="6"/>
        <v>0.1109298532</v>
      </c>
      <c r="M103" s="49">
        <f t="shared" si="7"/>
        <v>0.01957585644</v>
      </c>
      <c r="N103" s="32" t="str">
        <f t="shared" si="8"/>
        <v>Jânio</v>
      </c>
      <c r="O103" s="50" t="s">
        <v>77</v>
      </c>
      <c r="P103" s="38">
        <v>517.0</v>
      </c>
      <c r="Q103" s="38">
        <v>69.0</v>
      </c>
      <c r="R103" s="38">
        <v>29.0</v>
      </c>
      <c r="S103" s="38">
        <v>22.0</v>
      </c>
      <c r="T103" s="38">
        <v>10.0</v>
      </c>
      <c r="U103" s="48">
        <f t="shared" si="9"/>
        <v>615</v>
      </c>
      <c r="V103" s="48">
        <f t="shared" si="10"/>
        <v>647</v>
      </c>
      <c r="W103" s="49">
        <f t="shared" si="11"/>
        <v>0.8406504065</v>
      </c>
      <c r="X103" s="49">
        <f t="shared" si="12"/>
        <v>0.112195122</v>
      </c>
      <c r="Y103" s="49">
        <f t="shared" si="13"/>
        <v>0.04715447154</v>
      </c>
      <c r="Z103" s="32" t="str">
        <f t="shared" si="14"/>
        <v>Jango</v>
      </c>
      <c r="AA103" s="50" t="s">
        <v>77</v>
      </c>
      <c r="AB103" s="38">
        <v>969.0</v>
      </c>
      <c r="AC103" s="48">
        <f t="shared" si="19"/>
        <v>322</v>
      </c>
      <c r="AD103" s="51">
        <f t="shared" si="20"/>
        <v>0.6676986584</v>
      </c>
    </row>
    <row r="104">
      <c r="A104" s="61" t="s">
        <v>501</v>
      </c>
      <c r="B104" s="46" t="s">
        <v>502</v>
      </c>
      <c r="C104" s="47"/>
      <c r="D104" s="38">
        <v>1152.0</v>
      </c>
      <c r="E104" s="38">
        <v>715.0</v>
      </c>
      <c r="F104" s="38">
        <v>110.0</v>
      </c>
      <c r="G104" s="38">
        <v>132.0</v>
      </c>
      <c r="H104" s="38">
        <v>233.0</v>
      </c>
      <c r="I104" s="48">
        <f t="shared" si="3"/>
        <v>1977</v>
      </c>
      <c r="J104" s="48">
        <f t="shared" si="4"/>
        <v>2342</v>
      </c>
      <c r="K104" s="49">
        <f t="shared" si="5"/>
        <v>0.5827010622</v>
      </c>
      <c r="L104" s="49">
        <f t="shared" si="6"/>
        <v>0.3616590794</v>
      </c>
      <c r="M104" s="49">
        <f t="shared" si="7"/>
        <v>0.05563985837</v>
      </c>
      <c r="N104" s="32" t="str">
        <f t="shared" si="8"/>
        <v>Jânio</v>
      </c>
      <c r="O104" s="50" t="s">
        <v>77</v>
      </c>
      <c r="P104" s="38">
        <v>744.0</v>
      </c>
      <c r="Q104" s="38">
        <v>1069.0</v>
      </c>
      <c r="R104" s="38">
        <v>79.0</v>
      </c>
      <c r="S104" s="38">
        <v>263.0</v>
      </c>
      <c r="T104" s="38">
        <v>187.0</v>
      </c>
      <c r="U104" s="48">
        <f t="shared" si="9"/>
        <v>1892</v>
      </c>
      <c r="V104" s="48">
        <f t="shared" si="10"/>
        <v>2342</v>
      </c>
      <c r="W104" s="49">
        <f t="shared" si="11"/>
        <v>0.3932346723</v>
      </c>
      <c r="X104" s="49">
        <f t="shared" si="12"/>
        <v>0.5650105708</v>
      </c>
      <c r="Y104" s="49">
        <f t="shared" si="13"/>
        <v>0.04175475687</v>
      </c>
      <c r="Z104" s="32" t="str">
        <f t="shared" si="14"/>
        <v>Milton</v>
      </c>
      <c r="AA104" s="50" t="s">
        <v>77</v>
      </c>
      <c r="AB104" s="38">
        <v>3284.0</v>
      </c>
      <c r="AC104" s="48">
        <f t="shared" si="19"/>
        <v>942</v>
      </c>
      <c r="AD104" s="51">
        <f t="shared" si="20"/>
        <v>0.7131546894</v>
      </c>
    </row>
    <row r="105">
      <c r="A105" s="24"/>
      <c r="B105" s="46" t="s">
        <v>503</v>
      </c>
      <c r="C105" s="47"/>
      <c r="D105" s="38">
        <v>1177.0</v>
      </c>
      <c r="E105" s="38">
        <v>1000.0</v>
      </c>
      <c r="F105" s="38">
        <v>76.0</v>
      </c>
      <c r="G105" s="38">
        <v>92.0</v>
      </c>
      <c r="H105" s="38">
        <v>162.0</v>
      </c>
      <c r="I105" s="48">
        <f t="shared" si="3"/>
        <v>2253</v>
      </c>
      <c r="J105" s="48">
        <f t="shared" si="4"/>
        <v>2507</v>
      </c>
      <c r="K105" s="49">
        <f t="shared" si="5"/>
        <v>0.5224145584</v>
      </c>
      <c r="L105" s="49">
        <f t="shared" si="6"/>
        <v>0.4438526409</v>
      </c>
      <c r="M105" s="49">
        <f t="shared" si="7"/>
        <v>0.03373280071</v>
      </c>
      <c r="N105" s="32" t="str">
        <f t="shared" si="8"/>
        <v>Jânio</v>
      </c>
      <c r="O105" s="50" t="s">
        <v>77</v>
      </c>
      <c r="P105" s="38">
        <v>1026.0</v>
      </c>
      <c r="Q105" s="38">
        <v>1156.0</v>
      </c>
      <c r="R105" s="38">
        <v>54.0</v>
      </c>
      <c r="S105" s="38">
        <v>149.0</v>
      </c>
      <c r="T105" s="38">
        <v>122.0</v>
      </c>
      <c r="U105" s="48">
        <f t="shared" si="9"/>
        <v>2236</v>
      </c>
      <c r="V105" s="48">
        <f t="shared" si="10"/>
        <v>2507</v>
      </c>
      <c r="W105" s="49">
        <f t="shared" si="11"/>
        <v>0.4588550984</v>
      </c>
      <c r="X105" s="49">
        <f t="shared" si="12"/>
        <v>0.5169946333</v>
      </c>
      <c r="Y105" s="49">
        <f t="shared" si="13"/>
        <v>0.02415026834</v>
      </c>
      <c r="Z105" s="32" t="str">
        <f t="shared" si="14"/>
        <v>Milton</v>
      </c>
      <c r="AA105" s="50" t="s">
        <v>77</v>
      </c>
      <c r="AB105" s="38">
        <v>3331.0</v>
      </c>
      <c r="AC105" s="48">
        <f t="shared" si="19"/>
        <v>824</v>
      </c>
      <c r="AD105" s="51">
        <f t="shared" si="20"/>
        <v>0.7526268388</v>
      </c>
    </row>
    <row r="106">
      <c r="A106" s="45" t="s">
        <v>504</v>
      </c>
      <c r="B106" s="46" t="s">
        <v>505</v>
      </c>
      <c r="C106" s="47"/>
      <c r="D106" s="38">
        <v>1936.0</v>
      </c>
      <c r="E106" s="38">
        <v>1622.0</v>
      </c>
      <c r="F106" s="38">
        <v>652.0</v>
      </c>
      <c r="G106" s="38">
        <v>240.0</v>
      </c>
      <c r="H106" s="38">
        <v>222.0</v>
      </c>
      <c r="I106" s="48">
        <f t="shared" si="3"/>
        <v>4210</v>
      </c>
      <c r="J106" s="48">
        <f t="shared" si="4"/>
        <v>4672</v>
      </c>
      <c r="K106" s="49">
        <f t="shared" si="5"/>
        <v>0.4598574822</v>
      </c>
      <c r="L106" s="49">
        <f t="shared" si="6"/>
        <v>0.3852731591</v>
      </c>
      <c r="M106" s="49">
        <f t="shared" si="7"/>
        <v>0.1548693587</v>
      </c>
      <c r="N106" s="32" t="str">
        <f t="shared" si="8"/>
        <v>Jânio</v>
      </c>
      <c r="O106" s="50" t="s">
        <v>77</v>
      </c>
      <c r="P106" s="38">
        <v>2492.0</v>
      </c>
      <c r="Q106" s="38">
        <v>1468.0</v>
      </c>
      <c r="R106" s="38">
        <v>206.0</v>
      </c>
      <c r="S106" s="38">
        <v>367.0</v>
      </c>
      <c r="T106" s="38">
        <v>139.0</v>
      </c>
      <c r="U106" s="48">
        <f t="shared" si="9"/>
        <v>4166</v>
      </c>
      <c r="V106" s="48">
        <f t="shared" si="10"/>
        <v>4672</v>
      </c>
      <c r="W106" s="49">
        <f t="shared" si="11"/>
        <v>0.5981757081</v>
      </c>
      <c r="X106" s="49">
        <f t="shared" si="12"/>
        <v>0.3523763802</v>
      </c>
      <c r="Y106" s="49">
        <f t="shared" si="13"/>
        <v>0.04944791167</v>
      </c>
      <c r="Z106" s="32" t="str">
        <f t="shared" si="14"/>
        <v>Jango</v>
      </c>
      <c r="AA106" s="50" t="s">
        <v>77</v>
      </c>
      <c r="AB106" s="38">
        <v>7265.0</v>
      </c>
      <c r="AC106" s="48">
        <f t="shared" si="19"/>
        <v>2593</v>
      </c>
      <c r="AD106" s="51">
        <f t="shared" si="20"/>
        <v>0.643083276</v>
      </c>
    </row>
    <row r="107">
      <c r="A107" s="61" t="s">
        <v>506</v>
      </c>
      <c r="B107" s="46" t="s">
        <v>507</v>
      </c>
      <c r="C107" s="47"/>
      <c r="D107" s="38">
        <v>594.0</v>
      </c>
      <c r="E107" s="38">
        <v>455.0</v>
      </c>
      <c r="F107" s="38">
        <v>29.0</v>
      </c>
      <c r="G107" s="38">
        <v>34.0</v>
      </c>
      <c r="H107" s="38">
        <v>71.0</v>
      </c>
      <c r="I107" s="48">
        <f t="shared" si="3"/>
        <v>1078</v>
      </c>
      <c r="J107" s="48">
        <f t="shared" si="4"/>
        <v>1183</v>
      </c>
      <c r="K107" s="49">
        <f t="shared" si="5"/>
        <v>0.5510204082</v>
      </c>
      <c r="L107" s="49">
        <f t="shared" si="6"/>
        <v>0.4220779221</v>
      </c>
      <c r="M107" s="49">
        <f t="shared" si="7"/>
        <v>0.02690166976</v>
      </c>
      <c r="N107" s="32" t="str">
        <f t="shared" si="8"/>
        <v>Jânio</v>
      </c>
      <c r="O107" s="50" t="s">
        <v>77</v>
      </c>
      <c r="P107" s="38">
        <v>448.0</v>
      </c>
      <c r="Q107" s="38">
        <v>576.0</v>
      </c>
      <c r="R107" s="38">
        <v>45.0</v>
      </c>
      <c r="S107" s="38">
        <v>76.0</v>
      </c>
      <c r="T107" s="38">
        <v>38.0</v>
      </c>
      <c r="U107" s="48">
        <f t="shared" si="9"/>
        <v>1069</v>
      </c>
      <c r="V107" s="48">
        <f t="shared" si="10"/>
        <v>1183</v>
      </c>
      <c r="W107" s="49">
        <f t="shared" si="11"/>
        <v>0.4190832554</v>
      </c>
      <c r="X107" s="49">
        <f t="shared" si="12"/>
        <v>0.5388213283</v>
      </c>
      <c r="Y107" s="49">
        <f t="shared" si="13"/>
        <v>0.04209541628</v>
      </c>
      <c r="Z107" s="32" t="str">
        <f t="shared" si="14"/>
        <v>Milton</v>
      </c>
      <c r="AA107" s="50" t="s">
        <v>77</v>
      </c>
      <c r="AB107" s="38">
        <v>3213.0</v>
      </c>
      <c r="AC107" s="48">
        <f t="shared" si="19"/>
        <v>2030</v>
      </c>
      <c r="AD107" s="51">
        <f t="shared" si="20"/>
        <v>0.3681917211</v>
      </c>
    </row>
    <row r="108">
      <c r="A108" s="24"/>
      <c r="B108" s="46" t="s">
        <v>508</v>
      </c>
      <c r="C108" s="47"/>
      <c r="D108" s="38">
        <v>389.0</v>
      </c>
      <c r="E108" s="38">
        <v>284.0</v>
      </c>
      <c r="F108" s="38">
        <v>39.0</v>
      </c>
      <c r="G108" s="38">
        <v>31.0</v>
      </c>
      <c r="H108" s="38">
        <v>53.0</v>
      </c>
      <c r="I108" s="48">
        <f t="shared" si="3"/>
        <v>712</v>
      </c>
      <c r="J108" s="48">
        <f t="shared" si="4"/>
        <v>796</v>
      </c>
      <c r="K108" s="49">
        <f t="shared" si="5"/>
        <v>0.5463483146</v>
      </c>
      <c r="L108" s="49">
        <f t="shared" si="6"/>
        <v>0.3988764045</v>
      </c>
      <c r="M108" s="49">
        <f t="shared" si="7"/>
        <v>0.0547752809</v>
      </c>
      <c r="N108" s="32" t="str">
        <f t="shared" si="8"/>
        <v>Jânio</v>
      </c>
      <c r="O108" s="50" t="s">
        <v>77</v>
      </c>
      <c r="P108" s="38">
        <v>299.0</v>
      </c>
      <c r="Q108" s="38">
        <v>365.0</v>
      </c>
      <c r="R108" s="38">
        <v>29.0</v>
      </c>
      <c r="S108" s="38">
        <v>62.0</v>
      </c>
      <c r="T108" s="38">
        <v>41.0</v>
      </c>
      <c r="U108" s="48">
        <f t="shared" si="9"/>
        <v>693</v>
      </c>
      <c r="V108" s="48">
        <f t="shared" si="10"/>
        <v>796</v>
      </c>
      <c r="W108" s="49">
        <f t="shared" si="11"/>
        <v>0.4314574315</v>
      </c>
      <c r="X108" s="49">
        <f t="shared" si="12"/>
        <v>0.5266955267</v>
      </c>
      <c r="Y108" s="49">
        <f t="shared" si="13"/>
        <v>0.04184704185</v>
      </c>
      <c r="Z108" s="32" t="str">
        <f t="shared" si="14"/>
        <v>Milton</v>
      </c>
      <c r="AA108" s="50" t="s">
        <v>77</v>
      </c>
      <c r="AB108" s="38">
        <v>1759.0</v>
      </c>
      <c r="AC108" s="48">
        <f t="shared" si="19"/>
        <v>963</v>
      </c>
      <c r="AD108" s="51">
        <f t="shared" si="20"/>
        <v>0.4525298465</v>
      </c>
    </row>
    <row r="109">
      <c r="A109" s="61" t="s">
        <v>509</v>
      </c>
      <c r="B109" s="46" t="s">
        <v>510</v>
      </c>
      <c r="C109" s="47"/>
      <c r="D109" s="38">
        <v>1916.0</v>
      </c>
      <c r="E109" s="38">
        <v>1837.0</v>
      </c>
      <c r="F109" s="38">
        <v>98.0</v>
      </c>
      <c r="G109" s="38">
        <v>101.0</v>
      </c>
      <c r="H109" s="38">
        <v>179.0</v>
      </c>
      <c r="I109" s="48">
        <f t="shared" si="3"/>
        <v>3851</v>
      </c>
      <c r="J109" s="48">
        <f t="shared" si="4"/>
        <v>4131</v>
      </c>
      <c r="K109" s="49">
        <f t="shared" si="5"/>
        <v>0.4975331083</v>
      </c>
      <c r="L109" s="49">
        <f t="shared" si="6"/>
        <v>0.4770189561</v>
      </c>
      <c r="M109" s="49">
        <f t="shared" si="7"/>
        <v>0.0254479356</v>
      </c>
      <c r="N109" s="32" t="str">
        <f t="shared" si="8"/>
        <v>Jânio</v>
      </c>
      <c r="O109" s="50" t="s">
        <v>77</v>
      </c>
      <c r="P109" s="38">
        <v>1863.0</v>
      </c>
      <c r="Q109" s="38">
        <v>1843.0</v>
      </c>
      <c r="R109" s="38">
        <v>112.0</v>
      </c>
      <c r="S109" s="38">
        <v>151.0</v>
      </c>
      <c r="T109" s="38">
        <v>162.0</v>
      </c>
      <c r="U109" s="48">
        <f t="shared" si="9"/>
        <v>3818</v>
      </c>
      <c r="V109" s="48">
        <f t="shared" si="10"/>
        <v>4131</v>
      </c>
      <c r="W109" s="49">
        <f t="shared" si="11"/>
        <v>0.4879518072</v>
      </c>
      <c r="X109" s="49">
        <f t="shared" si="12"/>
        <v>0.4827134625</v>
      </c>
      <c r="Y109" s="49">
        <f t="shared" si="13"/>
        <v>0.02933473023</v>
      </c>
      <c r="Z109" s="32" t="str">
        <f t="shared" si="14"/>
        <v>Jango</v>
      </c>
      <c r="AA109" s="50" t="s">
        <v>77</v>
      </c>
      <c r="AB109" s="38">
        <v>6403.0</v>
      </c>
      <c r="AC109" s="48">
        <f t="shared" si="19"/>
        <v>2272</v>
      </c>
      <c r="AD109" s="51">
        <f t="shared" si="20"/>
        <v>0.6451663283</v>
      </c>
    </row>
    <row r="110">
      <c r="A110" s="24"/>
      <c r="B110" s="46" t="s">
        <v>511</v>
      </c>
      <c r="C110" s="47"/>
      <c r="D110" s="38">
        <v>840.0</v>
      </c>
      <c r="E110" s="38">
        <v>700.0</v>
      </c>
      <c r="F110" s="38">
        <v>63.0</v>
      </c>
      <c r="G110" s="38">
        <v>38.0</v>
      </c>
      <c r="H110" s="38">
        <v>74.0</v>
      </c>
      <c r="I110" s="48">
        <f t="shared" si="3"/>
        <v>1603</v>
      </c>
      <c r="J110" s="48">
        <f t="shared" si="4"/>
        <v>1715</v>
      </c>
      <c r="K110" s="49">
        <f t="shared" si="5"/>
        <v>0.5240174672</v>
      </c>
      <c r="L110" s="49">
        <f t="shared" si="6"/>
        <v>0.4366812227</v>
      </c>
      <c r="M110" s="49">
        <f t="shared" si="7"/>
        <v>0.03930131004</v>
      </c>
      <c r="N110" s="32" t="str">
        <f t="shared" si="8"/>
        <v>Jânio</v>
      </c>
      <c r="O110" s="50" t="s">
        <v>77</v>
      </c>
      <c r="P110" s="38">
        <v>739.0</v>
      </c>
      <c r="Q110" s="38">
        <v>807.0</v>
      </c>
      <c r="R110" s="38">
        <v>40.0</v>
      </c>
      <c r="S110" s="38">
        <v>80.0</v>
      </c>
      <c r="T110" s="38">
        <v>49.0</v>
      </c>
      <c r="U110" s="48">
        <f t="shared" si="9"/>
        <v>1586</v>
      </c>
      <c r="V110" s="48">
        <f t="shared" si="10"/>
        <v>1715</v>
      </c>
      <c r="W110" s="49">
        <f t="shared" si="11"/>
        <v>0.4659520807</v>
      </c>
      <c r="X110" s="49">
        <f t="shared" si="12"/>
        <v>0.5088272383</v>
      </c>
      <c r="Y110" s="49">
        <f t="shared" si="13"/>
        <v>0.02522068096</v>
      </c>
      <c r="Z110" s="32" t="str">
        <f t="shared" si="14"/>
        <v>Milton</v>
      </c>
      <c r="AA110" s="50" t="s">
        <v>77</v>
      </c>
      <c r="AB110" s="38">
        <v>2790.0</v>
      </c>
      <c r="AC110" s="48">
        <f t="shared" si="19"/>
        <v>1075</v>
      </c>
      <c r="AD110" s="51">
        <f t="shared" si="20"/>
        <v>0.6146953405</v>
      </c>
    </row>
    <row r="111">
      <c r="A111" s="45" t="s">
        <v>512</v>
      </c>
      <c r="B111" s="46" t="s">
        <v>513</v>
      </c>
      <c r="C111" s="47"/>
      <c r="D111" s="38">
        <v>1914.0</v>
      </c>
      <c r="E111" s="38">
        <v>1208.0</v>
      </c>
      <c r="F111" s="38">
        <v>346.0</v>
      </c>
      <c r="G111" s="38">
        <v>53.0</v>
      </c>
      <c r="H111" s="38">
        <v>158.0</v>
      </c>
      <c r="I111" s="48">
        <f t="shared" si="3"/>
        <v>3468</v>
      </c>
      <c r="J111" s="48">
        <f t="shared" si="4"/>
        <v>3679</v>
      </c>
      <c r="K111" s="49">
        <f t="shared" si="5"/>
        <v>0.5519031142</v>
      </c>
      <c r="L111" s="49">
        <f t="shared" si="6"/>
        <v>0.3483275663</v>
      </c>
      <c r="M111" s="49">
        <f t="shared" si="7"/>
        <v>0.09976931949</v>
      </c>
      <c r="N111" s="32" t="str">
        <f t="shared" si="8"/>
        <v>Jânio</v>
      </c>
      <c r="O111" s="50" t="s">
        <v>77</v>
      </c>
      <c r="P111" s="38">
        <v>1373.0</v>
      </c>
      <c r="Q111" s="38">
        <v>1903.0</v>
      </c>
      <c r="R111" s="38">
        <v>91.0</v>
      </c>
      <c r="S111" s="38">
        <v>203.0</v>
      </c>
      <c r="T111" s="38">
        <v>109.0</v>
      </c>
      <c r="U111" s="48">
        <f t="shared" si="9"/>
        <v>3367</v>
      </c>
      <c r="V111" s="48">
        <f t="shared" si="10"/>
        <v>3679</v>
      </c>
      <c r="W111" s="49">
        <f t="shared" si="11"/>
        <v>0.4077814078</v>
      </c>
      <c r="X111" s="49">
        <f t="shared" si="12"/>
        <v>0.5651915652</v>
      </c>
      <c r="Y111" s="49">
        <f t="shared" si="13"/>
        <v>0.02702702703</v>
      </c>
      <c r="Z111" s="32" t="str">
        <f t="shared" si="14"/>
        <v>Milton</v>
      </c>
      <c r="AA111" s="50" t="s">
        <v>77</v>
      </c>
      <c r="AB111" s="38">
        <v>6881.0</v>
      </c>
      <c r="AC111" s="48">
        <f t="shared" si="19"/>
        <v>3202</v>
      </c>
      <c r="AD111" s="51">
        <f t="shared" si="20"/>
        <v>0.5346606598</v>
      </c>
    </row>
    <row r="112">
      <c r="A112" s="45" t="s">
        <v>514</v>
      </c>
      <c r="B112" s="46" t="s">
        <v>515</v>
      </c>
      <c r="C112" s="47"/>
      <c r="D112" s="38">
        <v>1001.0</v>
      </c>
      <c r="E112" s="38">
        <v>721.0</v>
      </c>
      <c r="F112" s="38">
        <v>159.0</v>
      </c>
      <c r="G112" s="38">
        <v>51.0</v>
      </c>
      <c r="H112" s="38">
        <v>107.0</v>
      </c>
      <c r="I112" s="48">
        <f t="shared" si="3"/>
        <v>1881</v>
      </c>
      <c r="J112" s="48">
        <f t="shared" si="4"/>
        <v>2039</v>
      </c>
      <c r="K112" s="49">
        <f t="shared" si="5"/>
        <v>0.5321637427</v>
      </c>
      <c r="L112" s="49">
        <f t="shared" si="6"/>
        <v>0.3833067517</v>
      </c>
      <c r="M112" s="49">
        <f t="shared" si="7"/>
        <v>0.08452950558</v>
      </c>
      <c r="N112" s="32" t="str">
        <f t="shared" si="8"/>
        <v>Jânio</v>
      </c>
      <c r="O112" s="50" t="s">
        <v>77</v>
      </c>
      <c r="P112" s="38">
        <v>747.0</v>
      </c>
      <c r="Q112" s="38">
        <v>965.0</v>
      </c>
      <c r="R112" s="38">
        <v>145.0</v>
      </c>
      <c r="S112" s="38">
        <v>100.0</v>
      </c>
      <c r="T112" s="38">
        <v>82.0</v>
      </c>
      <c r="U112" s="48">
        <f t="shared" si="9"/>
        <v>1857</v>
      </c>
      <c r="V112" s="48">
        <f t="shared" si="10"/>
        <v>2039</v>
      </c>
      <c r="W112" s="49">
        <f t="shared" si="11"/>
        <v>0.4022617124</v>
      </c>
      <c r="X112" s="49">
        <f t="shared" si="12"/>
        <v>0.5196553581</v>
      </c>
      <c r="Y112" s="49">
        <f t="shared" si="13"/>
        <v>0.07808292946</v>
      </c>
      <c r="Z112" s="32" t="str">
        <f t="shared" si="14"/>
        <v>Milton</v>
      </c>
      <c r="AA112" s="50" t="s">
        <v>77</v>
      </c>
      <c r="AB112" s="38">
        <v>2772.0</v>
      </c>
      <c r="AC112" s="48">
        <f t="shared" si="19"/>
        <v>733</v>
      </c>
      <c r="AD112" s="51">
        <f t="shared" si="20"/>
        <v>0.7355699856</v>
      </c>
    </row>
    <row r="113">
      <c r="A113" s="110" t="s">
        <v>516</v>
      </c>
      <c r="B113" s="46" t="s">
        <v>517</v>
      </c>
      <c r="C113" s="47"/>
      <c r="D113" s="38">
        <v>1686.0</v>
      </c>
      <c r="E113" s="38">
        <v>1021.0</v>
      </c>
      <c r="F113" s="38">
        <v>89.0</v>
      </c>
      <c r="G113" s="38">
        <v>196.0</v>
      </c>
      <c r="H113" s="38">
        <v>133.0</v>
      </c>
      <c r="I113" s="48">
        <f t="shared" si="3"/>
        <v>2796</v>
      </c>
      <c r="J113" s="48">
        <f t="shared" si="4"/>
        <v>3125</v>
      </c>
      <c r="K113" s="49">
        <f t="shared" si="5"/>
        <v>0.6030042918</v>
      </c>
      <c r="L113" s="49">
        <f t="shared" si="6"/>
        <v>0.3651645207</v>
      </c>
      <c r="M113" s="49">
        <f t="shared" si="7"/>
        <v>0.03183118741</v>
      </c>
      <c r="N113" s="32" t="str">
        <f t="shared" si="8"/>
        <v>Jânio</v>
      </c>
      <c r="O113" s="50" t="s">
        <v>77</v>
      </c>
      <c r="P113" s="38">
        <v>1053.0</v>
      </c>
      <c r="Q113" s="38">
        <v>1573.0</v>
      </c>
      <c r="R113" s="38">
        <v>124.0</v>
      </c>
      <c r="S113" s="38">
        <v>296.0</v>
      </c>
      <c r="T113" s="38">
        <v>79.0</v>
      </c>
      <c r="U113" s="48">
        <f t="shared" si="9"/>
        <v>2750</v>
      </c>
      <c r="V113" s="48">
        <f t="shared" si="10"/>
        <v>3125</v>
      </c>
      <c r="W113" s="49">
        <f t="shared" si="11"/>
        <v>0.3829090909</v>
      </c>
      <c r="X113" s="49">
        <f t="shared" si="12"/>
        <v>0.572</v>
      </c>
      <c r="Y113" s="49">
        <f t="shared" si="13"/>
        <v>0.04509090909</v>
      </c>
      <c r="Z113" s="32" t="str">
        <f t="shared" si="14"/>
        <v>Milton</v>
      </c>
      <c r="AA113" s="50" t="s">
        <v>77</v>
      </c>
      <c r="AB113" s="38">
        <v>4174.0</v>
      </c>
      <c r="AC113" s="48">
        <f t="shared" si="19"/>
        <v>1049</v>
      </c>
      <c r="AD113" s="51">
        <f t="shared" si="20"/>
        <v>0.7486823191</v>
      </c>
    </row>
    <row r="114">
      <c r="A114" s="61" t="s">
        <v>518</v>
      </c>
      <c r="B114" s="46" t="s">
        <v>519</v>
      </c>
      <c r="C114" s="47"/>
      <c r="D114" s="38">
        <v>975.0</v>
      </c>
      <c r="E114" s="38">
        <v>344.0</v>
      </c>
      <c r="F114" s="38">
        <v>97.0</v>
      </c>
      <c r="G114" s="38">
        <v>33.0</v>
      </c>
      <c r="H114" s="38">
        <v>49.0</v>
      </c>
      <c r="I114" s="48">
        <f t="shared" si="3"/>
        <v>1416</v>
      </c>
      <c r="J114" s="48">
        <f t="shared" si="4"/>
        <v>1498</v>
      </c>
      <c r="K114" s="49">
        <f t="shared" si="5"/>
        <v>0.688559322</v>
      </c>
      <c r="L114" s="49">
        <f t="shared" si="6"/>
        <v>0.2429378531</v>
      </c>
      <c r="M114" s="49">
        <f t="shared" si="7"/>
        <v>0.06850282486</v>
      </c>
      <c r="N114" s="32" t="str">
        <f t="shared" si="8"/>
        <v>Jânio</v>
      </c>
      <c r="O114" s="50" t="s">
        <v>77</v>
      </c>
      <c r="P114" s="38">
        <v>1195.0</v>
      </c>
      <c r="Q114" s="38">
        <v>117.0</v>
      </c>
      <c r="R114" s="38">
        <v>79.0</v>
      </c>
      <c r="S114" s="38">
        <v>73.0</v>
      </c>
      <c r="T114" s="38">
        <v>34.0</v>
      </c>
      <c r="U114" s="48">
        <f t="shared" si="9"/>
        <v>1391</v>
      </c>
      <c r="V114" s="48">
        <f t="shared" si="10"/>
        <v>1498</v>
      </c>
      <c r="W114" s="49">
        <f t="shared" si="11"/>
        <v>0.8590941769</v>
      </c>
      <c r="X114" s="49">
        <f t="shared" si="12"/>
        <v>0.08411214953</v>
      </c>
      <c r="Y114" s="49">
        <f t="shared" si="13"/>
        <v>0.05679367362</v>
      </c>
      <c r="Z114" s="32" t="str">
        <f t="shared" si="14"/>
        <v>Jango</v>
      </c>
      <c r="AA114" s="50" t="s">
        <v>77</v>
      </c>
      <c r="AB114" s="38">
        <v>2466.0</v>
      </c>
      <c r="AC114" s="48">
        <f t="shared" si="19"/>
        <v>968</v>
      </c>
      <c r="AD114" s="51">
        <f t="shared" si="20"/>
        <v>0.6074614761</v>
      </c>
    </row>
    <row r="115">
      <c r="A115" s="23"/>
      <c r="B115" s="46" t="s">
        <v>520</v>
      </c>
      <c r="C115" s="47"/>
      <c r="D115" s="38">
        <v>268.0</v>
      </c>
      <c r="E115" s="38">
        <v>366.0</v>
      </c>
      <c r="F115" s="38">
        <v>33.0</v>
      </c>
      <c r="G115" s="38">
        <v>20.0</v>
      </c>
      <c r="H115" s="38">
        <v>23.0</v>
      </c>
      <c r="I115" s="48">
        <f t="shared" si="3"/>
        <v>667</v>
      </c>
      <c r="J115" s="48">
        <f t="shared" si="4"/>
        <v>710</v>
      </c>
      <c r="K115" s="49">
        <f t="shared" si="5"/>
        <v>0.4017991004</v>
      </c>
      <c r="L115" s="49">
        <f t="shared" si="6"/>
        <v>0.5487256372</v>
      </c>
      <c r="M115" s="49">
        <f t="shared" si="7"/>
        <v>0.04947526237</v>
      </c>
      <c r="N115" s="32" t="str">
        <f t="shared" si="8"/>
        <v>Mal. Lott</v>
      </c>
      <c r="O115" s="50" t="s">
        <v>77</v>
      </c>
      <c r="P115" s="38">
        <v>532.0</v>
      </c>
      <c r="Q115" s="38">
        <v>83.0</v>
      </c>
      <c r="R115" s="38">
        <v>33.0</v>
      </c>
      <c r="S115" s="48">
        <v>46.0</v>
      </c>
      <c r="T115" s="38">
        <v>16.0</v>
      </c>
      <c r="U115" s="48">
        <f t="shared" si="9"/>
        <v>648</v>
      </c>
      <c r="V115" s="48">
        <f t="shared" si="10"/>
        <v>710</v>
      </c>
      <c r="W115" s="49">
        <f t="shared" si="11"/>
        <v>0.8209876543</v>
      </c>
      <c r="X115" s="49">
        <f t="shared" si="12"/>
        <v>0.1280864198</v>
      </c>
      <c r="Y115" s="49">
        <f t="shared" si="13"/>
        <v>0.05092592593</v>
      </c>
      <c r="Z115" s="32" t="str">
        <f t="shared" si="14"/>
        <v>Jango</v>
      </c>
      <c r="AA115" s="50" t="s">
        <v>77</v>
      </c>
      <c r="AB115" s="38">
        <v>1181.0</v>
      </c>
      <c r="AC115" s="48">
        <f t="shared" si="19"/>
        <v>471</v>
      </c>
      <c r="AD115" s="51">
        <f t="shared" si="20"/>
        <v>0.6011854361</v>
      </c>
    </row>
    <row r="116">
      <c r="A116" s="24"/>
      <c r="B116" s="46" t="s">
        <v>521</v>
      </c>
      <c r="C116" s="47"/>
      <c r="D116" s="38">
        <v>623.0</v>
      </c>
      <c r="E116" s="38">
        <v>341.0</v>
      </c>
      <c r="F116" s="38">
        <v>61.0</v>
      </c>
      <c r="G116" s="38">
        <v>29.0</v>
      </c>
      <c r="H116" s="38">
        <v>47.0</v>
      </c>
      <c r="I116" s="48">
        <f t="shared" si="3"/>
        <v>1025</v>
      </c>
      <c r="J116" s="48">
        <f t="shared" si="4"/>
        <v>1101</v>
      </c>
      <c r="K116" s="49">
        <f t="shared" si="5"/>
        <v>0.607804878</v>
      </c>
      <c r="L116" s="49">
        <f t="shared" si="6"/>
        <v>0.3326829268</v>
      </c>
      <c r="M116" s="49">
        <f t="shared" si="7"/>
        <v>0.05951219512</v>
      </c>
      <c r="N116" s="32" t="str">
        <f t="shared" si="8"/>
        <v>Jânio</v>
      </c>
      <c r="O116" s="50" t="s">
        <v>77</v>
      </c>
      <c r="P116" s="38">
        <v>913.0</v>
      </c>
      <c r="Q116" s="38">
        <v>68.0</v>
      </c>
      <c r="R116" s="38">
        <v>26.0</v>
      </c>
      <c r="S116" s="108">
        <v>70.0</v>
      </c>
      <c r="T116" s="38">
        <v>24.0</v>
      </c>
      <c r="U116" s="48">
        <f t="shared" si="9"/>
        <v>1007</v>
      </c>
      <c r="V116" s="48">
        <f t="shared" si="10"/>
        <v>1101</v>
      </c>
      <c r="W116" s="49">
        <f t="shared" si="11"/>
        <v>0.906653426</v>
      </c>
      <c r="X116" s="49">
        <f t="shared" si="12"/>
        <v>0.06752730884</v>
      </c>
      <c r="Y116" s="49">
        <f t="shared" si="13"/>
        <v>0.02581926514</v>
      </c>
      <c r="Z116" s="32" t="str">
        <f t="shared" si="14"/>
        <v>Jango</v>
      </c>
      <c r="AA116" s="50" t="s">
        <v>77</v>
      </c>
      <c r="AB116" s="38">
        <v>1552.0</v>
      </c>
      <c r="AC116" s="48">
        <f t="shared" si="19"/>
        <v>451</v>
      </c>
      <c r="AD116" s="51">
        <f t="shared" si="20"/>
        <v>0.7094072165</v>
      </c>
    </row>
    <row r="117">
      <c r="A117" s="45" t="s">
        <v>522</v>
      </c>
      <c r="B117" s="46" t="s">
        <v>523</v>
      </c>
      <c r="C117" s="47"/>
      <c r="D117" s="38">
        <v>1320.0</v>
      </c>
      <c r="E117" s="38">
        <v>246.0</v>
      </c>
      <c r="F117" s="38">
        <v>271.0</v>
      </c>
      <c r="G117" s="38">
        <v>45.0</v>
      </c>
      <c r="H117" s="38">
        <v>163.0</v>
      </c>
      <c r="I117" s="48">
        <f t="shared" si="3"/>
        <v>1837</v>
      </c>
      <c r="J117" s="48">
        <f t="shared" si="4"/>
        <v>2045</v>
      </c>
      <c r="K117" s="49">
        <f t="shared" si="5"/>
        <v>0.7185628743</v>
      </c>
      <c r="L117" s="49">
        <f t="shared" si="6"/>
        <v>0.1339139902</v>
      </c>
      <c r="M117" s="49">
        <f t="shared" si="7"/>
        <v>0.1475231355</v>
      </c>
      <c r="N117" s="32" t="str">
        <f t="shared" si="8"/>
        <v>Jânio</v>
      </c>
      <c r="O117" s="50" t="s">
        <v>77</v>
      </c>
      <c r="P117" s="38">
        <v>476.0</v>
      </c>
      <c r="Q117" s="38">
        <v>1261.0</v>
      </c>
      <c r="R117" s="38">
        <v>74.0</v>
      </c>
      <c r="S117" s="108">
        <v>131.0</v>
      </c>
      <c r="T117" s="38">
        <v>103.0</v>
      </c>
      <c r="U117" s="48">
        <f t="shared" si="9"/>
        <v>1811</v>
      </c>
      <c r="V117" s="48">
        <f t="shared" si="10"/>
        <v>2045</v>
      </c>
      <c r="W117" s="49">
        <f t="shared" si="11"/>
        <v>0.2628382109</v>
      </c>
      <c r="X117" s="49">
        <f t="shared" si="12"/>
        <v>0.6963003865</v>
      </c>
      <c r="Y117" s="49">
        <f t="shared" si="13"/>
        <v>0.04086140254</v>
      </c>
      <c r="Z117" s="32" t="str">
        <f t="shared" si="14"/>
        <v>Milton</v>
      </c>
      <c r="AA117" s="50" t="s">
        <v>77</v>
      </c>
      <c r="AB117" s="38">
        <v>5563.0</v>
      </c>
      <c r="AC117" s="48">
        <f t="shared" si="19"/>
        <v>3518</v>
      </c>
      <c r="AD117" s="51">
        <f t="shared" si="20"/>
        <v>0.3676074061</v>
      </c>
    </row>
    <row r="118">
      <c r="A118" s="45" t="s">
        <v>524</v>
      </c>
      <c r="B118" s="46" t="s">
        <v>525</v>
      </c>
      <c r="C118" s="47"/>
      <c r="D118" s="38">
        <v>1830.0</v>
      </c>
      <c r="E118" s="38">
        <v>1103.0</v>
      </c>
      <c r="F118" s="38">
        <v>333.0</v>
      </c>
      <c r="G118" s="38">
        <v>77.0</v>
      </c>
      <c r="H118" s="38">
        <v>306.0</v>
      </c>
      <c r="I118" s="48">
        <f t="shared" si="3"/>
        <v>3266</v>
      </c>
      <c r="J118" s="48">
        <f t="shared" si="4"/>
        <v>3649</v>
      </c>
      <c r="K118" s="49">
        <f t="shared" si="5"/>
        <v>0.5603184323</v>
      </c>
      <c r="L118" s="49">
        <f t="shared" si="6"/>
        <v>0.3377219841</v>
      </c>
      <c r="M118" s="49">
        <f t="shared" si="7"/>
        <v>0.1019595836</v>
      </c>
      <c r="N118" s="32" t="str">
        <f t="shared" si="8"/>
        <v>Jânio</v>
      </c>
      <c r="O118" s="50" t="s">
        <v>77</v>
      </c>
      <c r="P118" s="38">
        <v>1320.0</v>
      </c>
      <c r="Q118" s="38">
        <v>1739.0</v>
      </c>
      <c r="R118" s="38">
        <v>154.0</v>
      </c>
      <c r="S118" s="108">
        <v>210.0</v>
      </c>
      <c r="T118" s="38">
        <v>226.0</v>
      </c>
      <c r="U118" s="48">
        <f t="shared" si="9"/>
        <v>3213</v>
      </c>
      <c r="V118" s="48">
        <f t="shared" si="10"/>
        <v>3649</v>
      </c>
      <c r="W118" s="49">
        <f t="shared" si="11"/>
        <v>0.4108309991</v>
      </c>
      <c r="X118" s="49">
        <f t="shared" si="12"/>
        <v>0.5412387177</v>
      </c>
      <c r="Y118" s="49">
        <f t="shared" si="13"/>
        <v>0.04793028322</v>
      </c>
      <c r="Z118" s="32" t="str">
        <f t="shared" si="14"/>
        <v>Milton</v>
      </c>
      <c r="AA118" s="50" t="s">
        <v>77</v>
      </c>
      <c r="AB118" s="38">
        <v>6792.0</v>
      </c>
      <c r="AC118" s="48">
        <f t="shared" si="19"/>
        <v>3143</v>
      </c>
      <c r="AD118" s="51">
        <f t="shared" si="20"/>
        <v>0.5372497055</v>
      </c>
    </row>
    <row r="119">
      <c r="A119" s="61" t="s">
        <v>526</v>
      </c>
      <c r="B119" s="46" t="s">
        <v>527</v>
      </c>
      <c r="C119" s="47"/>
      <c r="D119" s="38">
        <v>672.0</v>
      </c>
      <c r="E119" s="38">
        <v>1422.0</v>
      </c>
      <c r="F119" s="38">
        <v>144.0</v>
      </c>
      <c r="G119" s="38">
        <v>101.0</v>
      </c>
      <c r="H119" s="38">
        <v>138.0</v>
      </c>
      <c r="I119" s="48">
        <f t="shared" si="3"/>
        <v>2238</v>
      </c>
      <c r="J119" s="48">
        <f t="shared" si="4"/>
        <v>2477</v>
      </c>
      <c r="K119" s="49">
        <f t="shared" si="5"/>
        <v>0.3002680965</v>
      </c>
      <c r="L119" s="49">
        <f t="shared" si="6"/>
        <v>0.6353887399</v>
      </c>
      <c r="M119" s="49">
        <f t="shared" si="7"/>
        <v>0.06434316354</v>
      </c>
      <c r="N119" s="32" t="str">
        <f t="shared" si="8"/>
        <v>Mal. Lott</v>
      </c>
      <c r="O119" s="50" t="s">
        <v>77</v>
      </c>
      <c r="P119" s="38">
        <v>1471.0</v>
      </c>
      <c r="Q119" s="38">
        <v>594.0</v>
      </c>
      <c r="R119" s="38">
        <v>139.0</v>
      </c>
      <c r="S119" s="108">
        <v>195.0</v>
      </c>
      <c r="T119" s="38">
        <v>78.0</v>
      </c>
      <c r="U119" s="48">
        <f t="shared" si="9"/>
        <v>2204</v>
      </c>
      <c r="V119" s="48">
        <f t="shared" si="10"/>
        <v>2477</v>
      </c>
      <c r="W119" s="49">
        <f t="shared" si="11"/>
        <v>0.6674228675</v>
      </c>
      <c r="X119" s="49">
        <f t="shared" si="12"/>
        <v>0.2695099819</v>
      </c>
      <c r="Y119" s="49">
        <f t="shared" si="13"/>
        <v>0.06306715064</v>
      </c>
      <c r="Z119" s="32" t="str">
        <f t="shared" si="14"/>
        <v>Jango</v>
      </c>
      <c r="AA119" s="50" t="s">
        <v>77</v>
      </c>
      <c r="AB119" s="38">
        <v>4081.0</v>
      </c>
      <c r="AC119" s="48">
        <f t="shared" si="19"/>
        <v>1604</v>
      </c>
      <c r="AD119" s="51">
        <f t="shared" si="20"/>
        <v>0.6069590787</v>
      </c>
    </row>
    <row r="120">
      <c r="A120" s="24"/>
      <c r="B120" s="46" t="s">
        <v>528</v>
      </c>
      <c r="C120" s="47"/>
      <c r="D120" s="38">
        <v>817.0</v>
      </c>
      <c r="E120" s="38">
        <v>489.0</v>
      </c>
      <c r="F120" s="38">
        <v>69.0</v>
      </c>
      <c r="G120" s="38">
        <v>77.0</v>
      </c>
      <c r="H120" s="38">
        <v>132.0</v>
      </c>
      <c r="I120" s="48">
        <f t="shared" si="3"/>
        <v>1375</v>
      </c>
      <c r="J120" s="48">
        <f t="shared" si="4"/>
        <v>1584</v>
      </c>
      <c r="K120" s="49">
        <f t="shared" si="5"/>
        <v>0.5941818182</v>
      </c>
      <c r="L120" s="49">
        <f t="shared" si="6"/>
        <v>0.3556363636</v>
      </c>
      <c r="M120" s="49">
        <f t="shared" si="7"/>
        <v>0.05018181818</v>
      </c>
      <c r="N120" s="32" t="str">
        <f t="shared" si="8"/>
        <v>Jânio</v>
      </c>
      <c r="O120" s="50" t="s">
        <v>77</v>
      </c>
      <c r="P120" s="38">
        <v>496.0</v>
      </c>
      <c r="Q120" s="38">
        <v>751.0</v>
      </c>
      <c r="R120" s="38">
        <v>71.0</v>
      </c>
      <c r="S120" s="108">
        <v>168.0</v>
      </c>
      <c r="T120" s="38">
        <v>98.0</v>
      </c>
      <c r="U120" s="48">
        <f t="shared" si="9"/>
        <v>1318</v>
      </c>
      <c r="V120" s="48">
        <f t="shared" si="10"/>
        <v>1584</v>
      </c>
      <c r="W120" s="49">
        <f t="shared" si="11"/>
        <v>0.3763277693</v>
      </c>
      <c r="X120" s="49">
        <f t="shared" si="12"/>
        <v>0.5698027314</v>
      </c>
      <c r="Y120" s="49">
        <f t="shared" si="13"/>
        <v>0.05386949924</v>
      </c>
      <c r="Z120" s="32" t="str">
        <f t="shared" si="14"/>
        <v>Milton</v>
      </c>
      <c r="AA120" s="50" t="s">
        <v>77</v>
      </c>
      <c r="AB120" s="38">
        <v>2215.0</v>
      </c>
      <c r="AC120" s="48">
        <f t="shared" si="19"/>
        <v>631</v>
      </c>
      <c r="AD120" s="51">
        <f t="shared" si="20"/>
        <v>0.7151241535</v>
      </c>
    </row>
    <row r="121">
      <c r="A121" s="45" t="s">
        <v>529</v>
      </c>
      <c r="B121" s="46" t="s">
        <v>530</v>
      </c>
      <c r="C121" s="47"/>
      <c r="D121" s="38">
        <v>1363.0</v>
      </c>
      <c r="E121" s="38">
        <v>2000.0</v>
      </c>
      <c r="F121" s="38">
        <v>171.0</v>
      </c>
      <c r="G121" s="38">
        <v>122.0</v>
      </c>
      <c r="H121" s="38">
        <v>222.0</v>
      </c>
      <c r="I121" s="48">
        <f t="shared" si="3"/>
        <v>3534</v>
      </c>
      <c r="J121" s="48">
        <f t="shared" si="4"/>
        <v>3878</v>
      </c>
      <c r="K121" s="49">
        <f t="shared" si="5"/>
        <v>0.3856819468</v>
      </c>
      <c r="L121" s="49">
        <f t="shared" si="6"/>
        <v>0.5659309564</v>
      </c>
      <c r="M121" s="49">
        <f t="shared" si="7"/>
        <v>0.04838709677</v>
      </c>
      <c r="N121" s="32" t="str">
        <f t="shared" si="8"/>
        <v>Mal. Lott</v>
      </c>
      <c r="O121" s="50" t="s">
        <v>77</v>
      </c>
      <c r="P121" s="38">
        <v>2404.0</v>
      </c>
      <c r="Q121" s="38">
        <v>971.0</v>
      </c>
      <c r="R121" s="38">
        <v>164.0</v>
      </c>
      <c r="S121" s="108">
        <v>176.0</v>
      </c>
      <c r="T121" s="38">
        <v>163.0</v>
      </c>
      <c r="U121" s="48">
        <f t="shared" si="9"/>
        <v>3539</v>
      </c>
      <c r="V121" s="48">
        <f t="shared" si="10"/>
        <v>3878</v>
      </c>
      <c r="W121" s="49">
        <f t="shared" si="11"/>
        <v>0.6792879344</v>
      </c>
      <c r="X121" s="49">
        <f t="shared" si="12"/>
        <v>0.2743712913</v>
      </c>
      <c r="Y121" s="49">
        <f t="shared" si="13"/>
        <v>0.04634077423</v>
      </c>
      <c r="Z121" s="32" t="str">
        <f t="shared" si="14"/>
        <v>Jango</v>
      </c>
      <c r="AA121" s="50" t="s">
        <v>77</v>
      </c>
      <c r="AB121" s="38">
        <v>6067.0</v>
      </c>
      <c r="AC121" s="48">
        <f t="shared" si="19"/>
        <v>2189</v>
      </c>
      <c r="AD121" s="51">
        <f t="shared" si="20"/>
        <v>0.6391956486</v>
      </c>
    </row>
    <row r="122">
      <c r="A122" s="45" t="s">
        <v>531</v>
      </c>
      <c r="B122" s="46" t="s">
        <v>532</v>
      </c>
      <c r="C122" s="47"/>
      <c r="D122" s="38">
        <v>1137.0</v>
      </c>
      <c r="E122" s="38">
        <v>1563.0</v>
      </c>
      <c r="F122" s="38">
        <v>135.0</v>
      </c>
      <c r="G122" s="38">
        <v>113.0</v>
      </c>
      <c r="H122" s="38">
        <v>162.0</v>
      </c>
      <c r="I122" s="48">
        <f t="shared" si="3"/>
        <v>2835</v>
      </c>
      <c r="J122" s="48">
        <f t="shared" si="4"/>
        <v>3110</v>
      </c>
      <c r="K122" s="49">
        <f t="shared" si="5"/>
        <v>0.4010582011</v>
      </c>
      <c r="L122" s="49">
        <f t="shared" si="6"/>
        <v>0.5513227513</v>
      </c>
      <c r="M122" s="49">
        <f t="shared" si="7"/>
        <v>0.04761904762</v>
      </c>
      <c r="N122" s="32" t="str">
        <f t="shared" si="8"/>
        <v>Mal. Lott</v>
      </c>
      <c r="O122" s="50" t="s">
        <v>77</v>
      </c>
      <c r="P122" s="38">
        <v>1608.0</v>
      </c>
      <c r="Q122" s="38">
        <v>1096.0</v>
      </c>
      <c r="R122" s="38">
        <v>108.0</v>
      </c>
      <c r="S122" s="108">
        <v>185.0</v>
      </c>
      <c r="T122" s="38">
        <v>113.0</v>
      </c>
      <c r="U122" s="48">
        <f t="shared" si="9"/>
        <v>2812</v>
      </c>
      <c r="V122" s="48">
        <f t="shared" si="10"/>
        <v>3110</v>
      </c>
      <c r="W122" s="49">
        <f t="shared" si="11"/>
        <v>0.5718349929</v>
      </c>
      <c r="X122" s="49">
        <f t="shared" si="12"/>
        <v>0.3897581792</v>
      </c>
      <c r="Y122" s="49">
        <f t="shared" si="13"/>
        <v>0.03840682788</v>
      </c>
      <c r="Z122" s="32" t="str">
        <f t="shared" si="14"/>
        <v>Jango</v>
      </c>
      <c r="AA122" s="50" t="s">
        <v>77</v>
      </c>
      <c r="AB122" s="38">
        <v>5295.0</v>
      </c>
      <c r="AC122" s="48">
        <f t="shared" si="19"/>
        <v>2185</v>
      </c>
      <c r="AD122" s="51">
        <f t="shared" si="20"/>
        <v>0.5873465534</v>
      </c>
    </row>
    <row r="123">
      <c r="A123" s="61" t="s">
        <v>533</v>
      </c>
      <c r="B123" s="46" t="s">
        <v>534</v>
      </c>
      <c r="C123" s="47"/>
      <c r="D123" s="38">
        <v>467.0</v>
      </c>
      <c r="E123" s="38">
        <v>867.0</v>
      </c>
      <c r="F123" s="38">
        <v>497.0</v>
      </c>
      <c r="G123" s="38">
        <v>36.0</v>
      </c>
      <c r="H123" s="38">
        <v>98.0</v>
      </c>
      <c r="I123" s="48">
        <f t="shared" si="3"/>
        <v>1831</v>
      </c>
      <c r="J123" s="48">
        <f t="shared" si="4"/>
        <v>1965</v>
      </c>
      <c r="K123" s="49">
        <f t="shared" si="5"/>
        <v>0.2550518842</v>
      </c>
      <c r="L123" s="49">
        <f t="shared" si="6"/>
        <v>0.4735117422</v>
      </c>
      <c r="M123" s="49">
        <f t="shared" si="7"/>
        <v>0.2714363736</v>
      </c>
      <c r="N123" s="32" t="str">
        <f t="shared" si="8"/>
        <v>Mal. Lott</v>
      </c>
      <c r="O123" s="50" t="s">
        <v>77</v>
      </c>
      <c r="P123" s="38">
        <v>1089.0</v>
      </c>
      <c r="Q123" s="38">
        <v>459.0</v>
      </c>
      <c r="R123" s="38">
        <v>279.0</v>
      </c>
      <c r="S123" s="108">
        <v>93.0</v>
      </c>
      <c r="T123" s="38">
        <v>45.0</v>
      </c>
      <c r="U123" s="48">
        <f t="shared" si="9"/>
        <v>1827</v>
      </c>
      <c r="V123" s="48">
        <f t="shared" si="10"/>
        <v>1965</v>
      </c>
      <c r="W123" s="49">
        <f t="shared" si="11"/>
        <v>0.5960591133</v>
      </c>
      <c r="X123" s="49">
        <f t="shared" si="12"/>
        <v>0.2512315271</v>
      </c>
      <c r="Y123" s="49">
        <f t="shared" si="13"/>
        <v>0.1527093596</v>
      </c>
      <c r="Z123" s="32" t="str">
        <f t="shared" si="14"/>
        <v>Jango</v>
      </c>
      <c r="AA123" s="50" t="s">
        <v>77</v>
      </c>
      <c r="AB123" s="38">
        <v>2823.0</v>
      </c>
      <c r="AC123" s="48">
        <f t="shared" si="19"/>
        <v>858</v>
      </c>
      <c r="AD123" s="51">
        <f t="shared" si="20"/>
        <v>0.6960680128</v>
      </c>
    </row>
    <row r="124">
      <c r="A124" s="23"/>
      <c r="B124" s="46" t="s">
        <v>535</v>
      </c>
      <c r="C124" s="47"/>
      <c r="D124" s="38">
        <v>409.0</v>
      </c>
      <c r="E124" s="38">
        <v>467.0</v>
      </c>
      <c r="F124" s="38">
        <v>77.0</v>
      </c>
      <c r="G124" s="38">
        <v>17.0</v>
      </c>
      <c r="H124" s="38">
        <v>66.0</v>
      </c>
      <c r="I124" s="48">
        <f t="shared" si="3"/>
        <v>953</v>
      </c>
      <c r="J124" s="48">
        <f t="shared" si="4"/>
        <v>1036</v>
      </c>
      <c r="K124" s="49">
        <f t="shared" si="5"/>
        <v>0.4291710388</v>
      </c>
      <c r="L124" s="49">
        <f t="shared" si="6"/>
        <v>0.4900314795</v>
      </c>
      <c r="M124" s="49">
        <f t="shared" si="7"/>
        <v>0.08079748164</v>
      </c>
      <c r="N124" s="32" t="str">
        <f t="shared" si="8"/>
        <v>Mal. Lott</v>
      </c>
      <c r="O124" s="50" t="s">
        <v>77</v>
      </c>
      <c r="P124" s="38">
        <v>498.0</v>
      </c>
      <c r="Q124" s="38">
        <v>403.0</v>
      </c>
      <c r="R124" s="38">
        <v>46.0</v>
      </c>
      <c r="S124" s="108">
        <v>54.0</v>
      </c>
      <c r="T124" s="38">
        <v>35.0</v>
      </c>
      <c r="U124" s="48">
        <f t="shared" si="9"/>
        <v>947</v>
      </c>
      <c r="V124" s="48">
        <f t="shared" si="10"/>
        <v>1036</v>
      </c>
      <c r="W124" s="49">
        <f t="shared" si="11"/>
        <v>0.5258711721</v>
      </c>
      <c r="X124" s="49">
        <f t="shared" si="12"/>
        <v>0.4255543823</v>
      </c>
      <c r="Y124" s="49">
        <f t="shared" si="13"/>
        <v>0.04857444562</v>
      </c>
      <c r="Z124" s="32" t="str">
        <f t="shared" si="14"/>
        <v>Jango</v>
      </c>
      <c r="AA124" s="50" t="s">
        <v>77</v>
      </c>
      <c r="AB124" s="38">
        <v>1656.0</v>
      </c>
      <c r="AC124" s="48">
        <f t="shared" si="19"/>
        <v>620</v>
      </c>
      <c r="AD124" s="51">
        <f t="shared" si="20"/>
        <v>0.6256038647</v>
      </c>
    </row>
    <row r="125">
      <c r="A125" s="24"/>
      <c r="B125" s="46" t="s">
        <v>536</v>
      </c>
      <c r="C125" s="47"/>
      <c r="D125" s="38">
        <v>260.0</v>
      </c>
      <c r="E125" s="38">
        <v>634.0</v>
      </c>
      <c r="F125" s="38">
        <v>64.0</v>
      </c>
      <c r="G125" s="38">
        <v>13.0</v>
      </c>
      <c r="H125" s="38">
        <v>46.0</v>
      </c>
      <c r="I125" s="48">
        <f t="shared" si="3"/>
        <v>958</v>
      </c>
      <c r="J125" s="48">
        <f t="shared" si="4"/>
        <v>1017</v>
      </c>
      <c r="K125" s="49">
        <f t="shared" si="5"/>
        <v>0.2713987474</v>
      </c>
      <c r="L125" s="49">
        <f t="shared" si="6"/>
        <v>0.6617954071</v>
      </c>
      <c r="M125" s="49">
        <f t="shared" si="7"/>
        <v>0.06680584551</v>
      </c>
      <c r="N125" s="32" t="str">
        <f t="shared" si="8"/>
        <v>Mal. Lott</v>
      </c>
      <c r="O125" s="50" t="s">
        <v>77</v>
      </c>
      <c r="P125" s="38">
        <v>666.0</v>
      </c>
      <c r="Q125" s="38">
        <v>246.0</v>
      </c>
      <c r="R125" s="38">
        <v>39.0</v>
      </c>
      <c r="S125" s="108">
        <v>31.0</v>
      </c>
      <c r="T125" s="38">
        <v>35.0</v>
      </c>
      <c r="U125" s="48">
        <f t="shared" si="9"/>
        <v>951</v>
      </c>
      <c r="V125" s="48">
        <f t="shared" si="10"/>
        <v>1017</v>
      </c>
      <c r="W125" s="49">
        <f t="shared" si="11"/>
        <v>0.7003154574</v>
      </c>
      <c r="X125" s="49">
        <f t="shared" si="12"/>
        <v>0.2586750789</v>
      </c>
      <c r="Y125" s="49">
        <f t="shared" si="13"/>
        <v>0.04100946372</v>
      </c>
      <c r="Z125" s="32" t="str">
        <f t="shared" si="14"/>
        <v>Jango</v>
      </c>
      <c r="AA125" s="50" t="s">
        <v>77</v>
      </c>
      <c r="AB125" s="38">
        <v>1309.0</v>
      </c>
      <c r="AC125" s="48">
        <f t="shared" si="19"/>
        <v>292</v>
      </c>
      <c r="AD125" s="51">
        <f t="shared" si="20"/>
        <v>0.7769289534</v>
      </c>
    </row>
    <row r="126">
      <c r="A126" s="61" t="s">
        <v>537</v>
      </c>
      <c r="B126" s="46" t="s">
        <v>538</v>
      </c>
      <c r="C126" s="47"/>
      <c r="D126" s="38">
        <v>1518.0</v>
      </c>
      <c r="E126" s="38">
        <v>1684.0</v>
      </c>
      <c r="F126" s="38">
        <v>60.0</v>
      </c>
      <c r="G126" s="38">
        <v>61.0</v>
      </c>
      <c r="H126" s="38">
        <v>73.0</v>
      </c>
      <c r="I126" s="48">
        <f t="shared" si="3"/>
        <v>3262</v>
      </c>
      <c r="J126" s="48">
        <f t="shared" si="4"/>
        <v>3396</v>
      </c>
      <c r="K126" s="49">
        <f t="shared" si="5"/>
        <v>0.4653586757</v>
      </c>
      <c r="L126" s="49">
        <f t="shared" si="6"/>
        <v>0.5162477008</v>
      </c>
      <c r="M126" s="49">
        <f t="shared" si="7"/>
        <v>0.01839362354</v>
      </c>
      <c r="N126" s="32" t="str">
        <f t="shared" si="8"/>
        <v>Mal. Lott</v>
      </c>
      <c r="O126" s="50" t="s">
        <v>77</v>
      </c>
      <c r="P126" s="38">
        <v>1670.0</v>
      </c>
      <c r="Q126" s="38">
        <v>1520.0</v>
      </c>
      <c r="R126" s="38">
        <v>41.0</v>
      </c>
      <c r="S126" s="38">
        <v>122.0</v>
      </c>
      <c r="T126" s="38">
        <v>43.0</v>
      </c>
      <c r="U126" s="48">
        <f t="shared" si="9"/>
        <v>3231</v>
      </c>
      <c r="V126" s="48">
        <f t="shared" si="10"/>
        <v>3396</v>
      </c>
      <c r="W126" s="49">
        <f t="shared" si="11"/>
        <v>0.5168678428</v>
      </c>
      <c r="X126" s="49">
        <f t="shared" si="12"/>
        <v>0.4704425874</v>
      </c>
      <c r="Y126" s="49">
        <f t="shared" si="13"/>
        <v>0.01268956979</v>
      </c>
      <c r="Z126" s="32" t="str">
        <f t="shared" si="14"/>
        <v>Jango</v>
      </c>
      <c r="AA126" s="50" t="s">
        <v>77</v>
      </c>
      <c r="AB126" s="38">
        <v>4628.0</v>
      </c>
      <c r="AC126" s="48">
        <f t="shared" si="19"/>
        <v>1232</v>
      </c>
      <c r="AD126" s="51">
        <f t="shared" si="20"/>
        <v>0.7337942956</v>
      </c>
    </row>
    <row r="127">
      <c r="A127" s="24"/>
      <c r="B127" s="46" t="s">
        <v>539</v>
      </c>
      <c r="C127" s="47"/>
      <c r="D127" s="38">
        <v>469.0</v>
      </c>
      <c r="E127" s="38">
        <v>458.0</v>
      </c>
      <c r="F127" s="38">
        <v>19.0</v>
      </c>
      <c r="G127" s="38">
        <v>14.0</v>
      </c>
      <c r="H127" s="38">
        <v>49.0</v>
      </c>
      <c r="I127" s="48">
        <f t="shared" si="3"/>
        <v>946</v>
      </c>
      <c r="J127" s="48">
        <f t="shared" si="4"/>
        <v>1009</v>
      </c>
      <c r="K127" s="49">
        <f t="shared" si="5"/>
        <v>0.4957716702</v>
      </c>
      <c r="L127" s="49">
        <f t="shared" si="6"/>
        <v>0.4841437632</v>
      </c>
      <c r="M127" s="49">
        <f t="shared" si="7"/>
        <v>0.0200845666</v>
      </c>
      <c r="N127" s="32" t="str">
        <f t="shared" si="8"/>
        <v>Jânio</v>
      </c>
      <c r="O127" s="50" t="s">
        <v>77</v>
      </c>
      <c r="P127" s="38">
        <v>466.0</v>
      </c>
      <c r="Q127" s="38">
        <v>466.0</v>
      </c>
      <c r="R127" s="38">
        <v>19.0</v>
      </c>
      <c r="S127" s="38">
        <v>39.0</v>
      </c>
      <c r="T127" s="38">
        <v>19.0</v>
      </c>
      <c r="U127" s="48">
        <f t="shared" si="9"/>
        <v>951</v>
      </c>
      <c r="V127" s="48">
        <f t="shared" si="10"/>
        <v>1009</v>
      </c>
      <c r="W127" s="49">
        <f t="shared" si="11"/>
        <v>0.4900105152</v>
      </c>
      <c r="X127" s="49">
        <f t="shared" si="12"/>
        <v>0.4900105152</v>
      </c>
      <c r="Y127" s="49">
        <f t="shared" si="13"/>
        <v>0.01997896951</v>
      </c>
      <c r="Z127" s="32" t="str">
        <f t="shared" si="14"/>
        <v>Empate</v>
      </c>
      <c r="AA127" s="50" t="s">
        <v>77</v>
      </c>
      <c r="AB127" s="38">
        <v>1304.0</v>
      </c>
      <c r="AC127" s="48">
        <f t="shared" si="19"/>
        <v>295</v>
      </c>
      <c r="AD127" s="51">
        <f t="shared" si="20"/>
        <v>0.7737730061</v>
      </c>
    </row>
    <row r="128">
      <c r="A128" s="45" t="s">
        <v>540</v>
      </c>
      <c r="B128" s="46" t="s">
        <v>541</v>
      </c>
      <c r="C128" s="47"/>
      <c r="D128" s="38">
        <v>1035.0</v>
      </c>
      <c r="E128" s="38">
        <v>1252.0</v>
      </c>
      <c r="F128" s="38">
        <v>100.0</v>
      </c>
      <c r="G128" s="38">
        <v>133.0</v>
      </c>
      <c r="H128" s="38">
        <v>202.0</v>
      </c>
      <c r="I128" s="48">
        <f t="shared" si="3"/>
        <v>2387</v>
      </c>
      <c r="J128" s="48">
        <f t="shared" si="4"/>
        <v>2722</v>
      </c>
      <c r="K128" s="49">
        <f t="shared" si="5"/>
        <v>0.4335986594</v>
      </c>
      <c r="L128" s="49">
        <f t="shared" si="6"/>
        <v>0.5245077503</v>
      </c>
      <c r="M128" s="49">
        <f t="shared" si="7"/>
        <v>0.04189359028</v>
      </c>
      <c r="N128" s="32" t="str">
        <f t="shared" si="8"/>
        <v>Mal. Lott</v>
      </c>
      <c r="O128" s="50" t="s">
        <v>77</v>
      </c>
      <c r="P128" s="38">
        <v>1324.0</v>
      </c>
      <c r="Q128" s="38">
        <v>955.0</v>
      </c>
      <c r="R128" s="38">
        <v>94.0</v>
      </c>
      <c r="S128" s="38">
        <v>201.0</v>
      </c>
      <c r="T128" s="38">
        <v>148.0</v>
      </c>
      <c r="U128" s="48">
        <f t="shared" si="9"/>
        <v>2373</v>
      </c>
      <c r="V128" s="48">
        <f t="shared" si="10"/>
        <v>2722</v>
      </c>
      <c r="W128" s="49">
        <f t="shared" si="11"/>
        <v>0.5579435314</v>
      </c>
      <c r="X128" s="49">
        <f t="shared" si="12"/>
        <v>0.4024441635</v>
      </c>
      <c r="Y128" s="49">
        <f t="shared" si="13"/>
        <v>0.0396123051</v>
      </c>
      <c r="Z128" s="32" t="str">
        <f t="shared" si="14"/>
        <v>Jango</v>
      </c>
      <c r="AA128" s="50" t="s">
        <v>77</v>
      </c>
      <c r="AB128" s="38">
        <v>4418.0</v>
      </c>
      <c r="AC128" s="48">
        <f t="shared" si="19"/>
        <v>1696</v>
      </c>
      <c r="AD128" s="51">
        <f t="shared" si="20"/>
        <v>0.6161158895</v>
      </c>
    </row>
    <row r="129">
      <c r="A129" s="45" t="s">
        <v>542</v>
      </c>
      <c r="B129" s="46" t="s">
        <v>543</v>
      </c>
      <c r="C129" s="47"/>
      <c r="D129" s="38">
        <v>1077.0</v>
      </c>
      <c r="E129" s="38">
        <v>1396.0</v>
      </c>
      <c r="F129" s="38">
        <v>118.0</v>
      </c>
      <c r="G129" s="38">
        <v>133.0</v>
      </c>
      <c r="H129" s="38">
        <v>162.0</v>
      </c>
      <c r="I129" s="48">
        <f t="shared" si="3"/>
        <v>2591</v>
      </c>
      <c r="J129" s="48">
        <f t="shared" si="4"/>
        <v>2886</v>
      </c>
      <c r="K129" s="49">
        <f t="shared" si="5"/>
        <v>0.4156696256</v>
      </c>
      <c r="L129" s="49">
        <f t="shared" si="6"/>
        <v>0.5387881127</v>
      </c>
      <c r="M129" s="49">
        <f t="shared" si="7"/>
        <v>0.04554226168</v>
      </c>
      <c r="N129" s="32" t="str">
        <f t="shared" si="8"/>
        <v>Mal. Lott</v>
      </c>
      <c r="O129" s="50" t="s">
        <v>77</v>
      </c>
      <c r="P129" s="38">
        <v>1395.0</v>
      </c>
      <c r="Q129" s="38">
        <v>1013.0</v>
      </c>
      <c r="R129" s="38">
        <v>110.0</v>
      </c>
      <c r="S129" s="38">
        <v>257.0</v>
      </c>
      <c r="T129" s="38">
        <v>111.0</v>
      </c>
      <c r="U129" s="48">
        <f t="shared" si="9"/>
        <v>2518</v>
      </c>
      <c r="V129" s="48">
        <f t="shared" si="10"/>
        <v>2886</v>
      </c>
      <c r="W129" s="49">
        <f t="shared" si="11"/>
        <v>0.5540111199</v>
      </c>
      <c r="X129" s="49">
        <f t="shared" si="12"/>
        <v>0.4023034154</v>
      </c>
      <c r="Y129" s="49">
        <f t="shared" si="13"/>
        <v>0.04368546465</v>
      </c>
      <c r="Z129" s="32" t="str">
        <f t="shared" si="14"/>
        <v>Jango</v>
      </c>
      <c r="AA129" s="50" t="s">
        <v>77</v>
      </c>
      <c r="AB129" s="38">
        <v>4415.0</v>
      </c>
      <c r="AC129" s="48">
        <f t="shared" si="19"/>
        <v>1529</v>
      </c>
      <c r="AD129" s="51">
        <f t="shared" si="20"/>
        <v>0.6536806342</v>
      </c>
    </row>
    <row r="130">
      <c r="A130" s="61" t="s">
        <v>544</v>
      </c>
      <c r="B130" s="46" t="s">
        <v>545</v>
      </c>
      <c r="C130" s="47"/>
      <c r="D130" s="38">
        <v>220.0</v>
      </c>
      <c r="E130" s="38">
        <v>695.0</v>
      </c>
      <c r="F130" s="38">
        <v>41.0</v>
      </c>
      <c r="G130" s="38">
        <v>77.0</v>
      </c>
      <c r="H130" s="38">
        <v>31.0</v>
      </c>
      <c r="I130" s="48">
        <f t="shared" si="3"/>
        <v>956</v>
      </c>
      <c r="J130" s="48">
        <f t="shared" si="4"/>
        <v>1064</v>
      </c>
      <c r="K130" s="49">
        <f t="shared" si="5"/>
        <v>0.230125523</v>
      </c>
      <c r="L130" s="49">
        <f t="shared" si="6"/>
        <v>0.7269874477</v>
      </c>
      <c r="M130" s="49">
        <f t="shared" si="7"/>
        <v>0.04288702929</v>
      </c>
      <c r="N130" s="32" t="str">
        <f t="shared" si="8"/>
        <v>Mal. Lott</v>
      </c>
      <c r="O130" s="50" t="s">
        <v>77</v>
      </c>
      <c r="P130" s="38">
        <v>732.0</v>
      </c>
      <c r="Q130" s="38">
        <v>171.0</v>
      </c>
      <c r="R130" s="38">
        <v>42.0</v>
      </c>
      <c r="S130" s="38">
        <v>92.0</v>
      </c>
      <c r="T130" s="38">
        <v>27.0</v>
      </c>
      <c r="U130" s="48">
        <f t="shared" si="9"/>
        <v>945</v>
      </c>
      <c r="V130" s="48">
        <f t="shared" si="10"/>
        <v>1064</v>
      </c>
      <c r="W130" s="49">
        <f t="shared" si="11"/>
        <v>0.7746031746</v>
      </c>
      <c r="X130" s="49">
        <f t="shared" si="12"/>
        <v>0.180952381</v>
      </c>
      <c r="Y130" s="49">
        <f t="shared" si="13"/>
        <v>0.04444444444</v>
      </c>
      <c r="Z130" s="32" t="str">
        <f t="shared" si="14"/>
        <v>Jango</v>
      </c>
      <c r="AA130" s="50" t="s">
        <v>77</v>
      </c>
      <c r="AB130" s="38">
        <v>1564.0</v>
      </c>
      <c r="AC130" s="48">
        <f t="shared" si="19"/>
        <v>500</v>
      </c>
      <c r="AD130" s="51">
        <f t="shared" si="20"/>
        <v>0.6803069054</v>
      </c>
    </row>
    <row r="131">
      <c r="A131" s="24"/>
      <c r="B131" s="46" t="s">
        <v>546</v>
      </c>
      <c r="C131" s="47"/>
      <c r="D131" s="38">
        <v>154.0</v>
      </c>
      <c r="E131" s="38">
        <v>268.0</v>
      </c>
      <c r="F131" s="38">
        <v>22.0</v>
      </c>
      <c r="G131" s="38">
        <v>25.0</v>
      </c>
      <c r="H131" s="38">
        <v>28.0</v>
      </c>
      <c r="I131" s="48">
        <f t="shared" si="3"/>
        <v>444</v>
      </c>
      <c r="J131" s="48">
        <f t="shared" si="4"/>
        <v>497</v>
      </c>
      <c r="K131" s="49">
        <f t="shared" si="5"/>
        <v>0.3468468468</v>
      </c>
      <c r="L131" s="49">
        <f t="shared" si="6"/>
        <v>0.6036036036</v>
      </c>
      <c r="M131" s="49">
        <f t="shared" si="7"/>
        <v>0.04954954955</v>
      </c>
      <c r="N131" s="32" t="str">
        <f t="shared" si="8"/>
        <v>Mal. Lott</v>
      </c>
      <c r="O131" s="50" t="s">
        <v>77</v>
      </c>
      <c r="P131" s="38">
        <v>279.0</v>
      </c>
      <c r="Q131" s="38">
        <v>141.0</v>
      </c>
      <c r="R131" s="38">
        <v>18.0</v>
      </c>
      <c r="S131" s="38">
        <v>35.0</v>
      </c>
      <c r="T131" s="38">
        <v>24.0</v>
      </c>
      <c r="U131" s="48">
        <f t="shared" si="9"/>
        <v>438</v>
      </c>
      <c r="V131" s="48">
        <f t="shared" si="10"/>
        <v>497</v>
      </c>
      <c r="W131" s="49">
        <f t="shared" si="11"/>
        <v>0.6369863014</v>
      </c>
      <c r="X131" s="49">
        <f t="shared" si="12"/>
        <v>0.3219178082</v>
      </c>
      <c r="Y131" s="49">
        <f t="shared" si="13"/>
        <v>0.04109589041</v>
      </c>
      <c r="Z131" s="32" t="str">
        <f t="shared" si="14"/>
        <v>Jango</v>
      </c>
      <c r="AA131" s="50" t="s">
        <v>77</v>
      </c>
      <c r="AB131" s="38">
        <v>761.0</v>
      </c>
      <c r="AC131" s="48">
        <f t="shared" si="19"/>
        <v>264</v>
      </c>
      <c r="AD131" s="51">
        <f t="shared" si="20"/>
        <v>0.653088042</v>
      </c>
    </row>
    <row r="132">
      <c r="A132" s="45" t="s">
        <v>547</v>
      </c>
      <c r="B132" s="46" t="s">
        <v>548</v>
      </c>
      <c r="C132" s="47"/>
      <c r="D132" s="38">
        <v>867.0</v>
      </c>
      <c r="E132" s="38">
        <v>1176.0</v>
      </c>
      <c r="F132" s="38">
        <v>151.0</v>
      </c>
      <c r="G132" s="38">
        <v>58.0</v>
      </c>
      <c r="H132" s="38">
        <v>179.0</v>
      </c>
      <c r="I132" s="48">
        <f t="shared" si="3"/>
        <v>2194</v>
      </c>
      <c r="J132" s="48">
        <f t="shared" si="4"/>
        <v>2431</v>
      </c>
      <c r="K132" s="49">
        <f t="shared" si="5"/>
        <v>0.3951686418</v>
      </c>
      <c r="L132" s="49">
        <f t="shared" si="6"/>
        <v>0.5360072926</v>
      </c>
      <c r="M132" s="49">
        <f t="shared" si="7"/>
        <v>0.06882406563</v>
      </c>
      <c r="N132" s="32" t="str">
        <f t="shared" si="8"/>
        <v>Mal. Lott</v>
      </c>
      <c r="O132" s="50" t="s">
        <v>77</v>
      </c>
      <c r="P132" s="38">
        <v>1320.0</v>
      </c>
      <c r="Q132" s="38">
        <v>762.0</v>
      </c>
      <c r="R132" s="38">
        <v>84.0</v>
      </c>
      <c r="S132" s="38">
        <v>87.0</v>
      </c>
      <c r="T132" s="38">
        <v>178.0</v>
      </c>
      <c r="U132" s="48">
        <f t="shared" si="9"/>
        <v>2166</v>
      </c>
      <c r="V132" s="48">
        <f t="shared" si="10"/>
        <v>2431</v>
      </c>
      <c r="W132" s="49">
        <f t="shared" si="11"/>
        <v>0.6094182825</v>
      </c>
      <c r="X132" s="49">
        <f t="shared" si="12"/>
        <v>0.351800554</v>
      </c>
      <c r="Y132" s="49">
        <f t="shared" si="13"/>
        <v>0.03878116343</v>
      </c>
      <c r="Z132" s="32" t="str">
        <f t="shared" si="14"/>
        <v>Jango</v>
      </c>
      <c r="AA132" s="50" t="s">
        <v>77</v>
      </c>
      <c r="AB132" s="38">
        <v>3382.0</v>
      </c>
      <c r="AC132" s="48">
        <f t="shared" si="19"/>
        <v>951</v>
      </c>
      <c r="AD132" s="51">
        <f t="shared" si="20"/>
        <v>0.7188054406</v>
      </c>
    </row>
    <row r="133">
      <c r="A133" s="61" t="s">
        <v>549</v>
      </c>
      <c r="B133" s="46" t="s">
        <v>550</v>
      </c>
      <c r="C133" s="47"/>
      <c r="D133" s="38">
        <v>1116.0</v>
      </c>
      <c r="E133" s="38">
        <v>727.0</v>
      </c>
      <c r="F133" s="38">
        <v>231.0</v>
      </c>
      <c r="G133" s="38">
        <v>40.0</v>
      </c>
      <c r="H133" s="38">
        <v>98.0</v>
      </c>
      <c r="I133" s="48">
        <f t="shared" si="3"/>
        <v>2074</v>
      </c>
      <c r="J133" s="48">
        <f t="shared" si="4"/>
        <v>2212</v>
      </c>
      <c r="K133" s="49">
        <f t="shared" si="5"/>
        <v>0.5380906461</v>
      </c>
      <c r="L133" s="49">
        <f t="shared" si="6"/>
        <v>0.3505303761</v>
      </c>
      <c r="M133" s="49">
        <f t="shared" si="7"/>
        <v>0.1113789778</v>
      </c>
      <c r="N133" s="32" t="str">
        <f t="shared" si="8"/>
        <v>Jânio</v>
      </c>
      <c r="O133" s="50" t="s">
        <v>77</v>
      </c>
      <c r="P133" s="38">
        <v>851.0</v>
      </c>
      <c r="Q133" s="38">
        <v>982.0</v>
      </c>
      <c r="R133" s="38">
        <v>217.0</v>
      </c>
      <c r="S133" s="38">
        <v>105.0</v>
      </c>
      <c r="T133" s="38">
        <v>57.0</v>
      </c>
      <c r="U133" s="48">
        <f t="shared" si="9"/>
        <v>2050</v>
      </c>
      <c r="V133" s="48">
        <f t="shared" si="10"/>
        <v>2212</v>
      </c>
      <c r="W133" s="49">
        <f t="shared" si="11"/>
        <v>0.4151219512</v>
      </c>
      <c r="X133" s="49">
        <f t="shared" si="12"/>
        <v>0.4790243902</v>
      </c>
      <c r="Y133" s="49">
        <f t="shared" si="13"/>
        <v>0.1058536585</v>
      </c>
      <c r="Z133" s="32" t="str">
        <f t="shared" si="14"/>
        <v>Milton</v>
      </c>
      <c r="AA133" s="50" t="s">
        <v>77</v>
      </c>
      <c r="AB133" s="38">
        <v>3605.0</v>
      </c>
      <c r="AC133" s="48">
        <f t="shared" si="19"/>
        <v>1393</v>
      </c>
      <c r="AD133" s="51">
        <f t="shared" si="20"/>
        <v>0.613592233</v>
      </c>
    </row>
    <row r="134">
      <c r="A134" s="23"/>
      <c r="B134" s="46" t="s">
        <v>551</v>
      </c>
      <c r="C134" s="47"/>
      <c r="D134" s="38">
        <v>433.0</v>
      </c>
      <c r="E134" s="38">
        <v>517.0</v>
      </c>
      <c r="F134" s="38">
        <v>100.0</v>
      </c>
      <c r="G134" s="38">
        <v>25.0</v>
      </c>
      <c r="H134" s="38">
        <v>68.0</v>
      </c>
      <c r="I134" s="48">
        <f t="shared" si="3"/>
        <v>1050</v>
      </c>
      <c r="J134" s="48">
        <f t="shared" si="4"/>
        <v>1143</v>
      </c>
      <c r="K134" s="49">
        <f t="shared" si="5"/>
        <v>0.4123809524</v>
      </c>
      <c r="L134" s="49">
        <f t="shared" si="6"/>
        <v>0.4923809524</v>
      </c>
      <c r="M134" s="49">
        <f t="shared" si="7"/>
        <v>0.09523809524</v>
      </c>
      <c r="N134" s="32" t="str">
        <f t="shared" si="8"/>
        <v>Mal. Lott</v>
      </c>
      <c r="O134" s="50" t="s">
        <v>77</v>
      </c>
      <c r="P134" s="38">
        <v>580.0</v>
      </c>
      <c r="Q134" s="38">
        <v>425.0</v>
      </c>
      <c r="R134" s="38">
        <v>41.0</v>
      </c>
      <c r="S134" s="38">
        <v>47.0</v>
      </c>
      <c r="T134" s="38">
        <v>50.0</v>
      </c>
      <c r="U134" s="48">
        <f t="shared" si="9"/>
        <v>1046</v>
      </c>
      <c r="V134" s="48">
        <f t="shared" si="10"/>
        <v>1143</v>
      </c>
      <c r="W134" s="49">
        <f t="shared" si="11"/>
        <v>0.5544933078</v>
      </c>
      <c r="X134" s="49">
        <f t="shared" si="12"/>
        <v>0.4063097514</v>
      </c>
      <c r="Y134" s="49">
        <f t="shared" si="13"/>
        <v>0.03919694073</v>
      </c>
      <c r="Z134" s="32" t="str">
        <f t="shared" si="14"/>
        <v>Jango</v>
      </c>
      <c r="AA134" s="50" t="s">
        <v>77</v>
      </c>
      <c r="AB134" s="38">
        <v>1967.0</v>
      </c>
      <c r="AC134" s="48">
        <f t="shared" si="19"/>
        <v>824</v>
      </c>
      <c r="AD134" s="51">
        <f t="shared" si="20"/>
        <v>0.5810879512</v>
      </c>
    </row>
    <row r="135">
      <c r="A135" s="23"/>
      <c r="B135" s="46" t="s">
        <v>552</v>
      </c>
      <c r="C135" s="47"/>
      <c r="D135" s="38">
        <v>278.0</v>
      </c>
      <c r="E135" s="38">
        <v>168.0</v>
      </c>
      <c r="F135" s="38">
        <v>34.0</v>
      </c>
      <c r="G135" s="38">
        <v>21.0</v>
      </c>
      <c r="H135" s="38">
        <v>12.0</v>
      </c>
      <c r="I135" s="48">
        <f t="shared" si="3"/>
        <v>480</v>
      </c>
      <c r="J135" s="48">
        <f t="shared" si="4"/>
        <v>513</v>
      </c>
      <c r="K135" s="49">
        <f t="shared" si="5"/>
        <v>0.5791666667</v>
      </c>
      <c r="L135" s="49">
        <f t="shared" si="6"/>
        <v>0.35</v>
      </c>
      <c r="M135" s="49">
        <f t="shared" si="7"/>
        <v>0.07083333333</v>
      </c>
      <c r="N135" s="32" t="str">
        <f t="shared" si="8"/>
        <v>Jânio</v>
      </c>
      <c r="O135" s="50" t="s">
        <v>77</v>
      </c>
      <c r="P135" s="38">
        <v>188.0</v>
      </c>
      <c r="Q135" s="38">
        <v>270.0</v>
      </c>
      <c r="R135" s="38">
        <v>14.0</v>
      </c>
      <c r="S135" s="38">
        <v>27.0</v>
      </c>
      <c r="T135" s="38">
        <v>14.0</v>
      </c>
      <c r="U135" s="48">
        <f t="shared" si="9"/>
        <v>472</v>
      </c>
      <c r="V135" s="48">
        <f t="shared" si="10"/>
        <v>513</v>
      </c>
      <c r="W135" s="49">
        <f t="shared" si="11"/>
        <v>0.3983050847</v>
      </c>
      <c r="X135" s="49">
        <f t="shared" si="12"/>
        <v>0.5720338983</v>
      </c>
      <c r="Y135" s="49">
        <f t="shared" si="13"/>
        <v>0.02966101695</v>
      </c>
      <c r="Z135" s="32" t="str">
        <f t="shared" si="14"/>
        <v>Milton</v>
      </c>
      <c r="AA135" s="50" t="s">
        <v>77</v>
      </c>
      <c r="AB135" s="38">
        <v>892.0</v>
      </c>
      <c r="AC135" s="48">
        <f t="shared" si="19"/>
        <v>379</v>
      </c>
      <c r="AD135" s="51">
        <f t="shared" si="20"/>
        <v>0.5751121076</v>
      </c>
    </row>
    <row r="136">
      <c r="A136" s="24"/>
      <c r="B136" s="46" t="s">
        <v>553</v>
      </c>
      <c r="C136" s="47"/>
      <c r="D136" s="38">
        <v>296.0</v>
      </c>
      <c r="E136" s="38">
        <v>378.0</v>
      </c>
      <c r="F136" s="38">
        <v>86.0</v>
      </c>
      <c r="G136" s="38">
        <v>77.0</v>
      </c>
      <c r="H136" s="38">
        <v>54.0</v>
      </c>
      <c r="I136" s="48">
        <f t="shared" si="3"/>
        <v>760</v>
      </c>
      <c r="J136" s="48">
        <f t="shared" si="4"/>
        <v>891</v>
      </c>
      <c r="K136" s="49">
        <f t="shared" si="5"/>
        <v>0.3894736842</v>
      </c>
      <c r="L136" s="49">
        <f t="shared" si="6"/>
        <v>0.4973684211</v>
      </c>
      <c r="M136" s="49">
        <f t="shared" si="7"/>
        <v>0.1131578947</v>
      </c>
      <c r="N136" s="32" t="str">
        <f t="shared" si="8"/>
        <v>Mal. Lott</v>
      </c>
      <c r="O136" s="50" t="s">
        <v>77</v>
      </c>
      <c r="P136" s="38">
        <v>449.0</v>
      </c>
      <c r="Q136" s="38">
        <v>207.0</v>
      </c>
      <c r="R136" s="38">
        <v>83.0</v>
      </c>
      <c r="S136" s="38">
        <v>125.0</v>
      </c>
      <c r="T136" s="38">
        <v>27.0</v>
      </c>
      <c r="U136" s="48">
        <f t="shared" si="9"/>
        <v>739</v>
      </c>
      <c r="V136" s="48">
        <f t="shared" si="10"/>
        <v>891</v>
      </c>
      <c r="W136" s="49">
        <f t="shared" si="11"/>
        <v>0.6075778078</v>
      </c>
      <c r="X136" s="49">
        <f t="shared" si="12"/>
        <v>0.2801082544</v>
      </c>
      <c r="Y136" s="49">
        <f t="shared" si="13"/>
        <v>0.1123139378</v>
      </c>
      <c r="Z136" s="32" t="str">
        <f t="shared" si="14"/>
        <v>Jango</v>
      </c>
      <c r="AA136" s="50" t="s">
        <v>77</v>
      </c>
      <c r="AB136" s="38">
        <v>1083.0</v>
      </c>
      <c r="AC136" s="48">
        <f t="shared" si="19"/>
        <v>192</v>
      </c>
      <c r="AD136" s="51">
        <f t="shared" si="20"/>
        <v>0.8227146814</v>
      </c>
    </row>
    <row r="137">
      <c r="A137" s="61" t="s">
        <v>554</v>
      </c>
      <c r="B137" s="46" t="s">
        <v>555</v>
      </c>
      <c r="C137" s="47"/>
      <c r="D137" s="38">
        <v>510.0</v>
      </c>
      <c r="E137" s="38">
        <v>936.0</v>
      </c>
      <c r="F137" s="38">
        <v>123.0</v>
      </c>
      <c r="G137" s="38">
        <v>58.0</v>
      </c>
      <c r="H137" s="38">
        <v>107.0</v>
      </c>
      <c r="I137" s="48">
        <f t="shared" si="3"/>
        <v>1569</v>
      </c>
      <c r="J137" s="48">
        <f t="shared" si="4"/>
        <v>1734</v>
      </c>
      <c r="K137" s="49">
        <f t="shared" si="5"/>
        <v>0.3250478011</v>
      </c>
      <c r="L137" s="49">
        <f t="shared" si="6"/>
        <v>0.5965583174</v>
      </c>
      <c r="M137" s="49">
        <f t="shared" si="7"/>
        <v>0.07839388145</v>
      </c>
      <c r="N137" s="32" t="str">
        <f t="shared" si="8"/>
        <v>Mal. Lott</v>
      </c>
      <c r="O137" s="50" t="s">
        <v>77</v>
      </c>
      <c r="P137" s="38">
        <v>993.0</v>
      </c>
      <c r="Q137" s="38">
        <v>480.0</v>
      </c>
      <c r="R137" s="38">
        <v>90.0</v>
      </c>
      <c r="S137" s="38">
        <v>94.0</v>
      </c>
      <c r="T137" s="38">
        <v>77.0</v>
      </c>
      <c r="U137" s="48">
        <f t="shared" si="9"/>
        <v>1563</v>
      </c>
      <c r="V137" s="48">
        <f t="shared" si="10"/>
        <v>1734</v>
      </c>
      <c r="W137" s="49">
        <f t="shared" si="11"/>
        <v>0.6353166987</v>
      </c>
      <c r="X137" s="49">
        <f t="shared" si="12"/>
        <v>0.3071017274</v>
      </c>
      <c r="Y137" s="49">
        <f t="shared" si="13"/>
        <v>0.0575815739</v>
      </c>
      <c r="Z137" s="32" t="str">
        <f t="shared" si="14"/>
        <v>Jango</v>
      </c>
      <c r="AA137" s="50" t="s">
        <v>77</v>
      </c>
      <c r="AB137" s="38">
        <v>3425.0</v>
      </c>
      <c r="AC137" s="48">
        <f t="shared" si="19"/>
        <v>1691</v>
      </c>
      <c r="AD137" s="51">
        <f t="shared" si="20"/>
        <v>0.5062773723</v>
      </c>
    </row>
    <row r="138">
      <c r="A138" s="24"/>
      <c r="B138" s="46" t="s">
        <v>556</v>
      </c>
      <c r="C138" s="47"/>
      <c r="D138" s="38">
        <v>189.0</v>
      </c>
      <c r="E138" s="38">
        <v>223.0</v>
      </c>
      <c r="F138" s="38">
        <v>19.0</v>
      </c>
      <c r="G138" s="38">
        <v>17.0</v>
      </c>
      <c r="H138" s="38">
        <v>25.0</v>
      </c>
      <c r="I138" s="48">
        <f t="shared" si="3"/>
        <v>431</v>
      </c>
      <c r="J138" s="48">
        <f t="shared" si="4"/>
        <v>473</v>
      </c>
      <c r="K138" s="49">
        <f t="shared" si="5"/>
        <v>0.4385150812</v>
      </c>
      <c r="L138" s="49">
        <f t="shared" si="6"/>
        <v>0.5174013921</v>
      </c>
      <c r="M138" s="49">
        <f t="shared" si="7"/>
        <v>0.04408352668</v>
      </c>
      <c r="N138" s="32" t="str">
        <f t="shared" si="8"/>
        <v>Mal. Lott</v>
      </c>
      <c r="O138" s="50" t="s">
        <v>77</v>
      </c>
      <c r="P138" s="38">
        <v>240.0</v>
      </c>
      <c r="Q138" s="38">
        <v>181.0</v>
      </c>
      <c r="R138" s="38">
        <v>11.0</v>
      </c>
      <c r="S138" s="38">
        <v>18.0</v>
      </c>
      <c r="T138" s="38">
        <v>23.0</v>
      </c>
      <c r="U138" s="48">
        <f t="shared" si="9"/>
        <v>432</v>
      </c>
      <c r="V138" s="48">
        <f t="shared" si="10"/>
        <v>473</v>
      </c>
      <c r="W138" s="49">
        <f t="shared" si="11"/>
        <v>0.5555555556</v>
      </c>
      <c r="X138" s="49">
        <f t="shared" si="12"/>
        <v>0.4189814815</v>
      </c>
      <c r="Y138" s="49">
        <f t="shared" si="13"/>
        <v>0.02546296296</v>
      </c>
      <c r="Z138" s="32" t="str">
        <f t="shared" si="14"/>
        <v>Jango</v>
      </c>
      <c r="AA138" s="50" t="s">
        <v>77</v>
      </c>
      <c r="AB138" s="38">
        <v>783.0</v>
      </c>
      <c r="AC138" s="48">
        <f t="shared" si="19"/>
        <v>310</v>
      </c>
      <c r="AD138" s="51">
        <f t="shared" si="20"/>
        <v>0.6040868455</v>
      </c>
    </row>
    <row r="139">
      <c r="A139" s="61" t="s">
        <v>557</v>
      </c>
      <c r="B139" s="46" t="s">
        <v>558</v>
      </c>
      <c r="C139" s="47"/>
      <c r="D139" s="38">
        <v>857.0</v>
      </c>
      <c r="E139" s="38">
        <v>922.0</v>
      </c>
      <c r="F139" s="38">
        <v>79.0</v>
      </c>
      <c r="G139" s="38">
        <v>72.0</v>
      </c>
      <c r="H139" s="38">
        <v>88.0</v>
      </c>
      <c r="I139" s="48">
        <f t="shared" si="3"/>
        <v>1858</v>
      </c>
      <c r="J139" s="48">
        <f t="shared" si="4"/>
        <v>2018</v>
      </c>
      <c r="K139" s="49">
        <f t="shared" si="5"/>
        <v>0.4612486545</v>
      </c>
      <c r="L139" s="49">
        <f t="shared" si="6"/>
        <v>0.4962325081</v>
      </c>
      <c r="M139" s="49">
        <f t="shared" si="7"/>
        <v>0.04251883746</v>
      </c>
      <c r="N139" s="32" t="str">
        <f t="shared" si="8"/>
        <v>Mal. Lott</v>
      </c>
      <c r="O139" s="50" t="s">
        <v>77</v>
      </c>
      <c r="P139" s="38">
        <v>939.0</v>
      </c>
      <c r="Q139" s="38">
        <v>520.0</v>
      </c>
      <c r="R139" s="38">
        <v>364.0</v>
      </c>
      <c r="S139" s="38">
        <v>129.0</v>
      </c>
      <c r="T139" s="38">
        <v>66.0</v>
      </c>
      <c r="U139" s="48">
        <f t="shared" si="9"/>
        <v>1823</v>
      </c>
      <c r="V139" s="48">
        <f t="shared" si="10"/>
        <v>2018</v>
      </c>
      <c r="W139" s="49">
        <f t="shared" si="11"/>
        <v>0.5150850247</v>
      </c>
      <c r="X139" s="49">
        <f t="shared" si="12"/>
        <v>0.2852441031</v>
      </c>
      <c r="Y139" s="49">
        <f t="shared" si="13"/>
        <v>0.1996708722</v>
      </c>
      <c r="Z139" s="32" t="str">
        <f t="shared" si="14"/>
        <v>Jango</v>
      </c>
      <c r="AA139" s="50" t="s">
        <v>77</v>
      </c>
      <c r="AB139" s="38">
        <v>3720.0</v>
      </c>
      <c r="AC139" s="48">
        <f t="shared" si="19"/>
        <v>1702</v>
      </c>
      <c r="AD139" s="51">
        <f t="shared" si="20"/>
        <v>0.5424731183</v>
      </c>
    </row>
    <row r="140">
      <c r="A140" s="24"/>
      <c r="B140" s="46" t="s">
        <v>559</v>
      </c>
      <c r="C140" s="47"/>
      <c r="D140" s="38">
        <v>500.0</v>
      </c>
      <c r="E140" s="38">
        <v>455.0</v>
      </c>
      <c r="F140" s="38">
        <v>81.0</v>
      </c>
      <c r="G140" s="38">
        <v>39.0</v>
      </c>
      <c r="H140" s="38">
        <v>66.0</v>
      </c>
      <c r="I140" s="48">
        <f t="shared" si="3"/>
        <v>1036</v>
      </c>
      <c r="J140" s="48">
        <f t="shared" si="4"/>
        <v>1141</v>
      </c>
      <c r="K140" s="49">
        <f t="shared" si="5"/>
        <v>0.4826254826</v>
      </c>
      <c r="L140" s="49">
        <f t="shared" si="6"/>
        <v>0.4391891892</v>
      </c>
      <c r="M140" s="49">
        <f t="shared" si="7"/>
        <v>0.07818532819</v>
      </c>
      <c r="N140" s="32" t="str">
        <f t="shared" si="8"/>
        <v>Jânio</v>
      </c>
      <c r="O140" s="50" t="s">
        <v>77</v>
      </c>
      <c r="P140" s="38">
        <v>479.0</v>
      </c>
      <c r="Q140" s="38">
        <v>476.0</v>
      </c>
      <c r="R140" s="38">
        <v>57.0</v>
      </c>
      <c r="S140" s="38">
        <v>90.0</v>
      </c>
      <c r="T140" s="38">
        <v>39.0</v>
      </c>
      <c r="U140" s="48">
        <f t="shared" si="9"/>
        <v>1012</v>
      </c>
      <c r="V140" s="48">
        <f t="shared" si="10"/>
        <v>1141</v>
      </c>
      <c r="W140" s="49">
        <f t="shared" si="11"/>
        <v>0.4733201581</v>
      </c>
      <c r="X140" s="49">
        <f t="shared" si="12"/>
        <v>0.4703557312</v>
      </c>
      <c r="Y140" s="49">
        <f t="shared" si="13"/>
        <v>0.05632411067</v>
      </c>
      <c r="Z140" s="32" t="str">
        <f t="shared" si="14"/>
        <v>Jango</v>
      </c>
      <c r="AA140" s="50" t="s">
        <v>77</v>
      </c>
      <c r="AB140" s="38">
        <v>2248.0</v>
      </c>
      <c r="AC140" s="48">
        <f t="shared" si="19"/>
        <v>1107</v>
      </c>
      <c r="AD140" s="51">
        <f t="shared" si="20"/>
        <v>0.5075622776</v>
      </c>
    </row>
    <row r="141">
      <c r="A141" s="61" t="s">
        <v>560</v>
      </c>
      <c r="B141" s="46" t="s">
        <v>561</v>
      </c>
      <c r="C141" s="47"/>
      <c r="D141" s="38">
        <v>610.0</v>
      </c>
      <c r="E141" s="38">
        <v>1004.0</v>
      </c>
      <c r="F141" s="38">
        <v>114.0</v>
      </c>
      <c r="G141" s="38">
        <v>48.0</v>
      </c>
      <c r="H141" s="38">
        <v>90.0</v>
      </c>
      <c r="I141" s="48">
        <f t="shared" si="3"/>
        <v>1728</v>
      </c>
      <c r="J141" s="48">
        <f t="shared" si="4"/>
        <v>1866</v>
      </c>
      <c r="K141" s="49">
        <f t="shared" si="5"/>
        <v>0.3530092593</v>
      </c>
      <c r="L141" s="49">
        <f t="shared" si="6"/>
        <v>0.5810185185</v>
      </c>
      <c r="M141" s="49">
        <f t="shared" si="7"/>
        <v>0.06597222222</v>
      </c>
      <c r="N141" s="32" t="str">
        <f t="shared" si="8"/>
        <v>Mal. Lott</v>
      </c>
      <c r="O141" s="50" t="s">
        <v>77</v>
      </c>
      <c r="P141" s="38">
        <v>1049.0</v>
      </c>
      <c r="Q141" s="38">
        <v>551.0</v>
      </c>
      <c r="R141" s="38">
        <v>92.0</v>
      </c>
      <c r="S141" s="38">
        <v>119.0</v>
      </c>
      <c r="T141" s="38">
        <v>55.0</v>
      </c>
      <c r="U141" s="48">
        <f t="shared" si="9"/>
        <v>1692</v>
      </c>
      <c r="V141" s="48">
        <f t="shared" si="10"/>
        <v>1866</v>
      </c>
      <c r="W141" s="49">
        <f t="shared" si="11"/>
        <v>0.6199763593</v>
      </c>
      <c r="X141" s="49">
        <f t="shared" si="12"/>
        <v>0.3256501182</v>
      </c>
      <c r="Y141" s="49">
        <f t="shared" si="13"/>
        <v>0.05437352246</v>
      </c>
      <c r="Z141" s="32" t="str">
        <f t="shared" si="14"/>
        <v>Jango</v>
      </c>
      <c r="AA141" s="50" t="s">
        <v>77</v>
      </c>
      <c r="AB141" s="38">
        <v>2420.0</v>
      </c>
      <c r="AC141" s="48">
        <f t="shared" si="19"/>
        <v>554</v>
      </c>
      <c r="AD141" s="51">
        <f t="shared" si="20"/>
        <v>0.7710743802</v>
      </c>
    </row>
    <row r="142">
      <c r="A142" s="24"/>
      <c r="B142" s="46" t="s">
        <v>562</v>
      </c>
      <c r="C142" s="47"/>
      <c r="D142" s="38">
        <v>480.0</v>
      </c>
      <c r="E142" s="38">
        <v>1050.0</v>
      </c>
      <c r="F142" s="38">
        <v>84.0</v>
      </c>
      <c r="G142" s="38">
        <v>72.0</v>
      </c>
      <c r="H142" s="38">
        <v>87.0</v>
      </c>
      <c r="I142" s="48">
        <f t="shared" si="3"/>
        <v>1614</v>
      </c>
      <c r="J142" s="48">
        <f t="shared" si="4"/>
        <v>1773</v>
      </c>
      <c r="K142" s="49">
        <f t="shared" si="5"/>
        <v>0.2973977695</v>
      </c>
      <c r="L142" s="49">
        <f t="shared" si="6"/>
        <v>0.6505576208</v>
      </c>
      <c r="M142" s="49">
        <f t="shared" si="7"/>
        <v>0.05204460967</v>
      </c>
      <c r="N142" s="32" t="str">
        <f t="shared" si="8"/>
        <v>Mal. Lott</v>
      </c>
      <c r="O142" s="50" t="s">
        <v>77</v>
      </c>
      <c r="P142" s="38">
        <v>1058.0</v>
      </c>
      <c r="Q142" s="38">
        <v>472.0</v>
      </c>
      <c r="R142" s="38">
        <v>57.0</v>
      </c>
      <c r="S142" s="38">
        <v>104.0</v>
      </c>
      <c r="T142" s="38">
        <v>82.0</v>
      </c>
      <c r="U142" s="48">
        <f t="shared" si="9"/>
        <v>1587</v>
      </c>
      <c r="V142" s="48">
        <f t="shared" si="10"/>
        <v>1773</v>
      </c>
      <c r="W142" s="49">
        <f t="shared" si="11"/>
        <v>0.6666666667</v>
      </c>
      <c r="X142" s="49">
        <f t="shared" si="12"/>
        <v>0.2974165091</v>
      </c>
      <c r="Y142" s="49">
        <f t="shared" si="13"/>
        <v>0.0359168242</v>
      </c>
      <c r="Z142" s="32" t="str">
        <f t="shared" si="14"/>
        <v>Jango</v>
      </c>
      <c r="AA142" s="50" t="s">
        <v>77</v>
      </c>
      <c r="AB142" s="38">
        <v>2605.0</v>
      </c>
      <c r="AC142" s="48">
        <f t="shared" si="19"/>
        <v>832</v>
      </c>
      <c r="AD142" s="51">
        <f t="shared" si="20"/>
        <v>0.6806142035</v>
      </c>
    </row>
    <row r="143">
      <c r="A143" s="45" t="s">
        <v>563</v>
      </c>
      <c r="B143" s="46" t="s">
        <v>564</v>
      </c>
      <c r="C143" s="47"/>
      <c r="D143" s="38">
        <v>1476.0</v>
      </c>
      <c r="E143" s="38">
        <v>1219.0</v>
      </c>
      <c r="F143" s="38">
        <v>201.0</v>
      </c>
      <c r="G143" s="38">
        <v>189.0</v>
      </c>
      <c r="H143" s="38">
        <v>300.0</v>
      </c>
      <c r="I143" s="48">
        <f t="shared" si="3"/>
        <v>2896</v>
      </c>
      <c r="J143" s="48">
        <f t="shared" si="4"/>
        <v>3385</v>
      </c>
      <c r="K143" s="49">
        <f t="shared" si="5"/>
        <v>0.5096685083</v>
      </c>
      <c r="L143" s="49">
        <f t="shared" si="6"/>
        <v>0.4209254144</v>
      </c>
      <c r="M143" s="49">
        <f t="shared" si="7"/>
        <v>0.06940607735</v>
      </c>
      <c r="N143" s="32" t="str">
        <f t="shared" si="8"/>
        <v>Jânio</v>
      </c>
      <c r="O143" s="50" t="s">
        <v>77</v>
      </c>
      <c r="P143" s="38">
        <v>1304.0</v>
      </c>
      <c r="Q143" s="38">
        <v>1431.0</v>
      </c>
      <c r="R143" s="38">
        <v>117.0</v>
      </c>
      <c r="S143" s="38">
        <v>334.0</v>
      </c>
      <c r="T143" s="38">
        <v>199.0</v>
      </c>
      <c r="U143" s="48">
        <f t="shared" si="9"/>
        <v>2852</v>
      </c>
      <c r="V143" s="48">
        <f t="shared" si="10"/>
        <v>3385</v>
      </c>
      <c r="W143" s="49">
        <f t="shared" si="11"/>
        <v>0.4572230014</v>
      </c>
      <c r="X143" s="49">
        <f t="shared" si="12"/>
        <v>0.5017531557</v>
      </c>
      <c r="Y143" s="49">
        <f t="shared" si="13"/>
        <v>0.04102384292</v>
      </c>
      <c r="Z143" s="32" t="str">
        <f t="shared" si="14"/>
        <v>Milton</v>
      </c>
      <c r="AA143" s="50" t="s">
        <v>77</v>
      </c>
      <c r="AB143" s="38">
        <v>4474.0</v>
      </c>
      <c r="AC143" s="48">
        <f t="shared" si="19"/>
        <v>1089</v>
      </c>
      <c r="AD143" s="51">
        <f t="shared" si="20"/>
        <v>0.7565936522</v>
      </c>
    </row>
    <row r="144">
      <c r="A144" s="61" t="s">
        <v>565</v>
      </c>
      <c r="B144" s="46" t="s">
        <v>566</v>
      </c>
      <c r="C144" s="47"/>
      <c r="D144" s="38">
        <v>1722.0</v>
      </c>
      <c r="E144" s="38">
        <v>1519.0</v>
      </c>
      <c r="F144" s="38">
        <v>98.0</v>
      </c>
      <c r="G144" s="38">
        <v>98.0</v>
      </c>
      <c r="H144" s="38">
        <v>182.0</v>
      </c>
      <c r="I144" s="48">
        <f t="shared" si="3"/>
        <v>3339</v>
      </c>
      <c r="J144" s="48">
        <f t="shared" si="4"/>
        <v>3619</v>
      </c>
      <c r="K144" s="49">
        <f t="shared" si="5"/>
        <v>0.5157232704</v>
      </c>
      <c r="L144" s="49">
        <f t="shared" si="6"/>
        <v>0.4549266247</v>
      </c>
      <c r="M144" s="49">
        <f t="shared" si="7"/>
        <v>0.02935010482</v>
      </c>
      <c r="N144" s="32" t="str">
        <f t="shared" si="8"/>
        <v>Jânio</v>
      </c>
      <c r="O144" s="50" t="s">
        <v>77</v>
      </c>
      <c r="P144" s="38">
        <v>1426.0</v>
      </c>
      <c r="Q144" s="38">
        <v>1466.0</v>
      </c>
      <c r="R144" s="38">
        <v>407.0</v>
      </c>
      <c r="S144" s="38">
        <v>159.0</v>
      </c>
      <c r="T144" s="38">
        <v>161.0</v>
      </c>
      <c r="U144" s="48">
        <f t="shared" si="9"/>
        <v>3299</v>
      </c>
      <c r="V144" s="48">
        <f t="shared" si="10"/>
        <v>3619</v>
      </c>
      <c r="W144" s="49">
        <f t="shared" si="11"/>
        <v>0.4322521976</v>
      </c>
      <c r="X144" s="49">
        <f t="shared" si="12"/>
        <v>0.444377084</v>
      </c>
      <c r="Y144" s="49">
        <f t="shared" si="13"/>
        <v>0.1233707184</v>
      </c>
      <c r="Z144" s="32" t="str">
        <f t="shared" si="14"/>
        <v>Milton</v>
      </c>
      <c r="AA144" s="50" t="s">
        <v>77</v>
      </c>
      <c r="AB144" s="38">
        <v>6402.0</v>
      </c>
      <c r="AC144" s="48">
        <f t="shared" si="19"/>
        <v>2783</v>
      </c>
      <c r="AD144" s="51">
        <f t="shared" si="20"/>
        <v>0.5652920962</v>
      </c>
    </row>
    <row r="145">
      <c r="A145" s="24"/>
      <c r="B145" s="46" t="s">
        <v>567</v>
      </c>
      <c r="C145" s="47"/>
      <c r="D145" s="38">
        <v>694.0</v>
      </c>
      <c r="E145" s="38">
        <v>182.0</v>
      </c>
      <c r="F145" s="38">
        <v>36.0</v>
      </c>
      <c r="G145" s="38">
        <v>13.0</v>
      </c>
      <c r="H145" s="38">
        <v>29.0</v>
      </c>
      <c r="I145" s="48">
        <f t="shared" si="3"/>
        <v>912</v>
      </c>
      <c r="J145" s="48">
        <f t="shared" si="4"/>
        <v>954</v>
      </c>
      <c r="K145" s="49">
        <f t="shared" si="5"/>
        <v>0.7609649123</v>
      </c>
      <c r="L145" s="49">
        <f t="shared" si="6"/>
        <v>0.1995614035</v>
      </c>
      <c r="M145" s="49">
        <f t="shared" si="7"/>
        <v>0.03947368421</v>
      </c>
      <c r="N145" s="32" t="str">
        <f t="shared" si="8"/>
        <v>Jânio</v>
      </c>
      <c r="O145" s="50" t="s">
        <v>77</v>
      </c>
      <c r="P145" s="38">
        <v>331.0</v>
      </c>
      <c r="Q145" s="38">
        <v>546.0</v>
      </c>
      <c r="R145" s="38">
        <v>21.0</v>
      </c>
      <c r="S145" s="38">
        <v>29.0</v>
      </c>
      <c r="T145" s="38">
        <v>27.0</v>
      </c>
      <c r="U145" s="48">
        <f t="shared" si="9"/>
        <v>898</v>
      </c>
      <c r="V145" s="48">
        <f t="shared" si="10"/>
        <v>954</v>
      </c>
      <c r="W145" s="49">
        <f t="shared" si="11"/>
        <v>0.368596882</v>
      </c>
      <c r="X145" s="49">
        <f t="shared" si="12"/>
        <v>0.6080178174</v>
      </c>
      <c r="Y145" s="49">
        <f t="shared" si="13"/>
        <v>0.02338530067</v>
      </c>
      <c r="Z145" s="32" t="str">
        <f t="shared" si="14"/>
        <v>Milton</v>
      </c>
      <c r="AA145" s="50" t="s">
        <v>77</v>
      </c>
      <c r="AB145" s="38">
        <v>1382.0</v>
      </c>
      <c r="AC145" s="48">
        <f t="shared" si="19"/>
        <v>428</v>
      </c>
      <c r="AD145" s="51">
        <f t="shared" si="20"/>
        <v>0.6903039074</v>
      </c>
    </row>
    <row r="146">
      <c r="A146" s="45" t="s">
        <v>568</v>
      </c>
      <c r="B146" s="46" t="s">
        <v>569</v>
      </c>
      <c r="C146" s="47"/>
      <c r="D146" s="38">
        <v>843.0</v>
      </c>
      <c r="E146" s="38">
        <v>1095.0</v>
      </c>
      <c r="F146" s="38">
        <v>112.0</v>
      </c>
      <c r="G146" s="38">
        <v>57.0</v>
      </c>
      <c r="H146" s="38">
        <v>141.0</v>
      </c>
      <c r="I146" s="48">
        <f t="shared" si="3"/>
        <v>2050</v>
      </c>
      <c r="J146" s="48">
        <f t="shared" si="4"/>
        <v>2248</v>
      </c>
      <c r="K146" s="49">
        <f t="shared" si="5"/>
        <v>0.4112195122</v>
      </c>
      <c r="L146" s="49">
        <f t="shared" si="6"/>
        <v>0.5341463415</v>
      </c>
      <c r="M146" s="49">
        <f t="shared" si="7"/>
        <v>0.05463414634</v>
      </c>
      <c r="N146" s="32" t="str">
        <f t="shared" si="8"/>
        <v>Mal. Lott</v>
      </c>
      <c r="O146" s="50" t="s">
        <v>77</v>
      </c>
      <c r="P146" s="38">
        <v>1141.0</v>
      </c>
      <c r="Q146" s="38">
        <v>816.0</v>
      </c>
      <c r="R146" s="38">
        <v>73.0</v>
      </c>
      <c r="S146" s="38">
        <v>136.0</v>
      </c>
      <c r="T146" s="38">
        <v>82.0</v>
      </c>
      <c r="U146" s="48">
        <f t="shared" si="9"/>
        <v>2030</v>
      </c>
      <c r="V146" s="48">
        <f t="shared" si="10"/>
        <v>2248</v>
      </c>
      <c r="W146" s="49">
        <f t="shared" si="11"/>
        <v>0.5620689655</v>
      </c>
      <c r="X146" s="49">
        <f t="shared" si="12"/>
        <v>0.4019704433</v>
      </c>
      <c r="Y146" s="49">
        <f t="shared" si="13"/>
        <v>0.03596059113</v>
      </c>
      <c r="Z146" s="32" t="str">
        <f t="shared" si="14"/>
        <v>Jango</v>
      </c>
      <c r="AA146" s="50" t="s">
        <v>77</v>
      </c>
      <c r="AB146" s="38">
        <v>3277.0</v>
      </c>
      <c r="AC146" s="48">
        <f t="shared" si="19"/>
        <v>1029</v>
      </c>
      <c r="AD146" s="51">
        <f t="shared" si="20"/>
        <v>0.6859932865</v>
      </c>
    </row>
    <row r="147">
      <c r="A147" s="61" t="s">
        <v>570</v>
      </c>
      <c r="B147" s="46" t="s">
        <v>571</v>
      </c>
      <c r="C147" s="47"/>
      <c r="D147" s="38">
        <v>469.0</v>
      </c>
      <c r="E147" s="38">
        <v>610.0</v>
      </c>
      <c r="F147" s="38">
        <v>38.0</v>
      </c>
      <c r="G147" s="38">
        <v>56.0</v>
      </c>
      <c r="H147" s="38">
        <v>62.0</v>
      </c>
      <c r="I147" s="48">
        <f t="shared" si="3"/>
        <v>1117</v>
      </c>
      <c r="J147" s="48">
        <f t="shared" si="4"/>
        <v>1235</v>
      </c>
      <c r="K147" s="49">
        <f t="shared" si="5"/>
        <v>0.4198746643</v>
      </c>
      <c r="L147" s="49">
        <f t="shared" si="6"/>
        <v>0.5461056401</v>
      </c>
      <c r="M147" s="49">
        <f t="shared" si="7"/>
        <v>0.03401969561</v>
      </c>
      <c r="N147" s="32" t="str">
        <f t="shared" si="8"/>
        <v>Mal. Lott</v>
      </c>
      <c r="O147" s="50" t="s">
        <v>77</v>
      </c>
      <c r="P147" s="38">
        <v>614.0</v>
      </c>
      <c r="Q147" s="38">
        <v>421.0</v>
      </c>
      <c r="R147" s="38">
        <v>57.0</v>
      </c>
      <c r="S147" s="48">
        <v>110.0</v>
      </c>
      <c r="T147" s="38">
        <v>33.0</v>
      </c>
      <c r="U147" s="48">
        <f t="shared" si="9"/>
        <v>1092</v>
      </c>
      <c r="V147" s="48">
        <f t="shared" si="10"/>
        <v>1235</v>
      </c>
      <c r="W147" s="49">
        <f t="shared" si="11"/>
        <v>0.5622710623</v>
      </c>
      <c r="X147" s="49">
        <f t="shared" si="12"/>
        <v>0.3855311355</v>
      </c>
      <c r="Y147" s="49">
        <f t="shared" si="13"/>
        <v>0.0521978022</v>
      </c>
      <c r="Z147" s="32" t="str">
        <f t="shared" si="14"/>
        <v>Jango</v>
      </c>
      <c r="AA147" s="50" t="s">
        <v>77</v>
      </c>
      <c r="AB147" s="38">
        <v>1850.0</v>
      </c>
      <c r="AC147" s="48">
        <f t="shared" si="19"/>
        <v>615</v>
      </c>
      <c r="AD147" s="51">
        <f t="shared" si="20"/>
        <v>0.6675675676</v>
      </c>
    </row>
    <row r="148">
      <c r="A148" s="23"/>
      <c r="B148" s="46" t="s">
        <v>572</v>
      </c>
      <c r="C148" s="47"/>
      <c r="D148" s="38">
        <v>509.0</v>
      </c>
      <c r="E148" s="38">
        <v>339.0</v>
      </c>
      <c r="F148" s="38">
        <v>30.0</v>
      </c>
      <c r="G148" s="38">
        <v>28.0</v>
      </c>
      <c r="H148" s="38">
        <v>51.0</v>
      </c>
      <c r="I148" s="48">
        <f t="shared" si="3"/>
        <v>878</v>
      </c>
      <c r="J148" s="48">
        <f t="shared" si="4"/>
        <v>957</v>
      </c>
      <c r="K148" s="49">
        <f t="shared" si="5"/>
        <v>0.5797266515</v>
      </c>
      <c r="L148" s="49">
        <f t="shared" si="6"/>
        <v>0.3861047836</v>
      </c>
      <c r="M148" s="49">
        <f t="shared" si="7"/>
        <v>0.03416856492</v>
      </c>
      <c r="N148" s="32" t="str">
        <f t="shared" si="8"/>
        <v>Jânio</v>
      </c>
      <c r="O148" s="50" t="s">
        <v>77</v>
      </c>
      <c r="P148" s="38">
        <v>355.0</v>
      </c>
      <c r="Q148" s="38">
        <v>368.0</v>
      </c>
      <c r="R148" s="38">
        <v>136.0</v>
      </c>
      <c r="S148" s="108">
        <v>65.0</v>
      </c>
      <c r="T148" s="38">
        <v>33.0</v>
      </c>
      <c r="U148" s="48">
        <f t="shared" si="9"/>
        <v>859</v>
      </c>
      <c r="V148" s="48">
        <f t="shared" si="10"/>
        <v>957</v>
      </c>
      <c r="W148" s="49">
        <f t="shared" si="11"/>
        <v>0.4132712456</v>
      </c>
      <c r="X148" s="49">
        <f t="shared" si="12"/>
        <v>0.4284051222</v>
      </c>
      <c r="Y148" s="49">
        <f t="shared" si="13"/>
        <v>0.1583236321</v>
      </c>
      <c r="Z148" s="32" t="str">
        <f t="shared" si="14"/>
        <v>Milton</v>
      </c>
      <c r="AA148" s="50" t="s">
        <v>77</v>
      </c>
      <c r="AB148" s="38">
        <v>1442.0</v>
      </c>
      <c r="AC148" s="48">
        <f t="shared" si="19"/>
        <v>485</v>
      </c>
      <c r="AD148" s="51">
        <f t="shared" si="20"/>
        <v>0.6636615811</v>
      </c>
    </row>
    <row r="149">
      <c r="A149" s="23"/>
      <c r="B149" s="46" t="s">
        <v>573</v>
      </c>
      <c r="C149" s="47"/>
      <c r="D149" s="38">
        <v>334.0</v>
      </c>
      <c r="E149" s="38">
        <v>274.0</v>
      </c>
      <c r="F149" s="38">
        <v>12.0</v>
      </c>
      <c r="G149" s="38">
        <v>37.0</v>
      </c>
      <c r="H149" s="38">
        <v>49.0</v>
      </c>
      <c r="I149" s="48">
        <f t="shared" si="3"/>
        <v>620</v>
      </c>
      <c r="J149" s="48">
        <f t="shared" si="4"/>
        <v>706</v>
      </c>
      <c r="K149" s="49">
        <f t="shared" si="5"/>
        <v>0.5387096774</v>
      </c>
      <c r="L149" s="49">
        <f t="shared" si="6"/>
        <v>0.4419354839</v>
      </c>
      <c r="M149" s="49">
        <f t="shared" si="7"/>
        <v>0.01935483871</v>
      </c>
      <c r="N149" s="32" t="str">
        <f t="shared" si="8"/>
        <v>Jânio</v>
      </c>
      <c r="O149" s="50" t="s">
        <v>77</v>
      </c>
      <c r="P149" s="38">
        <v>276.0</v>
      </c>
      <c r="Q149" s="38">
        <v>286.0</v>
      </c>
      <c r="R149" s="38">
        <v>27.0</v>
      </c>
      <c r="S149" s="108">
        <v>99.0</v>
      </c>
      <c r="T149" s="38">
        <v>18.0</v>
      </c>
      <c r="U149" s="48">
        <f t="shared" si="9"/>
        <v>589</v>
      </c>
      <c r="V149" s="48">
        <f t="shared" si="10"/>
        <v>706</v>
      </c>
      <c r="W149" s="49">
        <f t="shared" si="11"/>
        <v>0.4685908319</v>
      </c>
      <c r="X149" s="49">
        <f t="shared" si="12"/>
        <v>0.4855687606</v>
      </c>
      <c r="Y149" s="49">
        <f t="shared" si="13"/>
        <v>0.04584040747</v>
      </c>
      <c r="Z149" s="32" t="str">
        <f t="shared" si="14"/>
        <v>Milton</v>
      </c>
      <c r="AA149" s="50" t="s">
        <v>77</v>
      </c>
      <c r="AB149" s="38">
        <v>1022.0</v>
      </c>
      <c r="AC149" s="48">
        <f t="shared" si="19"/>
        <v>316</v>
      </c>
      <c r="AD149" s="51">
        <f t="shared" si="20"/>
        <v>0.6908023483</v>
      </c>
    </row>
    <row r="150">
      <c r="A150" s="24"/>
      <c r="B150" s="46" t="s">
        <v>574</v>
      </c>
      <c r="C150" s="47"/>
      <c r="D150" s="38">
        <v>345.0</v>
      </c>
      <c r="E150" s="38">
        <v>226.0</v>
      </c>
      <c r="F150" s="38">
        <v>84.0</v>
      </c>
      <c r="G150" s="38">
        <v>21.0</v>
      </c>
      <c r="H150" s="38">
        <v>62.0</v>
      </c>
      <c r="I150" s="48">
        <f t="shared" si="3"/>
        <v>655</v>
      </c>
      <c r="J150" s="48">
        <f t="shared" si="4"/>
        <v>738</v>
      </c>
      <c r="K150" s="49">
        <f t="shared" si="5"/>
        <v>0.5267175573</v>
      </c>
      <c r="L150" s="49">
        <f t="shared" si="6"/>
        <v>0.3450381679</v>
      </c>
      <c r="M150" s="49">
        <f t="shared" si="7"/>
        <v>0.1282442748</v>
      </c>
      <c r="N150" s="32" t="str">
        <f t="shared" si="8"/>
        <v>Jânio</v>
      </c>
      <c r="O150" s="50" t="s">
        <v>77</v>
      </c>
      <c r="P150" s="38">
        <v>439.0</v>
      </c>
      <c r="Q150" s="38">
        <v>131.0</v>
      </c>
      <c r="R150" s="38">
        <v>65.0</v>
      </c>
      <c r="S150" s="108">
        <v>76.0</v>
      </c>
      <c r="T150" s="38">
        <v>27.0</v>
      </c>
      <c r="U150" s="48">
        <f t="shared" si="9"/>
        <v>635</v>
      </c>
      <c r="V150" s="48">
        <f t="shared" si="10"/>
        <v>738</v>
      </c>
      <c r="W150" s="49">
        <f t="shared" si="11"/>
        <v>0.6913385827</v>
      </c>
      <c r="X150" s="49">
        <f t="shared" si="12"/>
        <v>0.2062992126</v>
      </c>
      <c r="Y150" s="49">
        <f t="shared" si="13"/>
        <v>0.1023622047</v>
      </c>
      <c r="Z150" s="32" t="str">
        <f t="shared" si="14"/>
        <v>Jango</v>
      </c>
      <c r="AA150" s="50" t="s">
        <v>77</v>
      </c>
      <c r="AB150" s="38">
        <v>1356.0</v>
      </c>
      <c r="AC150" s="48">
        <f t="shared" si="19"/>
        <v>618</v>
      </c>
      <c r="AD150" s="51">
        <f t="shared" si="20"/>
        <v>0.5442477876</v>
      </c>
    </row>
    <row r="151">
      <c r="A151" s="61" t="s">
        <v>575</v>
      </c>
      <c r="B151" s="46" t="s">
        <v>576</v>
      </c>
      <c r="C151" s="47"/>
      <c r="D151" s="38">
        <v>609.0</v>
      </c>
      <c r="E151" s="38">
        <v>1113.0</v>
      </c>
      <c r="F151" s="38">
        <v>81.0</v>
      </c>
      <c r="G151" s="38">
        <v>42.0</v>
      </c>
      <c r="H151" s="38">
        <v>78.0</v>
      </c>
      <c r="I151" s="48">
        <f t="shared" si="3"/>
        <v>1803</v>
      </c>
      <c r="J151" s="48">
        <f t="shared" si="4"/>
        <v>1923</v>
      </c>
      <c r="K151" s="49">
        <f t="shared" si="5"/>
        <v>0.3377703827</v>
      </c>
      <c r="L151" s="49">
        <f t="shared" si="6"/>
        <v>0.6173044925</v>
      </c>
      <c r="M151" s="49">
        <f t="shared" si="7"/>
        <v>0.04492512479</v>
      </c>
      <c r="N151" s="32" t="str">
        <f t="shared" si="8"/>
        <v>Mal. Lott</v>
      </c>
      <c r="O151" s="50" t="s">
        <v>77</v>
      </c>
      <c r="P151" s="38">
        <v>1136.0</v>
      </c>
      <c r="Q151" s="38">
        <v>587.0</v>
      </c>
      <c r="R151" s="38">
        <v>55.0</v>
      </c>
      <c r="S151" s="108">
        <v>91.0</v>
      </c>
      <c r="T151" s="38">
        <v>54.0</v>
      </c>
      <c r="U151" s="48">
        <f t="shared" si="9"/>
        <v>1778</v>
      </c>
      <c r="V151" s="48">
        <f t="shared" si="10"/>
        <v>1923</v>
      </c>
      <c r="W151" s="49">
        <f t="shared" si="11"/>
        <v>0.638920135</v>
      </c>
      <c r="X151" s="49">
        <f t="shared" si="12"/>
        <v>0.3301462317</v>
      </c>
      <c r="Y151" s="49">
        <f t="shared" si="13"/>
        <v>0.0309336333</v>
      </c>
      <c r="Z151" s="32" t="str">
        <f t="shared" si="14"/>
        <v>Jango</v>
      </c>
      <c r="AA151" s="50" t="s">
        <v>77</v>
      </c>
      <c r="AB151" s="38">
        <v>2808.0</v>
      </c>
      <c r="AC151" s="48">
        <f t="shared" si="19"/>
        <v>885</v>
      </c>
      <c r="AD151" s="51">
        <f t="shared" si="20"/>
        <v>0.6848290598</v>
      </c>
    </row>
    <row r="152">
      <c r="A152" s="24"/>
      <c r="B152" s="46" t="s">
        <v>577</v>
      </c>
      <c r="C152" s="47"/>
      <c r="D152" s="38">
        <v>232.0</v>
      </c>
      <c r="E152" s="38">
        <v>130.0</v>
      </c>
      <c r="F152" s="38">
        <v>32.0</v>
      </c>
      <c r="G152" s="38">
        <v>18.0</v>
      </c>
      <c r="H152" s="38">
        <v>27.0</v>
      </c>
      <c r="I152" s="48">
        <f t="shared" si="3"/>
        <v>394</v>
      </c>
      <c r="J152" s="48">
        <f t="shared" si="4"/>
        <v>439</v>
      </c>
      <c r="K152" s="49">
        <f t="shared" si="5"/>
        <v>0.5888324873</v>
      </c>
      <c r="L152" s="49">
        <f t="shared" si="6"/>
        <v>0.3299492386</v>
      </c>
      <c r="M152" s="49">
        <f t="shared" si="7"/>
        <v>0.08121827411</v>
      </c>
      <c r="N152" s="32" t="str">
        <f t="shared" si="8"/>
        <v>Jânio</v>
      </c>
      <c r="O152" s="50" t="s">
        <v>77</v>
      </c>
      <c r="P152" s="38">
        <v>160.0</v>
      </c>
      <c r="Q152" s="38">
        <v>182.0</v>
      </c>
      <c r="R152" s="38">
        <v>36.0</v>
      </c>
      <c r="S152" s="108">
        <v>28.0</v>
      </c>
      <c r="T152" s="38">
        <v>33.0</v>
      </c>
      <c r="U152" s="48">
        <f t="shared" si="9"/>
        <v>378</v>
      </c>
      <c r="V152" s="48">
        <f t="shared" si="10"/>
        <v>439</v>
      </c>
      <c r="W152" s="49">
        <f t="shared" si="11"/>
        <v>0.4232804233</v>
      </c>
      <c r="X152" s="49">
        <f t="shared" si="12"/>
        <v>0.4814814815</v>
      </c>
      <c r="Y152" s="49">
        <f t="shared" si="13"/>
        <v>0.09523809524</v>
      </c>
      <c r="Z152" s="32" t="str">
        <f t="shared" si="14"/>
        <v>Milton</v>
      </c>
      <c r="AA152" s="50" t="s">
        <v>77</v>
      </c>
      <c r="AB152" s="38">
        <v>572.0</v>
      </c>
      <c r="AC152" s="48">
        <f t="shared" si="19"/>
        <v>133</v>
      </c>
      <c r="AD152" s="51">
        <f t="shared" si="20"/>
        <v>0.7674825175</v>
      </c>
    </row>
    <row r="153">
      <c r="A153" s="45" t="s">
        <v>578</v>
      </c>
      <c r="B153" s="46" t="s">
        <v>579</v>
      </c>
      <c r="C153" s="47"/>
      <c r="D153" s="38">
        <v>1163.0</v>
      </c>
      <c r="E153" s="38">
        <v>1028.0</v>
      </c>
      <c r="F153" s="38">
        <v>79.0</v>
      </c>
      <c r="G153" s="38">
        <v>83.0</v>
      </c>
      <c r="H153" s="38">
        <v>96.0</v>
      </c>
      <c r="I153" s="48">
        <f t="shared" si="3"/>
        <v>2270</v>
      </c>
      <c r="J153" s="48">
        <f t="shared" si="4"/>
        <v>2449</v>
      </c>
      <c r="K153" s="49">
        <f t="shared" si="5"/>
        <v>0.5123348018</v>
      </c>
      <c r="L153" s="49">
        <f t="shared" si="6"/>
        <v>0.4528634361</v>
      </c>
      <c r="M153" s="49">
        <f t="shared" si="7"/>
        <v>0.03480176211</v>
      </c>
      <c r="N153" s="32" t="str">
        <f t="shared" si="8"/>
        <v>Jânio</v>
      </c>
      <c r="O153" s="50" t="s">
        <v>77</v>
      </c>
      <c r="P153" s="38">
        <v>1079.0</v>
      </c>
      <c r="Q153" s="38">
        <v>1071.0</v>
      </c>
      <c r="R153" s="38">
        <v>80.0</v>
      </c>
      <c r="S153" s="108">
        <v>143.0</v>
      </c>
      <c r="T153" s="38">
        <v>76.0</v>
      </c>
      <c r="U153" s="48">
        <f t="shared" si="9"/>
        <v>2230</v>
      </c>
      <c r="V153" s="48">
        <f t="shared" si="10"/>
        <v>2449</v>
      </c>
      <c r="W153" s="49">
        <f t="shared" si="11"/>
        <v>0.4838565022</v>
      </c>
      <c r="X153" s="49">
        <f t="shared" si="12"/>
        <v>0.4802690583</v>
      </c>
      <c r="Y153" s="49">
        <f t="shared" si="13"/>
        <v>0.03587443946</v>
      </c>
      <c r="Z153" s="32" t="str">
        <f t="shared" si="14"/>
        <v>Jango</v>
      </c>
      <c r="AA153" s="50" t="s">
        <v>77</v>
      </c>
      <c r="AB153" s="38">
        <v>4359.0</v>
      </c>
      <c r="AC153" s="48">
        <f t="shared" si="19"/>
        <v>1910</v>
      </c>
      <c r="AD153" s="51">
        <f t="shared" si="20"/>
        <v>0.5618261069</v>
      </c>
    </row>
    <row r="154">
      <c r="A154" s="61" t="s">
        <v>580</v>
      </c>
      <c r="B154" s="46" t="s">
        <v>581</v>
      </c>
      <c r="C154" s="47"/>
      <c r="D154" s="38">
        <v>364.0</v>
      </c>
      <c r="E154" s="38">
        <v>349.0</v>
      </c>
      <c r="F154" s="38">
        <v>67.0</v>
      </c>
      <c r="G154" s="38">
        <v>18.0</v>
      </c>
      <c r="H154" s="38">
        <v>44.0</v>
      </c>
      <c r="I154" s="48">
        <f t="shared" si="3"/>
        <v>780</v>
      </c>
      <c r="J154" s="48">
        <f t="shared" si="4"/>
        <v>842</v>
      </c>
      <c r="K154" s="49">
        <f t="shared" si="5"/>
        <v>0.4666666667</v>
      </c>
      <c r="L154" s="49">
        <f t="shared" si="6"/>
        <v>0.4474358974</v>
      </c>
      <c r="M154" s="49">
        <f t="shared" si="7"/>
        <v>0.0858974359</v>
      </c>
      <c r="N154" s="32" t="str">
        <f t="shared" si="8"/>
        <v>Jânio</v>
      </c>
      <c r="O154" s="50" t="s">
        <v>77</v>
      </c>
      <c r="P154" s="38">
        <v>405.0</v>
      </c>
      <c r="Q154" s="38">
        <v>309.0</v>
      </c>
      <c r="R154" s="38">
        <v>54.0</v>
      </c>
      <c r="S154" s="108">
        <v>58.0</v>
      </c>
      <c r="T154" s="38">
        <v>16.0</v>
      </c>
      <c r="U154" s="48">
        <f t="shared" si="9"/>
        <v>768</v>
      </c>
      <c r="V154" s="48">
        <f t="shared" si="10"/>
        <v>842</v>
      </c>
      <c r="W154" s="49">
        <f t="shared" si="11"/>
        <v>0.52734375</v>
      </c>
      <c r="X154" s="49">
        <f t="shared" si="12"/>
        <v>0.40234375</v>
      </c>
      <c r="Y154" s="49">
        <f t="shared" si="13"/>
        <v>0.0703125</v>
      </c>
      <c r="Z154" s="32" t="str">
        <f t="shared" si="14"/>
        <v>Jango</v>
      </c>
      <c r="AA154" s="50" t="s">
        <v>77</v>
      </c>
      <c r="AB154" s="38">
        <v>1575.0</v>
      </c>
      <c r="AC154" s="48">
        <f t="shared" si="19"/>
        <v>733</v>
      </c>
      <c r="AD154" s="51">
        <f t="shared" si="20"/>
        <v>0.5346031746</v>
      </c>
    </row>
    <row r="155">
      <c r="A155" s="23"/>
      <c r="B155" s="46" t="s">
        <v>582</v>
      </c>
      <c r="C155" s="47"/>
      <c r="D155" s="38">
        <v>335.0</v>
      </c>
      <c r="E155" s="38">
        <v>295.0</v>
      </c>
      <c r="F155" s="38">
        <v>20.0</v>
      </c>
      <c r="G155" s="38">
        <v>24.0</v>
      </c>
      <c r="H155" s="38">
        <v>48.0</v>
      </c>
      <c r="I155" s="48">
        <f t="shared" si="3"/>
        <v>650</v>
      </c>
      <c r="J155" s="48">
        <f t="shared" si="4"/>
        <v>722</v>
      </c>
      <c r="K155" s="49">
        <f t="shared" si="5"/>
        <v>0.5153846154</v>
      </c>
      <c r="L155" s="49">
        <f t="shared" si="6"/>
        <v>0.4538461538</v>
      </c>
      <c r="M155" s="49">
        <f t="shared" si="7"/>
        <v>0.03076923077</v>
      </c>
      <c r="N155" s="32" t="str">
        <f t="shared" si="8"/>
        <v>Jânio</v>
      </c>
      <c r="O155" s="50" t="s">
        <v>77</v>
      </c>
      <c r="P155" s="38">
        <v>298.0</v>
      </c>
      <c r="Q155" s="38">
        <v>333.0</v>
      </c>
      <c r="R155" s="38">
        <v>16.0</v>
      </c>
      <c r="S155" s="108">
        <v>44.0</v>
      </c>
      <c r="T155" s="38">
        <v>31.0</v>
      </c>
      <c r="U155" s="48">
        <f t="shared" si="9"/>
        <v>647</v>
      </c>
      <c r="V155" s="48">
        <f t="shared" si="10"/>
        <v>722</v>
      </c>
      <c r="W155" s="49">
        <f t="shared" si="11"/>
        <v>0.4605873261</v>
      </c>
      <c r="X155" s="49">
        <f t="shared" si="12"/>
        <v>0.514683153</v>
      </c>
      <c r="Y155" s="49">
        <f t="shared" si="13"/>
        <v>0.02472952087</v>
      </c>
      <c r="Z155" s="32" t="str">
        <f t="shared" si="14"/>
        <v>Milton</v>
      </c>
      <c r="AA155" s="50" t="s">
        <v>77</v>
      </c>
      <c r="AB155" s="38">
        <v>1775.0</v>
      </c>
      <c r="AC155" s="48">
        <f t="shared" si="19"/>
        <v>1053</v>
      </c>
      <c r="AD155" s="51">
        <f t="shared" si="20"/>
        <v>0.4067605634</v>
      </c>
    </row>
    <row r="156">
      <c r="A156" s="23"/>
      <c r="B156" s="46" t="s">
        <v>583</v>
      </c>
      <c r="C156" s="47"/>
      <c r="D156" s="38">
        <v>293.0</v>
      </c>
      <c r="E156" s="38">
        <v>139.0</v>
      </c>
      <c r="F156" s="38">
        <v>9.0</v>
      </c>
      <c r="G156" s="38">
        <v>12.0</v>
      </c>
      <c r="H156" s="38">
        <v>30.0</v>
      </c>
      <c r="I156" s="48">
        <f t="shared" si="3"/>
        <v>441</v>
      </c>
      <c r="J156" s="48">
        <f t="shared" si="4"/>
        <v>483</v>
      </c>
      <c r="K156" s="49">
        <f t="shared" si="5"/>
        <v>0.664399093</v>
      </c>
      <c r="L156" s="49">
        <f t="shared" si="6"/>
        <v>0.3151927438</v>
      </c>
      <c r="M156" s="49">
        <f t="shared" si="7"/>
        <v>0.02040816327</v>
      </c>
      <c r="N156" s="32" t="str">
        <f t="shared" si="8"/>
        <v>Jânio</v>
      </c>
      <c r="O156" s="50" t="s">
        <v>77</v>
      </c>
      <c r="P156" s="38">
        <v>149.0</v>
      </c>
      <c r="Q156" s="38">
        <v>256.0</v>
      </c>
      <c r="R156" s="38">
        <v>26.0</v>
      </c>
      <c r="S156" s="108">
        <v>42.0</v>
      </c>
      <c r="T156" s="38">
        <v>10.0</v>
      </c>
      <c r="U156" s="48">
        <f t="shared" si="9"/>
        <v>431</v>
      </c>
      <c r="V156" s="48">
        <f t="shared" si="10"/>
        <v>483</v>
      </c>
      <c r="W156" s="49">
        <f t="shared" si="11"/>
        <v>0.3457076566</v>
      </c>
      <c r="X156" s="49">
        <f t="shared" si="12"/>
        <v>0.5939675174</v>
      </c>
      <c r="Y156" s="49">
        <f t="shared" si="13"/>
        <v>0.06032482599</v>
      </c>
      <c r="Z156" s="32" t="str">
        <f t="shared" si="14"/>
        <v>Milton</v>
      </c>
      <c r="AA156" s="50" t="s">
        <v>77</v>
      </c>
      <c r="AB156" s="38">
        <v>560.0</v>
      </c>
      <c r="AC156" s="48">
        <f t="shared" si="19"/>
        <v>77</v>
      </c>
      <c r="AD156" s="51">
        <f t="shared" si="20"/>
        <v>0.8625</v>
      </c>
    </row>
    <row r="157">
      <c r="A157" s="24"/>
      <c r="B157" s="46" t="s">
        <v>584</v>
      </c>
      <c r="C157" s="47"/>
      <c r="D157" s="38">
        <v>303.0</v>
      </c>
      <c r="E157" s="38">
        <v>116.0</v>
      </c>
      <c r="F157" s="38">
        <v>10.0</v>
      </c>
      <c r="G157" s="38">
        <v>7.0</v>
      </c>
      <c r="H157" s="38">
        <v>27.0</v>
      </c>
      <c r="I157" s="48">
        <f t="shared" si="3"/>
        <v>429</v>
      </c>
      <c r="J157" s="48">
        <f t="shared" si="4"/>
        <v>463</v>
      </c>
      <c r="K157" s="49">
        <f t="shared" si="5"/>
        <v>0.7062937063</v>
      </c>
      <c r="L157" s="49">
        <f t="shared" si="6"/>
        <v>0.2703962704</v>
      </c>
      <c r="M157" s="49">
        <f t="shared" si="7"/>
        <v>0.02331002331</v>
      </c>
      <c r="N157" s="32" t="str">
        <f t="shared" si="8"/>
        <v>Jânio</v>
      </c>
      <c r="O157" s="50" t="s">
        <v>77</v>
      </c>
      <c r="P157" s="38">
        <v>120.0</v>
      </c>
      <c r="Q157" s="38">
        <v>285.0</v>
      </c>
      <c r="R157" s="38">
        <v>18.0</v>
      </c>
      <c r="S157" s="108">
        <v>22.0</v>
      </c>
      <c r="T157" s="38">
        <v>18.0</v>
      </c>
      <c r="U157" s="48">
        <f t="shared" si="9"/>
        <v>423</v>
      </c>
      <c r="V157" s="48">
        <f t="shared" si="10"/>
        <v>463</v>
      </c>
      <c r="W157" s="49">
        <f t="shared" si="11"/>
        <v>0.2836879433</v>
      </c>
      <c r="X157" s="49">
        <f t="shared" si="12"/>
        <v>0.6737588652</v>
      </c>
      <c r="Y157" s="49">
        <f t="shared" si="13"/>
        <v>0.04255319149</v>
      </c>
      <c r="Z157" s="32" t="str">
        <f t="shared" si="14"/>
        <v>Milton</v>
      </c>
      <c r="AA157" s="50" t="s">
        <v>77</v>
      </c>
      <c r="AB157" s="38">
        <v>792.0</v>
      </c>
      <c r="AC157" s="48">
        <f t="shared" si="19"/>
        <v>329</v>
      </c>
      <c r="AD157" s="51">
        <f t="shared" si="20"/>
        <v>0.5845959596</v>
      </c>
    </row>
    <row r="158">
      <c r="A158" s="45" t="s">
        <v>585</v>
      </c>
      <c r="B158" s="46" t="s">
        <v>586</v>
      </c>
      <c r="C158" s="47"/>
      <c r="D158" s="38">
        <v>482.0</v>
      </c>
      <c r="E158" s="38">
        <v>1229.0</v>
      </c>
      <c r="F158" s="38">
        <v>408.0</v>
      </c>
      <c r="G158" s="38">
        <v>46.0</v>
      </c>
      <c r="H158" s="38">
        <v>70.0</v>
      </c>
      <c r="I158" s="48">
        <f t="shared" si="3"/>
        <v>2119</v>
      </c>
      <c r="J158" s="48">
        <f t="shared" si="4"/>
        <v>2235</v>
      </c>
      <c r="K158" s="49">
        <f t="shared" si="5"/>
        <v>0.2274657857</v>
      </c>
      <c r="L158" s="49">
        <f t="shared" si="6"/>
        <v>0.5799905616</v>
      </c>
      <c r="M158" s="49">
        <f t="shared" si="7"/>
        <v>0.1925436527</v>
      </c>
      <c r="N158" s="32" t="str">
        <f t="shared" si="8"/>
        <v>Mal. Lott</v>
      </c>
      <c r="O158" s="50" t="s">
        <v>77</v>
      </c>
      <c r="P158" s="38">
        <v>1292.0</v>
      </c>
      <c r="Q158" s="38">
        <v>691.0</v>
      </c>
      <c r="R158" s="38">
        <v>90.0</v>
      </c>
      <c r="S158" s="108">
        <v>111.0</v>
      </c>
      <c r="T158" s="38">
        <v>51.0</v>
      </c>
      <c r="U158" s="48">
        <f t="shared" si="9"/>
        <v>2073</v>
      </c>
      <c r="V158" s="48">
        <f t="shared" si="10"/>
        <v>2235</v>
      </c>
      <c r="W158" s="49">
        <f t="shared" si="11"/>
        <v>0.6232513266</v>
      </c>
      <c r="X158" s="49">
        <f t="shared" si="12"/>
        <v>0.3333333333</v>
      </c>
      <c r="Y158" s="49">
        <f t="shared" si="13"/>
        <v>0.04341534009</v>
      </c>
      <c r="Z158" s="32" t="str">
        <f t="shared" si="14"/>
        <v>Jango</v>
      </c>
      <c r="AA158" s="50" t="s">
        <v>77</v>
      </c>
      <c r="AB158" s="38">
        <v>3877.0</v>
      </c>
      <c r="AC158" s="48">
        <f t="shared" si="19"/>
        <v>1642</v>
      </c>
      <c r="AD158" s="51">
        <f t="shared" si="20"/>
        <v>0.5764766572</v>
      </c>
    </row>
    <row r="159">
      <c r="A159" s="69" t="s">
        <v>54</v>
      </c>
      <c r="B159" s="13"/>
      <c r="C159" s="47"/>
      <c r="D159" s="38">
        <f t="shared" ref="D159:H159" si="21">SUM(D17:D158)</f>
        <v>189372</v>
      </c>
      <c r="E159" s="38">
        <f t="shared" si="21"/>
        <v>184118</v>
      </c>
      <c r="F159" s="38">
        <f t="shared" si="21"/>
        <v>27668</v>
      </c>
      <c r="G159" s="38">
        <f t="shared" si="21"/>
        <v>13152</v>
      </c>
      <c r="H159" s="38">
        <f t="shared" si="21"/>
        <v>21814</v>
      </c>
      <c r="I159" s="48">
        <f t="shared" si="3"/>
        <v>401158</v>
      </c>
      <c r="J159" s="48">
        <f t="shared" si="4"/>
        <v>436124</v>
      </c>
      <c r="K159" s="49">
        <f t="shared" si="5"/>
        <v>0.4720633765</v>
      </c>
      <c r="L159" s="49">
        <f t="shared" si="6"/>
        <v>0.4589662926</v>
      </c>
      <c r="M159" s="49">
        <f t="shared" si="7"/>
        <v>0.06897033089</v>
      </c>
      <c r="N159" s="32" t="str">
        <f t="shared" si="8"/>
        <v>Jânio</v>
      </c>
      <c r="O159" s="50"/>
      <c r="P159" s="38">
        <f t="shared" ref="P159:T159" si="22">SUM(P17:P158)</f>
        <v>199026</v>
      </c>
      <c r="Q159" s="38">
        <f t="shared" si="22"/>
        <v>163888</v>
      </c>
      <c r="R159" s="38">
        <f t="shared" si="22"/>
        <v>30933</v>
      </c>
      <c r="S159" s="38">
        <f t="shared" si="22"/>
        <v>27082</v>
      </c>
      <c r="T159" s="38">
        <f t="shared" si="22"/>
        <v>15195</v>
      </c>
      <c r="U159" s="48">
        <f t="shared" si="9"/>
        <v>393847</v>
      </c>
      <c r="V159" s="48">
        <f t="shared" si="10"/>
        <v>436124</v>
      </c>
      <c r="W159" s="49">
        <f t="shared" si="11"/>
        <v>0.5053383674</v>
      </c>
      <c r="X159" s="49">
        <f t="shared" si="12"/>
        <v>0.416120981</v>
      </c>
      <c r="Y159" s="49">
        <f t="shared" si="13"/>
        <v>0.07854065157</v>
      </c>
      <c r="Z159" s="32" t="str">
        <f t="shared" si="14"/>
        <v>Jango</v>
      </c>
      <c r="AA159" s="85"/>
      <c r="AB159" s="55">
        <v>668703.0</v>
      </c>
      <c r="AC159" s="48">
        <f t="shared" si="19"/>
        <v>232579</v>
      </c>
      <c r="AD159" s="51">
        <f t="shared" si="20"/>
        <v>0.6521938738</v>
      </c>
    </row>
    <row r="160">
      <c r="O160" s="73"/>
      <c r="AA160" s="109"/>
    </row>
    <row r="161">
      <c r="B161" s="74" t="s">
        <v>138</v>
      </c>
      <c r="D161" s="75"/>
      <c r="E161" s="75"/>
      <c r="F161" s="75"/>
      <c r="G161" s="75"/>
      <c r="AA161" s="109"/>
    </row>
    <row r="162">
      <c r="B162" s="76" t="s">
        <v>139</v>
      </c>
      <c r="C162" s="33"/>
      <c r="D162" s="29"/>
      <c r="E162" s="29"/>
      <c r="F162" s="77"/>
      <c r="G162" s="77"/>
      <c r="AA162" s="109"/>
    </row>
    <row r="163">
      <c r="B163" s="76" t="s">
        <v>139</v>
      </c>
      <c r="D163" s="29"/>
      <c r="E163" s="29"/>
      <c r="F163" s="77"/>
      <c r="G163" s="77"/>
      <c r="AA163" s="109"/>
    </row>
    <row r="164">
      <c r="D164" s="29"/>
      <c r="E164" s="29"/>
      <c r="F164" s="77"/>
      <c r="G164" s="77"/>
      <c r="AA164" s="109"/>
    </row>
  </sheetData>
  <mergeCells count="46">
    <mergeCell ref="D2:G2"/>
    <mergeCell ref="A10:C10"/>
    <mergeCell ref="D10:N10"/>
    <mergeCell ref="P10:Z10"/>
    <mergeCell ref="AA10:AD10"/>
    <mergeCell ref="A18:A19"/>
    <mergeCell ref="A20:A22"/>
    <mergeCell ref="A24:A25"/>
    <mergeCell ref="A27:A29"/>
    <mergeCell ref="A32:A33"/>
    <mergeCell ref="A36:A37"/>
    <mergeCell ref="A41:A44"/>
    <mergeCell ref="A47:A49"/>
    <mergeCell ref="A50:A51"/>
    <mergeCell ref="A52:A54"/>
    <mergeCell ref="A55:A57"/>
    <mergeCell ref="A58:A60"/>
    <mergeCell ref="A63:A66"/>
    <mergeCell ref="A67:A68"/>
    <mergeCell ref="A70:A71"/>
    <mergeCell ref="A72:A75"/>
    <mergeCell ref="A78:A80"/>
    <mergeCell ref="A83:A84"/>
    <mergeCell ref="A85:A86"/>
    <mergeCell ref="A87:A88"/>
    <mergeCell ref="A90:A91"/>
    <mergeCell ref="A92:A94"/>
    <mergeCell ref="A95:A96"/>
    <mergeCell ref="A101:A103"/>
    <mergeCell ref="A104:A105"/>
    <mergeCell ref="A107:A108"/>
    <mergeCell ref="A109:A110"/>
    <mergeCell ref="A114:A116"/>
    <mergeCell ref="A119:A120"/>
    <mergeCell ref="A123:A125"/>
    <mergeCell ref="A147:A150"/>
    <mergeCell ref="A151:A152"/>
    <mergeCell ref="A154:A157"/>
    <mergeCell ref="A159:B159"/>
    <mergeCell ref="A126:A127"/>
    <mergeCell ref="A130:A131"/>
    <mergeCell ref="A133:A136"/>
    <mergeCell ref="A137:A138"/>
    <mergeCell ref="A139:A140"/>
    <mergeCell ref="A141:A142"/>
    <mergeCell ref="A144:A145"/>
  </mergeCells>
  <conditionalFormatting sqref="K12:M159 N12:N160 Z12:Z159">
    <cfRule type="colorScale" priority="1">
      <colorScale>
        <cfvo type="percent" val="0"/>
        <cfvo type="percent" val="50"/>
        <cfvo type="percent" val="100"/>
        <color rgb="FFFFFFFF"/>
        <color rgb="FFABDDC5"/>
        <color rgb="FF57BB8A"/>
      </colorScale>
    </cfRule>
  </conditionalFormatting>
  <conditionalFormatting sqref="W12:Y159">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IF(SUM(COUNTIF($N$16:$N$83,D3),COUNTIF($N$86:$N$100,D3))=0,"-",SUM(COUNTIF($N$16:$N$83,D3),COUNTIF($N$86:$N$100,D3)))</f>
        <v>51</v>
      </c>
      <c r="F3" s="32" t="s">
        <v>47</v>
      </c>
      <c r="G3" s="22">
        <f t="shared" ref="G3:G6" si="2">IF(SUM(COUNTIF($Z$16:$Z$83,F3),COUNTIF($Z$86:$Z$100,F3))=0,"-",SUM(COUNTIF($Z$16:$Z$83,F3),COUNTIF($Z$86:$Z$100,F3)))</f>
        <v>44</v>
      </c>
    </row>
    <row r="4">
      <c r="D4" s="32" t="s">
        <v>48</v>
      </c>
      <c r="E4" s="22">
        <f t="shared" si="1"/>
        <v>32</v>
      </c>
      <c r="F4" s="32" t="s">
        <v>49</v>
      </c>
      <c r="G4" s="22">
        <f t="shared" si="2"/>
        <v>39</v>
      </c>
    </row>
    <row r="5">
      <c r="D5" s="32" t="s">
        <v>50</v>
      </c>
      <c r="E5" s="22" t="str">
        <f t="shared" si="1"/>
        <v>-</v>
      </c>
      <c r="F5" s="32" t="s">
        <v>51</v>
      </c>
      <c r="G5" s="22" t="str">
        <f t="shared" si="2"/>
        <v>-</v>
      </c>
    </row>
    <row r="6">
      <c r="D6" s="32" t="s">
        <v>52</v>
      </c>
      <c r="E6" s="22" t="str">
        <f t="shared" si="1"/>
        <v>-</v>
      </c>
      <c r="F6" s="32" t="s">
        <v>52</v>
      </c>
      <c r="G6" s="22" t="str">
        <f t="shared" si="2"/>
        <v>-</v>
      </c>
    </row>
    <row r="7">
      <c r="D7" s="32" t="s">
        <v>54</v>
      </c>
      <c r="E7" s="32">
        <f>SUM(E3:E6)</f>
        <v>83</v>
      </c>
      <c r="F7" s="32" t="s">
        <v>54</v>
      </c>
      <c r="G7" s="32">
        <f>SUM(G3:G6)</f>
        <v>83</v>
      </c>
    </row>
    <row r="9">
      <c r="A9" s="111"/>
      <c r="B9" s="111"/>
      <c r="C9" s="111"/>
      <c r="D9" s="111"/>
      <c r="E9" s="111"/>
      <c r="F9" s="111"/>
      <c r="G9" s="111"/>
      <c r="H9" s="111"/>
      <c r="I9" s="111"/>
      <c r="J9" s="111"/>
      <c r="K9" s="111"/>
      <c r="L9" s="111"/>
      <c r="M9" s="111"/>
      <c r="N9" s="111"/>
      <c r="O9" s="112"/>
      <c r="P9" s="111"/>
      <c r="Q9" s="111"/>
      <c r="R9" s="111"/>
      <c r="S9" s="111"/>
      <c r="T9" s="111"/>
      <c r="U9" s="111"/>
      <c r="V9" s="111"/>
      <c r="W9" s="111"/>
      <c r="X9" s="111"/>
      <c r="Y9" s="111"/>
      <c r="Z9" s="111"/>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2"/>
      <c r="AB11" s="41" t="s">
        <v>70</v>
      </c>
      <c r="AC11" s="41" t="s">
        <v>71</v>
      </c>
      <c r="AD11" s="41" t="s">
        <v>72</v>
      </c>
    </row>
    <row r="12">
      <c r="A12" s="45" t="s">
        <v>73</v>
      </c>
      <c r="B12" s="46" t="s">
        <v>587</v>
      </c>
      <c r="C12" s="47"/>
      <c r="D12" s="38">
        <v>1890.0</v>
      </c>
      <c r="E12" s="38">
        <v>4446.0</v>
      </c>
      <c r="F12" s="38">
        <v>500.0</v>
      </c>
      <c r="G12" s="38">
        <v>246.0</v>
      </c>
      <c r="H12" s="38">
        <v>172.0</v>
      </c>
      <c r="I12" s="48">
        <f t="shared" ref="I12:I101" si="3">SUM(D12:F12)</f>
        <v>6836</v>
      </c>
      <c r="J12" s="48">
        <f t="shared" ref="J12:J101" si="4">SUM(G12:I12)</f>
        <v>7254</v>
      </c>
      <c r="K12" s="49">
        <f t="shared" ref="K12:K101" si="5">D12/I12</f>
        <v>0.2764774722</v>
      </c>
      <c r="L12" s="49">
        <f t="shared" ref="L12:L101" si="6">E12/I12</f>
        <v>0.6503803394</v>
      </c>
      <c r="M12" s="49">
        <f t="shared" ref="M12:M101" si="7">F12/I12</f>
        <v>0.07314218841</v>
      </c>
      <c r="N12" s="32" t="str">
        <f t="shared" ref="N12:N101" si="8">IF(LARGE(D12:F12,1)=0,#REF!,IF(LARGE(D12:F12,1)=LARGE(D12:F12,2),$D$6,IF(LARGE(D12:F12,1)=D12,$D$3,IF(LARGE(D12:F12,1)=E12,$D$4,IF(LARGE(D12:F12,1)=F12,$D$5)))))</f>
        <v>Mal. Lott</v>
      </c>
      <c r="O12" s="50"/>
      <c r="P12" s="38">
        <v>4121.0</v>
      </c>
      <c r="Q12" s="38">
        <v>1289.0</v>
      </c>
      <c r="R12" s="38">
        <v>1092.0</v>
      </c>
      <c r="S12" s="38">
        <v>639.0</v>
      </c>
      <c r="T12" s="38">
        <v>113.0</v>
      </c>
      <c r="U12" s="48">
        <f t="shared" ref="U12:U101" si="9">SUM(P12:R12)</f>
        <v>6502</v>
      </c>
      <c r="V12" s="48">
        <f t="shared" ref="V12:V101" si="10">SUM(S12:U12)</f>
        <v>7254</v>
      </c>
      <c r="W12" s="49">
        <f t="shared" ref="W12:W101" si="11">P12/U12</f>
        <v>0.6338049831</v>
      </c>
      <c r="X12" s="49">
        <f t="shared" ref="X12:X101" si="12">Q12/U12</f>
        <v>0.1982466933</v>
      </c>
      <c r="Y12" s="49">
        <f t="shared" ref="Y12:Y101" si="13">R12/U12</f>
        <v>0.1679483236</v>
      </c>
      <c r="Z12" s="32" t="str">
        <f t="shared" ref="Z12:Z101" si="14">IF(LARGE(P12:R12,1)=0,#REF!,IF(LARGE(P12:R12,1)=LARGE(P12:R12,2),$F$6,IF(LARGE(P12:R12,1)=P12,$F$3,IF(LARGE(P12:R12,1)=Q12,$F$4,IF(LARGE(P12:R12,1)=R12,$F$5)))))</f>
        <v>Jango</v>
      </c>
      <c r="AA12" s="50"/>
      <c r="AB12" s="38">
        <v>9285.0</v>
      </c>
      <c r="AC12" s="48">
        <f t="shared" ref="AC12:AC101" si="15">AB12-V12</f>
        <v>2031</v>
      </c>
      <c r="AD12" s="51">
        <f t="shared" ref="AD12:AD101" si="16">V12/AB12</f>
        <v>0.7812600969</v>
      </c>
      <c r="AE12" s="113"/>
    </row>
    <row r="13">
      <c r="A13" s="45" t="s">
        <v>75</v>
      </c>
      <c r="B13" s="46" t="s">
        <v>588</v>
      </c>
      <c r="C13" s="47"/>
      <c r="D13" s="38">
        <v>3485.0</v>
      </c>
      <c r="E13" s="38">
        <v>4492.0</v>
      </c>
      <c r="F13" s="38">
        <v>430.0</v>
      </c>
      <c r="G13" s="38">
        <v>213.0</v>
      </c>
      <c r="H13" s="38">
        <v>113.0</v>
      </c>
      <c r="I13" s="48">
        <f t="shared" si="3"/>
        <v>8407</v>
      </c>
      <c r="J13" s="48">
        <f t="shared" si="4"/>
        <v>8733</v>
      </c>
      <c r="K13" s="49">
        <f t="shared" si="5"/>
        <v>0.4145355061</v>
      </c>
      <c r="L13" s="49">
        <f t="shared" si="6"/>
        <v>0.5343166409</v>
      </c>
      <c r="M13" s="49">
        <f t="shared" si="7"/>
        <v>0.05114785298</v>
      </c>
      <c r="N13" s="32" t="str">
        <f t="shared" si="8"/>
        <v>Mal. Lott</v>
      </c>
      <c r="O13" s="50"/>
      <c r="P13" s="38">
        <v>3462.0</v>
      </c>
      <c r="Q13" s="38">
        <v>2686.0</v>
      </c>
      <c r="R13" s="38">
        <v>2087.0</v>
      </c>
      <c r="S13" s="38">
        <v>416.0</v>
      </c>
      <c r="T13" s="38">
        <v>82.0</v>
      </c>
      <c r="U13" s="48">
        <f t="shared" si="9"/>
        <v>8235</v>
      </c>
      <c r="V13" s="48">
        <f t="shared" si="10"/>
        <v>8733</v>
      </c>
      <c r="W13" s="49">
        <f t="shared" si="11"/>
        <v>0.4204007286</v>
      </c>
      <c r="X13" s="49">
        <f t="shared" si="12"/>
        <v>0.3261687917</v>
      </c>
      <c r="Y13" s="49">
        <f t="shared" si="13"/>
        <v>0.2534304797</v>
      </c>
      <c r="Z13" s="32" t="str">
        <f t="shared" si="14"/>
        <v>Jango</v>
      </c>
      <c r="AA13" s="50"/>
      <c r="AB13" s="38">
        <v>10539.0</v>
      </c>
      <c r="AC13" s="48">
        <f t="shared" si="15"/>
        <v>1806</v>
      </c>
      <c r="AD13" s="51">
        <f t="shared" si="16"/>
        <v>0.828636493</v>
      </c>
      <c r="AE13" s="113"/>
    </row>
    <row r="14">
      <c r="A14" s="45" t="s">
        <v>79</v>
      </c>
      <c r="B14" s="46" t="s">
        <v>589</v>
      </c>
      <c r="C14" s="47"/>
      <c r="D14" s="38">
        <v>2374.0</v>
      </c>
      <c r="E14" s="38">
        <v>6306.0</v>
      </c>
      <c r="F14" s="38">
        <v>752.0</v>
      </c>
      <c r="G14" s="38">
        <v>389.0</v>
      </c>
      <c r="H14" s="38">
        <v>275.0</v>
      </c>
      <c r="I14" s="48">
        <f t="shared" si="3"/>
        <v>9432</v>
      </c>
      <c r="J14" s="48">
        <f t="shared" si="4"/>
        <v>10096</v>
      </c>
      <c r="K14" s="49">
        <f t="shared" si="5"/>
        <v>0.2516963528</v>
      </c>
      <c r="L14" s="49">
        <f t="shared" si="6"/>
        <v>0.6685750636</v>
      </c>
      <c r="M14" s="49">
        <f t="shared" si="7"/>
        <v>0.07972858355</v>
      </c>
      <c r="N14" s="32" t="str">
        <f t="shared" si="8"/>
        <v>Mal. Lott</v>
      </c>
      <c r="O14" s="50"/>
      <c r="P14" s="38">
        <v>5767.0</v>
      </c>
      <c r="Q14" s="38">
        <v>1805.0</v>
      </c>
      <c r="R14" s="38">
        <v>1474.0</v>
      </c>
      <c r="S14" s="38">
        <v>843.0</v>
      </c>
      <c r="T14" s="38">
        <v>207.0</v>
      </c>
      <c r="U14" s="48">
        <f t="shared" si="9"/>
        <v>9046</v>
      </c>
      <c r="V14" s="48">
        <f t="shared" si="10"/>
        <v>10096</v>
      </c>
      <c r="W14" s="49">
        <f t="shared" si="11"/>
        <v>0.6375193456</v>
      </c>
      <c r="X14" s="49">
        <f t="shared" si="12"/>
        <v>0.1995357064</v>
      </c>
      <c r="Y14" s="49">
        <f t="shared" si="13"/>
        <v>0.162944948</v>
      </c>
      <c r="Z14" s="32" t="str">
        <f t="shared" si="14"/>
        <v>Jango</v>
      </c>
      <c r="AA14" s="50"/>
      <c r="AB14" s="38">
        <v>12874.0</v>
      </c>
      <c r="AC14" s="48">
        <f t="shared" si="15"/>
        <v>2778</v>
      </c>
      <c r="AD14" s="51">
        <f t="shared" si="16"/>
        <v>0.7842162498</v>
      </c>
      <c r="AE14" s="113"/>
    </row>
    <row r="15">
      <c r="A15" s="45" t="s">
        <v>85</v>
      </c>
      <c r="B15" s="46" t="s">
        <v>590</v>
      </c>
      <c r="C15" s="47"/>
      <c r="D15" s="38">
        <v>2180.0</v>
      </c>
      <c r="E15" s="38">
        <v>6662.0</v>
      </c>
      <c r="F15" s="38">
        <v>878.0</v>
      </c>
      <c r="G15" s="38">
        <v>572.0</v>
      </c>
      <c r="H15" s="38">
        <v>347.0</v>
      </c>
      <c r="I15" s="48">
        <f t="shared" si="3"/>
        <v>9720</v>
      </c>
      <c r="J15" s="48">
        <f t="shared" si="4"/>
        <v>10639</v>
      </c>
      <c r="K15" s="49">
        <f t="shared" si="5"/>
        <v>0.2242798354</v>
      </c>
      <c r="L15" s="49">
        <f t="shared" si="6"/>
        <v>0.6853909465</v>
      </c>
      <c r="M15" s="49">
        <f t="shared" si="7"/>
        <v>0.09032921811</v>
      </c>
      <c r="N15" s="32" t="str">
        <f t="shared" si="8"/>
        <v>Mal. Lott</v>
      </c>
      <c r="O15" s="50"/>
      <c r="P15" s="38">
        <v>6460.0</v>
      </c>
      <c r="Q15" s="38">
        <v>1548.0</v>
      </c>
      <c r="R15" s="38">
        <v>1043.0</v>
      </c>
      <c r="S15" s="38">
        <v>1359.0</v>
      </c>
      <c r="T15" s="38">
        <v>229.0</v>
      </c>
      <c r="U15" s="48">
        <f t="shared" si="9"/>
        <v>9051</v>
      </c>
      <c r="V15" s="48">
        <f t="shared" si="10"/>
        <v>10639</v>
      </c>
      <c r="W15" s="49">
        <f t="shared" si="11"/>
        <v>0.7137332891</v>
      </c>
      <c r="X15" s="49">
        <f t="shared" si="12"/>
        <v>0.1710308253</v>
      </c>
      <c r="Y15" s="49">
        <f t="shared" si="13"/>
        <v>0.1152358855</v>
      </c>
      <c r="Z15" s="32" t="str">
        <f t="shared" si="14"/>
        <v>Jango</v>
      </c>
      <c r="AA15" s="50"/>
      <c r="AB15" s="38">
        <v>14430.0</v>
      </c>
      <c r="AC15" s="48">
        <f t="shared" si="15"/>
        <v>3791</v>
      </c>
      <c r="AD15" s="51">
        <f t="shared" si="16"/>
        <v>0.7372834373</v>
      </c>
      <c r="AE15" s="113"/>
    </row>
    <row r="16">
      <c r="A16" s="45" t="s">
        <v>77</v>
      </c>
      <c r="B16" s="46" t="s">
        <v>591</v>
      </c>
      <c r="C16" s="47"/>
      <c r="D16" s="38">
        <v>9929.0</v>
      </c>
      <c r="E16" s="38">
        <v>21906.0</v>
      </c>
      <c r="F16" s="38">
        <v>2560.0</v>
      </c>
      <c r="G16" s="38">
        <v>1420.0</v>
      </c>
      <c r="H16" s="38">
        <v>907.0</v>
      </c>
      <c r="I16" s="48">
        <f t="shared" si="3"/>
        <v>34395</v>
      </c>
      <c r="J16" s="48">
        <f t="shared" si="4"/>
        <v>36722</v>
      </c>
      <c r="K16" s="49">
        <f t="shared" si="5"/>
        <v>0.2886756796</v>
      </c>
      <c r="L16" s="49">
        <f t="shared" si="6"/>
        <v>0.6368948975</v>
      </c>
      <c r="M16" s="49">
        <f t="shared" si="7"/>
        <v>0.07442942288</v>
      </c>
      <c r="N16" s="32" t="str">
        <f t="shared" si="8"/>
        <v>Mal. Lott</v>
      </c>
      <c r="O16" s="50" t="s">
        <v>77</v>
      </c>
      <c r="P16" s="38">
        <v>19810.0</v>
      </c>
      <c r="Q16" s="38">
        <v>7328.0</v>
      </c>
      <c r="R16" s="38">
        <v>5696.0</v>
      </c>
      <c r="S16" s="38">
        <v>3257.0</v>
      </c>
      <c r="T16" s="38">
        <v>631.0</v>
      </c>
      <c r="U16" s="48">
        <f t="shared" si="9"/>
        <v>32834</v>
      </c>
      <c r="V16" s="48">
        <f t="shared" si="10"/>
        <v>36722</v>
      </c>
      <c r="W16" s="49">
        <f t="shared" si="11"/>
        <v>0.6033380033</v>
      </c>
      <c r="X16" s="49">
        <f t="shared" si="12"/>
        <v>0.2231832856</v>
      </c>
      <c r="Y16" s="49">
        <f t="shared" si="13"/>
        <v>0.1734787111</v>
      </c>
      <c r="Z16" s="32" t="str">
        <f t="shared" si="14"/>
        <v>Jango</v>
      </c>
      <c r="AA16" s="50" t="s">
        <v>77</v>
      </c>
      <c r="AB16" s="38">
        <v>47128.0</v>
      </c>
      <c r="AC16" s="48">
        <f t="shared" si="15"/>
        <v>10406</v>
      </c>
      <c r="AD16" s="51">
        <f t="shared" si="16"/>
        <v>0.7791970803</v>
      </c>
      <c r="AE16" s="73"/>
    </row>
    <row r="17">
      <c r="A17" s="45" t="s">
        <v>85</v>
      </c>
      <c r="B17" s="46" t="s">
        <v>592</v>
      </c>
      <c r="C17" s="47"/>
      <c r="D17" s="38">
        <v>493.0</v>
      </c>
      <c r="E17" s="38">
        <v>1036.0</v>
      </c>
      <c r="F17" s="38">
        <v>144.0</v>
      </c>
      <c r="G17" s="38">
        <v>47.0</v>
      </c>
      <c r="H17" s="38">
        <v>42.0</v>
      </c>
      <c r="I17" s="48">
        <f t="shared" si="3"/>
        <v>1673</v>
      </c>
      <c r="J17" s="48">
        <f t="shared" si="4"/>
        <v>1762</v>
      </c>
      <c r="K17" s="49">
        <f t="shared" si="5"/>
        <v>0.2946802152</v>
      </c>
      <c r="L17" s="49">
        <f t="shared" si="6"/>
        <v>0.6192468619</v>
      </c>
      <c r="M17" s="49">
        <f t="shared" si="7"/>
        <v>0.08607292289</v>
      </c>
      <c r="N17" s="32" t="str">
        <f t="shared" si="8"/>
        <v>Mal. Lott</v>
      </c>
      <c r="O17" s="50" t="s">
        <v>77</v>
      </c>
      <c r="P17" s="38">
        <v>1047.0</v>
      </c>
      <c r="Q17" s="38">
        <v>494.0</v>
      </c>
      <c r="R17" s="38">
        <v>99.0</v>
      </c>
      <c r="S17" s="38">
        <v>88.0</v>
      </c>
      <c r="T17" s="38">
        <v>34.0</v>
      </c>
      <c r="U17" s="48">
        <f t="shared" si="9"/>
        <v>1640</v>
      </c>
      <c r="V17" s="48">
        <f t="shared" si="10"/>
        <v>1762</v>
      </c>
      <c r="W17" s="49">
        <f t="shared" si="11"/>
        <v>0.6384146341</v>
      </c>
      <c r="X17" s="49">
        <f t="shared" si="12"/>
        <v>0.3012195122</v>
      </c>
      <c r="Y17" s="49">
        <f t="shared" si="13"/>
        <v>0.06036585366</v>
      </c>
      <c r="Z17" s="32" t="str">
        <f t="shared" si="14"/>
        <v>Jango</v>
      </c>
      <c r="AA17" s="50" t="s">
        <v>77</v>
      </c>
      <c r="AB17" s="38">
        <v>2260.0</v>
      </c>
      <c r="AC17" s="48">
        <f t="shared" si="15"/>
        <v>498</v>
      </c>
      <c r="AD17" s="51">
        <f t="shared" si="16"/>
        <v>0.7796460177</v>
      </c>
      <c r="AE17" s="113"/>
    </row>
    <row r="18">
      <c r="A18" s="61" t="s">
        <v>90</v>
      </c>
      <c r="B18" s="46" t="s">
        <v>593</v>
      </c>
      <c r="C18" s="47"/>
      <c r="D18" s="38">
        <v>1315.0</v>
      </c>
      <c r="E18" s="38">
        <v>1281.0</v>
      </c>
      <c r="F18" s="38">
        <v>295.0</v>
      </c>
      <c r="G18" s="38">
        <v>106.0</v>
      </c>
      <c r="H18" s="38">
        <v>115.0</v>
      </c>
      <c r="I18" s="48">
        <f t="shared" si="3"/>
        <v>2891</v>
      </c>
      <c r="J18" s="48">
        <f t="shared" si="4"/>
        <v>3112</v>
      </c>
      <c r="K18" s="49">
        <f t="shared" si="5"/>
        <v>0.4548599101</v>
      </c>
      <c r="L18" s="49">
        <f t="shared" si="6"/>
        <v>0.4430992736</v>
      </c>
      <c r="M18" s="49">
        <f t="shared" si="7"/>
        <v>0.1020408163</v>
      </c>
      <c r="N18" s="32" t="str">
        <f t="shared" si="8"/>
        <v>Jânio</v>
      </c>
      <c r="O18" s="50" t="s">
        <v>77</v>
      </c>
      <c r="P18" s="38">
        <v>1298.0</v>
      </c>
      <c r="Q18" s="38">
        <v>1259.0</v>
      </c>
      <c r="R18" s="38">
        <v>254.0</v>
      </c>
      <c r="S18" s="38">
        <v>247.0</v>
      </c>
      <c r="T18" s="38">
        <v>54.0</v>
      </c>
      <c r="U18" s="48">
        <f t="shared" si="9"/>
        <v>2811</v>
      </c>
      <c r="V18" s="48">
        <f t="shared" si="10"/>
        <v>3112</v>
      </c>
      <c r="W18" s="49">
        <f t="shared" si="11"/>
        <v>0.4617573817</v>
      </c>
      <c r="X18" s="49">
        <f t="shared" si="12"/>
        <v>0.4478833155</v>
      </c>
      <c r="Y18" s="49">
        <f t="shared" si="13"/>
        <v>0.09035930274</v>
      </c>
      <c r="Z18" s="32" t="str">
        <f t="shared" si="14"/>
        <v>Jango</v>
      </c>
      <c r="AA18" s="50" t="s">
        <v>77</v>
      </c>
      <c r="AB18" s="38">
        <v>4437.0</v>
      </c>
      <c r="AC18" s="48">
        <f t="shared" si="15"/>
        <v>1325</v>
      </c>
      <c r="AD18" s="51">
        <f t="shared" si="16"/>
        <v>0.7013748028</v>
      </c>
      <c r="AE18" s="113"/>
    </row>
    <row r="19">
      <c r="A19" s="24"/>
      <c r="B19" s="46" t="s">
        <v>475</v>
      </c>
      <c r="C19" s="47"/>
      <c r="D19" s="38">
        <v>1142.0</v>
      </c>
      <c r="E19" s="38">
        <v>794.0</v>
      </c>
      <c r="F19" s="38">
        <v>173.0</v>
      </c>
      <c r="G19" s="38">
        <v>88.0</v>
      </c>
      <c r="H19" s="38">
        <v>124.0</v>
      </c>
      <c r="I19" s="48">
        <f t="shared" si="3"/>
        <v>2109</v>
      </c>
      <c r="J19" s="48">
        <f t="shared" si="4"/>
        <v>2321</v>
      </c>
      <c r="K19" s="49">
        <f t="shared" si="5"/>
        <v>0.5414888573</v>
      </c>
      <c r="L19" s="49">
        <f t="shared" si="6"/>
        <v>0.3764817449</v>
      </c>
      <c r="M19" s="49">
        <f t="shared" si="7"/>
        <v>0.08202939782</v>
      </c>
      <c r="N19" s="32" t="str">
        <f t="shared" si="8"/>
        <v>Jânio</v>
      </c>
      <c r="O19" s="50" t="s">
        <v>77</v>
      </c>
      <c r="P19" s="38">
        <v>859.0</v>
      </c>
      <c r="Q19" s="38">
        <v>953.0</v>
      </c>
      <c r="R19" s="38">
        <v>279.0</v>
      </c>
      <c r="S19" s="38">
        <v>87.0</v>
      </c>
      <c r="T19" s="38">
        <v>143.0</v>
      </c>
      <c r="U19" s="48">
        <f t="shared" si="9"/>
        <v>2091</v>
      </c>
      <c r="V19" s="48">
        <f t="shared" si="10"/>
        <v>2321</v>
      </c>
      <c r="W19" s="49">
        <f t="shared" si="11"/>
        <v>0.4108082257</v>
      </c>
      <c r="X19" s="49">
        <f t="shared" si="12"/>
        <v>0.4557627929</v>
      </c>
      <c r="Y19" s="49">
        <f t="shared" si="13"/>
        <v>0.1334289813</v>
      </c>
      <c r="Z19" s="32" t="str">
        <f t="shared" si="14"/>
        <v>Milton</v>
      </c>
      <c r="AA19" s="50" t="s">
        <v>77</v>
      </c>
      <c r="AB19" s="38">
        <v>3023.0</v>
      </c>
      <c r="AC19" s="48">
        <f t="shared" si="15"/>
        <v>702</v>
      </c>
      <c r="AD19" s="51">
        <f t="shared" si="16"/>
        <v>0.7677803506</v>
      </c>
      <c r="AE19" s="113"/>
    </row>
    <row r="20">
      <c r="A20" s="45" t="s">
        <v>92</v>
      </c>
      <c r="B20" s="46" t="s">
        <v>594</v>
      </c>
      <c r="C20" s="47"/>
      <c r="D20" s="38">
        <v>3089.0</v>
      </c>
      <c r="E20" s="38">
        <v>2469.0</v>
      </c>
      <c r="F20" s="38">
        <v>514.0</v>
      </c>
      <c r="G20" s="38">
        <v>277.0</v>
      </c>
      <c r="H20" s="38">
        <v>297.0</v>
      </c>
      <c r="I20" s="48">
        <f t="shared" si="3"/>
        <v>6072</v>
      </c>
      <c r="J20" s="48">
        <f t="shared" si="4"/>
        <v>6646</v>
      </c>
      <c r="K20" s="49">
        <f t="shared" si="5"/>
        <v>0.5087285903</v>
      </c>
      <c r="L20" s="49">
        <f t="shared" si="6"/>
        <v>0.4066205534</v>
      </c>
      <c r="M20" s="49">
        <f t="shared" si="7"/>
        <v>0.08465085639</v>
      </c>
      <c r="N20" s="32" t="str">
        <f t="shared" si="8"/>
        <v>Jânio</v>
      </c>
      <c r="O20" s="50" t="s">
        <v>77</v>
      </c>
      <c r="P20" s="38">
        <v>2642.0</v>
      </c>
      <c r="Q20" s="38">
        <v>1941.0</v>
      </c>
      <c r="R20" s="38">
        <v>1339.0</v>
      </c>
      <c r="S20" s="38">
        <v>543.0</v>
      </c>
      <c r="T20" s="38">
        <v>181.0</v>
      </c>
      <c r="U20" s="48">
        <f t="shared" si="9"/>
        <v>5922</v>
      </c>
      <c r="V20" s="48">
        <f t="shared" si="10"/>
        <v>6646</v>
      </c>
      <c r="W20" s="49">
        <f t="shared" si="11"/>
        <v>0.4461330632</v>
      </c>
      <c r="X20" s="49">
        <f t="shared" si="12"/>
        <v>0.3277608916</v>
      </c>
      <c r="Y20" s="49">
        <f t="shared" si="13"/>
        <v>0.2261060453</v>
      </c>
      <c r="Z20" s="32" t="str">
        <f t="shared" si="14"/>
        <v>Jango</v>
      </c>
      <c r="AA20" s="50" t="s">
        <v>77</v>
      </c>
      <c r="AB20" s="38">
        <v>7818.0</v>
      </c>
      <c r="AC20" s="48">
        <f t="shared" si="15"/>
        <v>1172</v>
      </c>
      <c r="AD20" s="51">
        <f t="shared" si="16"/>
        <v>0.850089537</v>
      </c>
      <c r="AE20" s="113"/>
    </row>
    <row r="21">
      <c r="A21" s="61" t="s">
        <v>94</v>
      </c>
      <c r="B21" s="46" t="s">
        <v>595</v>
      </c>
      <c r="C21" s="47"/>
      <c r="D21" s="38">
        <v>1172.0</v>
      </c>
      <c r="E21" s="38">
        <v>984.0</v>
      </c>
      <c r="F21" s="38">
        <v>194.0</v>
      </c>
      <c r="G21" s="38">
        <v>110.0</v>
      </c>
      <c r="H21" s="38">
        <v>82.0</v>
      </c>
      <c r="I21" s="48">
        <f t="shared" si="3"/>
        <v>2350</v>
      </c>
      <c r="J21" s="48">
        <f t="shared" si="4"/>
        <v>2542</v>
      </c>
      <c r="K21" s="49">
        <f t="shared" si="5"/>
        <v>0.4987234043</v>
      </c>
      <c r="L21" s="49">
        <f t="shared" si="6"/>
        <v>0.4187234043</v>
      </c>
      <c r="M21" s="49">
        <f t="shared" si="7"/>
        <v>0.08255319149</v>
      </c>
      <c r="N21" s="32" t="str">
        <f t="shared" si="8"/>
        <v>Jânio</v>
      </c>
      <c r="O21" s="50" t="s">
        <v>77</v>
      </c>
      <c r="P21" s="38">
        <v>1034.0</v>
      </c>
      <c r="Q21" s="38">
        <v>1059.0</v>
      </c>
      <c r="R21" s="38">
        <v>181.0</v>
      </c>
      <c r="S21" s="38">
        <v>208.0</v>
      </c>
      <c r="T21" s="38">
        <v>60.0</v>
      </c>
      <c r="U21" s="48">
        <f t="shared" si="9"/>
        <v>2274</v>
      </c>
      <c r="V21" s="48">
        <f t="shared" si="10"/>
        <v>2542</v>
      </c>
      <c r="W21" s="49">
        <f t="shared" si="11"/>
        <v>0.454705365</v>
      </c>
      <c r="X21" s="49">
        <f t="shared" si="12"/>
        <v>0.4656992084</v>
      </c>
      <c r="Y21" s="49">
        <f t="shared" si="13"/>
        <v>0.07959542656</v>
      </c>
      <c r="Z21" s="32" t="str">
        <f t="shared" si="14"/>
        <v>Milton</v>
      </c>
      <c r="AA21" s="50" t="s">
        <v>77</v>
      </c>
      <c r="AB21" s="38">
        <v>3269.0</v>
      </c>
      <c r="AC21" s="48">
        <f t="shared" si="15"/>
        <v>727</v>
      </c>
      <c r="AD21" s="51">
        <f t="shared" si="16"/>
        <v>0.7776078311</v>
      </c>
      <c r="AE21" s="113"/>
    </row>
    <row r="22">
      <c r="A22" s="23"/>
      <c r="B22" s="46" t="s">
        <v>596</v>
      </c>
      <c r="C22" s="47"/>
      <c r="D22" s="38">
        <v>596.0</v>
      </c>
      <c r="E22" s="38">
        <v>708.0</v>
      </c>
      <c r="F22" s="38">
        <v>150.0</v>
      </c>
      <c r="G22" s="38">
        <v>69.0</v>
      </c>
      <c r="H22" s="38">
        <v>73.0</v>
      </c>
      <c r="I22" s="48">
        <f t="shared" si="3"/>
        <v>1454</v>
      </c>
      <c r="J22" s="48">
        <f t="shared" si="4"/>
        <v>1596</v>
      </c>
      <c r="K22" s="49">
        <f t="shared" si="5"/>
        <v>0.4099037139</v>
      </c>
      <c r="L22" s="49">
        <f t="shared" si="6"/>
        <v>0.4869325997</v>
      </c>
      <c r="M22" s="49">
        <f t="shared" si="7"/>
        <v>0.1031636864</v>
      </c>
      <c r="N22" s="32" t="str">
        <f t="shared" si="8"/>
        <v>Mal. Lott</v>
      </c>
      <c r="O22" s="50" t="s">
        <v>77</v>
      </c>
      <c r="P22" s="38">
        <v>756.0</v>
      </c>
      <c r="Q22" s="38">
        <v>574.0</v>
      </c>
      <c r="R22" s="38">
        <v>81.0</v>
      </c>
      <c r="S22" s="38">
        <v>149.0</v>
      </c>
      <c r="T22" s="38">
        <v>36.0</v>
      </c>
      <c r="U22" s="48">
        <f t="shared" si="9"/>
        <v>1411</v>
      </c>
      <c r="V22" s="48">
        <f t="shared" si="10"/>
        <v>1596</v>
      </c>
      <c r="W22" s="49">
        <f t="shared" si="11"/>
        <v>0.5357902197</v>
      </c>
      <c r="X22" s="49">
        <f t="shared" si="12"/>
        <v>0.4068036853</v>
      </c>
      <c r="Y22" s="49">
        <f t="shared" si="13"/>
        <v>0.05740609497</v>
      </c>
      <c r="Z22" s="32" t="str">
        <f t="shared" si="14"/>
        <v>Jango</v>
      </c>
      <c r="AA22" s="50" t="s">
        <v>77</v>
      </c>
      <c r="AB22" s="38">
        <v>1991.0</v>
      </c>
      <c r="AC22" s="48">
        <f t="shared" si="15"/>
        <v>395</v>
      </c>
      <c r="AD22" s="51">
        <f t="shared" si="16"/>
        <v>0.8016072325</v>
      </c>
      <c r="AE22" s="113"/>
    </row>
    <row r="23">
      <c r="A23" s="24"/>
      <c r="B23" s="46" t="s">
        <v>184</v>
      </c>
      <c r="C23" s="47"/>
      <c r="D23" s="38">
        <v>419.0</v>
      </c>
      <c r="E23" s="38">
        <v>423.0</v>
      </c>
      <c r="F23" s="38">
        <v>93.0</v>
      </c>
      <c r="G23" s="38">
        <v>70.0</v>
      </c>
      <c r="H23" s="38">
        <v>47.0</v>
      </c>
      <c r="I23" s="48">
        <f t="shared" si="3"/>
        <v>935</v>
      </c>
      <c r="J23" s="48">
        <f t="shared" si="4"/>
        <v>1052</v>
      </c>
      <c r="K23" s="49">
        <f t="shared" si="5"/>
        <v>0.4481283422</v>
      </c>
      <c r="L23" s="49">
        <f t="shared" si="6"/>
        <v>0.4524064171</v>
      </c>
      <c r="M23" s="49">
        <f t="shared" si="7"/>
        <v>0.09946524064</v>
      </c>
      <c r="N23" s="32" t="str">
        <f t="shared" si="8"/>
        <v>Mal. Lott</v>
      </c>
      <c r="O23" s="50" t="s">
        <v>77</v>
      </c>
      <c r="P23" s="38">
        <v>377.0</v>
      </c>
      <c r="Q23" s="38">
        <v>366.0</v>
      </c>
      <c r="R23" s="38">
        <v>147.0</v>
      </c>
      <c r="S23" s="38">
        <v>139.0</v>
      </c>
      <c r="T23" s="38">
        <v>23.0</v>
      </c>
      <c r="U23" s="48">
        <f t="shared" si="9"/>
        <v>890</v>
      </c>
      <c r="V23" s="48">
        <f t="shared" si="10"/>
        <v>1052</v>
      </c>
      <c r="W23" s="49">
        <f t="shared" si="11"/>
        <v>0.4235955056</v>
      </c>
      <c r="X23" s="49">
        <f t="shared" si="12"/>
        <v>0.4112359551</v>
      </c>
      <c r="Y23" s="49">
        <f t="shared" si="13"/>
        <v>0.1651685393</v>
      </c>
      <c r="Z23" s="32" t="str">
        <f t="shared" si="14"/>
        <v>Jango</v>
      </c>
      <c r="AA23" s="50" t="s">
        <v>77</v>
      </c>
      <c r="AB23" s="38">
        <v>1366.0</v>
      </c>
      <c r="AC23" s="48">
        <f t="shared" si="15"/>
        <v>314</v>
      </c>
      <c r="AD23" s="51">
        <f t="shared" si="16"/>
        <v>0.7701317716</v>
      </c>
      <c r="AE23" s="113"/>
    </row>
    <row r="24">
      <c r="A24" s="61" t="s">
        <v>97</v>
      </c>
      <c r="B24" s="46" t="s">
        <v>597</v>
      </c>
      <c r="C24" s="47"/>
      <c r="D24" s="38">
        <v>1741.0</v>
      </c>
      <c r="E24" s="38">
        <v>1483.0</v>
      </c>
      <c r="F24" s="38">
        <v>261.0</v>
      </c>
      <c r="G24" s="38">
        <v>164.0</v>
      </c>
      <c r="H24" s="38">
        <v>145.0</v>
      </c>
      <c r="I24" s="48">
        <f t="shared" si="3"/>
        <v>3485</v>
      </c>
      <c r="J24" s="48">
        <f t="shared" si="4"/>
        <v>3794</v>
      </c>
      <c r="K24" s="49">
        <f t="shared" si="5"/>
        <v>0.4995695839</v>
      </c>
      <c r="L24" s="49">
        <f t="shared" si="6"/>
        <v>0.4255380201</v>
      </c>
      <c r="M24" s="49">
        <f t="shared" si="7"/>
        <v>0.07489239598</v>
      </c>
      <c r="N24" s="32" t="str">
        <f t="shared" si="8"/>
        <v>Jânio</v>
      </c>
      <c r="O24" s="50" t="s">
        <v>77</v>
      </c>
      <c r="P24" s="38">
        <v>1643.0</v>
      </c>
      <c r="Q24" s="38">
        <v>1550.0</v>
      </c>
      <c r="R24" s="38">
        <v>207.0</v>
      </c>
      <c r="S24" s="38">
        <v>315.0</v>
      </c>
      <c r="T24" s="38">
        <v>79.0</v>
      </c>
      <c r="U24" s="48">
        <f t="shared" si="9"/>
        <v>3400</v>
      </c>
      <c r="V24" s="48">
        <f t="shared" si="10"/>
        <v>3794</v>
      </c>
      <c r="W24" s="49">
        <f t="shared" si="11"/>
        <v>0.4832352941</v>
      </c>
      <c r="X24" s="49">
        <f t="shared" si="12"/>
        <v>0.4558823529</v>
      </c>
      <c r="Y24" s="49">
        <f t="shared" si="13"/>
        <v>0.06088235294</v>
      </c>
      <c r="Z24" s="32" t="str">
        <f t="shared" si="14"/>
        <v>Jango</v>
      </c>
      <c r="AA24" s="50" t="s">
        <v>77</v>
      </c>
      <c r="AB24" s="38">
        <v>4431.0</v>
      </c>
      <c r="AC24" s="48">
        <f t="shared" si="15"/>
        <v>637</v>
      </c>
      <c r="AD24" s="51">
        <f t="shared" si="16"/>
        <v>0.8562401264</v>
      </c>
      <c r="AE24" s="113"/>
    </row>
    <row r="25">
      <c r="A25" s="24"/>
      <c r="B25" s="46" t="s">
        <v>598</v>
      </c>
      <c r="C25" s="47"/>
      <c r="D25" s="38">
        <v>529.0</v>
      </c>
      <c r="E25" s="38">
        <v>291.0</v>
      </c>
      <c r="F25" s="38">
        <v>107.0</v>
      </c>
      <c r="G25" s="38">
        <v>35.0</v>
      </c>
      <c r="H25" s="38">
        <v>37.0</v>
      </c>
      <c r="I25" s="48">
        <f t="shared" si="3"/>
        <v>927</v>
      </c>
      <c r="J25" s="48">
        <f t="shared" si="4"/>
        <v>999</v>
      </c>
      <c r="K25" s="49">
        <f t="shared" si="5"/>
        <v>0.5706580367</v>
      </c>
      <c r="L25" s="49">
        <f t="shared" si="6"/>
        <v>0.3139158576</v>
      </c>
      <c r="M25" s="49">
        <f t="shared" si="7"/>
        <v>0.1154261057</v>
      </c>
      <c r="N25" s="32" t="str">
        <f t="shared" si="8"/>
        <v>Jânio</v>
      </c>
      <c r="O25" s="50" t="s">
        <v>77</v>
      </c>
      <c r="P25" s="38">
        <v>338.0</v>
      </c>
      <c r="Q25" s="38">
        <v>465.0</v>
      </c>
      <c r="R25" s="38">
        <v>93.0</v>
      </c>
      <c r="S25" s="38">
        <v>81.0</v>
      </c>
      <c r="T25" s="38">
        <v>22.0</v>
      </c>
      <c r="U25" s="48">
        <f t="shared" si="9"/>
        <v>896</v>
      </c>
      <c r="V25" s="48">
        <f t="shared" si="10"/>
        <v>999</v>
      </c>
      <c r="W25" s="49">
        <f t="shared" si="11"/>
        <v>0.3772321429</v>
      </c>
      <c r="X25" s="49">
        <f t="shared" si="12"/>
        <v>0.5189732143</v>
      </c>
      <c r="Y25" s="49">
        <f t="shared" si="13"/>
        <v>0.1037946429</v>
      </c>
      <c r="Z25" s="32" t="str">
        <f t="shared" si="14"/>
        <v>Milton</v>
      </c>
      <c r="AA25" s="50" t="s">
        <v>77</v>
      </c>
      <c r="AB25" s="38">
        <v>1091.0</v>
      </c>
      <c r="AC25" s="48">
        <f t="shared" si="15"/>
        <v>92</v>
      </c>
      <c r="AD25" s="51">
        <f t="shared" si="16"/>
        <v>0.9156736939</v>
      </c>
      <c r="AE25" s="113"/>
    </row>
    <row r="26">
      <c r="A26" s="61" t="s">
        <v>99</v>
      </c>
      <c r="B26" s="46" t="s">
        <v>599</v>
      </c>
      <c r="C26" s="47"/>
      <c r="D26" s="38">
        <v>541.0</v>
      </c>
      <c r="E26" s="38">
        <v>485.0</v>
      </c>
      <c r="F26" s="38">
        <v>96.0</v>
      </c>
      <c r="G26" s="38">
        <v>31.0</v>
      </c>
      <c r="H26" s="38">
        <v>40.0</v>
      </c>
      <c r="I26" s="48">
        <f t="shared" si="3"/>
        <v>1122</v>
      </c>
      <c r="J26" s="48">
        <f t="shared" si="4"/>
        <v>1193</v>
      </c>
      <c r="K26" s="49">
        <f t="shared" si="5"/>
        <v>0.4821746881</v>
      </c>
      <c r="L26" s="49">
        <f t="shared" si="6"/>
        <v>0.4322638146</v>
      </c>
      <c r="M26" s="49">
        <f t="shared" si="7"/>
        <v>0.08556149733</v>
      </c>
      <c r="N26" s="32" t="str">
        <f t="shared" si="8"/>
        <v>Jânio</v>
      </c>
      <c r="O26" s="50" t="s">
        <v>77</v>
      </c>
      <c r="P26" s="38">
        <v>481.0</v>
      </c>
      <c r="Q26" s="38">
        <v>546.0</v>
      </c>
      <c r="R26" s="38">
        <v>57.0</v>
      </c>
      <c r="S26" s="38">
        <v>77.0</v>
      </c>
      <c r="T26" s="38">
        <v>32.0</v>
      </c>
      <c r="U26" s="48">
        <f t="shared" si="9"/>
        <v>1084</v>
      </c>
      <c r="V26" s="48">
        <f t="shared" si="10"/>
        <v>1193</v>
      </c>
      <c r="W26" s="49">
        <f t="shared" si="11"/>
        <v>0.4437269373</v>
      </c>
      <c r="X26" s="49">
        <f t="shared" si="12"/>
        <v>0.5036900369</v>
      </c>
      <c r="Y26" s="49">
        <f t="shared" si="13"/>
        <v>0.05258302583</v>
      </c>
      <c r="Z26" s="32" t="str">
        <f t="shared" si="14"/>
        <v>Milton</v>
      </c>
      <c r="AA26" s="50" t="s">
        <v>77</v>
      </c>
      <c r="AB26" s="38">
        <v>2425.0</v>
      </c>
      <c r="AC26" s="48">
        <f t="shared" si="15"/>
        <v>1232</v>
      </c>
      <c r="AD26" s="51">
        <f t="shared" si="16"/>
        <v>0.4919587629</v>
      </c>
      <c r="AE26" s="113"/>
    </row>
    <row r="27">
      <c r="A27" s="23"/>
      <c r="B27" s="46" t="s">
        <v>600</v>
      </c>
      <c r="C27" s="47"/>
      <c r="D27" s="38">
        <v>456.0</v>
      </c>
      <c r="E27" s="38">
        <v>269.0</v>
      </c>
      <c r="F27" s="38">
        <v>138.0</v>
      </c>
      <c r="G27" s="38">
        <v>32.0</v>
      </c>
      <c r="H27" s="38">
        <v>28.0</v>
      </c>
      <c r="I27" s="48">
        <f t="shared" si="3"/>
        <v>863</v>
      </c>
      <c r="J27" s="48">
        <f t="shared" si="4"/>
        <v>923</v>
      </c>
      <c r="K27" s="49">
        <f t="shared" si="5"/>
        <v>0.5283893395</v>
      </c>
      <c r="L27" s="49">
        <f t="shared" si="6"/>
        <v>0.3117033604</v>
      </c>
      <c r="M27" s="49">
        <f t="shared" si="7"/>
        <v>0.1599073001</v>
      </c>
      <c r="N27" s="32" t="str">
        <f t="shared" si="8"/>
        <v>Jânio</v>
      </c>
      <c r="O27" s="50" t="s">
        <v>77</v>
      </c>
      <c r="P27" s="38">
        <v>313.0</v>
      </c>
      <c r="Q27" s="38">
        <v>465.0</v>
      </c>
      <c r="R27" s="38">
        <v>61.0</v>
      </c>
      <c r="S27" s="38">
        <v>72.0</v>
      </c>
      <c r="T27" s="38">
        <v>12.0</v>
      </c>
      <c r="U27" s="48">
        <f t="shared" si="9"/>
        <v>839</v>
      </c>
      <c r="V27" s="48">
        <f t="shared" si="10"/>
        <v>923</v>
      </c>
      <c r="W27" s="49">
        <f t="shared" si="11"/>
        <v>0.3730631704</v>
      </c>
      <c r="X27" s="49">
        <f t="shared" si="12"/>
        <v>0.5542312277</v>
      </c>
      <c r="Y27" s="49">
        <f t="shared" si="13"/>
        <v>0.07270560191</v>
      </c>
      <c r="Z27" s="32" t="str">
        <f t="shared" si="14"/>
        <v>Milton</v>
      </c>
      <c r="AA27" s="50" t="s">
        <v>77</v>
      </c>
      <c r="AB27" s="38">
        <v>1200.0</v>
      </c>
      <c r="AC27" s="48">
        <f t="shared" si="15"/>
        <v>277</v>
      </c>
      <c r="AD27" s="51">
        <f t="shared" si="16"/>
        <v>0.7691666667</v>
      </c>
      <c r="AE27" s="113"/>
    </row>
    <row r="28">
      <c r="A28" s="24"/>
      <c r="B28" s="46" t="s">
        <v>601</v>
      </c>
      <c r="C28" s="47"/>
      <c r="D28" s="38">
        <v>363.0</v>
      </c>
      <c r="E28" s="38">
        <v>276.0</v>
      </c>
      <c r="F28" s="38">
        <v>137.0</v>
      </c>
      <c r="G28" s="38">
        <v>45.0</v>
      </c>
      <c r="H28" s="38">
        <v>49.0</v>
      </c>
      <c r="I28" s="48">
        <f t="shared" si="3"/>
        <v>776</v>
      </c>
      <c r="J28" s="48">
        <f t="shared" si="4"/>
        <v>870</v>
      </c>
      <c r="K28" s="49">
        <f t="shared" si="5"/>
        <v>0.4677835052</v>
      </c>
      <c r="L28" s="49">
        <f t="shared" si="6"/>
        <v>0.3556701031</v>
      </c>
      <c r="M28" s="49">
        <f t="shared" si="7"/>
        <v>0.1765463918</v>
      </c>
      <c r="N28" s="32" t="str">
        <f t="shared" si="8"/>
        <v>Jânio</v>
      </c>
      <c r="O28" s="50" t="s">
        <v>77</v>
      </c>
      <c r="P28" s="38">
        <v>328.0</v>
      </c>
      <c r="Q28" s="38">
        <v>289.0</v>
      </c>
      <c r="R28" s="38">
        <v>59.0</v>
      </c>
      <c r="S28" s="38">
        <v>156.0</v>
      </c>
      <c r="T28" s="38">
        <v>38.0</v>
      </c>
      <c r="U28" s="48">
        <f t="shared" si="9"/>
        <v>676</v>
      </c>
      <c r="V28" s="48">
        <f t="shared" si="10"/>
        <v>870</v>
      </c>
      <c r="W28" s="49">
        <f t="shared" si="11"/>
        <v>0.4852071006</v>
      </c>
      <c r="X28" s="49">
        <f t="shared" si="12"/>
        <v>0.4275147929</v>
      </c>
      <c r="Y28" s="49">
        <f t="shared" si="13"/>
        <v>0.08727810651</v>
      </c>
      <c r="Z28" s="32" t="str">
        <f t="shared" si="14"/>
        <v>Jango</v>
      </c>
      <c r="AA28" s="50" t="s">
        <v>77</v>
      </c>
      <c r="AB28" s="38">
        <v>1134.0</v>
      </c>
      <c r="AC28" s="48">
        <f t="shared" si="15"/>
        <v>264</v>
      </c>
      <c r="AD28" s="51">
        <f t="shared" si="16"/>
        <v>0.7671957672</v>
      </c>
      <c r="AE28" s="113"/>
    </row>
    <row r="29">
      <c r="A29" s="61" t="s">
        <v>104</v>
      </c>
      <c r="B29" s="46" t="s">
        <v>602</v>
      </c>
      <c r="C29" s="47"/>
      <c r="D29" s="38">
        <v>1308.0</v>
      </c>
      <c r="E29" s="38">
        <v>1113.0</v>
      </c>
      <c r="F29" s="38">
        <v>252.0</v>
      </c>
      <c r="G29" s="38">
        <v>151.0</v>
      </c>
      <c r="H29" s="38">
        <v>104.0</v>
      </c>
      <c r="I29" s="48">
        <f t="shared" si="3"/>
        <v>2673</v>
      </c>
      <c r="J29" s="48">
        <f t="shared" si="4"/>
        <v>2928</v>
      </c>
      <c r="K29" s="49">
        <f t="shared" si="5"/>
        <v>0.4893378227</v>
      </c>
      <c r="L29" s="49">
        <f t="shared" si="6"/>
        <v>0.4163860831</v>
      </c>
      <c r="M29" s="49">
        <f t="shared" si="7"/>
        <v>0.09427609428</v>
      </c>
      <c r="N29" s="32" t="str">
        <f t="shared" si="8"/>
        <v>Jânio</v>
      </c>
      <c r="O29" s="50" t="s">
        <v>77</v>
      </c>
      <c r="P29" s="38">
        <v>1091.0</v>
      </c>
      <c r="Q29" s="38">
        <v>1173.0</v>
      </c>
      <c r="R29" s="38">
        <v>339.0</v>
      </c>
      <c r="S29" s="38">
        <v>263.0</v>
      </c>
      <c r="T29" s="38">
        <v>62.0</v>
      </c>
      <c r="U29" s="48">
        <f t="shared" si="9"/>
        <v>2603</v>
      </c>
      <c r="V29" s="48">
        <f t="shared" si="10"/>
        <v>2928</v>
      </c>
      <c r="W29" s="49">
        <f t="shared" si="11"/>
        <v>0.419131771</v>
      </c>
      <c r="X29" s="49">
        <f t="shared" si="12"/>
        <v>0.450633884</v>
      </c>
      <c r="Y29" s="49">
        <f t="shared" si="13"/>
        <v>0.130234345</v>
      </c>
      <c r="Z29" s="32" t="str">
        <f t="shared" si="14"/>
        <v>Milton</v>
      </c>
      <c r="AA29" s="50" t="s">
        <v>77</v>
      </c>
      <c r="AB29" s="38">
        <v>3449.0</v>
      </c>
      <c r="AC29" s="48">
        <f t="shared" si="15"/>
        <v>521</v>
      </c>
      <c r="AD29" s="51">
        <f t="shared" si="16"/>
        <v>0.8489417222</v>
      </c>
      <c r="AE29" s="113"/>
    </row>
    <row r="30">
      <c r="A30" s="23"/>
      <c r="B30" s="46" t="s">
        <v>603</v>
      </c>
      <c r="C30" s="47"/>
      <c r="D30" s="38">
        <v>468.0</v>
      </c>
      <c r="E30" s="38">
        <v>176.0</v>
      </c>
      <c r="F30" s="38">
        <v>92.0</v>
      </c>
      <c r="G30" s="38">
        <v>59.0</v>
      </c>
      <c r="H30" s="38">
        <v>29.0</v>
      </c>
      <c r="I30" s="48">
        <f t="shared" si="3"/>
        <v>736</v>
      </c>
      <c r="J30" s="48">
        <f t="shared" si="4"/>
        <v>824</v>
      </c>
      <c r="K30" s="49">
        <f t="shared" si="5"/>
        <v>0.6358695652</v>
      </c>
      <c r="L30" s="49">
        <f t="shared" si="6"/>
        <v>0.2391304348</v>
      </c>
      <c r="M30" s="49">
        <f t="shared" si="7"/>
        <v>0.125</v>
      </c>
      <c r="N30" s="32" t="str">
        <f t="shared" si="8"/>
        <v>Jânio</v>
      </c>
      <c r="O30" s="50" t="s">
        <v>77</v>
      </c>
      <c r="P30" s="38">
        <v>193.0</v>
      </c>
      <c r="Q30" s="38">
        <v>377.0</v>
      </c>
      <c r="R30" s="38">
        <v>140.0</v>
      </c>
      <c r="S30" s="38">
        <v>95.0</v>
      </c>
      <c r="T30" s="38">
        <v>19.0</v>
      </c>
      <c r="U30" s="48">
        <f t="shared" si="9"/>
        <v>710</v>
      </c>
      <c r="V30" s="48">
        <f t="shared" si="10"/>
        <v>824</v>
      </c>
      <c r="W30" s="49">
        <f t="shared" si="11"/>
        <v>0.2718309859</v>
      </c>
      <c r="X30" s="49">
        <f t="shared" si="12"/>
        <v>0.5309859155</v>
      </c>
      <c r="Y30" s="49">
        <f t="shared" si="13"/>
        <v>0.1971830986</v>
      </c>
      <c r="Z30" s="32" t="str">
        <f t="shared" si="14"/>
        <v>Milton</v>
      </c>
      <c r="AA30" s="50" t="s">
        <v>77</v>
      </c>
      <c r="AB30" s="38">
        <v>1039.0</v>
      </c>
      <c r="AC30" s="48">
        <f t="shared" si="15"/>
        <v>215</v>
      </c>
      <c r="AD30" s="51">
        <f t="shared" si="16"/>
        <v>0.7930702599</v>
      </c>
      <c r="AE30" s="113"/>
    </row>
    <row r="31">
      <c r="A31" s="23"/>
      <c r="B31" s="46" t="s">
        <v>604</v>
      </c>
      <c r="C31" s="47"/>
      <c r="D31" s="38">
        <v>718.0</v>
      </c>
      <c r="E31" s="38">
        <v>535.0</v>
      </c>
      <c r="F31" s="38">
        <v>149.0</v>
      </c>
      <c r="G31" s="38">
        <v>324.0</v>
      </c>
      <c r="H31" s="38">
        <v>51.0</v>
      </c>
      <c r="I31" s="48">
        <f t="shared" si="3"/>
        <v>1402</v>
      </c>
      <c r="J31" s="48">
        <f t="shared" si="4"/>
        <v>1777</v>
      </c>
      <c r="K31" s="49">
        <f t="shared" si="5"/>
        <v>0.512125535</v>
      </c>
      <c r="L31" s="49">
        <f t="shared" si="6"/>
        <v>0.3815977175</v>
      </c>
      <c r="M31" s="49">
        <f t="shared" si="7"/>
        <v>0.1062767475</v>
      </c>
      <c r="N31" s="32" t="str">
        <f t="shared" si="8"/>
        <v>Jânio</v>
      </c>
      <c r="O31" s="50" t="s">
        <v>77</v>
      </c>
      <c r="P31" s="38">
        <v>529.0</v>
      </c>
      <c r="Q31" s="38">
        <v>658.0</v>
      </c>
      <c r="R31" s="38">
        <v>148.0</v>
      </c>
      <c r="S31" s="38">
        <v>413.0</v>
      </c>
      <c r="T31" s="38">
        <v>29.0</v>
      </c>
      <c r="U31" s="48">
        <f t="shared" si="9"/>
        <v>1335</v>
      </c>
      <c r="V31" s="48">
        <f t="shared" si="10"/>
        <v>1777</v>
      </c>
      <c r="W31" s="49">
        <f t="shared" si="11"/>
        <v>0.3962546816</v>
      </c>
      <c r="X31" s="49">
        <f t="shared" si="12"/>
        <v>0.4928838951</v>
      </c>
      <c r="Y31" s="49">
        <f t="shared" si="13"/>
        <v>0.1108614232</v>
      </c>
      <c r="Z31" s="32" t="str">
        <f t="shared" si="14"/>
        <v>Milton</v>
      </c>
      <c r="AA31" s="50" t="s">
        <v>77</v>
      </c>
      <c r="AB31" s="38">
        <v>2194.0</v>
      </c>
      <c r="AC31" s="48">
        <f t="shared" si="15"/>
        <v>417</v>
      </c>
      <c r="AD31" s="51">
        <f t="shared" si="16"/>
        <v>0.8099361896</v>
      </c>
      <c r="AE31" s="113"/>
    </row>
    <row r="32">
      <c r="A32" s="24"/>
      <c r="B32" s="46" t="s">
        <v>605</v>
      </c>
      <c r="C32" s="47"/>
      <c r="D32" s="38">
        <v>593.0</v>
      </c>
      <c r="E32" s="38">
        <v>627.0</v>
      </c>
      <c r="F32" s="38">
        <v>109.0</v>
      </c>
      <c r="G32" s="38">
        <v>154.0</v>
      </c>
      <c r="H32" s="38">
        <v>43.0</v>
      </c>
      <c r="I32" s="48">
        <f t="shared" si="3"/>
        <v>1329</v>
      </c>
      <c r="J32" s="48">
        <f t="shared" si="4"/>
        <v>1526</v>
      </c>
      <c r="K32" s="49">
        <f t="shared" si="5"/>
        <v>0.4462001505</v>
      </c>
      <c r="L32" s="49">
        <f t="shared" si="6"/>
        <v>0.4717832957</v>
      </c>
      <c r="M32" s="49">
        <f t="shared" si="7"/>
        <v>0.0820165538</v>
      </c>
      <c r="N32" s="32" t="str">
        <f t="shared" si="8"/>
        <v>Mal. Lott</v>
      </c>
      <c r="O32" s="50" t="s">
        <v>77</v>
      </c>
      <c r="P32" s="38">
        <v>654.0</v>
      </c>
      <c r="Q32" s="38">
        <v>518.0</v>
      </c>
      <c r="R32" s="38">
        <v>116.0</v>
      </c>
      <c r="S32" s="38">
        <v>210.0</v>
      </c>
      <c r="T32" s="38">
        <v>28.0</v>
      </c>
      <c r="U32" s="48">
        <f t="shared" si="9"/>
        <v>1288</v>
      </c>
      <c r="V32" s="48">
        <f t="shared" si="10"/>
        <v>1526</v>
      </c>
      <c r="W32" s="49">
        <f t="shared" si="11"/>
        <v>0.5077639752</v>
      </c>
      <c r="X32" s="49">
        <f t="shared" si="12"/>
        <v>0.402173913</v>
      </c>
      <c r="Y32" s="49">
        <f t="shared" si="13"/>
        <v>0.0900621118</v>
      </c>
      <c r="Z32" s="32" t="str">
        <f t="shared" si="14"/>
        <v>Jango</v>
      </c>
      <c r="AA32" s="50" t="s">
        <v>77</v>
      </c>
      <c r="AB32" s="38">
        <v>1737.0</v>
      </c>
      <c r="AC32" s="48">
        <f t="shared" si="15"/>
        <v>211</v>
      </c>
      <c r="AD32" s="51">
        <f t="shared" si="16"/>
        <v>0.8785261946</v>
      </c>
      <c r="AE32" s="113"/>
    </row>
    <row r="33">
      <c r="A33" s="61" t="s">
        <v>107</v>
      </c>
      <c r="B33" s="46" t="s">
        <v>606</v>
      </c>
      <c r="C33" s="47"/>
      <c r="D33" s="38">
        <v>756.0</v>
      </c>
      <c r="E33" s="38">
        <v>997.0</v>
      </c>
      <c r="F33" s="38">
        <v>128.0</v>
      </c>
      <c r="G33" s="38">
        <v>65.0</v>
      </c>
      <c r="H33" s="38">
        <v>85.0</v>
      </c>
      <c r="I33" s="48">
        <f t="shared" si="3"/>
        <v>1881</v>
      </c>
      <c r="J33" s="48">
        <f t="shared" si="4"/>
        <v>2031</v>
      </c>
      <c r="K33" s="49">
        <f t="shared" si="5"/>
        <v>0.4019138756</v>
      </c>
      <c r="L33" s="49">
        <f t="shared" si="6"/>
        <v>0.5300372142</v>
      </c>
      <c r="M33" s="49">
        <f t="shared" si="7"/>
        <v>0.06804891015</v>
      </c>
      <c r="N33" s="32" t="str">
        <f t="shared" si="8"/>
        <v>Mal. Lott</v>
      </c>
      <c r="O33" s="50" t="s">
        <v>77</v>
      </c>
      <c r="P33" s="38">
        <v>1012.0</v>
      </c>
      <c r="Q33" s="38">
        <v>732.0</v>
      </c>
      <c r="R33" s="38">
        <v>123.0</v>
      </c>
      <c r="S33" s="38">
        <v>106.0</v>
      </c>
      <c r="T33" s="38">
        <v>58.0</v>
      </c>
      <c r="U33" s="48">
        <f t="shared" si="9"/>
        <v>1867</v>
      </c>
      <c r="V33" s="48">
        <f t="shared" si="10"/>
        <v>2031</v>
      </c>
      <c r="W33" s="49">
        <f t="shared" si="11"/>
        <v>0.5420460632</v>
      </c>
      <c r="X33" s="49">
        <f t="shared" si="12"/>
        <v>0.3920728441</v>
      </c>
      <c r="Y33" s="49">
        <f t="shared" si="13"/>
        <v>0.06588109266</v>
      </c>
      <c r="Z33" s="32" t="str">
        <f t="shared" si="14"/>
        <v>Jango</v>
      </c>
      <c r="AA33" s="50" t="s">
        <v>77</v>
      </c>
      <c r="AB33" s="38">
        <v>3164.0</v>
      </c>
      <c r="AC33" s="48">
        <f t="shared" si="15"/>
        <v>1133</v>
      </c>
      <c r="AD33" s="51">
        <f t="shared" si="16"/>
        <v>0.641908976</v>
      </c>
      <c r="AE33" s="113"/>
    </row>
    <row r="34">
      <c r="A34" s="23"/>
      <c r="B34" s="46" t="s">
        <v>607</v>
      </c>
      <c r="C34" s="47"/>
      <c r="D34" s="38">
        <v>333.0</v>
      </c>
      <c r="E34" s="38">
        <v>77.0</v>
      </c>
      <c r="F34" s="38">
        <v>7.0</v>
      </c>
      <c r="G34" s="38">
        <v>8.0</v>
      </c>
      <c r="H34" s="38">
        <v>9.0</v>
      </c>
      <c r="I34" s="48">
        <f t="shared" si="3"/>
        <v>417</v>
      </c>
      <c r="J34" s="48">
        <f t="shared" si="4"/>
        <v>434</v>
      </c>
      <c r="K34" s="49">
        <f t="shared" si="5"/>
        <v>0.7985611511</v>
      </c>
      <c r="L34" s="49">
        <f t="shared" si="6"/>
        <v>0.1846522782</v>
      </c>
      <c r="M34" s="49">
        <f t="shared" si="7"/>
        <v>0.01678657074</v>
      </c>
      <c r="N34" s="32" t="str">
        <f t="shared" si="8"/>
        <v>Jânio</v>
      </c>
      <c r="O34" s="50" t="s">
        <v>77</v>
      </c>
      <c r="P34" s="38">
        <v>75.0</v>
      </c>
      <c r="Q34" s="38">
        <v>329.0</v>
      </c>
      <c r="R34" s="38">
        <v>7.0</v>
      </c>
      <c r="S34" s="38">
        <v>12.0</v>
      </c>
      <c r="T34" s="38">
        <v>11.0</v>
      </c>
      <c r="U34" s="48">
        <f t="shared" si="9"/>
        <v>411</v>
      </c>
      <c r="V34" s="48">
        <f t="shared" si="10"/>
        <v>434</v>
      </c>
      <c r="W34" s="49">
        <f t="shared" si="11"/>
        <v>0.1824817518</v>
      </c>
      <c r="X34" s="49">
        <f t="shared" si="12"/>
        <v>0.800486618</v>
      </c>
      <c r="Y34" s="49">
        <f t="shared" si="13"/>
        <v>0.01703163017</v>
      </c>
      <c r="Z34" s="32" t="str">
        <f t="shared" si="14"/>
        <v>Milton</v>
      </c>
      <c r="AA34" s="50" t="s">
        <v>77</v>
      </c>
      <c r="AB34" s="38">
        <v>534.0</v>
      </c>
      <c r="AC34" s="48">
        <f t="shared" si="15"/>
        <v>100</v>
      </c>
      <c r="AD34" s="51">
        <f t="shared" si="16"/>
        <v>0.8127340824</v>
      </c>
      <c r="AE34" s="113"/>
    </row>
    <row r="35">
      <c r="A35" s="24"/>
      <c r="B35" s="46" t="s">
        <v>608</v>
      </c>
      <c r="C35" s="47"/>
      <c r="D35" s="38">
        <v>783.0</v>
      </c>
      <c r="E35" s="38">
        <v>544.0</v>
      </c>
      <c r="F35" s="38">
        <v>75.0</v>
      </c>
      <c r="G35" s="38">
        <v>83.0</v>
      </c>
      <c r="H35" s="38">
        <v>59.0</v>
      </c>
      <c r="I35" s="48">
        <f t="shared" si="3"/>
        <v>1402</v>
      </c>
      <c r="J35" s="48">
        <f t="shared" si="4"/>
        <v>1544</v>
      </c>
      <c r="K35" s="49">
        <f t="shared" si="5"/>
        <v>0.5584878745</v>
      </c>
      <c r="L35" s="49">
        <f t="shared" si="6"/>
        <v>0.3880171184</v>
      </c>
      <c r="M35" s="49">
        <f t="shared" si="7"/>
        <v>0.05349500713</v>
      </c>
      <c r="N35" s="32" t="str">
        <f t="shared" si="8"/>
        <v>Jânio</v>
      </c>
      <c r="O35" s="50" t="s">
        <v>77</v>
      </c>
      <c r="P35" s="38">
        <v>610.0</v>
      </c>
      <c r="Q35" s="38">
        <v>700.0</v>
      </c>
      <c r="R35" s="38">
        <v>61.0</v>
      </c>
      <c r="S35" s="38">
        <v>133.0</v>
      </c>
      <c r="T35" s="38">
        <v>40.0</v>
      </c>
      <c r="U35" s="48">
        <f t="shared" si="9"/>
        <v>1371</v>
      </c>
      <c r="V35" s="48">
        <f t="shared" si="10"/>
        <v>1544</v>
      </c>
      <c r="W35" s="49">
        <f t="shared" si="11"/>
        <v>0.4449307075</v>
      </c>
      <c r="X35" s="49">
        <f t="shared" si="12"/>
        <v>0.5105762217</v>
      </c>
      <c r="Y35" s="49">
        <f t="shared" si="13"/>
        <v>0.04449307075</v>
      </c>
      <c r="Z35" s="32" t="str">
        <f t="shared" si="14"/>
        <v>Milton</v>
      </c>
      <c r="AA35" s="50" t="s">
        <v>77</v>
      </c>
      <c r="AB35" s="38">
        <v>2578.0</v>
      </c>
      <c r="AC35" s="48">
        <f t="shared" si="15"/>
        <v>1034</v>
      </c>
      <c r="AD35" s="51">
        <f t="shared" si="16"/>
        <v>0.5989138867</v>
      </c>
      <c r="AE35" s="113"/>
    </row>
    <row r="36">
      <c r="A36" s="61" t="s">
        <v>111</v>
      </c>
      <c r="B36" s="46" t="s">
        <v>609</v>
      </c>
      <c r="C36" s="47"/>
      <c r="D36" s="38">
        <v>2071.0</v>
      </c>
      <c r="E36" s="38">
        <v>1565.0</v>
      </c>
      <c r="F36" s="38">
        <v>232.0</v>
      </c>
      <c r="G36" s="38">
        <v>231.0</v>
      </c>
      <c r="H36" s="38">
        <v>136.0</v>
      </c>
      <c r="I36" s="48">
        <f t="shared" si="3"/>
        <v>3868</v>
      </c>
      <c r="J36" s="48">
        <f t="shared" si="4"/>
        <v>4235</v>
      </c>
      <c r="K36" s="49">
        <f t="shared" si="5"/>
        <v>0.5354188211</v>
      </c>
      <c r="L36" s="49">
        <f t="shared" si="6"/>
        <v>0.4046018614</v>
      </c>
      <c r="M36" s="49">
        <f t="shared" si="7"/>
        <v>0.05997931748</v>
      </c>
      <c r="N36" s="32" t="str">
        <f t="shared" si="8"/>
        <v>Jânio</v>
      </c>
      <c r="O36" s="50" t="s">
        <v>77</v>
      </c>
      <c r="P36" s="38">
        <v>1613.0</v>
      </c>
      <c r="Q36" s="38">
        <v>1935.0</v>
      </c>
      <c r="R36" s="38">
        <v>224.0</v>
      </c>
      <c r="S36" s="38">
        <v>363.0</v>
      </c>
      <c r="T36" s="38">
        <v>100.0</v>
      </c>
      <c r="U36" s="48">
        <f t="shared" si="9"/>
        <v>3772</v>
      </c>
      <c r="V36" s="48">
        <f t="shared" si="10"/>
        <v>4235</v>
      </c>
      <c r="W36" s="49">
        <f t="shared" si="11"/>
        <v>0.4276246023</v>
      </c>
      <c r="X36" s="49">
        <f t="shared" si="12"/>
        <v>0.512990456</v>
      </c>
      <c r="Y36" s="49">
        <f t="shared" si="13"/>
        <v>0.05938494168</v>
      </c>
      <c r="Z36" s="32" t="str">
        <f t="shared" si="14"/>
        <v>Milton</v>
      </c>
      <c r="AA36" s="50" t="s">
        <v>77</v>
      </c>
      <c r="AB36" s="38">
        <v>5749.0</v>
      </c>
      <c r="AC36" s="48">
        <f t="shared" si="15"/>
        <v>1514</v>
      </c>
      <c r="AD36" s="51">
        <f t="shared" si="16"/>
        <v>0.7366498521</v>
      </c>
      <c r="AE36" s="113"/>
    </row>
    <row r="37">
      <c r="A37" s="24"/>
      <c r="B37" s="46" t="s">
        <v>610</v>
      </c>
      <c r="C37" s="47"/>
      <c r="D37" s="38">
        <v>515.0</v>
      </c>
      <c r="E37" s="38">
        <v>335.0</v>
      </c>
      <c r="F37" s="38">
        <v>93.0</v>
      </c>
      <c r="G37" s="38">
        <v>25.0</v>
      </c>
      <c r="H37" s="38">
        <v>29.0</v>
      </c>
      <c r="I37" s="48">
        <f t="shared" si="3"/>
        <v>943</v>
      </c>
      <c r="J37" s="48">
        <f t="shared" si="4"/>
        <v>997</v>
      </c>
      <c r="K37" s="49">
        <f t="shared" si="5"/>
        <v>0.5461293743</v>
      </c>
      <c r="L37" s="49">
        <f t="shared" si="6"/>
        <v>0.3552492047</v>
      </c>
      <c r="M37" s="49">
        <f t="shared" si="7"/>
        <v>0.098621421</v>
      </c>
      <c r="N37" s="32" t="str">
        <f t="shared" si="8"/>
        <v>Jânio</v>
      </c>
      <c r="O37" s="50" t="s">
        <v>77</v>
      </c>
      <c r="P37" s="38">
        <v>393.0</v>
      </c>
      <c r="Q37" s="38">
        <v>494.0</v>
      </c>
      <c r="R37" s="38">
        <v>43.0</v>
      </c>
      <c r="S37" s="38">
        <v>45.0</v>
      </c>
      <c r="T37" s="38">
        <v>22.0</v>
      </c>
      <c r="U37" s="48">
        <f t="shared" si="9"/>
        <v>930</v>
      </c>
      <c r="V37" s="48">
        <f t="shared" si="10"/>
        <v>997</v>
      </c>
      <c r="W37" s="49">
        <f t="shared" si="11"/>
        <v>0.4225806452</v>
      </c>
      <c r="X37" s="49">
        <f t="shared" si="12"/>
        <v>0.5311827957</v>
      </c>
      <c r="Y37" s="49">
        <f t="shared" si="13"/>
        <v>0.04623655914</v>
      </c>
      <c r="Z37" s="32" t="str">
        <f t="shared" si="14"/>
        <v>Milton</v>
      </c>
      <c r="AA37" s="50" t="s">
        <v>77</v>
      </c>
      <c r="AB37" s="38">
        <v>1255.0</v>
      </c>
      <c r="AC37" s="48">
        <f t="shared" si="15"/>
        <v>258</v>
      </c>
      <c r="AD37" s="51">
        <f t="shared" si="16"/>
        <v>0.7944223108</v>
      </c>
      <c r="AE37" s="113"/>
    </row>
    <row r="38">
      <c r="A38" s="45" t="s">
        <v>114</v>
      </c>
      <c r="B38" s="46" t="s">
        <v>611</v>
      </c>
      <c r="C38" s="47"/>
      <c r="D38" s="38">
        <v>1585.0</v>
      </c>
      <c r="E38" s="38">
        <v>2036.0</v>
      </c>
      <c r="F38" s="38">
        <v>375.0</v>
      </c>
      <c r="G38" s="38">
        <v>220.0</v>
      </c>
      <c r="H38" s="38">
        <v>194.0</v>
      </c>
      <c r="I38" s="48">
        <f t="shared" si="3"/>
        <v>3996</v>
      </c>
      <c r="J38" s="48">
        <f t="shared" si="4"/>
        <v>4410</v>
      </c>
      <c r="K38" s="49">
        <f t="shared" si="5"/>
        <v>0.3966466466</v>
      </c>
      <c r="L38" s="49">
        <f t="shared" si="6"/>
        <v>0.5095095095</v>
      </c>
      <c r="M38" s="49">
        <f t="shared" si="7"/>
        <v>0.09384384384</v>
      </c>
      <c r="N38" s="32" t="str">
        <f t="shared" si="8"/>
        <v>Mal. Lott</v>
      </c>
      <c r="O38" s="50" t="s">
        <v>77</v>
      </c>
      <c r="P38" s="38">
        <v>2115.0</v>
      </c>
      <c r="Q38" s="38">
        <v>1417.0</v>
      </c>
      <c r="R38" s="38">
        <v>331.0</v>
      </c>
      <c r="S38" s="38">
        <v>408.0</v>
      </c>
      <c r="T38" s="38">
        <v>139.0</v>
      </c>
      <c r="U38" s="48">
        <f t="shared" si="9"/>
        <v>3863</v>
      </c>
      <c r="V38" s="48">
        <f t="shared" si="10"/>
        <v>4410</v>
      </c>
      <c r="W38" s="49">
        <f t="shared" si="11"/>
        <v>0.5475019415</v>
      </c>
      <c r="X38" s="49">
        <f t="shared" si="12"/>
        <v>0.3668133575</v>
      </c>
      <c r="Y38" s="49">
        <f t="shared" si="13"/>
        <v>0.08568470101</v>
      </c>
      <c r="Z38" s="32" t="str">
        <f t="shared" si="14"/>
        <v>Jango</v>
      </c>
      <c r="AA38" s="50" t="s">
        <v>77</v>
      </c>
      <c r="AB38" s="38">
        <v>5693.0</v>
      </c>
      <c r="AC38" s="48">
        <f t="shared" si="15"/>
        <v>1283</v>
      </c>
      <c r="AD38" s="51">
        <f t="shared" si="16"/>
        <v>0.7746355173</v>
      </c>
      <c r="AE38" s="113"/>
    </row>
    <row r="39">
      <c r="A39" s="61" t="s">
        <v>117</v>
      </c>
      <c r="B39" s="46" t="s">
        <v>612</v>
      </c>
      <c r="C39" s="47"/>
      <c r="D39" s="38">
        <v>1430.0</v>
      </c>
      <c r="E39" s="38">
        <v>814.0</v>
      </c>
      <c r="F39" s="38">
        <v>196.0</v>
      </c>
      <c r="G39" s="38">
        <v>145.0</v>
      </c>
      <c r="H39" s="38">
        <v>112.0</v>
      </c>
      <c r="I39" s="48">
        <f t="shared" si="3"/>
        <v>2440</v>
      </c>
      <c r="J39" s="48">
        <f t="shared" si="4"/>
        <v>2697</v>
      </c>
      <c r="K39" s="49">
        <f t="shared" si="5"/>
        <v>0.5860655738</v>
      </c>
      <c r="L39" s="49">
        <f t="shared" si="6"/>
        <v>0.3336065574</v>
      </c>
      <c r="M39" s="49">
        <f t="shared" si="7"/>
        <v>0.08032786885</v>
      </c>
      <c r="N39" s="32" t="str">
        <f t="shared" si="8"/>
        <v>Jânio</v>
      </c>
      <c r="O39" s="50" t="s">
        <v>77</v>
      </c>
      <c r="P39" s="38">
        <v>847.0</v>
      </c>
      <c r="Q39" s="38">
        <v>1406.0</v>
      </c>
      <c r="R39" s="38">
        <v>158.0</v>
      </c>
      <c r="S39" s="38">
        <v>199.0</v>
      </c>
      <c r="T39" s="38">
        <v>87.0</v>
      </c>
      <c r="U39" s="48">
        <f t="shared" si="9"/>
        <v>2411</v>
      </c>
      <c r="V39" s="48">
        <f t="shared" si="10"/>
        <v>2697</v>
      </c>
      <c r="W39" s="49">
        <f t="shared" si="11"/>
        <v>0.3513065118</v>
      </c>
      <c r="X39" s="49">
        <f t="shared" si="12"/>
        <v>0.5831605143</v>
      </c>
      <c r="Y39" s="49">
        <f t="shared" si="13"/>
        <v>0.06553297387</v>
      </c>
      <c r="Z39" s="32" t="str">
        <f t="shared" si="14"/>
        <v>Milton</v>
      </c>
      <c r="AA39" s="50" t="s">
        <v>77</v>
      </c>
      <c r="AB39" s="38">
        <v>3421.0</v>
      </c>
      <c r="AC39" s="48">
        <f t="shared" si="15"/>
        <v>724</v>
      </c>
      <c r="AD39" s="51">
        <f t="shared" si="16"/>
        <v>0.7883659749</v>
      </c>
      <c r="AE39" s="113"/>
    </row>
    <row r="40">
      <c r="A40" s="24"/>
      <c r="B40" s="46" t="s">
        <v>613</v>
      </c>
      <c r="C40" s="47"/>
      <c r="D40" s="38">
        <v>464.0</v>
      </c>
      <c r="E40" s="38">
        <v>557.0</v>
      </c>
      <c r="F40" s="38">
        <v>41.0</v>
      </c>
      <c r="G40" s="38">
        <v>27.0</v>
      </c>
      <c r="H40" s="38">
        <v>18.0</v>
      </c>
      <c r="I40" s="48">
        <f t="shared" si="3"/>
        <v>1062</v>
      </c>
      <c r="J40" s="48">
        <f t="shared" si="4"/>
        <v>1107</v>
      </c>
      <c r="K40" s="49">
        <f t="shared" si="5"/>
        <v>0.4369114878</v>
      </c>
      <c r="L40" s="49">
        <f t="shared" si="6"/>
        <v>0.5244821092</v>
      </c>
      <c r="M40" s="49">
        <f t="shared" si="7"/>
        <v>0.03860640301</v>
      </c>
      <c r="N40" s="32" t="str">
        <f t="shared" si="8"/>
        <v>Mal. Lott</v>
      </c>
      <c r="O40" s="50" t="s">
        <v>77</v>
      </c>
      <c r="P40" s="38">
        <v>533.0</v>
      </c>
      <c r="Q40" s="38">
        <v>445.0</v>
      </c>
      <c r="R40" s="38">
        <v>77.0</v>
      </c>
      <c r="S40" s="38">
        <v>39.0</v>
      </c>
      <c r="T40" s="38">
        <v>13.0</v>
      </c>
      <c r="U40" s="48">
        <f t="shared" si="9"/>
        <v>1055</v>
      </c>
      <c r="V40" s="48">
        <f t="shared" si="10"/>
        <v>1107</v>
      </c>
      <c r="W40" s="49">
        <f t="shared" si="11"/>
        <v>0.5052132701</v>
      </c>
      <c r="X40" s="49">
        <f t="shared" si="12"/>
        <v>0.4218009479</v>
      </c>
      <c r="Y40" s="49">
        <f t="shared" si="13"/>
        <v>0.07298578199</v>
      </c>
      <c r="Z40" s="32" t="str">
        <f t="shared" si="14"/>
        <v>Jango</v>
      </c>
      <c r="AA40" s="50" t="s">
        <v>77</v>
      </c>
      <c r="AB40" s="38">
        <v>1245.0</v>
      </c>
      <c r="AC40" s="48">
        <f t="shared" si="15"/>
        <v>138</v>
      </c>
      <c r="AD40" s="51">
        <f t="shared" si="16"/>
        <v>0.8891566265</v>
      </c>
      <c r="AE40" s="113"/>
    </row>
    <row r="41">
      <c r="A41" s="61" t="s">
        <v>119</v>
      </c>
      <c r="B41" s="46" t="s">
        <v>614</v>
      </c>
      <c r="C41" s="47"/>
      <c r="D41" s="38">
        <v>633.0</v>
      </c>
      <c r="E41" s="38">
        <v>666.0</v>
      </c>
      <c r="F41" s="38">
        <v>71.0</v>
      </c>
      <c r="G41" s="38">
        <v>43.0</v>
      </c>
      <c r="H41" s="38">
        <v>42.0</v>
      </c>
      <c r="I41" s="48">
        <f t="shared" si="3"/>
        <v>1370</v>
      </c>
      <c r="J41" s="48">
        <f t="shared" si="4"/>
        <v>1455</v>
      </c>
      <c r="K41" s="49">
        <f t="shared" si="5"/>
        <v>0.4620437956</v>
      </c>
      <c r="L41" s="49">
        <f t="shared" si="6"/>
        <v>0.4861313869</v>
      </c>
      <c r="M41" s="49">
        <f t="shared" si="7"/>
        <v>0.05182481752</v>
      </c>
      <c r="N41" s="32" t="str">
        <f t="shared" si="8"/>
        <v>Mal. Lott</v>
      </c>
      <c r="O41" s="50" t="s">
        <v>77</v>
      </c>
      <c r="P41" s="38">
        <v>681.0</v>
      </c>
      <c r="Q41" s="38">
        <v>579.0</v>
      </c>
      <c r="R41" s="38">
        <v>73.0</v>
      </c>
      <c r="S41" s="38">
        <v>87.0</v>
      </c>
      <c r="T41" s="38">
        <v>35.0</v>
      </c>
      <c r="U41" s="48">
        <f t="shared" si="9"/>
        <v>1333</v>
      </c>
      <c r="V41" s="48">
        <f t="shared" si="10"/>
        <v>1455</v>
      </c>
      <c r="W41" s="49">
        <f t="shared" si="11"/>
        <v>0.5108777194</v>
      </c>
      <c r="X41" s="49">
        <f t="shared" si="12"/>
        <v>0.4343585896</v>
      </c>
      <c r="Y41" s="49">
        <f t="shared" si="13"/>
        <v>0.05476369092</v>
      </c>
      <c r="Z41" s="32" t="str">
        <f t="shared" si="14"/>
        <v>Jango</v>
      </c>
      <c r="AA41" s="50" t="s">
        <v>77</v>
      </c>
      <c r="AB41" s="38">
        <v>1708.0</v>
      </c>
      <c r="AC41" s="48">
        <f t="shared" si="15"/>
        <v>253</v>
      </c>
      <c r="AD41" s="51">
        <f t="shared" si="16"/>
        <v>0.8518735363</v>
      </c>
      <c r="AE41" s="113"/>
    </row>
    <row r="42">
      <c r="A42" s="23"/>
      <c r="B42" s="46" t="s">
        <v>615</v>
      </c>
      <c r="C42" s="47"/>
      <c r="D42" s="38">
        <v>386.0</v>
      </c>
      <c r="E42" s="38">
        <v>438.0</v>
      </c>
      <c r="F42" s="38">
        <v>76.0</v>
      </c>
      <c r="G42" s="38">
        <v>65.0</v>
      </c>
      <c r="H42" s="38">
        <v>41.0</v>
      </c>
      <c r="I42" s="48">
        <f t="shared" si="3"/>
        <v>900</v>
      </c>
      <c r="J42" s="48">
        <f t="shared" si="4"/>
        <v>1006</v>
      </c>
      <c r="K42" s="49">
        <f t="shared" si="5"/>
        <v>0.4288888889</v>
      </c>
      <c r="L42" s="49">
        <f t="shared" si="6"/>
        <v>0.4866666667</v>
      </c>
      <c r="M42" s="49">
        <f t="shared" si="7"/>
        <v>0.08444444444</v>
      </c>
      <c r="N42" s="32" t="str">
        <f t="shared" si="8"/>
        <v>Mal. Lott</v>
      </c>
      <c r="O42" s="50" t="s">
        <v>77</v>
      </c>
      <c r="P42" s="38">
        <v>469.0</v>
      </c>
      <c r="Q42" s="38">
        <v>344.0</v>
      </c>
      <c r="R42" s="38">
        <v>62.0</v>
      </c>
      <c r="S42" s="38">
        <v>107.0</v>
      </c>
      <c r="T42" s="38">
        <v>24.0</v>
      </c>
      <c r="U42" s="48">
        <f t="shared" si="9"/>
        <v>875</v>
      </c>
      <c r="V42" s="48">
        <f t="shared" si="10"/>
        <v>1006</v>
      </c>
      <c r="W42" s="49">
        <f t="shared" si="11"/>
        <v>0.536</v>
      </c>
      <c r="X42" s="49">
        <f t="shared" si="12"/>
        <v>0.3931428571</v>
      </c>
      <c r="Y42" s="49">
        <f t="shared" si="13"/>
        <v>0.07085714286</v>
      </c>
      <c r="Z42" s="32" t="str">
        <f t="shared" si="14"/>
        <v>Jango</v>
      </c>
      <c r="AA42" s="50" t="s">
        <v>77</v>
      </c>
      <c r="AB42" s="38">
        <v>1142.0</v>
      </c>
      <c r="AC42" s="48">
        <f t="shared" si="15"/>
        <v>136</v>
      </c>
      <c r="AD42" s="51">
        <f t="shared" si="16"/>
        <v>0.880910683</v>
      </c>
      <c r="AE42" s="113"/>
    </row>
    <row r="43">
      <c r="A43" s="23"/>
      <c r="B43" s="46" t="s">
        <v>616</v>
      </c>
      <c r="C43" s="47"/>
      <c r="D43" s="38">
        <v>158.0</v>
      </c>
      <c r="E43" s="38">
        <v>183.0</v>
      </c>
      <c r="F43" s="38">
        <v>24.0</v>
      </c>
      <c r="G43" s="38">
        <v>6.0</v>
      </c>
      <c r="H43" s="38">
        <v>6.0</v>
      </c>
      <c r="I43" s="48">
        <f t="shared" si="3"/>
        <v>365</v>
      </c>
      <c r="J43" s="48">
        <f t="shared" si="4"/>
        <v>377</v>
      </c>
      <c r="K43" s="49">
        <f t="shared" si="5"/>
        <v>0.4328767123</v>
      </c>
      <c r="L43" s="49">
        <f t="shared" si="6"/>
        <v>0.501369863</v>
      </c>
      <c r="M43" s="49">
        <f t="shared" si="7"/>
        <v>0.06575342466</v>
      </c>
      <c r="N43" s="32" t="str">
        <f t="shared" si="8"/>
        <v>Mal. Lott</v>
      </c>
      <c r="O43" s="50" t="s">
        <v>77</v>
      </c>
      <c r="P43" s="38">
        <v>198.0</v>
      </c>
      <c r="Q43" s="38">
        <v>146.0</v>
      </c>
      <c r="R43" s="38">
        <v>13.0</v>
      </c>
      <c r="S43" s="38">
        <v>16.0</v>
      </c>
      <c r="T43" s="38">
        <v>4.0</v>
      </c>
      <c r="U43" s="48">
        <f t="shared" si="9"/>
        <v>357</v>
      </c>
      <c r="V43" s="48">
        <f t="shared" si="10"/>
        <v>377</v>
      </c>
      <c r="W43" s="49">
        <f t="shared" si="11"/>
        <v>0.5546218487</v>
      </c>
      <c r="X43" s="49">
        <f t="shared" si="12"/>
        <v>0.4089635854</v>
      </c>
      <c r="Y43" s="49">
        <f t="shared" si="13"/>
        <v>0.03641456583</v>
      </c>
      <c r="Z43" s="32" t="str">
        <f t="shared" si="14"/>
        <v>Jango</v>
      </c>
      <c r="AA43" s="50" t="s">
        <v>77</v>
      </c>
      <c r="AB43" s="38">
        <v>426.0</v>
      </c>
      <c r="AC43" s="48">
        <f t="shared" si="15"/>
        <v>49</v>
      </c>
      <c r="AD43" s="51">
        <f t="shared" si="16"/>
        <v>0.8849765258</v>
      </c>
      <c r="AE43" s="113"/>
    </row>
    <row r="44">
      <c r="A44" s="23"/>
      <c r="B44" s="46" t="s">
        <v>617</v>
      </c>
      <c r="C44" s="47"/>
      <c r="D44" s="38">
        <v>264.0</v>
      </c>
      <c r="E44" s="38">
        <v>299.0</v>
      </c>
      <c r="F44" s="38">
        <v>42.0</v>
      </c>
      <c r="G44" s="38">
        <v>17.0</v>
      </c>
      <c r="H44" s="38">
        <v>18.0</v>
      </c>
      <c r="I44" s="48">
        <f t="shared" si="3"/>
        <v>605</v>
      </c>
      <c r="J44" s="48">
        <f t="shared" si="4"/>
        <v>640</v>
      </c>
      <c r="K44" s="49">
        <f t="shared" si="5"/>
        <v>0.4363636364</v>
      </c>
      <c r="L44" s="49">
        <f t="shared" si="6"/>
        <v>0.494214876</v>
      </c>
      <c r="M44" s="49">
        <f t="shared" si="7"/>
        <v>0.0694214876</v>
      </c>
      <c r="N44" s="32" t="str">
        <f t="shared" si="8"/>
        <v>Mal. Lott</v>
      </c>
      <c r="O44" s="50" t="s">
        <v>77</v>
      </c>
      <c r="P44" s="38">
        <v>314.0</v>
      </c>
      <c r="Q44" s="38">
        <v>250.0</v>
      </c>
      <c r="R44" s="38">
        <v>26.0</v>
      </c>
      <c r="S44" s="38">
        <v>42.0</v>
      </c>
      <c r="T44" s="48">
        <v>8.0</v>
      </c>
      <c r="U44" s="48">
        <f t="shared" si="9"/>
        <v>590</v>
      </c>
      <c r="V44" s="48">
        <f t="shared" si="10"/>
        <v>640</v>
      </c>
      <c r="W44" s="49">
        <f t="shared" si="11"/>
        <v>0.5322033898</v>
      </c>
      <c r="X44" s="49">
        <f t="shared" si="12"/>
        <v>0.4237288136</v>
      </c>
      <c r="Y44" s="49">
        <f t="shared" si="13"/>
        <v>0.04406779661</v>
      </c>
      <c r="Z44" s="32" t="str">
        <f t="shared" si="14"/>
        <v>Jango</v>
      </c>
      <c r="AA44" s="50" t="s">
        <v>77</v>
      </c>
      <c r="AB44" s="38">
        <v>738.0</v>
      </c>
      <c r="AC44" s="48">
        <f t="shared" si="15"/>
        <v>98</v>
      </c>
      <c r="AD44" s="51">
        <f t="shared" si="16"/>
        <v>0.8672086721</v>
      </c>
      <c r="AE44" s="113"/>
    </row>
    <row r="45">
      <c r="A45" s="24"/>
      <c r="B45" s="46" t="s">
        <v>618</v>
      </c>
      <c r="C45" s="47"/>
      <c r="D45" s="38">
        <v>310.0</v>
      </c>
      <c r="E45" s="38">
        <v>458.0</v>
      </c>
      <c r="F45" s="38">
        <v>53.0</v>
      </c>
      <c r="G45" s="38">
        <v>39.0</v>
      </c>
      <c r="H45" s="38">
        <v>19.0</v>
      </c>
      <c r="I45" s="48">
        <f t="shared" si="3"/>
        <v>821</v>
      </c>
      <c r="J45" s="48">
        <f t="shared" si="4"/>
        <v>879</v>
      </c>
      <c r="K45" s="49">
        <f t="shared" si="5"/>
        <v>0.3775883069</v>
      </c>
      <c r="L45" s="49">
        <f t="shared" si="6"/>
        <v>0.5578562728</v>
      </c>
      <c r="M45" s="49">
        <f t="shared" si="7"/>
        <v>0.06455542022</v>
      </c>
      <c r="N45" s="32" t="str">
        <f t="shared" si="8"/>
        <v>Mal. Lott</v>
      </c>
      <c r="O45" s="50" t="s">
        <v>77</v>
      </c>
      <c r="P45" s="38">
        <v>479.0</v>
      </c>
      <c r="Q45" s="38">
        <v>250.0</v>
      </c>
      <c r="R45" s="38">
        <v>65.0</v>
      </c>
      <c r="S45" s="38">
        <v>73.0</v>
      </c>
      <c r="T45" s="48">
        <v>12.0</v>
      </c>
      <c r="U45" s="48">
        <f t="shared" si="9"/>
        <v>794</v>
      </c>
      <c r="V45" s="48">
        <f t="shared" si="10"/>
        <v>879</v>
      </c>
      <c r="W45" s="49">
        <f t="shared" si="11"/>
        <v>0.6032745592</v>
      </c>
      <c r="X45" s="49">
        <f t="shared" si="12"/>
        <v>0.314861461</v>
      </c>
      <c r="Y45" s="49">
        <f t="shared" si="13"/>
        <v>0.08186397985</v>
      </c>
      <c r="Z45" s="32" t="str">
        <f t="shared" si="14"/>
        <v>Jango</v>
      </c>
      <c r="AA45" s="50" t="s">
        <v>77</v>
      </c>
      <c r="AB45" s="38">
        <v>1011.0</v>
      </c>
      <c r="AC45" s="48">
        <f t="shared" si="15"/>
        <v>132</v>
      </c>
      <c r="AD45" s="51">
        <f t="shared" si="16"/>
        <v>0.8694362018</v>
      </c>
      <c r="AE45" s="113"/>
    </row>
    <row r="46">
      <c r="A46" s="61" t="s">
        <v>123</v>
      </c>
      <c r="B46" s="46" t="s">
        <v>619</v>
      </c>
      <c r="C46" s="47"/>
      <c r="D46" s="38">
        <v>907.0</v>
      </c>
      <c r="E46" s="38">
        <v>921.0</v>
      </c>
      <c r="F46" s="38">
        <v>135.0</v>
      </c>
      <c r="G46" s="38">
        <v>70.0</v>
      </c>
      <c r="H46" s="38">
        <v>59.0</v>
      </c>
      <c r="I46" s="48">
        <f t="shared" si="3"/>
        <v>1963</v>
      </c>
      <c r="J46" s="48">
        <f t="shared" si="4"/>
        <v>2092</v>
      </c>
      <c r="K46" s="49">
        <f t="shared" si="5"/>
        <v>0.4620478859</v>
      </c>
      <c r="L46" s="49">
        <f t="shared" si="6"/>
        <v>0.4691798268</v>
      </c>
      <c r="M46" s="49">
        <f t="shared" si="7"/>
        <v>0.06877228732</v>
      </c>
      <c r="N46" s="32" t="str">
        <f t="shared" si="8"/>
        <v>Mal. Lott</v>
      </c>
      <c r="O46" s="50" t="s">
        <v>77</v>
      </c>
      <c r="P46" s="38">
        <v>947.0</v>
      </c>
      <c r="Q46" s="38">
        <v>809.0</v>
      </c>
      <c r="R46" s="38">
        <v>156.0</v>
      </c>
      <c r="S46" s="38">
        <v>139.0</v>
      </c>
      <c r="T46" s="48">
        <v>41.0</v>
      </c>
      <c r="U46" s="48">
        <f t="shared" si="9"/>
        <v>1912</v>
      </c>
      <c r="V46" s="48">
        <f t="shared" si="10"/>
        <v>2092</v>
      </c>
      <c r="W46" s="49">
        <f t="shared" si="11"/>
        <v>0.495292887</v>
      </c>
      <c r="X46" s="49">
        <f t="shared" si="12"/>
        <v>0.4231171548</v>
      </c>
      <c r="Y46" s="49">
        <f t="shared" si="13"/>
        <v>0.08158995816</v>
      </c>
      <c r="Z46" s="32" t="str">
        <f t="shared" si="14"/>
        <v>Jango</v>
      </c>
      <c r="AA46" s="50" t="s">
        <v>77</v>
      </c>
      <c r="AB46" s="38">
        <v>2337.0</v>
      </c>
      <c r="AC46" s="48">
        <f t="shared" si="15"/>
        <v>245</v>
      </c>
      <c r="AD46" s="51">
        <f t="shared" si="16"/>
        <v>0.8951647411</v>
      </c>
      <c r="AE46" s="113"/>
    </row>
    <row r="47">
      <c r="A47" s="23"/>
      <c r="B47" s="46" t="s">
        <v>620</v>
      </c>
      <c r="C47" s="47"/>
      <c r="D47" s="38">
        <v>577.0</v>
      </c>
      <c r="E47" s="38">
        <v>308.0</v>
      </c>
      <c r="F47" s="38">
        <v>79.0</v>
      </c>
      <c r="G47" s="38">
        <v>45.0</v>
      </c>
      <c r="H47" s="38">
        <v>44.0</v>
      </c>
      <c r="I47" s="48">
        <f t="shared" si="3"/>
        <v>964</v>
      </c>
      <c r="J47" s="48">
        <f t="shared" si="4"/>
        <v>1053</v>
      </c>
      <c r="K47" s="49">
        <f t="shared" si="5"/>
        <v>0.5985477178</v>
      </c>
      <c r="L47" s="49">
        <f t="shared" si="6"/>
        <v>0.3195020747</v>
      </c>
      <c r="M47" s="49">
        <f t="shared" si="7"/>
        <v>0.08195020747</v>
      </c>
      <c r="N47" s="32" t="str">
        <f t="shared" si="8"/>
        <v>Jânio</v>
      </c>
      <c r="O47" s="50" t="s">
        <v>77</v>
      </c>
      <c r="P47" s="38">
        <v>341.0</v>
      </c>
      <c r="Q47" s="38">
        <v>517.0</v>
      </c>
      <c r="R47" s="38">
        <v>68.0</v>
      </c>
      <c r="S47" s="38">
        <v>88.0</v>
      </c>
      <c r="T47" s="48">
        <v>39.0</v>
      </c>
      <c r="U47" s="48">
        <f t="shared" si="9"/>
        <v>926</v>
      </c>
      <c r="V47" s="48">
        <f t="shared" si="10"/>
        <v>1053</v>
      </c>
      <c r="W47" s="49">
        <f t="shared" si="11"/>
        <v>0.36825054</v>
      </c>
      <c r="X47" s="49">
        <f t="shared" si="12"/>
        <v>0.5583153348</v>
      </c>
      <c r="Y47" s="49">
        <f t="shared" si="13"/>
        <v>0.07343412527</v>
      </c>
      <c r="Z47" s="32" t="str">
        <f t="shared" si="14"/>
        <v>Milton</v>
      </c>
      <c r="AA47" s="50" t="s">
        <v>77</v>
      </c>
      <c r="AB47" s="38">
        <v>1327.0</v>
      </c>
      <c r="AC47" s="48">
        <f t="shared" si="15"/>
        <v>274</v>
      </c>
      <c r="AD47" s="51">
        <f t="shared" si="16"/>
        <v>0.7935192163</v>
      </c>
      <c r="AE47" s="113"/>
    </row>
    <row r="48">
      <c r="A48" s="23"/>
      <c r="B48" s="46" t="s">
        <v>621</v>
      </c>
      <c r="C48" s="47"/>
      <c r="D48" s="38">
        <v>322.0</v>
      </c>
      <c r="E48" s="38">
        <v>297.0</v>
      </c>
      <c r="F48" s="38">
        <v>56.0</v>
      </c>
      <c r="G48" s="38">
        <v>44.0</v>
      </c>
      <c r="H48" s="38">
        <v>31.0</v>
      </c>
      <c r="I48" s="48">
        <f t="shared" si="3"/>
        <v>675</v>
      </c>
      <c r="J48" s="48">
        <f t="shared" si="4"/>
        <v>750</v>
      </c>
      <c r="K48" s="49">
        <f t="shared" si="5"/>
        <v>0.477037037</v>
      </c>
      <c r="L48" s="49">
        <f t="shared" si="6"/>
        <v>0.44</v>
      </c>
      <c r="M48" s="49">
        <f t="shared" si="7"/>
        <v>0.08296296296</v>
      </c>
      <c r="N48" s="32" t="str">
        <f t="shared" si="8"/>
        <v>Jânio</v>
      </c>
      <c r="O48" s="50" t="s">
        <v>77</v>
      </c>
      <c r="P48" s="38">
        <v>325.0</v>
      </c>
      <c r="Q48" s="38">
        <v>291.0</v>
      </c>
      <c r="R48" s="38">
        <v>42.0</v>
      </c>
      <c r="S48" s="38">
        <v>73.0</v>
      </c>
      <c r="T48" s="48">
        <v>19.0</v>
      </c>
      <c r="U48" s="48">
        <f t="shared" si="9"/>
        <v>658</v>
      </c>
      <c r="V48" s="48">
        <f t="shared" si="10"/>
        <v>750</v>
      </c>
      <c r="W48" s="49">
        <f t="shared" si="11"/>
        <v>0.4939209726</v>
      </c>
      <c r="X48" s="49">
        <f t="shared" si="12"/>
        <v>0.4422492401</v>
      </c>
      <c r="Y48" s="49">
        <f t="shared" si="13"/>
        <v>0.06382978723</v>
      </c>
      <c r="Z48" s="32" t="str">
        <f t="shared" si="14"/>
        <v>Jango</v>
      </c>
      <c r="AA48" s="50" t="s">
        <v>77</v>
      </c>
      <c r="AB48" s="38">
        <v>866.0</v>
      </c>
      <c r="AC48" s="48">
        <f t="shared" si="15"/>
        <v>116</v>
      </c>
      <c r="AD48" s="51">
        <f t="shared" si="16"/>
        <v>0.8660508083</v>
      </c>
      <c r="AE48" s="113"/>
    </row>
    <row r="49">
      <c r="A49" s="23"/>
      <c r="B49" s="46" t="s">
        <v>622</v>
      </c>
      <c r="C49" s="47"/>
      <c r="D49" s="38">
        <v>181.0</v>
      </c>
      <c r="E49" s="38">
        <v>215.0</v>
      </c>
      <c r="F49" s="38">
        <v>17.0</v>
      </c>
      <c r="G49" s="38">
        <v>13.0</v>
      </c>
      <c r="H49" s="38">
        <v>16.0</v>
      </c>
      <c r="I49" s="48">
        <f t="shared" si="3"/>
        <v>413</v>
      </c>
      <c r="J49" s="48">
        <f t="shared" si="4"/>
        <v>442</v>
      </c>
      <c r="K49" s="49">
        <f t="shared" si="5"/>
        <v>0.4382566586</v>
      </c>
      <c r="L49" s="49">
        <f t="shared" si="6"/>
        <v>0.5205811138</v>
      </c>
      <c r="M49" s="49">
        <f t="shared" si="7"/>
        <v>0.0411622276</v>
      </c>
      <c r="N49" s="32" t="str">
        <f t="shared" si="8"/>
        <v>Mal. Lott</v>
      </c>
      <c r="O49" s="50" t="s">
        <v>77</v>
      </c>
      <c r="P49" s="38">
        <v>220.0</v>
      </c>
      <c r="Q49" s="38">
        <v>166.0</v>
      </c>
      <c r="R49" s="38">
        <v>14.0</v>
      </c>
      <c r="S49" s="38">
        <v>29.0</v>
      </c>
      <c r="T49" s="48">
        <v>13.0</v>
      </c>
      <c r="U49" s="48">
        <f t="shared" si="9"/>
        <v>400</v>
      </c>
      <c r="V49" s="48">
        <f t="shared" si="10"/>
        <v>442</v>
      </c>
      <c r="W49" s="49">
        <f t="shared" si="11"/>
        <v>0.55</v>
      </c>
      <c r="X49" s="49">
        <f t="shared" si="12"/>
        <v>0.415</v>
      </c>
      <c r="Y49" s="49">
        <f t="shared" si="13"/>
        <v>0.035</v>
      </c>
      <c r="Z49" s="32" t="str">
        <f t="shared" si="14"/>
        <v>Jango</v>
      </c>
      <c r="AA49" s="50" t="s">
        <v>77</v>
      </c>
      <c r="AB49" s="38">
        <v>510.0</v>
      </c>
      <c r="AC49" s="48">
        <f t="shared" si="15"/>
        <v>68</v>
      </c>
      <c r="AD49" s="51">
        <f t="shared" si="16"/>
        <v>0.8666666667</v>
      </c>
      <c r="AE49" s="113"/>
    </row>
    <row r="50">
      <c r="A50" s="24"/>
      <c r="B50" s="46" t="s">
        <v>623</v>
      </c>
      <c r="C50" s="47"/>
      <c r="D50" s="38">
        <v>173.0</v>
      </c>
      <c r="E50" s="38">
        <v>202.0</v>
      </c>
      <c r="F50" s="38">
        <v>25.0</v>
      </c>
      <c r="G50" s="38">
        <v>9.0</v>
      </c>
      <c r="H50" s="38">
        <v>17.0</v>
      </c>
      <c r="I50" s="48">
        <f t="shared" si="3"/>
        <v>400</v>
      </c>
      <c r="J50" s="48">
        <f t="shared" si="4"/>
        <v>426</v>
      </c>
      <c r="K50" s="49">
        <f t="shared" si="5"/>
        <v>0.4325</v>
      </c>
      <c r="L50" s="49">
        <f t="shared" si="6"/>
        <v>0.505</v>
      </c>
      <c r="M50" s="49">
        <f t="shared" si="7"/>
        <v>0.0625</v>
      </c>
      <c r="N50" s="32" t="str">
        <f t="shared" si="8"/>
        <v>Mal. Lott</v>
      </c>
      <c r="O50" s="50" t="s">
        <v>77</v>
      </c>
      <c r="P50" s="38">
        <v>214.0</v>
      </c>
      <c r="Q50" s="38">
        <v>164.0</v>
      </c>
      <c r="R50" s="38">
        <v>20.0</v>
      </c>
      <c r="S50" s="38">
        <v>20.0</v>
      </c>
      <c r="T50" s="48">
        <v>8.0</v>
      </c>
      <c r="U50" s="48">
        <f t="shared" si="9"/>
        <v>398</v>
      </c>
      <c r="V50" s="48">
        <f t="shared" si="10"/>
        <v>426</v>
      </c>
      <c r="W50" s="49">
        <f t="shared" si="11"/>
        <v>0.5376884422</v>
      </c>
      <c r="X50" s="49">
        <f t="shared" si="12"/>
        <v>0.4120603015</v>
      </c>
      <c r="Y50" s="49">
        <f t="shared" si="13"/>
        <v>0.05025125628</v>
      </c>
      <c r="Z50" s="32" t="str">
        <f t="shared" si="14"/>
        <v>Jango</v>
      </c>
      <c r="AA50" s="50" t="s">
        <v>77</v>
      </c>
      <c r="AB50" s="38">
        <v>499.0</v>
      </c>
      <c r="AC50" s="48">
        <f t="shared" si="15"/>
        <v>73</v>
      </c>
      <c r="AD50" s="51">
        <f t="shared" si="16"/>
        <v>0.8537074148</v>
      </c>
      <c r="AE50" s="113"/>
    </row>
    <row r="51">
      <c r="A51" s="61" t="s">
        <v>125</v>
      </c>
      <c r="B51" s="46" t="s">
        <v>624</v>
      </c>
      <c r="C51" s="47"/>
      <c r="D51" s="38">
        <v>1188.0</v>
      </c>
      <c r="E51" s="38">
        <v>1496.0</v>
      </c>
      <c r="F51" s="38">
        <v>197.0</v>
      </c>
      <c r="G51" s="38">
        <v>86.0</v>
      </c>
      <c r="H51" s="38">
        <v>87.0</v>
      </c>
      <c r="I51" s="48">
        <f t="shared" si="3"/>
        <v>2881</v>
      </c>
      <c r="J51" s="48">
        <f t="shared" si="4"/>
        <v>3054</v>
      </c>
      <c r="K51" s="49">
        <f t="shared" si="5"/>
        <v>0.4123568205</v>
      </c>
      <c r="L51" s="49">
        <f t="shared" si="6"/>
        <v>0.5192641444</v>
      </c>
      <c r="M51" s="49">
        <f t="shared" si="7"/>
        <v>0.06837903506</v>
      </c>
      <c r="N51" s="32" t="str">
        <f t="shared" si="8"/>
        <v>Mal. Lott</v>
      </c>
      <c r="O51" s="50" t="s">
        <v>77</v>
      </c>
      <c r="P51" s="38">
        <v>1583.0</v>
      </c>
      <c r="Q51" s="38">
        <v>997.0</v>
      </c>
      <c r="R51" s="38">
        <v>227.0</v>
      </c>
      <c r="S51" s="38">
        <v>206.0</v>
      </c>
      <c r="T51" s="48">
        <v>41.0</v>
      </c>
      <c r="U51" s="48">
        <f t="shared" si="9"/>
        <v>2807</v>
      </c>
      <c r="V51" s="48">
        <f t="shared" si="10"/>
        <v>3054</v>
      </c>
      <c r="W51" s="49">
        <f t="shared" si="11"/>
        <v>0.5639472747</v>
      </c>
      <c r="X51" s="49">
        <f t="shared" si="12"/>
        <v>0.3551834699</v>
      </c>
      <c r="Y51" s="49">
        <f t="shared" si="13"/>
        <v>0.08086925543</v>
      </c>
      <c r="Z51" s="32" t="str">
        <f t="shared" si="14"/>
        <v>Jango</v>
      </c>
      <c r="AA51" s="50" t="s">
        <v>77</v>
      </c>
      <c r="AB51" s="38">
        <v>3458.0</v>
      </c>
      <c r="AC51" s="48">
        <f t="shared" si="15"/>
        <v>404</v>
      </c>
      <c r="AD51" s="51">
        <f t="shared" si="16"/>
        <v>0.8831694621</v>
      </c>
      <c r="AE51" s="113"/>
    </row>
    <row r="52">
      <c r="A52" s="24"/>
      <c r="B52" s="46" t="s">
        <v>625</v>
      </c>
      <c r="C52" s="47"/>
      <c r="D52" s="38">
        <v>920.0</v>
      </c>
      <c r="E52" s="38">
        <v>536.0</v>
      </c>
      <c r="F52" s="38">
        <v>168.0</v>
      </c>
      <c r="G52" s="38">
        <v>104.0</v>
      </c>
      <c r="H52" s="38">
        <v>92.0</v>
      </c>
      <c r="I52" s="48">
        <f t="shared" si="3"/>
        <v>1624</v>
      </c>
      <c r="J52" s="48">
        <f t="shared" si="4"/>
        <v>1820</v>
      </c>
      <c r="K52" s="49">
        <f t="shared" si="5"/>
        <v>0.5665024631</v>
      </c>
      <c r="L52" s="49">
        <f t="shared" si="6"/>
        <v>0.3300492611</v>
      </c>
      <c r="M52" s="49">
        <f t="shared" si="7"/>
        <v>0.1034482759</v>
      </c>
      <c r="N52" s="32" t="str">
        <f t="shared" si="8"/>
        <v>Jânio</v>
      </c>
      <c r="O52" s="50" t="s">
        <v>77</v>
      </c>
      <c r="P52" s="38">
        <v>541.0</v>
      </c>
      <c r="Q52" s="38">
        <v>682.0</v>
      </c>
      <c r="R52" s="38">
        <v>294.0</v>
      </c>
      <c r="S52" s="38">
        <v>262.0</v>
      </c>
      <c r="T52" s="48">
        <v>41.0</v>
      </c>
      <c r="U52" s="48">
        <f t="shared" si="9"/>
        <v>1517</v>
      </c>
      <c r="V52" s="48">
        <f t="shared" si="10"/>
        <v>1820</v>
      </c>
      <c r="W52" s="49">
        <f t="shared" si="11"/>
        <v>0.3566249176</v>
      </c>
      <c r="X52" s="49">
        <f t="shared" si="12"/>
        <v>0.4495715227</v>
      </c>
      <c r="Y52" s="49">
        <f t="shared" si="13"/>
        <v>0.1938035597</v>
      </c>
      <c r="Z52" s="32" t="str">
        <f t="shared" si="14"/>
        <v>Milton</v>
      </c>
      <c r="AA52" s="50" t="s">
        <v>77</v>
      </c>
      <c r="AB52" s="38">
        <v>2090.0</v>
      </c>
      <c r="AC52" s="48">
        <f t="shared" si="15"/>
        <v>270</v>
      </c>
      <c r="AD52" s="51">
        <f t="shared" si="16"/>
        <v>0.8708133971</v>
      </c>
      <c r="AE52" s="113"/>
    </row>
    <row r="53">
      <c r="A53" s="61" t="s">
        <v>127</v>
      </c>
      <c r="B53" s="46" t="s">
        <v>626</v>
      </c>
      <c r="C53" s="47"/>
      <c r="D53" s="38">
        <v>789.0</v>
      </c>
      <c r="E53" s="38">
        <v>1018.0</v>
      </c>
      <c r="F53" s="38">
        <v>166.0</v>
      </c>
      <c r="G53" s="38">
        <v>151.0</v>
      </c>
      <c r="H53" s="38">
        <v>80.0</v>
      </c>
      <c r="I53" s="48">
        <f t="shared" si="3"/>
        <v>1973</v>
      </c>
      <c r="J53" s="48">
        <f t="shared" si="4"/>
        <v>2204</v>
      </c>
      <c r="K53" s="49">
        <f t="shared" si="5"/>
        <v>0.3998986315</v>
      </c>
      <c r="L53" s="49">
        <f t="shared" si="6"/>
        <v>0.5159655347</v>
      </c>
      <c r="M53" s="49">
        <f t="shared" si="7"/>
        <v>0.08413583376</v>
      </c>
      <c r="N53" s="32" t="str">
        <f t="shared" si="8"/>
        <v>Mal. Lott</v>
      </c>
      <c r="O53" s="50" t="s">
        <v>77</v>
      </c>
      <c r="P53" s="38">
        <v>871.0</v>
      </c>
      <c r="Q53" s="38">
        <v>710.0</v>
      </c>
      <c r="R53" s="38">
        <v>338.0</v>
      </c>
      <c r="S53" s="38">
        <v>231.0</v>
      </c>
      <c r="T53" s="38">
        <v>54.0</v>
      </c>
      <c r="U53" s="48">
        <f t="shared" si="9"/>
        <v>1919</v>
      </c>
      <c r="V53" s="48">
        <f t="shared" si="10"/>
        <v>2204</v>
      </c>
      <c r="W53" s="49">
        <f t="shared" si="11"/>
        <v>0.4538822303</v>
      </c>
      <c r="X53" s="49">
        <f t="shared" si="12"/>
        <v>0.3699843669</v>
      </c>
      <c r="Y53" s="49">
        <f t="shared" si="13"/>
        <v>0.1761334028</v>
      </c>
      <c r="Z53" s="32" t="str">
        <f t="shared" si="14"/>
        <v>Jango</v>
      </c>
      <c r="AA53" s="50" t="s">
        <v>77</v>
      </c>
      <c r="AB53" s="38">
        <v>2800.0</v>
      </c>
      <c r="AC53" s="48">
        <f t="shared" si="15"/>
        <v>596</v>
      </c>
      <c r="AD53" s="51">
        <f t="shared" si="16"/>
        <v>0.7871428571</v>
      </c>
      <c r="AE53" s="113"/>
    </row>
    <row r="54">
      <c r="A54" s="24"/>
      <c r="B54" s="46" t="s">
        <v>627</v>
      </c>
      <c r="C54" s="47"/>
      <c r="D54" s="38">
        <v>748.0</v>
      </c>
      <c r="E54" s="38">
        <v>394.0</v>
      </c>
      <c r="F54" s="38">
        <v>118.0</v>
      </c>
      <c r="G54" s="38">
        <v>79.0</v>
      </c>
      <c r="H54" s="38">
        <v>66.0</v>
      </c>
      <c r="I54" s="48">
        <f t="shared" si="3"/>
        <v>1260</v>
      </c>
      <c r="J54" s="48">
        <f t="shared" si="4"/>
        <v>1405</v>
      </c>
      <c r="K54" s="49">
        <f t="shared" si="5"/>
        <v>0.5936507937</v>
      </c>
      <c r="L54" s="49">
        <f t="shared" si="6"/>
        <v>0.3126984127</v>
      </c>
      <c r="M54" s="49">
        <f t="shared" si="7"/>
        <v>0.09365079365</v>
      </c>
      <c r="N54" s="32" t="str">
        <f t="shared" si="8"/>
        <v>Jânio</v>
      </c>
      <c r="O54" s="50" t="s">
        <v>77</v>
      </c>
      <c r="P54" s="38">
        <v>470.0</v>
      </c>
      <c r="Q54" s="38">
        <v>627.0</v>
      </c>
      <c r="R54" s="38">
        <v>131.0</v>
      </c>
      <c r="S54" s="38">
        <v>132.0</v>
      </c>
      <c r="T54" s="38">
        <v>45.0</v>
      </c>
      <c r="U54" s="48">
        <f t="shared" si="9"/>
        <v>1228</v>
      </c>
      <c r="V54" s="48">
        <f t="shared" si="10"/>
        <v>1405</v>
      </c>
      <c r="W54" s="49">
        <f t="shared" si="11"/>
        <v>0.3827361564</v>
      </c>
      <c r="X54" s="49">
        <f t="shared" si="12"/>
        <v>0.5105863192</v>
      </c>
      <c r="Y54" s="49">
        <f t="shared" si="13"/>
        <v>0.1066775244</v>
      </c>
      <c r="Z54" s="32" t="str">
        <f t="shared" si="14"/>
        <v>Milton</v>
      </c>
      <c r="AA54" s="50" t="s">
        <v>77</v>
      </c>
      <c r="AB54" s="38">
        <v>1551.0</v>
      </c>
      <c r="AC54" s="48">
        <f t="shared" si="15"/>
        <v>146</v>
      </c>
      <c r="AD54" s="51">
        <f t="shared" si="16"/>
        <v>0.9058671825</v>
      </c>
      <c r="AE54" s="113"/>
    </row>
    <row r="55">
      <c r="A55" s="61" t="s">
        <v>129</v>
      </c>
      <c r="B55" s="46" t="s">
        <v>628</v>
      </c>
      <c r="C55" s="47"/>
      <c r="D55" s="38">
        <v>1221.0</v>
      </c>
      <c r="E55" s="38">
        <v>370.0</v>
      </c>
      <c r="F55" s="38">
        <v>166.0</v>
      </c>
      <c r="G55" s="38">
        <v>70.0</v>
      </c>
      <c r="H55" s="38">
        <v>83.0</v>
      </c>
      <c r="I55" s="48">
        <f t="shared" si="3"/>
        <v>1757</v>
      </c>
      <c r="J55" s="48">
        <f t="shared" si="4"/>
        <v>1910</v>
      </c>
      <c r="K55" s="49">
        <f t="shared" si="5"/>
        <v>0.6949345475</v>
      </c>
      <c r="L55" s="49">
        <f t="shared" si="6"/>
        <v>0.2105862265</v>
      </c>
      <c r="M55" s="49">
        <f t="shared" si="7"/>
        <v>0.09447922595</v>
      </c>
      <c r="N55" s="32" t="str">
        <f t="shared" si="8"/>
        <v>Jânio</v>
      </c>
      <c r="O55" s="50" t="s">
        <v>77</v>
      </c>
      <c r="P55" s="38">
        <v>445.0</v>
      </c>
      <c r="Q55" s="38">
        <v>1171.0</v>
      </c>
      <c r="R55" s="38">
        <v>116.0</v>
      </c>
      <c r="S55" s="38">
        <v>118.0</v>
      </c>
      <c r="T55" s="38">
        <v>60.0</v>
      </c>
      <c r="U55" s="48">
        <f t="shared" si="9"/>
        <v>1732</v>
      </c>
      <c r="V55" s="48">
        <f t="shared" si="10"/>
        <v>1910</v>
      </c>
      <c r="W55" s="49">
        <f t="shared" si="11"/>
        <v>0.2569284065</v>
      </c>
      <c r="X55" s="49">
        <f t="shared" si="12"/>
        <v>0.6760969977</v>
      </c>
      <c r="Y55" s="49">
        <f t="shared" si="13"/>
        <v>0.06697459584</v>
      </c>
      <c r="Z55" s="32" t="str">
        <f t="shared" si="14"/>
        <v>Milton</v>
      </c>
      <c r="AA55" s="50" t="s">
        <v>77</v>
      </c>
      <c r="AB55" s="38">
        <v>2285.0</v>
      </c>
      <c r="AC55" s="48">
        <f t="shared" si="15"/>
        <v>375</v>
      </c>
      <c r="AD55" s="51">
        <f t="shared" si="16"/>
        <v>0.8358862144</v>
      </c>
      <c r="AE55" s="113"/>
    </row>
    <row r="56">
      <c r="A56" s="23"/>
      <c r="B56" s="46" t="s">
        <v>629</v>
      </c>
      <c r="C56" s="47"/>
      <c r="D56" s="38">
        <v>590.0</v>
      </c>
      <c r="E56" s="38">
        <v>500.0</v>
      </c>
      <c r="F56" s="38">
        <v>103.0</v>
      </c>
      <c r="G56" s="38">
        <v>34.0</v>
      </c>
      <c r="H56" s="38">
        <v>45.0</v>
      </c>
      <c r="I56" s="48">
        <f t="shared" si="3"/>
        <v>1193</v>
      </c>
      <c r="J56" s="48">
        <f t="shared" si="4"/>
        <v>1272</v>
      </c>
      <c r="K56" s="49">
        <f t="shared" si="5"/>
        <v>0.4945515507</v>
      </c>
      <c r="L56" s="49">
        <f t="shared" si="6"/>
        <v>0.4191114837</v>
      </c>
      <c r="M56" s="49">
        <f t="shared" si="7"/>
        <v>0.08633696563</v>
      </c>
      <c r="N56" s="32" t="str">
        <f t="shared" si="8"/>
        <v>Jânio</v>
      </c>
      <c r="O56" s="50" t="s">
        <v>77</v>
      </c>
      <c r="P56" s="38">
        <v>539.0</v>
      </c>
      <c r="Q56" s="38">
        <v>554.0</v>
      </c>
      <c r="R56" s="38">
        <v>88.0</v>
      </c>
      <c r="S56" s="38">
        <v>57.0</v>
      </c>
      <c r="T56" s="38">
        <v>34.0</v>
      </c>
      <c r="U56" s="48">
        <f t="shared" si="9"/>
        <v>1181</v>
      </c>
      <c r="V56" s="48">
        <f t="shared" si="10"/>
        <v>1272</v>
      </c>
      <c r="W56" s="49">
        <f t="shared" si="11"/>
        <v>0.4563928874</v>
      </c>
      <c r="X56" s="49">
        <f t="shared" si="12"/>
        <v>0.4690939881</v>
      </c>
      <c r="Y56" s="49">
        <f t="shared" si="13"/>
        <v>0.07451312447</v>
      </c>
      <c r="Z56" s="32" t="str">
        <f t="shared" si="14"/>
        <v>Milton</v>
      </c>
      <c r="AA56" s="50" t="s">
        <v>77</v>
      </c>
      <c r="AB56" s="38">
        <v>1462.0</v>
      </c>
      <c r="AC56" s="48">
        <f t="shared" si="15"/>
        <v>190</v>
      </c>
      <c r="AD56" s="51">
        <f t="shared" si="16"/>
        <v>0.8700410397</v>
      </c>
      <c r="AE56" s="113"/>
    </row>
    <row r="57">
      <c r="A57" s="24"/>
      <c r="B57" s="46" t="s">
        <v>630</v>
      </c>
      <c r="C57" s="47"/>
      <c r="D57" s="38">
        <v>399.0</v>
      </c>
      <c r="E57" s="38">
        <v>307.0</v>
      </c>
      <c r="F57" s="38">
        <v>56.0</v>
      </c>
      <c r="G57" s="38">
        <v>35.0</v>
      </c>
      <c r="H57" s="38">
        <v>48.0</v>
      </c>
      <c r="I57" s="48">
        <f t="shared" si="3"/>
        <v>762</v>
      </c>
      <c r="J57" s="48">
        <f t="shared" si="4"/>
        <v>845</v>
      </c>
      <c r="K57" s="49">
        <f t="shared" si="5"/>
        <v>0.5236220472</v>
      </c>
      <c r="L57" s="49">
        <f t="shared" si="6"/>
        <v>0.4028871391</v>
      </c>
      <c r="M57" s="49">
        <f t="shared" si="7"/>
        <v>0.07349081365</v>
      </c>
      <c r="N57" s="32" t="str">
        <f t="shared" si="8"/>
        <v>Jânio</v>
      </c>
      <c r="O57" s="50" t="s">
        <v>77</v>
      </c>
      <c r="P57" s="38">
        <v>266.0</v>
      </c>
      <c r="Q57" s="38">
        <v>304.0</v>
      </c>
      <c r="R57" s="38">
        <v>174.0</v>
      </c>
      <c r="S57" s="38">
        <v>75.0</v>
      </c>
      <c r="T57" s="38">
        <v>26.0</v>
      </c>
      <c r="U57" s="48">
        <f t="shared" si="9"/>
        <v>744</v>
      </c>
      <c r="V57" s="48">
        <f t="shared" si="10"/>
        <v>845</v>
      </c>
      <c r="W57" s="49">
        <f t="shared" si="11"/>
        <v>0.3575268817</v>
      </c>
      <c r="X57" s="49">
        <f t="shared" si="12"/>
        <v>0.4086021505</v>
      </c>
      <c r="Y57" s="49">
        <f t="shared" si="13"/>
        <v>0.2338709677</v>
      </c>
      <c r="Z57" s="32" t="str">
        <f t="shared" si="14"/>
        <v>Milton</v>
      </c>
      <c r="AA57" s="50" t="s">
        <v>77</v>
      </c>
      <c r="AB57" s="38">
        <v>1043.0</v>
      </c>
      <c r="AC57" s="48">
        <f t="shared" si="15"/>
        <v>198</v>
      </c>
      <c r="AD57" s="51">
        <f t="shared" si="16"/>
        <v>0.8101629914</v>
      </c>
      <c r="AE57" s="113"/>
    </row>
    <row r="58">
      <c r="A58" s="61" t="s">
        <v>131</v>
      </c>
      <c r="B58" s="46" t="s">
        <v>631</v>
      </c>
      <c r="C58" s="47"/>
      <c r="D58" s="38">
        <v>1365.0</v>
      </c>
      <c r="E58" s="38">
        <v>1992.0</v>
      </c>
      <c r="F58" s="38">
        <v>172.0</v>
      </c>
      <c r="G58" s="38">
        <v>123.0</v>
      </c>
      <c r="H58" s="38">
        <v>112.0</v>
      </c>
      <c r="I58" s="48">
        <f t="shared" si="3"/>
        <v>3529</v>
      </c>
      <c r="J58" s="48">
        <f t="shared" si="4"/>
        <v>3764</v>
      </c>
      <c r="K58" s="49">
        <f t="shared" si="5"/>
        <v>0.3867951261</v>
      </c>
      <c r="L58" s="49">
        <f t="shared" si="6"/>
        <v>0.5644658543</v>
      </c>
      <c r="M58" s="49">
        <f t="shared" si="7"/>
        <v>0.04873901955</v>
      </c>
      <c r="N58" s="32" t="str">
        <f t="shared" si="8"/>
        <v>Mal. Lott</v>
      </c>
      <c r="O58" s="50" t="s">
        <v>77</v>
      </c>
      <c r="P58" s="38">
        <v>2051.0</v>
      </c>
      <c r="Q58" s="38">
        <v>1222.0</v>
      </c>
      <c r="R58" s="38">
        <v>226.0</v>
      </c>
      <c r="S58" s="38">
        <v>188.0</v>
      </c>
      <c r="T58" s="38">
        <v>77.0</v>
      </c>
      <c r="U58" s="48">
        <f t="shared" si="9"/>
        <v>3499</v>
      </c>
      <c r="V58" s="48">
        <f t="shared" si="10"/>
        <v>3764</v>
      </c>
      <c r="W58" s="49">
        <f t="shared" si="11"/>
        <v>0.5861674764</v>
      </c>
      <c r="X58" s="49">
        <f t="shared" si="12"/>
        <v>0.3492426408</v>
      </c>
      <c r="Y58" s="49">
        <f t="shared" si="13"/>
        <v>0.06458988282</v>
      </c>
      <c r="Z58" s="32" t="str">
        <f t="shared" si="14"/>
        <v>Jango</v>
      </c>
      <c r="AA58" s="50" t="s">
        <v>77</v>
      </c>
      <c r="AB58" s="38">
        <v>4730.0</v>
      </c>
      <c r="AC58" s="48">
        <f t="shared" si="15"/>
        <v>966</v>
      </c>
      <c r="AD58" s="51">
        <f t="shared" si="16"/>
        <v>0.7957716702</v>
      </c>
      <c r="AE58" s="113"/>
    </row>
    <row r="59">
      <c r="A59" s="24"/>
      <c r="B59" s="46" t="s">
        <v>632</v>
      </c>
      <c r="C59" s="47"/>
      <c r="D59" s="38">
        <v>386.0</v>
      </c>
      <c r="E59" s="38">
        <v>444.0</v>
      </c>
      <c r="F59" s="38">
        <v>120.0</v>
      </c>
      <c r="G59" s="38">
        <v>40.0</v>
      </c>
      <c r="H59" s="38">
        <v>46.0</v>
      </c>
      <c r="I59" s="48">
        <f t="shared" si="3"/>
        <v>950</v>
      </c>
      <c r="J59" s="48">
        <f t="shared" si="4"/>
        <v>1036</v>
      </c>
      <c r="K59" s="49">
        <f t="shared" si="5"/>
        <v>0.4063157895</v>
      </c>
      <c r="L59" s="49">
        <f t="shared" si="6"/>
        <v>0.4673684211</v>
      </c>
      <c r="M59" s="49">
        <f t="shared" si="7"/>
        <v>0.1263157895</v>
      </c>
      <c r="N59" s="32" t="str">
        <f t="shared" si="8"/>
        <v>Mal. Lott</v>
      </c>
      <c r="O59" s="50" t="s">
        <v>77</v>
      </c>
      <c r="P59" s="38">
        <v>436.0</v>
      </c>
      <c r="Q59" s="38">
        <v>298.0</v>
      </c>
      <c r="R59" s="38">
        <v>201.0</v>
      </c>
      <c r="S59" s="38">
        <v>85.0</v>
      </c>
      <c r="T59" s="38">
        <v>16.0</v>
      </c>
      <c r="U59" s="48">
        <f t="shared" si="9"/>
        <v>935</v>
      </c>
      <c r="V59" s="48">
        <f t="shared" si="10"/>
        <v>1036</v>
      </c>
      <c r="W59" s="49">
        <f t="shared" si="11"/>
        <v>0.4663101604</v>
      </c>
      <c r="X59" s="49">
        <f t="shared" si="12"/>
        <v>0.3187165775</v>
      </c>
      <c r="Y59" s="49">
        <f t="shared" si="13"/>
        <v>0.214973262</v>
      </c>
      <c r="Z59" s="32" t="str">
        <f t="shared" si="14"/>
        <v>Jango</v>
      </c>
      <c r="AA59" s="50" t="s">
        <v>77</v>
      </c>
      <c r="AB59" s="38">
        <v>1282.0</v>
      </c>
      <c r="AC59" s="48">
        <f t="shared" si="15"/>
        <v>246</v>
      </c>
      <c r="AD59" s="51">
        <f t="shared" si="16"/>
        <v>0.8081123245</v>
      </c>
      <c r="AE59" s="113"/>
    </row>
    <row r="60">
      <c r="A60" s="61" t="s">
        <v>133</v>
      </c>
      <c r="B60" s="46" t="s">
        <v>633</v>
      </c>
      <c r="C60" s="47"/>
      <c r="D60" s="38">
        <v>598.0</v>
      </c>
      <c r="E60" s="55">
        <v>696.0</v>
      </c>
      <c r="F60" s="48">
        <v>112.0</v>
      </c>
      <c r="G60" s="38">
        <v>50.0</v>
      </c>
      <c r="H60" s="38">
        <v>39.0</v>
      </c>
      <c r="I60" s="48">
        <f t="shared" si="3"/>
        <v>1406</v>
      </c>
      <c r="J60" s="114">
        <f t="shared" si="4"/>
        <v>1495</v>
      </c>
      <c r="K60" s="49">
        <f t="shared" si="5"/>
        <v>0.4253200569</v>
      </c>
      <c r="L60" s="49">
        <f t="shared" si="6"/>
        <v>0.4950213371</v>
      </c>
      <c r="M60" s="49">
        <f t="shared" si="7"/>
        <v>0.07965860597</v>
      </c>
      <c r="N60" s="32" t="str">
        <f t="shared" si="8"/>
        <v>Mal. Lott</v>
      </c>
      <c r="O60" s="50" t="s">
        <v>77</v>
      </c>
      <c r="P60" s="38">
        <v>711.0</v>
      </c>
      <c r="Q60" s="38">
        <v>530.0</v>
      </c>
      <c r="R60" s="38">
        <v>106.0</v>
      </c>
      <c r="S60" s="38">
        <v>124.0</v>
      </c>
      <c r="T60" s="38">
        <v>24.0</v>
      </c>
      <c r="U60" s="48">
        <f t="shared" si="9"/>
        <v>1347</v>
      </c>
      <c r="V60" s="48">
        <f t="shared" si="10"/>
        <v>1495</v>
      </c>
      <c r="W60" s="49">
        <f t="shared" si="11"/>
        <v>0.5278396437</v>
      </c>
      <c r="X60" s="49">
        <f t="shared" si="12"/>
        <v>0.3934669636</v>
      </c>
      <c r="Y60" s="49">
        <f t="shared" si="13"/>
        <v>0.07869339272</v>
      </c>
      <c r="Z60" s="32" t="str">
        <f t="shared" si="14"/>
        <v>Jango</v>
      </c>
      <c r="AA60" s="50" t="s">
        <v>77</v>
      </c>
      <c r="AB60" s="38">
        <v>1807.0</v>
      </c>
      <c r="AC60" s="48">
        <f t="shared" si="15"/>
        <v>312</v>
      </c>
      <c r="AD60" s="51">
        <f t="shared" si="16"/>
        <v>0.8273381295</v>
      </c>
      <c r="AE60" s="113"/>
    </row>
    <row r="61">
      <c r="A61" s="24"/>
      <c r="B61" s="46" t="s">
        <v>634</v>
      </c>
      <c r="C61" s="47"/>
      <c r="D61" s="38">
        <v>175.0</v>
      </c>
      <c r="E61" s="48">
        <v>437.0</v>
      </c>
      <c r="F61" s="108">
        <v>64.0</v>
      </c>
      <c r="G61" s="38">
        <v>38.0</v>
      </c>
      <c r="H61" s="38">
        <v>26.0</v>
      </c>
      <c r="I61" s="48">
        <f t="shared" si="3"/>
        <v>676</v>
      </c>
      <c r="J61" s="48">
        <f t="shared" si="4"/>
        <v>740</v>
      </c>
      <c r="K61" s="49">
        <f t="shared" si="5"/>
        <v>0.2588757396</v>
      </c>
      <c r="L61" s="49">
        <f t="shared" si="6"/>
        <v>0.6464497041</v>
      </c>
      <c r="M61" s="49">
        <f t="shared" si="7"/>
        <v>0.09467455621</v>
      </c>
      <c r="N61" s="32" t="str">
        <f t="shared" si="8"/>
        <v>Mal. Lott</v>
      </c>
      <c r="O61" s="50" t="s">
        <v>77</v>
      </c>
      <c r="P61" s="38">
        <v>393.0</v>
      </c>
      <c r="Q61" s="38">
        <v>153.0</v>
      </c>
      <c r="R61" s="38">
        <v>108.0</v>
      </c>
      <c r="S61" s="38">
        <v>75.0</v>
      </c>
      <c r="T61" s="38">
        <v>11.0</v>
      </c>
      <c r="U61" s="48">
        <f t="shared" si="9"/>
        <v>654</v>
      </c>
      <c r="V61" s="48">
        <f t="shared" si="10"/>
        <v>740</v>
      </c>
      <c r="W61" s="49">
        <f t="shared" si="11"/>
        <v>0.6009174312</v>
      </c>
      <c r="X61" s="49">
        <f t="shared" si="12"/>
        <v>0.2339449541</v>
      </c>
      <c r="Y61" s="49">
        <f t="shared" si="13"/>
        <v>0.1651376147</v>
      </c>
      <c r="Z61" s="32" t="str">
        <f t="shared" si="14"/>
        <v>Jango</v>
      </c>
      <c r="AA61" s="50" t="s">
        <v>77</v>
      </c>
      <c r="AB61" s="38">
        <v>784.0</v>
      </c>
      <c r="AC61" s="48">
        <f t="shared" si="15"/>
        <v>44</v>
      </c>
      <c r="AD61" s="51">
        <f t="shared" si="16"/>
        <v>0.943877551</v>
      </c>
      <c r="AE61" s="113"/>
    </row>
    <row r="62">
      <c r="A62" s="61" t="s">
        <v>135</v>
      </c>
      <c r="B62" s="46" t="s">
        <v>635</v>
      </c>
      <c r="C62" s="47"/>
      <c r="D62" s="55">
        <v>653.0</v>
      </c>
      <c r="E62" s="48">
        <v>1144.0</v>
      </c>
      <c r="F62" s="108">
        <v>102.0</v>
      </c>
      <c r="G62" s="38">
        <v>50.0</v>
      </c>
      <c r="H62" s="38">
        <v>42.0</v>
      </c>
      <c r="I62" s="48">
        <f t="shared" si="3"/>
        <v>1899</v>
      </c>
      <c r="J62" s="114">
        <f t="shared" si="4"/>
        <v>1991</v>
      </c>
      <c r="K62" s="49">
        <f t="shared" si="5"/>
        <v>0.3438651922</v>
      </c>
      <c r="L62" s="49">
        <f t="shared" si="6"/>
        <v>0.6024223275</v>
      </c>
      <c r="M62" s="49">
        <f t="shared" si="7"/>
        <v>0.05371248025</v>
      </c>
      <c r="N62" s="32" t="str">
        <f t="shared" si="8"/>
        <v>Mal. Lott</v>
      </c>
      <c r="O62" s="50" t="s">
        <v>77</v>
      </c>
      <c r="P62" s="38">
        <v>1011.0</v>
      </c>
      <c r="Q62" s="38">
        <v>567.0</v>
      </c>
      <c r="R62" s="38">
        <v>296.0</v>
      </c>
      <c r="S62" s="38">
        <v>82.0</v>
      </c>
      <c r="T62" s="38">
        <v>35.0</v>
      </c>
      <c r="U62" s="48">
        <f t="shared" si="9"/>
        <v>1874</v>
      </c>
      <c r="V62" s="48">
        <f t="shared" si="10"/>
        <v>1991</v>
      </c>
      <c r="W62" s="49">
        <f t="shared" si="11"/>
        <v>0.5394877268</v>
      </c>
      <c r="X62" s="49">
        <f t="shared" si="12"/>
        <v>0.3025613661</v>
      </c>
      <c r="Y62" s="49">
        <f t="shared" si="13"/>
        <v>0.1579509072</v>
      </c>
      <c r="Z62" s="32" t="str">
        <f t="shared" si="14"/>
        <v>Jango</v>
      </c>
      <c r="AA62" s="50" t="s">
        <v>77</v>
      </c>
      <c r="AB62" s="38">
        <v>2608.0</v>
      </c>
      <c r="AC62" s="48">
        <f t="shared" si="15"/>
        <v>617</v>
      </c>
      <c r="AD62" s="51">
        <f t="shared" si="16"/>
        <v>0.7634202454</v>
      </c>
      <c r="AE62" s="113"/>
    </row>
    <row r="63">
      <c r="A63" s="23"/>
      <c r="B63" s="46" t="s">
        <v>636</v>
      </c>
      <c r="C63" s="47"/>
      <c r="D63" s="38">
        <v>632.0</v>
      </c>
      <c r="E63" s="48">
        <v>379.0</v>
      </c>
      <c r="F63" s="108">
        <v>45.0</v>
      </c>
      <c r="G63" s="38">
        <v>26.0</v>
      </c>
      <c r="H63" s="38">
        <v>37.0</v>
      </c>
      <c r="I63" s="48">
        <f t="shared" si="3"/>
        <v>1056</v>
      </c>
      <c r="J63" s="48">
        <f t="shared" si="4"/>
        <v>1119</v>
      </c>
      <c r="K63" s="49">
        <f t="shared" si="5"/>
        <v>0.5984848485</v>
      </c>
      <c r="L63" s="49">
        <f t="shared" si="6"/>
        <v>0.3589015152</v>
      </c>
      <c r="M63" s="49">
        <f t="shared" si="7"/>
        <v>0.04261363636</v>
      </c>
      <c r="N63" s="32" t="str">
        <f t="shared" si="8"/>
        <v>Jânio</v>
      </c>
      <c r="O63" s="50" t="s">
        <v>77</v>
      </c>
      <c r="P63" s="38">
        <v>395.0</v>
      </c>
      <c r="Q63" s="38">
        <v>564.0</v>
      </c>
      <c r="R63" s="38">
        <v>64.0</v>
      </c>
      <c r="S63" s="38">
        <v>72.0</v>
      </c>
      <c r="T63" s="38">
        <v>24.0</v>
      </c>
      <c r="U63" s="48">
        <f t="shared" si="9"/>
        <v>1023</v>
      </c>
      <c r="V63" s="48">
        <f t="shared" si="10"/>
        <v>1119</v>
      </c>
      <c r="W63" s="49">
        <f t="shared" si="11"/>
        <v>0.3861192571</v>
      </c>
      <c r="X63" s="49">
        <f t="shared" si="12"/>
        <v>0.5513196481</v>
      </c>
      <c r="Y63" s="49">
        <f t="shared" si="13"/>
        <v>0.06256109482</v>
      </c>
      <c r="Z63" s="32" t="str">
        <f t="shared" si="14"/>
        <v>Milton</v>
      </c>
      <c r="AA63" s="50" t="s">
        <v>77</v>
      </c>
      <c r="AB63" s="38">
        <v>1327.0</v>
      </c>
      <c r="AC63" s="48">
        <f t="shared" si="15"/>
        <v>208</v>
      </c>
      <c r="AD63" s="51">
        <f t="shared" si="16"/>
        <v>0.8432554635</v>
      </c>
      <c r="AE63" s="113"/>
    </row>
    <row r="64">
      <c r="A64" s="24"/>
      <c r="B64" s="46" t="s">
        <v>637</v>
      </c>
      <c r="C64" s="47"/>
      <c r="D64" s="38">
        <v>720.0</v>
      </c>
      <c r="E64" s="48">
        <v>593.0</v>
      </c>
      <c r="F64" s="108">
        <v>45.0</v>
      </c>
      <c r="G64" s="38">
        <v>34.0</v>
      </c>
      <c r="H64" s="38">
        <v>33.0</v>
      </c>
      <c r="I64" s="48">
        <f t="shared" si="3"/>
        <v>1358</v>
      </c>
      <c r="J64" s="48">
        <f t="shared" si="4"/>
        <v>1425</v>
      </c>
      <c r="K64" s="49">
        <f t="shared" si="5"/>
        <v>0.530191458</v>
      </c>
      <c r="L64" s="49">
        <f t="shared" si="6"/>
        <v>0.4366715758</v>
      </c>
      <c r="M64" s="49">
        <f t="shared" si="7"/>
        <v>0.03313696613</v>
      </c>
      <c r="N64" s="32" t="str">
        <f t="shared" si="8"/>
        <v>Jânio</v>
      </c>
      <c r="O64" s="50" t="s">
        <v>77</v>
      </c>
      <c r="P64" s="38">
        <v>622.0</v>
      </c>
      <c r="Q64" s="38">
        <v>694.0</v>
      </c>
      <c r="R64" s="38">
        <v>30.0</v>
      </c>
      <c r="S64" s="38">
        <v>63.0</v>
      </c>
      <c r="T64" s="38">
        <v>16.0</v>
      </c>
      <c r="U64" s="48">
        <f t="shared" si="9"/>
        <v>1346</v>
      </c>
      <c r="V64" s="48">
        <f t="shared" si="10"/>
        <v>1425</v>
      </c>
      <c r="W64" s="49">
        <f t="shared" si="11"/>
        <v>0.4621099554</v>
      </c>
      <c r="X64" s="49">
        <f t="shared" si="12"/>
        <v>0.5156017831</v>
      </c>
      <c r="Y64" s="49">
        <f t="shared" si="13"/>
        <v>0.02228826152</v>
      </c>
      <c r="Z64" s="32" t="str">
        <f t="shared" si="14"/>
        <v>Milton</v>
      </c>
      <c r="AA64" s="50" t="s">
        <v>77</v>
      </c>
      <c r="AB64" s="38">
        <v>1664.0</v>
      </c>
      <c r="AC64" s="48">
        <f t="shared" si="15"/>
        <v>239</v>
      </c>
      <c r="AD64" s="51">
        <f t="shared" si="16"/>
        <v>0.8563701923</v>
      </c>
      <c r="AE64" s="113"/>
    </row>
    <row r="65">
      <c r="A65" s="61" t="s">
        <v>193</v>
      </c>
      <c r="B65" s="46" t="s">
        <v>638</v>
      </c>
      <c r="C65" s="47"/>
      <c r="D65" s="38">
        <v>1252.0</v>
      </c>
      <c r="E65" s="48">
        <v>1102.0</v>
      </c>
      <c r="F65" s="108">
        <v>116.0</v>
      </c>
      <c r="G65" s="38">
        <v>95.0</v>
      </c>
      <c r="H65" s="38">
        <v>74.0</v>
      </c>
      <c r="I65" s="48">
        <f t="shared" si="3"/>
        <v>2470</v>
      </c>
      <c r="J65" s="48">
        <f t="shared" si="4"/>
        <v>2639</v>
      </c>
      <c r="K65" s="49">
        <f t="shared" si="5"/>
        <v>0.5068825911</v>
      </c>
      <c r="L65" s="49">
        <f t="shared" si="6"/>
        <v>0.4461538462</v>
      </c>
      <c r="M65" s="49">
        <f t="shared" si="7"/>
        <v>0.04696356275</v>
      </c>
      <c r="N65" s="32" t="str">
        <f t="shared" si="8"/>
        <v>Jânio</v>
      </c>
      <c r="O65" s="50" t="s">
        <v>77</v>
      </c>
      <c r="P65" s="38">
        <v>838.0</v>
      </c>
      <c r="Q65" s="38">
        <v>1003.0</v>
      </c>
      <c r="R65" s="38">
        <v>531.0</v>
      </c>
      <c r="S65" s="38">
        <v>222.0</v>
      </c>
      <c r="T65" s="38">
        <v>45.0</v>
      </c>
      <c r="U65" s="48">
        <f t="shared" si="9"/>
        <v>2372</v>
      </c>
      <c r="V65" s="48">
        <f t="shared" si="10"/>
        <v>2639</v>
      </c>
      <c r="W65" s="49">
        <f t="shared" si="11"/>
        <v>0.3532883642</v>
      </c>
      <c r="X65" s="49">
        <f t="shared" si="12"/>
        <v>0.4228499157</v>
      </c>
      <c r="Y65" s="49">
        <f t="shared" si="13"/>
        <v>0.2238617201</v>
      </c>
      <c r="Z65" s="32" t="str">
        <f t="shared" si="14"/>
        <v>Milton</v>
      </c>
      <c r="AA65" s="50" t="s">
        <v>77</v>
      </c>
      <c r="AB65" s="38">
        <v>2873.0</v>
      </c>
      <c r="AC65" s="48">
        <f t="shared" si="15"/>
        <v>234</v>
      </c>
      <c r="AD65" s="51">
        <f t="shared" si="16"/>
        <v>0.9185520362</v>
      </c>
      <c r="AE65" s="113"/>
    </row>
    <row r="66">
      <c r="A66" s="24"/>
      <c r="B66" s="46" t="s">
        <v>639</v>
      </c>
      <c r="C66" s="47"/>
      <c r="D66" s="38">
        <v>578.0</v>
      </c>
      <c r="E66" s="48">
        <v>320.0</v>
      </c>
      <c r="F66" s="108">
        <v>45.0</v>
      </c>
      <c r="G66" s="38">
        <v>23.0</v>
      </c>
      <c r="H66" s="38">
        <v>30.0</v>
      </c>
      <c r="I66" s="48">
        <f t="shared" si="3"/>
        <v>943</v>
      </c>
      <c r="J66" s="48">
        <f t="shared" si="4"/>
        <v>996</v>
      </c>
      <c r="K66" s="49">
        <f t="shared" si="5"/>
        <v>0.6129374337</v>
      </c>
      <c r="L66" s="49">
        <f t="shared" si="6"/>
        <v>0.3393425239</v>
      </c>
      <c r="M66" s="49">
        <f t="shared" si="7"/>
        <v>0.04772004242</v>
      </c>
      <c r="N66" s="32" t="str">
        <f t="shared" si="8"/>
        <v>Jânio</v>
      </c>
      <c r="O66" s="50" t="s">
        <v>77</v>
      </c>
      <c r="P66" s="38">
        <v>307.0</v>
      </c>
      <c r="Q66" s="38">
        <v>546.0</v>
      </c>
      <c r="R66" s="38">
        <v>70.0</v>
      </c>
      <c r="S66" s="38">
        <v>56.0</v>
      </c>
      <c r="T66" s="38">
        <v>17.0</v>
      </c>
      <c r="U66" s="48">
        <f t="shared" si="9"/>
        <v>923</v>
      </c>
      <c r="V66" s="48">
        <f t="shared" si="10"/>
        <v>996</v>
      </c>
      <c r="W66" s="49">
        <f t="shared" si="11"/>
        <v>0.3326110509</v>
      </c>
      <c r="X66" s="49">
        <f t="shared" si="12"/>
        <v>0.5915492958</v>
      </c>
      <c r="Y66" s="49">
        <f t="shared" si="13"/>
        <v>0.0758396533</v>
      </c>
      <c r="Z66" s="32" t="str">
        <f t="shared" si="14"/>
        <v>Milton</v>
      </c>
      <c r="AA66" s="50" t="s">
        <v>77</v>
      </c>
      <c r="AB66" s="38">
        <v>1123.0</v>
      </c>
      <c r="AC66" s="48">
        <f t="shared" si="15"/>
        <v>127</v>
      </c>
      <c r="AD66" s="51">
        <f t="shared" si="16"/>
        <v>0.8869100623</v>
      </c>
      <c r="AE66" s="113"/>
    </row>
    <row r="67">
      <c r="A67" s="45" t="s">
        <v>196</v>
      </c>
      <c r="B67" s="46" t="s">
        <v>640</v>
      </c>
      <c r="C67" s="47"/>
      <c r="D67" s="38">
        <v>2377.0</v>
      </c>
      <c r="E67" s="48">
        <v>567.0</v>
      </c>
      <c r="F67" s="108">
        <v>160.0</v>
      </c>
      <c r="G67" s="38">
        <v>142.0</v>
      </c>
      <c r="H67" s="38">
        <v>98.0</v>
      </c>
      <c r="I67" s="48">
        <f t="shared" si="3"/>
        <v>3104</v>
      </c>
      <c r="J67" s="48">
        <f t="shared" si="4"/>
        <v>3344</v>
      </c>
      <c r="K67" s="49">
        <f t="shared" si="5"/>
        <v>0.7657860825</v>
      </c>
      <c r="L67" s="49">
        <f t="shared" si="6"/>
        <v>0.1826675258</v>
      </c>
      <c r="M67" s="49">
        <f t="shared" si="7"/>
        <v>0.05154639175</v>
      </c>
      <c r="N67" s="32" t="str">
        <f t="shared" si="8"/>
        <v>Jânio</v>
      </c>
      <c r="O67" s="50" t="s">
        <v>77</v>
      </c>
      <c r="P67" s="38">
        <v>598.0</v>
      </c>
      <c r="Q67" s="38">
        <v>2014.0</v>
      </c>
      <c r="R67" s="38">
        <v>371.0</v>
      </c>
      <c r="S67" s="38">
        <v>315.0</v>
      </c>
      <c r="T67" s="38">
        <v>46.0</v>
      </c>
      <c r="U67" s="48">
        <f t="shared" si="9"/>
        <v>2983</v>
      </c>
      <c r="V67" s="48">
        <f t="shared" si="10"/>
        <v>3344</v>
      </c>
      <c r="W67" s="49">
        <f t="shared" si="11"/>
        <v>0.2004693262</v>
      </c>
      <c r="X67" s="49">
        <f t="shared" si="12"/>
        <v>0.6751592357</v>
      </c>
      <c r="Y67" s="49">
        <f t="shared" si="13"/>
        <v>0.1243714381</v>
      </c>
      <c r="Z67" s="32" t="str">
        <f t="shared" si="14"/>
        <v>Milton</v>
      </c>
      <c r="AA67" s="50" t="s">
        <v>77</v>
      </c>
      <c r="AB67" s="38">
        <v>3828.0</v>
      </c>
      <c r="AC67" s="48">
        <f t="shared" si="15"/>
        <v>484</v>
      </c>
      <c r="AD67" s="51">
        <f t="shared" si="16"/>
        <v>0.8735632184</v>
      </c>
      <c r="AE67" s="113"/>
    </row>
    <row r="68">
      <c r="A68" s="61" t="s">
        <v>198</v>
      </c>
      <c r="B68" s="46" t="s">
        <v>641</v>
      </c>
      <c r="C68" s="47"/>
      <c r="D68" s="38">
        <v>3177.0</v>
      </c>
      <c r="E68" s="48">
        <v>1977.0</v>
      </c>
      <c r="F68" s="108">
        <v>184.0</v>
      </c>
      <c r="G68" s="38">
        <v>164.0</v>
      </c>
      <c r="H68" s="38">
        <v>130.0</v>
      </c>
      <c r="I68" s="48">
        <f t="shared" si="3"/>
        <v>5338</v>
      </c>
      <c r="J68" s="48">
        <f t="shared" si="4"/>
        <v>5632</v>
      </c>
      <c r="K68" s="49">
        <f t="shared" si="5"/>
        <v>0.5951667291</v>
      </c>
      <c r="L68" s="49">
        <f t="shared" si="6"/>
        <v>0.370363432</v>
      </c>
      <c r="M68" s="49">
        <f t="shared" si="7"/>
        <v>0.03446983889</v>
      </c>
      <c r="N68" s="32" t="str">
        <f t="shared" si="8"/>
        <v>Jânio</v>
      </c>
      <c r="O68" s="50" t="s">
        <v>77</v>
      </c>
      <c r="P68" s="38">
        <v>1945.0</v>
      </c>
      <c r="Q68" s="38">
        <v>2770.0</v>
      </c>
      <c r="R68" s="38">
        <v>480.0</v>
      </c>
      <c r="S68" s="38">
        <v>320.0</v>
      </c>
      <c r="T68" s="38">
        <v>117.0</v>
      </c>
      <c r="U68" s="48">
        <f t="shared" si="9"/>
        <v>5195</v>
      </c>
      <c r="V68" s="48">
        <f t="shared" si="10"/>
        <v>5632</v>
      </c>
      <c r="W68" s="49">
        <f t="shared" si="11"/>
        <v>0.3743984601</v>
      </c>
      <c r="X68" s="49">
        <f t="shared" si="12"/>
        <v>0.5332050048</v>
      </c>
      <c r="Y68" s="49">
        <f t="shared" si="13"/>
        <v>0.09239653513</v>
      </c>
      <c r="Z68" s="32" t="str">
        <f t="shared" si="14"/>
        <v>Milton</v>
      </c>
      <c r="AA68" s="50" t="s">
        <v>77</v>
      </c>
      <c r="AB68" s="38">
        <v>7338.0</v>
      </c>
      <c r="AC68" s="48">
        <f t="shared" si="15"/>
        <v>1706</v>
      </c>
      <c r="AD68" s="51">
        <f t="shared" si="16"/>
        <v>0.7675115835</v>
      </c>
      <c r="AE68" s="113"/>
    </row>
    <row r="69">
      <c r="A69" s="23"/>
      <c r="B69" s="46" t="s">
        <v>642</v>
      </c>
      <c r="C69" s="47"/>
      <c r="D69" s="38">
        <v>605.0</v>
      </c>
      <c r="E69" s="38">
        <v>591.0</v>
      </c>
      <c r="F69" s="38">
        <v>71.0</v>
      </c>
      <c r="G69" s="38">
        <v>49.0</v>
      </c>
      <c r="H69" s="38">
        <v>43.0</v>
      </c>
      <c r="I69" s="48">
        <f t="shared" si="3"/>
        <v>1267</v>
      </c>
      <c r="J69" s="48">
        <f t="shared" si="4"/>
        <v>1359</v>
      </c>
      <c r="K69" s="49">
        <f t="shared" si="5"/>
        <v>0.4775059195</v>
      </c>
      <c r="L69" s="49">
        <f t="shared" si="6"/>
        <v>0.4664561957</v>
      </c>
      <c r="M69" s="49">
        <f t="shared" si="7"/>
        <v>0.05603788477</v>
      </c>
      <c r="N69" s="32" t="str">
        <f t="shared" si="8"/>
        <v>Jânio</v>
      </c>
      <c r="O69" s="50" t="s">
        <v>77</v>
      </c>
      <c r="P69" s="48">
        <v>616.0</v>
      </c>
      <c r="Q69" s="38">
        <v>549.0</v>
      </c>
      <c r="R69" s="48">
        <v>87.0</v>
      </c>
      <c r="S69" s="38">
        <v>73.0</v>
      </c>
      <c r="T69" s="38">
        <v>34.0</v>
      </c>
      <c r="U69" s="48">
        <f t="shared" si="9"/>
        <v>1252</v>
      </c>
      <c r="V69" s="48">
        <f t="shared" si="10"/>
        <v>1359</v>
      </c>
      <c r="W69" s="49">
        <f t="shared" si="11"/>
        <v>0.4920127796</v>
      </c>
      <c r="X69" s="49">
        <f t="shared" si="12"/>
        <v>0.4384984026</v>
      </c>
      <c r="Y69" s="49">
        <f t="shared" si="13"/>
        <v>0.06948881789</v>
      </c>
      <c r="Z69" s="32" t="str">
        <f t="shared" si="14"/>
        <v>Jango</v>
      </c>
      <c r="AA69" s="50" t="s">
        <v>77</v>
      </c>
      <c r="AB69" s="38">
        <v>1662.0</v>
      </c>
      <c r="AC69" s="48">
        <f t="shared" si="15"/>
        <v>303</v>
      </c>
      <c r="AD69" s="51">
        <f t="shared" si="16"/>
        <v>0.8176895307</v>
      </c>
      <c r="AE69" s="113"/>
    </row>
    <row r="70">
      <c r="A70" s="24"/>
      <c r="B70" s="46" t="s">
        <v>643</v>
      </c>
      <c r="C70" s="47"/>
      <c r="D70" s="38">
        <v>189.0</v>
      </c>
      <c r="E70" s="38">
        <v>316.0</v>
      </c>
      <c r="F70" s="38">
        <v>32.0</v>
      </c>
      <c r="G70" s="38">
        <v>16.0</v>
      </c>
      <c r="H70" s="38">
        <v>16.0</v>
      </c>
      <c r="I70" s="48">
        <f t="shared" si="3"/>
        <v>537</v>
      </c>
      <c r="J70" s="48">
        <f t="shared" si="4"/>
        <v>569</v>
      </c>
      <c r="K70" s="49">
        <f t="shared" si="5"/>
        <v>0.3519553073</v>
      </c>
      <c r="L70" s="49">
        <f t="shared" si="6"/>
        <v>0.5884543762</v>
      </c>
      <c r="M70" s="49">
        <f t="shared" si="7"/>
        <v>0.05959031657</v>
      </c>
      <c r="N70" s="32" t="str">
        <f t="shared" si="8"/>
        <v>Mal. Lott</v>
      </c>
      <c r="O70" s="50" t="s">
        <v>77</v>
      </c>
      <c r="P70" s="48">
        <v>332.0</v>
      </c>
      <c r="Q70" s="38">
        <v>168.0</v>
      </c>
      <c r="R70" s="48">
        <v>25.0</v>
      </c>
      <c r="S70" s="38">
        <v>36.0</v>
      </c>
      <c r="T70" s="38">
        <v>8.0</v>
      </c>
      <c r="U70" s="48">
        <f t="shared" si="9"/>
        <v>525</v>
      </c>
      <c r="V70" s="48">
        <f t="shared" si="10"/>
        <v>569</v>
      </c>
      <c r="W70" s="49">
        <f t="shared" si="11"/>
        <v>0.6323809524</v>
      </c>
      <c r="X70" s="49">
        <f t="shared" si="12"/>
        <v>0.32</v>
      </c>
      <c r="Y70" s="49">
        <f t="shared" si="13"/>
        <v>0.04761904762</v>
      </c>
      <c r="Z70" s="32" t="str">
        <f t="shared" si="14"/>
        <v>Jango</v>
      </c>
      <c r="AA70" s="50" t="s">
        <v>77</v>
      </c>
      <c r="AB70" s="38">
        <v>624.0</v>
      </c>
      <c r="AC70" s="48">
        <f t="shared" si="15"/>
        <v>55</v>
      </c>
      <c r="AD70" s="51">
        <f t="shared" si="16"/>
        <v>0.9118589744</v>
      </c>
      <c r="AE70" s="113"/>
    </row>
    <row r="71">
      <c r="A71" s="61" t="s">
        <v>202</v>
      </c>
      <c r="B71" s="46" t="s">
        <v>644</v>
      </c>
      <c r="C71" s="47"/>
      <c r="D71" s="38">
        <v>1195.0</v>
      </c>
      <c r="E71" s="38">
        <v>71.0</v>
      </c>
      <c r="F71" s="38">
        <v>37.0</v>
      </c>
      <c r="G71" s="38">
        <v>57.0</v>
      </c>
      <c r="H71" s="38">
        <v>32.0</v>
      </c>
      <c r="I71" s="48">
        <f t="shared" si="3"/>
        <v>1303</v>
      </c>
      <c r="J71" s="48">
        <f t="shared" si="4"/>
        <v>1392</v>
      </c>
      <c r="K71" s="49">
        <f t="shared" si="5"/>
        <v>0.9171143515</v>
      </c>
      <c r="L71" s="49">
        <f t="shared" si="6"/>
        <v>0.05448963929</v>
      </c>
      <c r="M71" s="49">
        <f t="shared" si="7"/>
        <v>0.02839600921</v>
      </c>
      <c r="N71" s="32" t="str">
        <f t="shared" si="8"/>
        <v>Jânio</v>
      </c>
      <c r="O71" s="50" t="s">
        <v>77</v>
      </c>
      <c r="P71" s="48">
        <v>90.0</v>
      </c>
      <c r="Q71" s="38">
        <v>1138.0</v>
      </c>
      <c r="R71" s="48">
        <v>49.0</v>
      </c>
      <c r="S71" s="38">
        <v>97.0</v>
      </c>
      <c r="T71" s="38">
        <v>18.0</v>
      </c>
      <c r="U71" s="48">
        <f t="shared" si="9"/>
        <v>1277</v>
      </c>
      <c r="V71" s="48">
        <f t="shared" si="10"/>
        <v>1392</v>
      </c>
      <c r="W71" s="49">
        <f t="shared" si="11"/>
        <v>0.07047768207</v>
      </c>
      <c r="X71" s="49">
        <f t="shared" si="12"/>
        <v>0.8911511355</v>
      </c>
      <c r="Y71" s="49">
        <f t="shared" si="13"/>
        <v>0.03837118246</v>
      </c>
      <c r="Z71" s="32" t="str">
        <f t="shared" si="14"/>
        <v>Milton</v>
      </c>
      <c r="AA71" s="50" t="s">
        <v>77</v>
      </c>
      <c r="AB71" s="38">
        <v>1454.0</v>
      </c>
      <c r="AC71" s="48">
        <f t="shared" si="15"/>
        <v>62</v>
      </c>
      <c r="AD71" s="51">
        <f t="shared" si="16"/>
        <v>0.9573590096</v>
      </c>
      <c r="AE71" s="113"/>
    </row>
    <row r="72">
      <c r="A72" s="24"/>
      <c r="B72" s="46" t="s">
        <v>645</v>
      </c>
      <c r="C72" s="47"/>
      <c r="D72" s="38">
        <v>704.0</v>
      </c>
      <c r="E72" s="38">
        <v>310.0</v>
      </c>
      <c r="F72" s="38">
        <v>56.0</v>
      </c>
      <c r="G72" s="38">
        <v>65.0</v>
      </c>
      <c r="H72" s="38">
        <v>44.0</v>
      </c>
      <c r="I72" s="48">
        <f t="shared" si="3"/>
        <v>1070</v>
      </c>
      <c r="J72" s="48">
        <f t="shared" si="4"/>
        <v>1179</v>
      </c>
      <c r="K72" s="49">
        <f t="shared" si="5"/>
        <v>0.6579439252</v>
      </c>
      <c r="L72" s="49">
        <f t="shared" si="6"/>
        <v>0.2897196262</v>
      </c>
      <c r="M72" s="49">
        <f t="shared" si="7"/>
        <v>0.0523364486</v>
      </c>
      <c r="N72" s="32" t="str">
        <f t="shared" si="8"/>
        <v>Jânio</v>
      </c>
      <c r="O72" s="50" t="s">
        <v>77</v>
      </c>
      <c r="P72" s="48">
        <v>332.0</v>
      </c>
      <c r="Q72" s="38">
        <v>649.0</v>
      </c>
      <c r="R72" s="48">
        <v>54.0</v>
      </c>
      <c r="S72" s="38">
        <v>112.0</v>
      </c>
      <c r="T72" s="38">
        <v>32.0</v>
      </c>
      <c r="U72" s="48">
        <f t="shared" si="9"/>
        <v>1035</v>
      </c>
      <c r="V72" s="48">
        <f t="shared" si="10"/>
        <v>1179</v>
      </c>
      <c r="W72" s="49">
        <f t="shared" si="11"/>
        <v>0.3207729469</v>
      </c>
      <c r="X72" s="49">
        <f t="shared" si="12"/>
        <v>0.6270531401</v>
      </c>
      <c r="Y72" s="49">
        <f t="shared" si="13"/>
        <v>0.05217391304</v>
      </c>
      <c r="Z72" s="32" t="str">
        <f t="shared" si="14"/>
        <v>Milton</v>
      </c>
      <c r="AA72" s="50" t="s">
        <v>77</v>
      </c>
      <c r="AB72" s="38">
        <v>1405.0</v>
      </c>
      <c r="AC72" s="48">
        <f t="shared" si="15"/>
        <v>226</v>
      </c>
      <c r="AD72" s="51">
        <f t="shared" si="16"/>
        <v>0.8391459075</v>
      </c>
      <c r="AE72" s="113"/>
    </row>
    <row r="73">
      <c r="A73" s="45" t="s">
        <v>205</v>
      </c>
      <c r="B73" s="46" t="s">
        <v>646</v>
      </c>
      <c r="C73" s="47"/>
      <c r="D73" s="38">
        <v>861.0</v>
      </c>
      <c r="E73" s="38">
        <v>814.0</v>
      </c>
      <c r="F73" s="38">
        <v>126.0</v>
      </c>
      <c r="G73" s="38">
        <v>79.0</v>
      </c>
      <c r="H73" s="38">
        <v>57.0</v>
      </c>
      <c r="I73" s="48">
        <f t="shared" si="3"/>
        <v>1801</v>
      </c>
      <c r="J73" s="48">
        <f t="shared" si="4"/>
        <v>1937</v>
      </c>
      <c r="K73" s="49">
        <f t="shared" si="5"/>
        <v>0.4780677401</v>
      </c>
      <c r="L73" s="49">
        <f t="shared" si="6"/>
        <v>0.4519711272</v>
      </c>
      <c r="M73" s="49">
        <f t="shared" si="7"/>
        <v>0.0699611327</v>
      </c>
      <c r="N73" s="32" t="str">
        <f t="shared" si="8"/>
        <v>Jânio</v>
      </c>
      <c r="O73" s="50" t="s">
        <v>77</v>
      </c>
      <c r="P73" s="48">
        <v>881.0</v>
      </c>
      <c r="Q73" s="38">
        <v>769.0</v>
      </c>
      <c r="R73" s="48">
        <v>119.0</v>
      </c>
      <c r="S73" s="38">
        <v>144.0</v>
      </c>
      <c r="T73" s="38">
        <v>24.0</v>
      </c>
      <c r="U73" s="48">
        <f t="shared" si="9"/>
        <v>1769</v>
      </c>
      <c r="V73" s="48">
        <f t="shared" si="10"/>
        <v>1937</v>
      </c>
      <c r="W73" s="49">
        <f t="shared" si="11"/>
        <v>0.4980214811</v>
      </c>
      <c r="X73" s="49">
        <f t="shared" si="12"/>
        <v>0.4347088751</v>
      </c>
      <c r="Y73" s="49">
        <f t="shared" si="13"/>
        <v>0.06726964387</v>
      </c>
      <c r="Z73" s="32" t="str">
        <f t="shared" si="14"/>
        <v>Jango</v>
      </c>
      <c r="AA73" s="50" t="s">
        <v>77</v>
      </c>
      <c r="AB73" s="38">
        <v>2256.0</v>
      </c>
      <c r="AC73" s="48">
        <f t="shared" si="15"/>
        <v>319</v>
      </c>
      <c r="AD73" s="51">
        <f t="shared" si="16"/>
        <v>0.8585992908</v>
      </c>
      <c r="AE73" s="113"/>
    </row>
    <row r="74">
      <c r="A74" s="61" t="s">
        <v>141</v>
      </c>
      <c r="B74" s="46" t="s">
        <v>647</v>
      </c>
      <c r="C74" s="47"/>
      <c r="D74" s="38">
        <v>1513.0</v>
      </c>
      <c r="E74" s="38">
        <v>1248.0</v>
      </c>
      <c r="F74" s="38">
        <v>238.0</v>
      </c>
      <c r="G74" s="38">
        <v>140.0</v>
      </c>
      <c r="H74" s="38">
        <v>113.0</v>
      </c>
      <c r="I74" s="48">
        <f t="shared" si="3"/>
        <v>2999</v>
      </c>
      <c r="J74" s="48">
        <f t="shared" si="4"/>
        <v>3252</v>
      </c>
      <c r="K74" s="49">
        <f t="shared" si="5"/>
        <v>0.5045015005</v>
      </c>
      <c r="L74" s="49">
        <f t="shared" si="6"/>
        <v>0.4161387129</v>
      </c>
      <c r="M74" s="49">
        <f t="shared" si="7"/>
        <v>0.0793597866</v>
      </c>
      <c r="N74" s="32" t="str">
        <f t="shared" si="8"/>
        <v>Jânio</v>
      </c>
      <c r="O74" s="50" t="s">
        <v>77</v>
      </c>
      <c r="P74" s="48">
        <v>1352.0</v>
      </c>
      <c r="Q74" s="38">
        <v>1301.0</v>
      </c>
      <c r="R74" s="48">
        <v>273.0</v>
      </c>
      <c r="S74" s="38">
        <v>255.0</v>
      </c>
      <c r="T74" s="38">
        <v>71.0</v>
      </c>
      <c r="U74" s="48">
        <f t="shared" si="9"/>
        <v>2926</v>
      </c>
      <c r="V74" s="48">
        <f t="shared" si="10"/>
        <v>3252</v>
      </c>
      <c r="W74" s="49">
        <f t="shared" si="11"/>
        <v>0.4620642515</v>
      </c>
      <c r="X74" s="49">
        <f t="shared" si="12"/>
        <v>0.4446343131</v>
      </c>
      <c r="Y74" s="49">
        <f t="shared" si="13"/>
        <v>0.09330143541</v>
      </c>
      <c r="Z74" s="32" t="str">
        <f t="shared" si="14"/>
        <v>Jango</v>
      </c>
      <c r="AA74" s="50" t="s">
        <v>77</v>
      </c>
      <c r="AB74" s="38">
        <v>3821.0</v>
      </c>
      <c r="AC74" s="48">
        <f t="shared" si="15"/>
        <v>569</v>
      </c>
      <c r="AD74" s="51">
        <f t="shared" si="16"/>
        <v>0.8510861031</v>
      </c>
      <c r="AE74" s="113"/>
    </row>
    <row r="75">
      <c r="A75" s="24"/>
      <c r="B75" s="46" t="s">
        <v>648</v>
      </c>
      <c r="C75" s="47"/>
      <c r="D75" s="38">
        <v>567.0</v>
      </c>
      <c r="E75" s="38">
        <v>669.0</v>
      </c>
      <c r="F75" s="38">
        <v>143.0</v>
      </c>
      <c r="G75" s="38">
        <v>83.0</v>
      </c>
      <c r="H75" s="38">
        <v>312.0</v>
      </c>
      <c r="I75" s="48">
        <f t="shared" si="3"/>
        <v>1379</v>
      </c>
      <c r="J75" s="48">
        <f t="shared" si="4"/>
        <v>1774</v>
      </c>
      <c r="K75" s="49">
        <f t="shared" si="5"/>
        <v>0.4111675127</v>
      </c>
      <c r="L75" s="49">
        <f t="shared" si="6"/>
        <v>0.4851341552</v>
      </c>
      <c r="M75" s="49">
        <f t="shared" si="7"/>
        <v>0.1036983321</v>
      </c>
      <c r="N75" s="32" t="str">
        <f t="shared" si="8"/>
        <v>Mal. Lott</v>
      </c>
      <c r="O75" s="50" t="s">
        <v>77</v>
      </c>
      <c r="P75" s="48">
        <v>637.0</v>
      </c>
      <c r="Q75" s="38">
        <v>549.0</v>
      </c>
      <c r="R75" s="48">
        <v>141.0</v>
      </c>
      <c r="S75" s="38">
        <v>152.0</v>
      </c>
      <c r="T75" s="38">
        <v>295.0</v>
      </c>
      <c r="U75" s="48">
        <f t="shared" si="9"/>
        <v>1327</v>
      </c>
      <c r="V75" s="48">
        <f t="shared" si="10"/>
        <v>1774</v>
      </c>
      <c r="W75" s="49">
        <f t="shared" si="11"/>
        <v>0.4800301432</v>
      </c>
      <c r="X75" s="49">
        <f t="shared" si="12"/>
        <v>0.4137151469</v>
      </c>
      <c r="Y75" s="49">
        <f t="shared" si="13"/>
        <v>0.1062547099</v>
      </c>
      <c r="Z75" s="32" t="str">
        <f t="shared" si="14"/>
        <v>Jango</v>
      </c>
      <c r="AA75" s="50" t="s">
        <v>77</v>
      </c>
      <c r="AB75" s="38">
        <v>1970.0</v>
      </c>
      <c r="AC75" s="48">
        <f t="shared" si="15"/>
        <v>196</v>
      </c>
      <c r="AD75" s="51">
        <f t="shared" si="16"/>
        <v>0.9005076142</v>
      </c>
      <c r="AE75" s="113"/>
    </row>
    <row r="76">
      <c r="A76" s="61" t="s">
        <v>143</v>
      </c>
      <c r="B76" s="46" t="s">
        <v>649</v>
      </c>
      <c r="C76" s="47"/>
      <c r="D76" s="38">
        <v>2614.0</v>
      </c>
      <c r="E76" s="38">
        <v>2652.0</v>
      </c>
      <c r="F76" s="38">
        <v>476.0</v>
      </c>
      <c r="G76" s="38">
        <v>289.0</v>
      </c>
      <c r="H76" s="38">
        <v>178.0</v>
      </c>
      <c r="I76" s="48">
        <f t="shared" si="3"/>
        <v>5742</v>
      </c>
      <c r="J76" s="48">
        <f t="shared" si="4"/>
        <v>6209</v>
      </c>
      <c r="K76" s="49">
        <f t="shared" si="5"/>
        <v>0.4552420759</v>
      </c>
      <c r="L76" s="49">
        <f t="shared" si="6"/>
        <v>0.4618599791</v>
      </c>
      <c r="M76" s="49">
        <f t="shared" si="7"/>
        <v>0.08289794497</v>
      </c>
      <c r="N76" s="32" t="str">
        <f t="shared" si="8"/>
        <v>Mal. Lott</v>
      </c>
      <c r="O76" s="50" t="s">
        <v>77</v>
      </c>
      <c r="P76" s="48">
        <v>2812.0</v>
      </c>
      <c r="Q76" s="38">
        <v>2379.0</v>
      </c>
      <c r="R76" s="48">
        <v>421.0</v>
      </c>
      <c r="S76" s="38">
        <v>452.0</v>
      </c>
      <c r="T76" s="38">
        <v>145.0</v>
      </c>
      <c r="U76" s="48">
        <f t="shared" si="9"/>
        <v>5612</v>
      </c>
      <c r="V76" s="48">
        <f t="shared" si="10"/>
        <v>6209</v>
      </c>
      <c r="W76" s="49">
        <f t="shared" si="11"/>
        <v>0.5010691376</v>
      </c>
      <c r="X76" s="49">
        <f t="shared" si="12"/>
        <v>0.4239130435</v>
      </c>
      <c r="Y76" s="49">
        <f t="shared" si="13"/>
        <v>0.07501781896</v>
      </c>
      <c r="Z76" s="32" t="str">
        <f t="shared" si="14"/>
        <v>Jango</v>
      </c>
      <c r="AA76" s="50" t="s">
        <v>77</v>
      </c>
      <c r="AB76" s="38">
        <v>7587.0</v>
      </c>
      <c r="AC76" s="48">
        <f t="shared" si="15"/>
        <v>1378</v>
      </c>
      <c r="AD76" s="51">
        <f t="shared" si="16"/>
        <v>0.8183735337</v>
      </c>
      <c r="AE76" s="113"/>
    </row>
    <row r="77">
      <c r="A77" s="24"/>
      <c r="B77" s="46" t="s">
        <v>650</v>
      </c>
      <c r="C77" s="47"/>
      <c r="D77" s="38">
        <v>1244.0</v>
      </c>
      <c r="E77" s="38">
        <v>509.0</v>
      </c>
      <c r="F77" s="38">
        <v>136.0</v>
      </c>
      <c r="G77" s="38">
        <v>86.0</v>
      </c>
      <c r="H77" s="38">
        <v>63.0</v>
      </c>
      <c r="I77" s="48">
        <f t="shared" si="3"/>
        <v>1889</v>
      </c>
      <c r="J77" s="48">
        <f t="shared" si="4"/>
        <v>2038</v>
      </c>
      <c r="K77" s="49">
        <f t="shared" si="5"/>
        <v>0.6585494971</v>
      </c>
      <c r="L77" s="49">
        <f t="shared" si="6"/>
        <v>0.269454738</v>
      </c>
      <c r="M77" s="49">
        <f t="shared" si="7"/>
        <v>0.07199576496</v>
      </c>
      <c r="N77" s="32" t="str">
        <f t="shared" si="8"/>
        <v>Jânio</v>
      </c>
      <c r="O77" s="50" t="s">
        <v>77</v>
      </c>
      <c r="P77" s="48">
        <v>578.0</v>
      </c>
      <c r="Q77" s="38">
        <v>1202.0</v>
      </c>
      <c r="R77" s="48">
        <v>98.0</v>
      </c>
      <c r="S77" s="38">
        <v>114.0</v>
      </c>
      <c r="T77" s="38">
        <v>46.0</v>
      </c>
      <c r="U77" s="48">
        <f t="shared" si="9"/>
        <v>1878</v>
      </c>
      <c r="V77" s="48">
        <f t="shared" si="10"/>
        <v>2038</v>
      </c>
      <c r="W77" s="49">
        <f t="shared" si="11"/>
        <v>0.3077742279</v>
      </c>
      <c r="X77" s="49">
        <f t="shared" si="12"/>
        <v>0.6400425985</v>
      </c>
      <c r="Y77" s="49">
        <f t="shared" si="13"/>
        <v>0.05218317359</v>
      </c>
      <c r="Z77" s="32" t="str">
        <f t="shared" si="14"/>
        <v>Milton</v>
      </c>
      <c r="AA77" s="50" t="s">
        <v>77</v>
      </c>
      <c r="AB77" s="38">
        <v>2447.0</v>
      </c>
      <c r="AC77" s="48">
        <f t="shared" si="15"/>
        <v>409</v>
      </c>
      <c r="AD77" s="51">
        <f t="shared" si="16"/>
        <v>0.8328565591</v>
      </c>
      <c r="AE77" s="113"/>
    </row>
    <row r="78">
      <c r="A78" s="61" t="s">
        <v>145</v>
      </c>
      <c r="B78" s="46" t="s">
        <v>651</v>
      </c>
      <c r="C78" s="47"/>
      <c r="D78" s="38">
        <v>1045.0</v>
      </c>
      <c r="E78" s="38">
        <v>2315.0</v>
      </c>
      <c r="F78" s="38">
        <v>338.0</v>
      </c>
      <c r="G78" s="38">
        <v>243.0</v>
      </c>
      <c r="H78" s="38">
        <v>187.0</v>
      </c>
      <c r="I78" s="48">
        <f t="shared" si="3"/>
        <v>3698</v>
      </c>
      <c r="J78" s="48">
        <f t="shared" si="4"/>
        <v>4128</v>
      </c>
      <c r="K78" s="49">
        <f t="shared" si="5"/>
        <v>0.2825851812</v>
      </c>
      <c r="L78" s="49">
        <f t="shared" si="6"/>
        <v>0.6260140617</v>
      </c>
      <c r="M78" s="49">
        <f t="shared" si="7"/>
        <v>0.09140075717</v>
      </c>
      <c r="N78" s="32" t="str">
        <f t="shared" si="8"/>
        <v>Mal. Lott</v>
      </c>
      <c r="O78" s="50" t="s">
        <v>77</v>
      </c>
      <c r="P78" s="38">
        <v>2058.0</v>
      </c>
      <c r="Q78" s="38">
        <v>455.0</v>
      </c>
      <c r="R78" s="38">
        <v>1136.0</v>
      </c>
      <c r="S78" s="38">
        <v>351.0</v>
      </c>
      <c r="T78" s="38">
        <v>128.0</v>
      </c>
      <c r="U78" s="48">
        <f t="shared" si="9"/>
        <v>3649</v>
      </c>
      <c r="V78" s="48">
        <f t="shared" si="10"/>
        <v>4128</v>
      </c>
      <c r="W78" s="49">
        <f t="shared" si="11"/>
        <v>0.5639901343</v>
      </c>
      <c r="X78" s="49">
        <f t="shared" si="12"/>
        <v>0.1246916964</v>
      </c>
      <c r="Y78" s="49">
        <f t="shared" si="13"/>
        <v>0.3113181694</v>
      </c>
      <c r="Z78" s="32" t="str">
        <f t="shared" si="14"/>
        <v>Jango</v>
      </c>
      <c r="AA78" s="50" t="s">
        <v>77</v>
      </c>
      <c r="AB78" s="38">
        <v>4992.0</v>
      </c>
      <c r="AC78" s="48">
        <f t="shared" si="15"/>
        <v>864</v>
      </c>
      <c r="AD78" s="51">
        <f t="shared" si="16"/>
        <v>0.8269230769</v>
      </c>
      <c r="AE78" s="113"/>
    </row>
    <row r="79">
      <c r="A79" s="24"/>
      <c r="B79" s="46" t="s">
        <v>652</v>
      </c>
      <c r="C79" s="47"/>
      <c r="D79" s="38">
        <v>1075.0</v>
      </c>
      <c r="E79" s="38">
        <v>821.0</v>
      </c>
      <c r="F79" s="38">
        <v>307.0</v>
      </c>
      <c r="G79" s="38">
        <v>150.0</v>
      </c>
      <c r="H79" s="38">
        <v>110.0</v>
      </c>
      <c r="I79" s="48">
        <f t="shared" si="3"/>
        <v>2203</v>
      </c>
      <c r="J79" s="48">
        <f t="shared" si="4"/>
        <v>2463</v>
      </c>
      <c r="K79" s="49">
        <f t="shared" si="5"/>
        <v>0.4879709487</v>
      </c>
      <c r="L79" s="49">
        <f t="shared" si="6"/>
        <v>0.3726736269</v>
      </c>
      <c r="M79" s="49">
        <f t="shared" si="7"/>
        <v>0.1393554244</v>
      </c>
      <c r="N79" s="32" t="str">
        <f t="shared" si="8"/>
        <v>Jânio</v>
      </c>
      <c r="O79" s="50" t="s">
        <v>77</v>
      </c>
      <c r="P79" s="38">
        <v>951.0</v>
      </c>
      <c r="Q79" s="38">
        <v>839.0</v>
      </c>
      <c r="R79" s="38">
        <v>357.0</v>
      </c>
      <c r="S79" s="38">
        <v>249.0</v>
      </c>
      <c r="T79" s="38">
        <v>67.0</v>
      </c>
      <c r="U79" s="48">
        <f t="shared" si="9"/>
        <v>2147</v>
      </c>
      <c r="V79" s="48">
        <f t="shared" si="10"/>
        <v>2463</v>
      </c>
      <c r="W79" s="49">
        <f t="shared" si="11"/>
        <v>0.4429436423</v>
      </c>
      <c r="X79" s="49">
        <f t="shared" si="12"/>
        <v>0.3907778295</v>
      </c>
      <c r="Y79" s="49">
        <f t="shared" si="13"/>
        <v>0.1662785282</v>
      </c>
      <c r="Z79" s="32" t="str">
        <f t="shared" si="14"/>
        <v>Jango</v>
      </c>
      <c r="AA79" s="50" t="s">
        <v>77</v>
      </c>
      <c r="AB79" s="38">
        <v>2860.0</v>
      </c>
      <c r="AC79" s="48">
        <f t="shared" si="15"/>
        <v>397</v>
      </c>
      <c r="AD79" s="51">
        <f t="shared" si="16"/>
        <v>0.8611888112</v>
      </c>
      <c r="AE79" s="113"/>
    </row>
    <row r="80">
      <c r="A80" s="61" t="s">
        <v>207</v>
      </c>
      <c r="B80" s="46" t="s">
        <v>653</v>
      </c>
      <c r="C80" s="47"/>
      <c r="D80" s="38">
        <v>1424.0</v>
      </c>
      <c r="E80" s="38">
        <v>1089.0</v>
      </c>
      <c r="F80" s="38">
        <v>247.0</v>
      </c>
      <c r="G80" s="38">
        <v>153.0</v>
      </c>
      <c r="H80" s="38">
        <v>91.0</v>
      </c>
      <c r="I80" s="48">
        <f t="shared" si="3"/>
        <v>2760</v>
      </c>
      <c r="J80" s="48">
        <f t="shared" si="4"/>
        <v>3004</v>
      </c>
      <c r="K80" s="49">
        <f t="shared" si="5"/>
        <v>0.515942029</v>
      </c>
      <c r="L80" s="49">
        <f t="shared" si="6"/>
        <v>0.3945652174</v>
      </c>
      <c r="M80" s="49">
        <f t="shared" si="7"/>
        <v>0.08949275362</v>
      </c>
      <c r="N80" s="32" t="str">
        <f t="shared" si="8"/>
        <v>Jânio</v>
      </c>
      <c r="O80" s="50" t="s">
        <v>77</v>
      </c>
      <c r="P80" s="38">
        <v>1254.0</v>
      </c>
      <c r="Q80" s="38">
        <v>1329.0</v>
      </c>
      <c r="R80" s="38">
        <v>139.0</v>
      </c>
      <c r="S80" s="38">
        <v>217.0</v>
      </c>
      <c r="T80" s="38">
        <v>65.0</v>
      </c>
      <c r="U80" s="48">
        <f t="shared" si="9"/>
        <v>2722</v>
      </c>
      <c r="V80" s="48">
        <f t="shared" si="10"/>
        <v>3004</v>
      </c>
      <c r="W80" s="49">
        <f t="shared" si="11"/>
        <v>0.4606906686</v>
      </c>
      <c r="X80" s="49">
        <f t="shared" si="12"/>
        <v>0.4882439383</v>
      </c>
      <c r="Y80" s="49">
        <f t="shared" si="13"/>
        <v>0.05106539309</v>
      </c>
      <c r="Z80" s="32" t="str">
        <f t="shared" si="14"/>
        <v>Milton</v>
      </c>
      <c r="AA80" s="50" t="s">
        <v>77</v>
      </c>
      <c r="AB80" s="38">
        <v>3828.0</v>
      </c>
      <c r="AC80" s="48">
        <f t="shared" si="15"/>
        <v>824</v>
      </c>
      <c r="AD80" s="51">
        <f t="shared" si="16"/>
        <v>0.7847439916</v>
      </c>
      <c r="AE80" s="113"/>
    </row>
    <row r="81">
      <c r="A81" s="24"/>
      <c r="B81" s="46" t="s">
        <v>654</v>
      </c>
      <c r="C81" s="47"/>
      <c r="D81" s="38">
        <v>651.0</v>
      </c>
      <c r="E81" s="38">
        <v>371.0</v>
      </c>
      <c r="F81" s="38">
        <v>113.0</v>
      </c>
      <c r="G81" s="38">
        <v>47.0</v>
      </c>
      <c r="H81" s="38">
        <v>33.0</v>
      </c>
      <c r="I81" s="48">
        <f t="shared" si="3"/>
        <v>1135</v>
      </c>
      <c r="J81" s="48">
        <f t="shared" si="4"/>
        <v>1215</v>
      </c>
      <c r="K81" s="49">
        <f t="shared" si="5"/>
        <v>0.5735682819</v>
      </c>
      <c r="L81" s="49">
        <f t="shared" si="6"/>
        <v>0.3268722467</v>
      </c>
      <c r="M81" s="49">
        <f t="shared" si="7"/>
        <v>0.09955947137</v>
      </c>
      <c r="N81" s="32" t="str">
        <f t="shared" si="8"/>
        <v>Jânio</v>
      </c>
      <c r="O81" s="50" t="s">
        <v>77</v>
      </c>
      <c r="P81" s="38">
        <v>412.0</v>
      </c>
      <c r="Q81" s="38">
        <v>600.0</v>
      </c>
      <c r="R81" s="38">
        <v>89.0</v>
      </c>
      <c r="S81" s="38">
        <v>95.0</v>
      </c>
      <c r="T81" s="38">
        <v>19.0</v>
      </c>
      <c r="U81" s="48">
        <f t="shared" si="9"/>
        <v>1101</v>
      </c>
      <c r="V81" s="48">
        <f t="shared" si="10"/>
        <v>1215</v>
      </c>
      <c r="W81" s="49">
        <f t="shared" si="11"/>
        <v>0.3742052679</v>
      </c>
      <c r="X81" s="49">
        <f t="shared" si="12"/>
        <v>0.5449591281</v>
      </c>
      <c r="Y81" s="49">
        <f t="shared" si="13"/>
        <v>0.080835604</v>
      </c>
      <c r="Z81" s="32" t="str">
        <f t="shared" si="14"/>
        <v>Milton</v>
      </c>
      <c r="AA81" s="50" t="s">
        <v>77</v>
      </c>
      <c r="AB81" s="38">
        <v>1353.0</v>
      </c>
      <c r="AC81" s="48">
        <f t="shared" si="15"/>
        <v>138</v>
      </c>
      <c r="AD81" s="51">
        <f t="shared" si="16"/>
        <v>0.8980044346</v>
      </c>
      <c r="AE81" s="113"/>
    </row>
    <row r="82">
      <c r="A82" s="61" t="s">
        <v>209</v>
      </c>
      <c r="B82" s="46" t="s">
        <v>655</v>
      </c>
      <c r="C82" s="47"/>
      <c r="D82" s="38">
        <v>1399.0</v>
      </c>
      <c r="E82" s="38">
        <v>1888.0</v>
      </c>
      <c r="F82" s="38">
        <v>195.0</v>
      </c>
      <c r="G82" s="38">
        <v>247.0</v>
      </c>
      <c r="H82" s="38">
        <v>105.0</v>
      </c>
      <c r="I82" s="48">
        <f t="shared" si="3"/>
        <v>3482</v>
      </c>
      <c r="J82" s="48">
        <f t="shared" si="4"/>
        <v>3834</v>
      </c>
      <c r="K82" s="49">
        <f t="shared" si="5"/>
        <v>0.4017805859</v>
      </c>
      <c r="L82" s="49">
        <f t="shared" si="6"/>
        <v>0.5422171166</v>
      </c>
      <c r="M82" s="49">
        <f t="shared" si="7"/>
        <v>0.05600229753</v>
      </c>
      <c r="N82" s="32" t="str">
        <f t="shared" si="8"/>
        <v>Mal. Lott</v>
      </c>
      <c r="O82" s="50" t="s">
        <v>77</v>
      </c>
      <c r="P82" s="38">
        <v>2004.0</v>
      </c>
      <c r="Q82" s="38">
        <v>1108.0</v>
      </c>
      <c r="R82" s="38">
        <v>293.0</v>
      </c>
      <c r="S82" s="38">
        <v>356.0</v>
      </c>
      <c r="T82" s="38">
        <v>73.0</v>
      </c>
      <c r="U82" s="48">
        <f t="shared" si="9"/>
        <v>3405</v>
      </c>
      <c r="V82" s="48">
        <f t="shared" si="10"/>
        <v>3834</v>
      </c>
      <c r="W82" s="49">
        <f t="shared" si="11"/>
        <v>0.5885462555</v>
      </c>
      <c r="X82" s="49">
        <f t="shared" si="12"/>
        <v>0.3254038179</v>
      </c>
      <c r="Y82" s="49">
        <f t="shared" si="13"/>
        <v>0.08604992658</v>
      </c>
      <c r="Z82" s="32" t="str">
        <f t="shared" si="14"/>
        <v>Jango</v>
      </c>
      <c r="AA82" s="50" t="s">
        <v>77</v>
      </c>
      <c r="AB82" s="38">
        <v>4729.0</v>
      </c>
      <c r="AC82" s="48">
        <f t="shared" si="15"/>
        <v>895</v>
      </c>
      <c r="AD82" s="51">
        <f t="shared" si="16"/>
        <v>0.8107422288</v>
      </c>
      <c r="AE82" s="113"/>
    </row>
    <row r="83">
      <c r="A83" s="24"/>
      <c r="B83" s="46" t="s">
        <v>656</v>
      </c>
      <c r="C83" s="47"/>
      <c r="D83" s="38">
        <v>498.0</v>
      </c>
      <c r="E83" s="38">
        <v>539.0</v>
      </c>
      <c r="F83" s="38">
        <v>124.0</v>
      </c>
      <c r="G83" s="38">
        <v>81.0</v>
      </c>
      <c r="H83" s="38">
        <v>46.0</v>
      </c>
      <c r="I83" s="48">
        <f t="shared" si="3"/>
        <v>1161</v>
      </c>
      <c r="J83" s="48">
        <f t="shared" si="4"/>
        <v>1288</v>
      </c>
      <c r="K83" s="49">
        <f t="shared" si="5"/>
        <v>0.4289405685</v>
      </c>
      <c r="L83" s="49">
        <f t="shared" si="6"/>
        <v>0.4642549526</v>
      </c>
      <c r="M83" s="49">
        <f t="shared" si="7"/>
        <v>0.1068044789</v>
      </c>
      <c r="N83" s="32" t="str">
        <f t="shared" si="8"/>
        <v>Mal. Lott</v>
      </c>
      <c r="O83" s="50" t="s">
        <v>77</v>
      </c>
      <c r="P83" s="38">
        <v>635.0</v>
      </c>
      <c r="Q83" s="38">
        <v>442.0</v>
      </c>
      <c r="R83" s="38">
        <v>50.0</v>
      </c>
      <c r="S83" s="38">
        <v>138.0</v>
      </c>
      <c r="T83" s="38">
        <v>23.0</v>
      </c>
      <c r="U83" s="48">
        <f t="shared" si="9"/>
        <v>1127</v>
      </c>
      <c r="V83" s="48">
        <f t="shared" si="10"/>
        <v>1288</v>
      </c>
      <c r="W83" s="49">
        <f t="shared" si="11"/>
        <v>0.5634427684</v>
      </c>
      <c r="X83" s="49">
        <f t="shared" si="12"/>
        <v>0.3921916593</v>
      </c>
      <c r="Y83" s="49">
        <f t="shared" si="13"/>
        <v>0.04436557232</v>
      </c>
      <c r="Z83" s="32" t="str">
        <f t="shared" si="14"/>
        <v>Jango</v>
      </c>
      <c r="AA83" s="50" t="s">
        <v>77</v>
      </c>
      <c r="AB83" s="38">
        <v>1598.0</v>
      </c>
      <c r="AC83" s="48">
        <f t="shared" si="15"/>
        <v>310</v>
      </c>
      <c r="AD83" s="51">
        <f t="shared" si="16"/>
        <v>0.8060075094</v>
      </c>
      <c r="AE83" s="113"/>
    </row>
    <row r="84">
      <c r="A84" s="45" t="s">
        <v>211</v>
      </c>
      <c r="B84" s="46" t="s">
        <v>657</v>
      </c>
      <c r="C84" s="47"/>
      <c r="D84" s="38">
        <v>4328.0</v>
      </c>
      <c r="E84" s="38">
        <v>3174.0</v>
      </c>
      <c r="F84" s="38">
        <v>428.0</v>
      </c>
      <c r="G84" s="38">
        <v>463.0</v>
      </c>
      <c r="H84" s="38">
        <v>342.0</v>
      </c>
      <c r="I84" s="48">
        <f t="shared" si="3"/>
        <v>7930</v>
      </c>
      <c r="J84" s="48">
        <f t="shared" si="4"/>
        <v>8735</v>
      </c>
      <c r="K84" s="49">
        <f t="shared" si="5"/>
        <v>0.5457755359</v>
      </c>
      <c r="L84" s="49">
        <f t="shared" si="6"/>
        <v>0.4002522068</v>
      </c>
      <c r="M84" s="49">
        <f t="shared" si="7"/>
        <v>0.05397225725</v>
      </c>
      <c r="N84" s="32" t="str">
        <f t="shared" si="8"/>
        <v>Jânio</v>
      </c>
      <c r="O84" s="50"/>
      <c r="P84" s="38">
        <v>3177.0</v>
      </c>
      <c r="Q84" s="38">
        <v>3845.0</v>
      </c>
      <c r="R84" s="38">
        <v>676.0</v>
      </c>
      <c r="S84" s="38">
        <v>800.0</v>
      </c>
      <c r="T84" s="38">
        <v>237.0</v>
      </c>
      <c r="U84" s="48">
        <f t="shared" si="9"/>
        <v>7698</v>
      </c>
      <c r="V84" s="48">
        <f t="shared" si="10"/>
        <v>8735</v>
      </c>
      <c r="W84" s="49">
        <f t="shared" si="11"/>
        <v>0.4127045986</v>
      </c>
      <c r="X84" s="49">
        <f t="shared" si="12"/>
        <v>0.4994803845</v>
      </c>
      <c r="Y84" s="49">
        <f t="shared" si="13"/>
        <v>0.08781501689</v>
      </c>
      <c r="Z84" s="32" t="str">
        <f t="shared" si="14"/>
        <v>Milton</v>
      </c>
      <c r="AA84" s="50"/>
      <c r="AB84" s="38">
        <v>10246.0</v>
      </c>
      <c r="AC84" s="48">
        <f t="shared" si="15"/>
        <v>1511</v>
      </c>
      <c r="AD84" s="51">
        <f t="shared" si="16"/>
        <v>0.8525278157</v>
      </c>
      <c r="AE84" s="113"/>
    </row>
    <row r="85">
      <c r="A85" s="45" t="s">
        <v>213</v>
      </c>
      <c r="B85" s="46" t="s">
        <v>658</v>
      </c>
      <c r="C85" s="47"/>
      <c r="D85" s="38">
        <v>4447.0</v>
      </c>
      <c r="E85" s="38">
        <v>4027.0</v>
      </c>
      <c r="F85" s="38">
        <v>558.0</v>
      </c>
      <c r="G85" s="38">
        <v>383.0</v>
      </c>
      <c r="H85" s="38">
        <v>309.0</v>
      </c>
      <c r="I85" s="48">
        <f t="shared" si="3"/>
        <v>9032</v>
      </c>
      <c r="J85" s="48">
        <f t="shared" si="4"/>
        <v>9724</v>
      </c>
      <c r="K85" s="49">
        <f t="shared" si="5"/>
        <v>0.492360496</v>
      </c>
      <c r="L85" s="49">
        <f t="shared" si="6"/>
        <v>0.4458591674</v>
      </c>
      <c r="M85" s="49">
        <f t="shared" si="7"/>
        <v>0.06178033658</v>
      </c>
      <c r="N85" s="32" t="str">
        <f t="shared" si="8"/>
        <v>Jânio</v>
      </c>
      <c r="O85" s="50"/>
      <c r="P85" s="38">
        <v>3922.0</v>
      </c>
      <c r="Q85" s="38">
        <v>3667.0</v>
      </c>
      <c r="R85" s="38">
        <v>1223.0</v>
      </c>
      <c r="S85" s="38">
        <v>657.0</v>
      </c>
      <c r="T85" s="38">
        <v>255.0</v>
      </c>
      <c r="U85" s="48">
        <f t="shared" si="9"/>
        <v>8812</v>
      </c>
      <c r="V85" s="48">
        <f t="shared" si="10"/>
        <v>9724</v>
      </c>
      <c r="W85" s="49">
        <f t="shared" si="11"/>
        <v>0.4450748979</v>
      </c>
      <c r="X85" s="49">
        <f t="shared" si="12"/>
        <v>0.4161370858</v>
      </c>
      <c r="Y85" s="49">
        <f t="shared" si="13"/>
        <v>0.1387880163</v>
      </c>
      <c r="Z85" s="32" t="str">
        <f t="shared" si="14"/>
        <v>Jango</v>
      </c>
      <c r="AA85" s="50"/>
      <c r="AB85" s="38">
        <v>11556.0</v>
      </c>
      <c r="AC85" s="48">
        <f t="shared" si="15"/>
        <v>1832</v>
      </c>
      <c r="AD85" s="51">
        <f t="shared" si="16"/>
        <v>0.8414676359</v>
      </c>
      <c r="AE85" s="113"/>
    </row>
    <row r="86">
      <c r="A86" s="45" t="s">
        <v>77</v>
      </c>
      <c r="B86" s="46" t="s">
        <v>659</v>
      </c>
      <c r="C86" s="47"/>
      <c r="D86" s="38">
        <v>8775.0</v>
      </c>
      <c r="E86" s="38">
        <v>7201.0</v>
      </c>
      <c r="F86" s="38">
        <v>986.0</v>
      </c>
      <c r="G86" s="38">
        <v>846.0</v>
      </c>
      <c r="H86" s="38">
        <v>651.0</v>
      </c>
      <c r="I86" s="48">
        <f t="shared" si="3"/>
        <v>16962</v>
      </c>
      <c r="J86" s="48">
        <f t="shared" si="4"/>
        <v>18459</v>
      </c>
      <c r="K86" s="49">
        <f t="shared" si="5"/>
        <v>0.5173328617</v>
      </c>
      <c r="L86" s="49">
        <f t="shared" si="6"/>
        <v>0.4245372008</v>
      </c>
      <c r="M86" s="49">
        <f t="shared" si="7"/>
        <v>0.05812993751</v>
      </c>
      <c r="N86" s="32" t="str">
        <f t="shared" si="8"/>
        <v>Jânio</v>
      </c>
      <c r="O86" s="50" t="s">
        <v>77</v>
      </c>
      <c r="P86" s="38">
        <v>7099.0</v>
      </c>
      <c r="Q86" s="38">
        <v>7512.0</v>
      </c>
      <c r="R86" s="38">
        <v>1899.0</v>
      </c>
      <c r="S86" s="38">
        <v>1457.0</v>
      </c>
      <c r="T86" s="38">
        <v>492.0</v>
      </c>
      <c r="U86" s="48">
        <f t="shared" si="9"/>
        <v>16510</v>
      </c>
      <c r="V86" s="48">
        <f t="shared" si="10"/>
        <v>18459</v>
      </c>
      <c r="W86" s="49">
        <f t="shared" si="11"/>
        <v>0.4299818292</v>
      </c>
      <c r="X86" s="49">
        <f t="shared" si="12"/>
        <v>0.4549969715</v>
      </c>
      <c r="Y86" s="49">
        <f t="shared" si="13"/>
        <v>0.1150211993</v>
      </c>
      <c r="Z86" s="32" t="str">
        <f t="shared" si="14"/>
        <v>Milton</v>
      </c>
      <c r="AA86" s="50" t="s">
        <v>77</v>
      </c>
      <c r="AB86" s="38">
        <v>21802.0</v>
      </c>
      <c r="AC86" s="48">
        <f t="shared" si="15"/>
        <v>3343</v>
      </c>
      <c r="AD86" s="51">
        <f t="shared" si="16"/>
        <v>0.8466654435</v>
      </c>
      <c r="AE86" s="113"/>
    </row>
    <row r="87">
      <c r="A87" s="61" t="s">
        <v>215</v>
      </c>
      <c r="B87" s="46" t="s">
        <v>660</v>
      </c>
      <c r="C87" s="47"/>
      <c r="D87" s="38">
        <v>1292.0</v>
      </c>
      <c r="E87" s="38">
        <v>1954.0</v>
      </c>
      <c r="F87" s="38">
        <v>361.0</v>
      </c>
      <c r="G87" s="38">
        <v>165.0</v>
      </c>
      <c r="H87" s="38">
        <v>131.0</v>
      </c>
      <c r="I87" s="48">
        <f t="shared" si="3"/>
        <v>3607</v>
      </c>
      <c r="J87" s="48">
        <f t="shared" si="4"/>
        <v>3903</v>
      </c>
      <c r="K87" s="49">
        <f t="shared" si="5"/>
        <v>0.3581924037</v>
      </c>
      <c r="L87" s="49">
        <f t="shared" si="6"/>
        <v>0.5417244247</v>
      </c>
      <c r="M87" s="49">
        <f t="shared" si="7"/>
        <v>0.1000831716</v>
      </c>
      <c r="N87" s="32" t="str">
        <f t="shared" si="8"/>
        <v>Mal. Lott</v>
      </c>
      <c r="O87" s="50" t="s">
        <v>77</v>
      </c>
      <c r="P87" s="38">
        <v>2240.0</v>
      </c>
      <c r="Q87" s="38">
        <v>1098.0</v>
      </c>
      <c r="R87" s="38">
        <v>229.0</v>
      </c>
      <c r="S87" s="38">
        <v>247.0</v>
      </c>
      <c r="T87" s="38">
        <v>89.0</v>
      </c>
      <c r="U87" s="48">
        <f t="shared" si="9"/>
        <v>3567</v>
      </c>
      <c r="V87" s="48">
        <f t="shared" si="10"/>
        <v>3903</v>
      </c>
      <c r="W87" s="49">
        <f t="shared" si="11"/>
        <v>0.6279786936</v>
      </c>
      <c r="X87" s="49">
        <f t="shared" si="12"/>
        <v>0.3078216989</v>
      </c>
      <c r="Y87" s="49">
        <f t="shared" si="13"/>
        <v>0.06419960751</v>
      </c>
      <c r="Z87" s="32" t="str">
        <f t="shared" si="14"/>
        <v>Jango</v>
      </c>
      <c r="AA87" s="50" t="s">
        <v>77</v>
      </c>
      <c r="AB87" s="38">
        <v>4400.0</v>
      </c>
      <c r="AC87" s="48">
        <f t="shared" si="15"/>
        <v>497</v>
      </c>
      <c r="AD87" s="51">
        <f t="shared" si="16"/>
        <v>0.8870454545</v>
      </c>
      <c r="AE87" s="113"/>
    </row>
    <row r="88">
      <c r="A88" s="24"/>
      <c r="B88" s="46" t="s">
        <v>661</v>
      </c>
      <c r="C88" s="47"/>
      <c r="D88" s="38">
        <v>801.0</v>
      </c>
      <c r="E88" s="38">
        <v>248.0</v>
      </c>
      <c r="F88" s="38">
        <v>92.0</v>
      </c>
      <c r="G88" s="38">
        <v>44.0</v>
      </c>
      <c r="H88" s="38">
        <v>42.0</v>
      </c>
      <c r="I88" s="48">
        <f t="shared" si="3"/>
        <v>1141</v>
      </c>
      <c r="J88" s="48">
        <f t="shared" si="4"/>
        <v>1227</v>
      </c>
      <c r="K88" s="49">
        <f t="shared" si="5"/>
        <v>0.7020157756</v>
      </c>
      <c r="L88" s="49">
        <f t="shared" si="6"/>
        <v>0.2173531989</v>
      </c>
      <c r="M88" s="49">
        <f t="shared" si="7"/>
        <v>0.08063102542</v>
      </c>
      <c r="N88" s="32" t="str">
        <f t="shared" si="8"/>
        <v>Jânio</v>
      </c>
      <c r="O88" s="50" t="s">
        <v>77</v>
      </c>
      <c r="P88" s="38">
        <v>259.0</v>
      </c>
      <c r="Q88" s="38">
        <v>766.0</v>
      </c>
      <c r="R88" s="38">
        <v>74.0</v>
      </c>
      <c r="S88" s="38">
        <v>95.0</v>
      </c>
      <c r="T88" s="38">
        <v>33.0</v>
      </c>
      <c r="U88" s="48">
        <f t="shared" si="9"/>
        <v>1099</v>
      </c>
      <c r="V88" s="48">
        <f t="shared" si="10"/>
        <v>1227</v>
      </c>
      <c r="W88" s="49">
        <f t="shared" si="11"/>
        <v>0.2356687898</v>
      </c>
      <c r="X88" s="49">
        <f t="shared" si="12"/>
        <v>0.6969972702</v>
      </c>
      <c r="Y88" s="49">
        <f t="shared" si="13"/>
        <v>0.06733393995</v>
      </c>
      <c r="Z88" s="32" t="str">
        <f t="shared" si="14"/>
        <v>Milton</v>
      </c>
      <c r="AA88" s="50" t="s">
        <v>77</v>
      </c>
      <c r="AB88" s="38">
        <v>1328.0</v>
      </c>
      <c r="AC88" s="48">
        <f t="shared" si="15"/>
        <v>101</v>
      </c>
      <c r="AD88" s="51">
        <f t="shared" si="16"/>
        <v>0.9239457831</v>
      </c>
      <c r="AE88" s="113"/>
    </row>
    <row r="89">
      <c r="A89" s="61" t="s">
        <v>218</v>
      </c>
      <c r="B89" s="46" t="s">
        <v>662</v>
      </c>
      <c r="C89" s="47"/>
      <c r="D89" s="38">
        <v>1675.0</v>
      </c>
      <c r="E89" s="38">
        <v>1314.0</v>
      </c>
      <c r="F89" s="38">
        <v>347.0</v>
      </c>
      <c r="G89" s="38">
        <v>164.0</v>
      </c>
      <c r="H89" s="38">
        <v>135.0</v>
      </c>
      <c r="I89" s="48">
        <f t="shared" si="3"/>
        <v>3336</v>
      </c>
      <c r="J89" s="48">
        <f t="shared" si="4"/>
        <v>3635</v>
      </c>
      <c r="K89" s="49">
        <f t="shared" si="5"/>
        <v>0.5020983213</v>
      </c>
      <c r="L89" s="49">
        <f t="shared" si="6"/>
        <v>0.3938848921</v>
      </c>
      <c r="M89" s="49">
        <f t="shared" si="7"/>
        <v>0.1040167866</v>
      </c>
      <c r="N89" s="32" t="str">
        <f t="shared" si="8"/>
        <v>Jânio</v>
      </c>
      <c r="O89" s="50" t="s">
        <v>77</v>
      </c>
      <c r="P89" s="38">
        <v>1465.0</v>
      </c>
      <c r="Q89" s="38">
        <v>1535.0</v>
      </c>
      <c r="R89" s="38">
        <v>264.0</v>
      </c>
      <c r="S89" s="38">
        <v>298.0</v>
      </c>
      <c r="T89" s="38">
        <v>73.0</v>
      </c>
      <c r="U89" s="48">
        <f t="shared" si="9"/>
        <v>3264</v>
      </c>
      <c r="V89" s="48">
        <f t="shared" si="10"/>
        <v>3635</v>
      </c>
      <c r="W89" s="49">
        <f t="shared" si="11"/>
        <v>0.4488357843</v>
      </c>
      <c r="X89" s="49">
        <f t="shared" si="12"/>
        <v>0.4702818627</v>
      </c>
      <c r="Y89" s="49">
        <f t="shared" si="13"/>
        <v>0.08088235294</v>
      </c>
      <c r="Z89" s="32" t="str">
        <f t="shared" si="14"/>
        <v>Milton</v>
      </c>
      <c r="AA89" s="50" t="s">
        <v>77</v>
      </c>
      <c r="AB89" s="38">
        <v>4401.0</v>
      </c>
      <c r="AC89" s="48">
        <f t="shared" si="15"/>
        <v>766</v>
      </c>
      <c r="AD89" s="51">
        <f t="shared" si="16"/>
        <v>0.825948648</v>
      </c>
      <c r="AE89" s="113"/>
    </row>
    <row r="90">
      <c r="A90" s="24"/>
      <c r="B90" s="46" t="s">
        <v>663</v>
      </c>
      <c r="C90" s="47"/>
      <c r="D90" s="38">
        <v>458.0</v>
      </c>
      <c r="E90" s="38">
        <v>566.0</v>
      </c>
      <c r="F90" s="38">
        <v>102.0</v>
      </c>
      <c r="G90" s="38">
        <v>59.0</v>
      </c>
      <c r="H90" s="38">
        <v>51.0</v>
      </c>
      <c r="I90" s="48">
        <f t="shared" si="3"/>
        <v>1126</v>
      </c>
      <c r="J90" s="48">
        <f t="shared" si="4"/>
        <v>1236</v>
      </c>
      <c r="K90" s="49">
        <f t="shared" si="5"/>
        <v>0.406749556</v>
      </c>
      <c r="L90" s="49">
        <f t="shared" si="6"/>
        <v>0.5026642984</v>
      </c>
      <c r="M90" s="49">
        <f t="shared" si="7"/>
        <v>0.09058614565</v>
      </c>
      <c r="N90" s="32" t="str">
        <f t="shared" si="8"/>
        <v>Mal. Lott</v>
      </c>
      <c r="O90" s="50" t="s">
        <v>77</v>
      </c>
      <c r="P90" s="38">
        <v>584.0</v>
      </c>
      <c r="Q90" s="38">
        <v>399.0</v>
      </c>
      <c r="R90" s="38">
        <v>115.0</v>
      </c>
      <c r="S90" s="38">
        <v>92.0</v>
      </c>
      <c r="T90" s="38">
        <v>46.0</v>
      </c>
      <c r="U90" s="48">
        <f t="shared" si="9"/>
        <v>1098</v>
      </c>
      <c r="V90" s="48">
        <f t="shared" si="10"/>
        <v>1236</v>
      </c>
      <c r="W90" s="49">
        <f t="shared" si="11"/>
        <v>0.5318761384</v>
      </c>
      <c r="X90" s="49">
        <f t="shared" si="12"/>
        <v>0.3633879781</v>
      </c>
      <c r="Y90" s="49">
        <f t="shared" si="13"/>
        <v>0.1047358834</v>
      </c>
      <c r="Z90" s="32" t="str">
        <f t="shared" si="14"/>
        <v>Jango</v>
      </c>
      <c r="AA90" s="50" t="s">
        <v>77</v>
      </c>
      <c r="AB90" s="38">
        <v>1454.0</v>
      </c>
      <c r="AC90" s="48">
        <f t="shared" si="15"/>
        <v>218</v>
      </c>
      <c r="AD90" s="51">
        <f t="shared" si="16"/>
        <v>0.8500687758</v>
      </c>
      <c r="AE90" s="113"/>
    </row>
    <row r="91">
      <c r="A91" s="61" t="s">
        <v>220</v>
      </c>
      <c r="B91" s="46" t="s">
        <v>664</v>
      </c>
      <c r="C91" s="47"/>
      <c r="D91" s="38">
        <v>1167.0</v>
      </c>
      <c r="E91" s="38">
        <v>1099.0</v>
      </c>
      <c r="F91" s="38">
        <v>203.0</v>
      </c>
      <c r="G91" s="38">
        <v>122.0</v>
      </c>
      <c r="H91" s="38">
        <v>101.0</v>
      </c>
      <c r="I91" s="48">
        <f t="shared" si="3"/>
        <v>2469</v>
      </c>
      <c r="J91" s="48">
        <f t="shared" si="4"/>
        <v>2692</v>
      </c>
      <c r="K91" s="49">
        <f t="shared" si="5"/>
        <v>0.4726609964</v>
      </c>
      <c r="L91" s="49">
        <f t="shared" si="6"/>
        <v>0.4451194816</v>
      </c>
      <c r="M91" s="49">
        <f t="shared" si="7"/>
        <v>0.08221952207</v>
      </c>
      <c r="N91" s="32" t="str">
        <f t="shared" si="8"/>
        <v>Jânio</v>
      </c>
      <c r="O91" s="50" t="s">
        <v>77</v>
      </c>
      <c r="P91" s="38">
        <v>1151.0</v>
      </c>
      <c r="Q91" s="38">
        <v>1065.0</v>
      </c>
      <c r="R91" s="38">
        <v>153.0</v>
      </c>
      <c r="S91" s="38">
        <v>233.0</v>
      </c>
      <c r="T91" s="38">
        <v>90.0</v>
      </c>
      <c r="U91" s="48">
        <f t="shared" si="9"/>
        <v>2369</v>
      </c>
      <c r="V91" s="48">
        <f t="shared" si="10"/>
        <v>2692</v>
      </c>
      <c r="W91" s="49">
        <f t="shared" si="11"/>
        <v>0.4858590122</v>
      </c>
      <c r="X91" s="49">
        <f t="shared" si="12"/>
        <v>0.449556775</v>
      </c>
      <c r="Y91" s="49">
        <f t="shared" si="13"/>
        <v>0.06458421275</v>
      </c>
      <c r="Z91" s="32" t="str">
        <f t="shared" si="14"/>
        <v>Jango</v>
      </c>
      <c r="AA91" s="50" t="s">
        <v>77</v>
      </c>
      <c r="AB91" s="38">
        <v>3118.0</v>
      </c>
      <c r="AC91" s="48">
        <f t="shared" si="15"/>
        <v>426</v>
      </c>
      <c r="AD91" s="51">
        <f t="shared" si="16"/>
        <v>0.8633739577</v>
      </c>
      <c r="AE91" s="113"/>
    </row>
    <row r="92">
      <c r="A92" s="24"/>
      <c r="B92" s="46" t="s">
        <v>665</v>
      </c>
      <c r="C92" s="47"/>
      <c r="D92" s="38">
        <v>930.0</v>
      </c>
      <c r="E92" s="38">
        <v>527.0</v>
      </c>
      <c r="F92" s="38">
        <v>158.0</v>
      </c>
      <c r="G92" s="38">
        <v>84.0</v>
      </c>
      <c r="H92" s="38">
        <v>78.0</v>
      </c>
      <c r="I92" s="48">
        <f t="shared" si="3"/>
        <v>1615</v>
      </c>
      <c r="J92" s="48">
        <f t="shared" si="4"/>
        <v>1777</v>
      </c>
      <c r="K92" s="49">
        <f t="shared" si="5"/>
        <v>0.5758513932</v>
      </c>
      <c r="L92" s="49">
        <f t="shared" si="6"/>
        <v>0.3263157895</v>
      </c>
      <c r="M92" s="49">
        <f t="shared" si="7"/>
        <v>0.09783281734</v>
      </c>
      <c r="N92" s="32" t="str">
        <f t="shared" si="8"/>
        <v>Jânio</v>
      </c>
      <c r="O92" s="50" t="s">
        <v>77</v>
      </c>
      <c r="P92" s="38">
        <v>619.0</v>
      </c>
      <c r="Q92" s="38">
        <v>833.0</v>
      </c>
      <c r="R92" s="38">
        <v>132.0</v>
      </c>
      <c r="S92" s="38">
        <v>137.0</v>
      </c>
      <c r="T92" s="38">
        <v>56.0</v>
      </c>
      <c r="U92" s="48">
        <f t="shared" si="9"/>
        <v>1584</v>
      </c>
      <c r="V92" s="48">
        <f t="shared" si="10"/>
        <v>1777</v>
      </c>
      <c r="W92" s="49">
        <f t="shared" si="11"/>
        <v>0.3907828283</v>
      </c>
      <c r="X92" s="49">
        <f t="shared" si="12"/>
        <v>0.5258838384</v>
      </c>
      <c r="Y92" s="49">
        <f t="shared" si="13"/>
        <v>0.08333333333</v>
      </c>
      <c r="Z92" s="32" t="str">
        <f t="shared" si="14"/>
        <v>Milton</v>
      </c>
      <c r="AA92" s="50" t="s">
        <v>77</v>
      </c>
      <c r="AB92" s="38">
        <v>2076.0</v>
      </c>
      <c r="AC92" s="48">
        <f t="shared" si="15"/>
        <v>299</v>
      </c>
      <c r="AD92" s="51">
        <f t="shared" si="16"/>
        <v>0.855973025</v>
      </c>
      <c r="AE92" s="113"/>
    </row>
    <row r="93">
      <c r="A93" s="45" t="s">
        <v>295</v>
      </c>
      <c r="B93" s="46" t="s">
        <v>666</v>
      </c>
      <c r="C93" s="47"/>
      <c r="D93" s="38">
        <v>2007.0</v>
      </c>
      <c r="E93" s="38">
        <v>2004.0</v>
      </c>
      <c r="F93" s="38">
        <v>289.0</v>
      </c>
      <c r="G93" s="38">
        <v>141.0</v>
      </c>
      <c r="H93" s="38">
        <v>149.0</v>
      </c>
      <c r="I93" s="48">
        <f t="shared" si="3"/>
        <v>4300</v>
      </c>
      <c r="J93" s="48">
        <f t="shared" si="4"/>
        <v>4590</v>
      </c>
      <c r="K93" s="49">
        <f t="shared" si="5"/>
        <v>0.466744186</v>
      </c>
      <c r="L93" s="49">
        <f t="shared" si="6"/>
        <v>0.4660465116</v>
      </c>
      <c r="M93" s="49">
        <f t="shared" si="7"/>
        <v>0.06720930233</v>
      </c>
      <c r="N93" s="32" t="str">
        <f t="shared" si="8"/>
        <v>Jânio</v>
      </c>
      <c r="O93" s="50" t="s">
        <v>77</v>
      </c>
      <c r="P93" s="38">
        <v>1973.0</v>
      </c>
      <c r="Q93" s="38">
        <v>1780.0</v>
      </c>
      <c r="R93" s="38">
        <v>434.0</v>
      </c>
      <c r="S93" s="38">
        <v>305.0</v>
      </c>
      <c r="T93" s="38">
        <v>98.0</v>
      </c>
      <c r="U93" s="48">
        <f t="shared" si="9"/>
        <v>4187</v>
      </c>
      <c r="V93" s="48">
        <f t="shared" si="10"/>
        <v>4590</v>
      </c>
      <c r="W93" s="49">
        <f t="shared" si="11"/>
        <v>0.4712204442</v>
      </c>
      <c r="X93" s="49">
        <f t="shared" si="12"/>
        <v>0.4251253881</v>
      </c>
      <c r="Y93" s="49">
        <f t="shared" si="13"/>
        <v>0.1036541677</v>
      </c>
      <c r="Z93" s="32" t="str">
        <f t="shared" si="14"/>
        <v>Jango</v>
      </c>
      <c r="AA93" s="50" t="s">
        <v>77</v>
      </c>
      <c r="AB93" s="38">
        <v>6856.0</v>
      </c>
      <c r="AC93" s="48">
        <f t="shared" si="15"/>
        <v>2266</v>
      </c>
      <c r="AD93" s="51">
        <f t="shared" si="16"/>
        <v>0.6694865811</v>
      </c>
      <c r="AE93" s="113"/>
    </row>
    <row r="94">
      <c r="A94" s="45" t="s">
        <v>299</v>
      </c>
      <c r="B94" s="46" t="s">
        <v>667</v>
      </c>
      <c r="C94" s="47"/>
      <c r="D94" s="38">
        <v>958.0</v>
      </c>
      <c r="E94" s="38">
        <v>1337.0</v>
      </c>
      <c r="F94" s="38">
        <v>198.0</v>
      </c>
      <c r="G94" s="38">
        <v>132.0</v>
      </c>
      <c r="H94" s="38">
        <v>76.0</v>
      </c>
      <c r="I94" s="48">
        <f t="shared" si="3"/>
        <v>2493</v>
      </c>
      <c r="J94" s="48">
        <f t="shared" si="4"/>
        <v>2701</v>
      </c>
      <c r="K94" s="49">
        <f t="shared" si="5"/>
        <v>0.3842759727</v>
      </c>
      <c r="L94" s="49">
        <f t="shared" si="6"/>
        <v>0.5363016446</v>
      </c>
      <c r="M94" s="49">
        <f t="shared" si="7"/>
        <v>0.07942238267</v>
      </c>
      <c r="N94" s="32" t="str">
        <f t="shared" si="8"/>
        <v>Mal. Lott</v>
      </c>
      <c r="O94" s="50" t="s">
        <v>77</v>
      </c>
      <c r="P94" s="38">
        <v>1431.0</v>
      </c>
      <c r="Q94" s="38">
        <v>870.0</v>
      </c>
      <c r="R94" s="38">
        <v>137.0</v>
      </c>
      <c r="S94" s="38">
        <v>207.0</v>
      </c>
      <c r="T94" s="38">
        <v>56.0</v>
      </c>
      <c r="U94" s="48">
        <f t="shared" si="9"/>
        <v>2438</v>
      </c>
      <c r="V94" s="48">
        <f t="shared" si="10"/>
        <v>2701</v>
      </c>
      <c r="W94" s="49">
        <f t="shared" si="11"/>
        <v>0.5869565217</v>
      </c>
      <c r="X94" s="49">
        <f t="shared" si="12"/>
        <v>0.3568498769</v>
      </c>
      <c r="Y94" s="49">
        <f t="shared" si="13"/>
        <v>0.05619360131</v>
      </c>
      <c r="Z94" s="32" t="str">
        <f t="shared" si="14"/>
        <v>Jango</v>
      </c>
      <c r="AA94" s="50" t="s">
        <v>77</v>
      </c>
      <c r="AB94" s="38">
        <v>3165.0</v>
      </c>
      <c r="AC94" s="48">
        <f t="shared" si="15"/>
        <v>464</v>
      </c>
      <c r="AD94" s="51">
        <f t="shared" si="16"/>
        <v>0.8533965245</v>
      </c>
      <c r="AE94" s="113"/>
    </row>
    <row r="95">
      <c r="A95" s="61" t="s">
        <v>302</v>
      </c>
      <c r="B95" s="46" t="s">
        <v>668</v>
      </c>
      <c r="C95" s="47"/>
      <c r="D95" s="38">
        <v>2292.0</v>
      </c>
      <c r="E95" s="38">
        <v>1298.0</v>
      </c>
      <c r="F95" s="38">
        <v>252.0</v>
      </c>
      <c r="G95" s="38">
        <v>208.0</v>
      </c>
      <c r="H95" s="38">
        <v>127.0</v>
      </c>
      <c r="I95" s="48">
        <f t="shared" si="3"/>
        <v>3842</v>
      </c>
      <c r="J95" s="48">
        <f t="shared" si="4"/>
        <v>4177</v>
      </c>
      <c r="K95" s="49">
        <f t="shared" si="5"/>
        <v>0.5965642894</v>
      </c>
      <c r="L95" s="49">
        <f t="shared" si="6"/>
        <v>0.3378448725</v>
      </c>
      <c r="M95" s="49">
        <f t="shared" si="7"/>
        <v>0.06559083811</v>
      </c>
      <c r="N95" s="32" t="str">
        <f t="shared" si="8"/>
        <v>Jânio</v>
      </c>
      <c r="O95" s="50" t="s">
        <v>77</v>
      </c>
      <c r="P95" s="38">
        <v>1454.0</v>
      </c>
      <c r="Q95" s="38">
        <v>2004.0</v>
      </c>
      <c r="R95" s="38">
        <v>245.0</v>
      </c>
      <c r="S95" s="38">
        <v>396.0</v>
      </c>
      <c r="T95" s="38">
        <v>78.0</v>
      </c>
      <c r="U95" s="48">
        <f t="shared" si="9"/>
        <v>3703</v>
      </c>
      <c r="V95" s="48">
        <f t="shared" si="10"/>
        <v>4177</v>
      </c>
      <c r="W95" s="49">
        <f t="shared" si="11"/>
        <v>0.3926546044</v>
      </c>
      <c r="X95" s="49">
        <f t="shared" si="12"/>
        <v>0.5411828247</v>
      </c>
      <c r="Y95" s="49">
        <f t="shared" si="13"/>
        <v>0.06616257089</v>
      </c>
      <c r="Z95" s="32" t="str">
        <f t="shared" si="14"/>
        <v>Milton</v>
      </c>
      <c r="AA95" s="50" t="s">
        <v>77</v>
      </c>
      <c r="AB95" s="38">
        <v>4657.0</v>
      </c>
      <c r="AC95" s="48">
        <f t="shared" si="15"/>
        <v>480</v>
      </c>
      <c r="AD95" s="51">
        <f t="shared" si="16"/>
        <v>0.8969293537</v>
      </c>
      <c r="AE95" s="113"/>
    </row>
    <row r="96">
      <c r="A96" s="24"/>
      <c r="B96" s="46" t="s">
        <v>669</v>
      </c>
      <c r="C96" s="47"/>
      <c r="D96" s="38">
        <v>504.0</v>
      </c>
      <c r="E96" s="38">
        <v>464.0</v>
      </c>
      <c r="F96" s="38">
        <v>73.0</v>
      </c>
      <c r="G96" s="38">
        <v>63.0</v>
      </c>
      <c r="H96" s="38">
        <v>44.0</v>
      </c>
      <c r="I96" s="48">
        <f t="shared" si="3"/>
        <v>1041</v>
      </c>
      <c r="J96" s="48">
        <f t="shared" si="4"/>
        <v>1148</v>
      </c>
      <c r="K96" s="49">
        <f t="shared" si="5"/>
        <v>0.4841498559</v>
      </c>
      <c r="L96" s="49">
        <f t="shared" si="6"/>
        <v>0.4457252642</v>
      </c>
      <c r="M96" s="49">
        <f t="shared" si="7"/>
        <v>0.07012487992</v>
      </c>
      <c r="N96" s="32" t="str">
        <f t="shared" si="8"/>
        <v>Jânio</v>
      </c>
      <c r="O96" s="50" t="s">
        <v>77</v>
      </c>
      <c r="P96" s="38">
        <v>484.0</v>
      </c>
      <c r="Q96" s="38">
        <v>451.0</v>
      </c>
      <c r="R96" s="38">
        <v>76.0</v>
      </c>
      <c r="S96" s="38">
        <v>107.0</v>
      </c>
      <c r="T96" s="38">
        <v>30.0</v>
      </c>
      <c r="U96" s="48">
        <f t="shared" si="9"/>
        <v>1011</v>
      </c>
      <c r="V96" s="48">
        <f t="shared" si="10"/>
        <v>1148</v>
      </c>
      <c r="W96" s="49">
        <f t="shared" si="11"/>
        <v>0.4787339268</v>
      </c>
      <c r="X96" s="49">
        <f t="shared" si="12"/>
        <v>0.4460929773</v>
      </c>
      <c r="Y96" s="49">
        <f t="shared" si="13"/>
        <v>0.07517309594</v>
      </c>
      <c r="Z96" s="32" t="str">
        <f t="shared" si="14"/>
        <v>Jango</v>
      </c>
      <c r="AA96" s="50" t="s">
        <v>77</v>
      </c>
      <c r="AB96" s="38">
        <v>1303.0</v>
      </c>
      <c r="AC96" s="48">
        <f t="shared" si="15"/>
        <v>155</v>
      </c>
      <c r="AD96" s="51">
        <f t="shared" si="16"/>
        <v>0.8810437452</v>
      </c>
      <c r="AE96" s="113"/>
    </row>
    <row r="97">
      <c r="A97" s="45" t="s">
        <v>304</v>
      </c>
      <c r="B97" s="46" t="s">
        <v>670</v>
      </c>
      <c r="C97" s="47"/>
      <c r="D97" s="38">
        <v>2574.0</v>
      </c>
      <c r="E97" s="38">
        <v>1705.0</v>
      </c>
      <c r="F97" s="38">
        <v>250.0</v>
      </c>
      <c r="G97" s="38">
        <v>102.0</v>
      </c>
      <c r="H97" s="38">
        <v>171.0</v>
      </c>
      <c r="I97" s="48">
        <f t="shared" si="3"/>
        <v>4529</v>
      </c>
      <c r="J97" s="48">
        <f t="shared" si="4"/>
        <v>4802</v>
      </c>
      <c r="K97" s="49">
        <f t="shared" si="5"/>
        <v>0.5683373813</v>
      </c>
      <c r="L97" s="49">
        <f t="shared" si="6"/>
        <v>0.3764627953</v>
      </c>
      <c r="M97" s="49">
        <f t="shared" si="7"/>
        <v>0.05519982336</v>
      </c>
      <c r="N97" s="32" t="str">
        <f t="shared" si="8"/>
        <v>Jânio</v>
      </c>
      <c r="O97" s="50" t="s">
        <v>77</v>
      </c>
      <c r="P97" s="38">
        <v>1826.0</v>
      </c>
      <c r="Q97" s="38">
        <v>2448.0</v>
      </c>
      <c r="R97" s="38">
        <v>212.0</v>
      </c>
      <c r="S97" s="38">
        <v>207.0</v>
      </c>
      <c r="T97" s="38">
        <v>109.0</v>
      </c>
      <c r="U97" s="48">
        <f t="shared" si="9"/>
        <v>4486</v>
      </c>
      <c r="V97" s="48">
        <f t="shared" si="10"/>
        <v>4802</v>
      </c>
      <c r="W97" s="49">
        <f t="shared" si="11"/>
        <v>0.4070441373</v>
      </c>
      <c r="X97" s="49">
        <f t="shared" si="12"/>
        <v>0.5456977263</v>
      </c>
      <c r="Y97" s="49">
        <f t="shared" si="13"/>
        <v>0.04725813642</v>
      </c>
      <c r="Z97" s="32" t="str">
        <f t="shared" si="14"/>
        <v>Milton</v>
      </c>
      <c r="AA97" s="50" t="s">
        <v>77</v>
      </c>
      <c r="AB97" s="38">
        <v>5628.0</v>
      </c>
      <c r="AC97" s="48">
        <f t="shared" si="15"/>
        <v>826</v>
      </c>
      <c r="AD97" s="51">
        <f t="shared" si="16"/>
        <v>0.8532338308</v>
      </c>
      <c r="AE97" s="113"/>
    </row>
    <row r="98">
      <c r="A98" s="61" t="s">
        <v>308</v>
      </c>
      <c r="B98" s="46" t="s">
        <v>671</v>
      </c>
      <c r="C98" s="47"/>
      <c r="D98" s="38">
        <v>823.0</v>
      </c>
      <c r="E98" s="38">
        <v>683.0</v>
      </c>
      <c r="F98" s="38">
        <v>135.0</v>
      </c>
      <c r="G98" s="38">
        <v>58.0</v>
      </c>
      <c r="H98" s="38">
        <v>72.0</v>
      </c>
      <c r="I98" s="48">
        <f t="shared" si="3"/>
        <v>1641</v>
      </c>
      <c r="J98" s="48">
        <f t="shared" si="4"/>
        <v>1771</v>
      </c>
      <c r="K98" s="49">
        <f t="shared" si="5"/>
        <v>0.5015234613</v>
      </c>
      <c r="L98" s="49">
        <f t="shared" si="6"/>
        <v>0.4162096283</v>
      </c>
      <c r="M98" s="49">
        <f t="shared" si="7"/>
        <v>0.08226691042</v>
      </c>
      <c r="N98" s="32" t="str">
        <f t="shared" si="8"/>
        <v>Jânio</v>
      </c>
      <c r="O98" s="50" t="s">
        <v>77</v>
      </c>
      <c r="P98" s="38">
        <v>749.0</v>
      </c>
      <c r="Q98" s="38">
        <v>768.0</v>
      </c>
      <c r="R98" s="38">
        <v>117.0</v>
      </c>
      <c r="S98" s="38">
        <v>88.0</v>
      </c>
      <c r="T98" s="38">
        <v>49.0</v>
      </c>
      <c r="U98" s="48">
        <f t="shared" si="9"/>
        <v>1634</v>
      </c>
      <c r="V98" s="48">
        <f t="shared" si="10"/>
        <v>1771</v>
      </c>
      <c r="W98" s="49">
        <f t="shared" si="11"/>
        <v>0.4583843329</v>
      </c>
      <c r="X98" s="49">
        <f t="shared" si="12"/>
        <v>0.4700122399</v>
      </c>
      <c r="Y98" s="49">
        <f t="shared" si="13"/>
        <v>0.07160342717</v>
      </c>
      <c r="Z98" s="32" t="str">
        <f t="shared" si="14"/>
        <v>Milton</v>
      </c>
      <c r="AA98" s="50" t="s">
        <v>77</v>
      </c>
      <c r="AB98" s="38">
        <v>2194.0</v>
      </c>
      <c r="AC98" s="48">
        <f t="shared" si="15"/>
        <v>423</v>
      </c>
      <c r="AD98" s="51">
        <f t="shared" si="16"/>
        <v>0.8072014585</v>
      </c>
      <c r="AE98" s="113"/>
    </row>
    <row r="99">
      <c r="A99" s="24"/>
      <c r="B99" s="46" t="s">
        <v>672</v>
      </c>
      <c r="C99" s="47"/>
      <c r="D99" s="38">
        <v>572.0</v>
      </c>
      <c r="E99" s="38">
        <v>235.0</v>
      </c>
      <c r="F99" s="38">
        <v>51.0</v>
      </c>
      <c r="G99" s="38">
        <v>56.0</v>
      </c>
      <c r="H99" s="38">
        <v>33.0</v>
      </c>
      <c r="I99" s="48">
        <f t="shared" si="3"/>
        <v>858</v>
      </c>
      <c r="J99" s="48">
        <f t="shared" si="4"/>
        <v>947</v>
      </c>
      <c r="K99" s="49">
        <f t="shared" si="5"/>
        <v>0.6666666667</v>
      </c>
      <c r="L99" s="49">
        <f t="shared" si="6"/>
        <v>0.2738927739</v>
      </c>
      <c r="M99" s="49">
        <f t="shared" si="7"/>
        <v>0.05944055944</v>
      </c>
      <c r="N99" s="32" t="str">
        <f t="shared" si="8"/>
        <v>Jânio</v>
      </c>
      <c r="O99" s="50" t="s">
        <v>77</v>
      </c>
      <c r="P99" s="38">
        <v>290.0</v>
      </c>
      <c r="Q99" s="38">
        <v>503.0</v>
      </c>
      <c r="R99" s="38">
        <v>44.0</v>
      </c>
      <c r="S99" s="38">
        <v>87.0</v>
      </c>
      <c r="T99" s="38">
        <v>23.0</v>
      </c>
      <c r="U99" s="48">
        <f t="shared" si="9"/>
        <v>837</v>
      </c>
      <c r="V99" s="48">
        <f t="shared" si="10"/>
        <v>947</v>
      </c>
      <c r="W99" s="49">
        <f t="shared" si="11"/>
        <v>0.3464755078</v>
      </c>
      <c r="X99" s="49">
        <f t="shared" si="12"/>
        <v>0.6009557945</v>
      </c>
      <c r="Y99" s="49">
        <f t="shared" si="13"/>
        <v>0.05256869773</v>
      </c>
      <c r="Z99" s="32" t="str">
        <f t="shared" si="14"/>
        <v>Milton</v>
      </c>
      <c r="AA99" s="50" t="s">
        <v>77</v>
      </c>
      <c r="AB99" s="38">
        <v>1104.0</v>
      </c>
      <c r="AC99" s="48">
        <f t="shared" si="15"/>
        <v>157</v>
      </c>
      <c r="AD99" s="51">
        <f t="shared" si="16"/>
        <v>0.8577898551</v>
      </c>
      <c r="AE99" s="113"/>
    </row>
    <row r="100">
      <c r="A100" s="45" t="s">
        <v>312</v>
      </c>
      <c r="B100" s="46" t="s">
        <v>673</v>
      </c>
      <c r="C100" s="47"/>
      <c r="D100" s="38">
        <v>1698.0</v>
      </c>
      <c r="E100" s="38">
        <v>843.0</v>
      </c>
      <c r="F100" s="38">
        <v>182.0</v>
      </c>
      <c r="G100" s="38">
        <v>180.0</v>
      </c>
      <c r="H100" s="38">
        <v>126.0</v>
      </c>
      <c r="I100" s="48">
        <f t="shared" si="3"/>
        <v>2723</v>
      </c>
      <c r="J100" s="48">
        <f t="shared" si="4"/>
        <v>3029</v>
      </c>
      <c r="K100" s="49">
        <f t="shared" si="5"/>
        <v>0.6235769372</v>
      </c>
      <c r="L100" s="49">
        <f t="shared" si="6"/>
        <v>0.3095850165</v>
      </c>
      <c r="M100" s="49">
        <f t="shared" si="7"/>
        <v>0.06683804627</v>
      </c>
      <c r="N100" s="32" t="str">
        <f t="shared" si="8"/>
        <v>Jânio</v>
      </c>
      <c r="O100" s="50" t="s">
        <v>77</v>
      </c>
      <c r="P100" s="38">
        <v>956.0</v>
      </c>
      <c r="Q100" s="38">
        <v>1560.0</v>
      </c>
      <c r="R100" s="38">
        <v>118.0</v>
      </c>
      <c r="S100" s="38">
        <v>300.0</v>
      </c>
      <c r="T100" s="38">
        <v>95.0</v>
      </c>
      <c r="U100" s="48">
        <f t="shared" si="9"/>
        <v>2634</v>
      </c>
      <c r="V100" s="48">
        <f t="shared" si="10"/>
        <v>3029</v>
      </c>
      <c r="W100" s="49">
        <f t="shared" si="11"/>
        <v>0.3629460896</v>
      </c>
      <c r="X100" s="49">
        <f t="shared" si="12"/>
        <v>0.5922551253</v>
      </c>
      <c r="Y100" s="49">
        <f t="shared" si="13"/>
        <v>0.04479878512</v>
      </c>
      <c r="Z100" s="32" t="str">
        <f t="shared" si="14"/>
        <v>Milton</v>
      </c>
      <c r="AA100" s="50" t="s">
        <v>77</v>
      </c>
      <c r="AB100" s="38">
        <v>3707.0</v>
      </c>
      <c r="AC100" s="48">
        <f t="shared" si="15"/>
        <v>678</v>
      </c>
      <c r="AD100" s="51">
        <f t="shared" si="16"/>
        <v>0.8171027785</v>
      </c>
      <c r="AE100" s="113"/>
    </row>
    <row r="101">
      <c r="A101" s="69" t="s">
        <v>54</v>
      </c>
      <c r="B101" s="13"/>
      <c r="C101" s="47"/>
      <c r="D101" s="38">
        <f t="shared" ref="D101:H101" si="17">SUM(D16:D83,D86:D100)</f>
        <v>96598</v>
      </c>
      <c r="E101" s="38">
        <f t="shared" si="17"/>
        <v>95721</v>
      </c>
      <c r="F101" s="38">
        <f t="shared" si="17"/>
        <v>15646</v>
      </c>
      <c r="G101" s="38">
        <f t="shared" si="17"/>
        <v>9890</v>
      </c>
      <c r="H101" s="38">
        <f t="shared" si="17"/>
        <v>7733</v>
      </c>
      <c r="I101" s="48">
        <f t="shared" si="3"/>
        <v>207965</v>
      </c>
      <c r="J101" s="48">
        <f t="shared" si="4"/>
        <v>225588</v>
      </c>
      <c r="K101" s="49">
        <f t="shared" si="5"/>
        <v>0.4644916212</v>
      </c>
      <c r="L101" s="49">
        <f t="shared" si="6"/>
        <v>0.4602745654</v>
      </c>
      <c r="M101" s="49">
        <f t="shared" si="7"/>
        <v>0.07523381338</v>
      </c>
      <c r="N101" s="32" t="str">
        <f t="shared" si="8"/>
        <v>Jânio</v>
      </c>
      <c r="O101" s="50"/>
      <c r="P101" s="38">
        <f t="shared" ref="P101:R101" si="18">SUM(P16:P83,P86:P100)</f>
        <v>96325</v>
      </c>
      <c r="Q101" s="38">
        <f t="shared" si="18"/>
        <v>83464</v>
      </c>
      <c r="R101" s="38">
        <f t="shared" si="18"/>
        <v>22290</v>
      </c>
      <c r="S101" s="55">
        <v>18215.0</v>
      </c>
      <c r="T101" s="55">
        <v>5294.0</v>
      </c>
      <c r="U101" s="48">
        <f t="shared" si="9"/>
        <v>202079</v>
      </c>
      <c r="V101" s="48">
        <f t="shared" si="10"/>
        <v>225588</v>
      </c>
      <c r="W101" s="49">
        <f t="shared" si="11"/>
        <v>0.4766700152</v>
      </c>
      <c r="X101" s="49">
        <f t="shared" si="12"/>
        <v>0.4130265886</v>
      </c>
      <c r="Y101" s="49">
        <f t="shared" si="13"/>
        <v>0.1103033962</v>
      </c>
      <c r="Z101" s="32" t="str">
        <f t="shared" si="14"/>
        <v>Jango</v>
      </c>
      <c r="AA101" s="50"/>
      <c r="AB101" s="55">
        <v>278087.0</v>
      </c>
      <c r="AC101" s="48">
        <f t="shared" si="15"/>
        <v>52499</v>
      </c>
      <c r="AD101" s="51">
        <f t="shared" si="16"/>
        <v>0.8112137568</v>
      </c>
      <c r="AE101" s="73"/>
    </row>
    <row r="102">
      <c r="O102" s="73"/>
    </row>
    <row r="103">
      <c r="B103" s="74" t="s">
        <v>138</v>
      </c>
      <c r="D103" s="75"/>
      <c r="E103" s="75"/>
      <c r="F103" s="75"/>
      <c r="G103" s="75"/>
    </row>
    <row r="104">
      <c r="B104" s="76" t="s">
        <v>139</v>
      </c>
      <c r="C104" s="33"/>
      <c r="D104" s="29"/>
      <c r="E104" s="29"/>
      <c r="F104" s="77"/>
      <c r="G104" s="77"/>
    </row>
    <row r="105">
      <c r="B105" s="76" t="s">
        <v>139</v>
      </c>
      <c r="C105" s="33"/>
      <c r="D105" s="29"/>
      <c r="E105" s="29"/>
      <c r="F105" s="77"/>
      <c r="G105" s="77"/>
    </row>
    <row r="106">
      <c r="D106" s="29"/>
      <c r="E106" s="29"/>
      <c r="F106" s="77"/>
      <c r="G106" s="77"/>
    </row>
  </sheetData>
  <mergeCells count="35">
    <mergeCell ref="D2:G2"/>
    <mergeCell ref="A10:C10"/>
    <mergeCell ref="D10:N10"/>
    <mergeCell ref="P10:Z10"/>
    <mergeCell ref="AA10:AD10"/>
    <mergeCell ref="A18:A19"/>
    <mergeCell ref="A21:A23"/>
    <mergeCell ref="A24:A25"/>
    <mergeCell ref="A26:A28"/>
    <mergeCell ref="A29:A32"/>
    <mergeCell ref="A33:A35"/>
    <mergeCell ref="A36:A37"/>
    <mergeCell ref="A39:A40"/>
    <mergeCell ref="A41:A45"/>
    <mergeCell ref="A46:A50"/>
    <mergeCell ref="A51:A52"/>
    <mergeCell ref="A53:A54"/>
    <mergeCell ref="A55:A57"/>
    <mergeCell ref="A58:A59"/>
    <mergeCell ref="A60:A61"/>
    <mergeCell ref="A62:A64"/>
    <mergeCell ref="A82:A83"/>
    <mergeCell ref="A87:A88"/>
    <mergeCell ref="A89:A90"/>
    <mergeCell ref="A91:A92"/>
    <mergeCell ref="A95:A96"/>
    <mergeCell ref="A98:A99"/>
    <mergeCell ref="A101:B101"/>
    <mergeCell ref="A65:A66"/>
    <mergeCell ref="A68:A70"/>
    <mergeCell ref="A71:A72"/>
    <mergeCell ref="A74:A75"/>
    <mergeCell ref="A76:A77"/>
    <mergeCell ref="A78:A79"/>
    <mergeCell ref="A80:A81"/>
  </mergeCells>
  <conditionalFormatting sqref="K12:M101 N12:N102 Z12:Z101">
    <cfRule type="colorScale" priority="1">
      <colorScale>
        <cfvo type="percent" val="0"/>
        <cfvo type="percent" val="50"/>
        <cfvo type="percent" val="100"/>
        <color rgb="FFFFFFFF"/>
        <color rgb="FFABDDC5"/>
        <color rgb="FF57BB8A"/>
      </colorScale>
    </cfRule>
  </conditionalFormatting>
  <conditionalFormatting sqref="W12:Y101">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IF(SUM(COUNTIF($N$14:$N$36,D3),COUNTIF($N$39:$N$99,D3))=0,"-",SUM(COUNTIF($N$14:$N$36,D3),COUNTIF($N$39:$N$99,D3)))</f>
        <v>63</v>
      </c>
      <c r="F3" s="32" t="s">
        <v>47</v>
      </c>
      <c r="G3" s="22">
        <f t="shared" ref="G3:G6" si="2">IF(SUM(COUNTIF($Z$14:$Z$36,F3),COUNTIF($Z$39:$Z$99,F3))=0,"-",SUM(COUNTIF($Z$14:$Z$36,F3),COUNTIF($Z$39:$Z$99,F3)))</f>
        <v>53</v>
      </c>
    </row>
    <row r="4">
      <c r="D4" s="32" t="s">
        <v>48</v>
      </c>
      <c r="E4" s="22">
        <f t="shared" si="1"/>
        <v>21</v>
      </c>
      <c r="F4" s="32" t="s">
        <v>49</v>
      </c>
      <c r="G4" s="22">
        <f t="shared" si="2"/>
        <v>31</v>
      </c>
    </row>
    <row r="5">
      <c r="D5" s="32" t="s">
        <v>50</v>
      </c>
      <c r="E5" s="22" t="str">
        <f t="shared" si="1"/>
        <v>-</v>
      </c>
      <c r="F5" s="32" t="s">
        <v>51</v>
      </c>
      <c r="G5" s="22" t="str">
        <f t="shared" si="2"/>
        <v>-</v>
      </c>
    </row>
    <row r="6">
      <c r="D6" s="32" t="s">
        <v>52</v>
      </c>
      <c r="E6" s="22" t="str">
        <f t="shared" si="1"/>
        <v>-</v>
      </c>
      <c r="F6" s="32" t="s">
        <v>52</v>
      </c>
      <c r="G6" s="22" t="str">
        <f t="shared" si="2"/>
        <v>-</v>
      </c>
    </row>
    <row r="7">
      <c r="D7" s="32" t="s">
        <v>54</v>
      </c>
      <c r="E7" s="32">
        <f>SUM(E3:E6)</f>
        <v>84</v>
      </c>
      <c r="F7" s="32" t="s">
        <v>54</v>
      </c>
      <c r="G7" s="32">
        <f>SUM(G3:G6)</f>
        <v>84</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115"/>
      <c r="P11" s="38" t="s">
        <v>47</v>
      </c>
      <c r="Q11" s="38" t="s">
        <v>49</v>
      </c>
      <c r="R11" s="38" t="s">
        <v>51</v>
      </c>
      <c r="S11" s="38" t="s">
        <v>59</v>
      </c>
      <c r="T11" s="38" t="s">
        <v>60</v>
      </c>
      <c r="U11" s="41" t="s">
        <v>61</v>
      </c>
      <c r="V11" s="41" t="s">
        <v>62</v>
      </c>
      <c r="W11" s="43" t="s">
        <v>67</v>
      </c>
      <c r="X11" s="43" t="s">
        <v>68</v>
      </c>
      <c r="Y11" s="43" t="s">
        <v>69</v>
      </c>
      <c r="Z11" s="38" t="s">
        <v>66</v>
      </c>
      <c r="AA11" s="116"/>
      <c r="AB11" s="41" t="s">
        <v>70</v>
      </c>
      <c r="AC11" s="41" t="s">
        <v>71</v>
      </c>
      <c r="AD11" s="41" t="s">
        <v>72</v>
      </c>
    </row>
    <row r="12">
      <c r="A12" s="45" t="s">
        <v>73</v>
      </c>
      <c r="B12" s="46" t="s">
        <v>674</v>
      </c>
      <c r="C12" s="47"/>
      <c r="D12" s="38">
        <v>10254.0</v>
      </c>
      <c r="E12" s="38">
        <v>4471.0</v>
      </c>
      <c r="F12" s="38">
        <v>547.0</v>
      </c>
      <c r="G12" s="38">
        <v>386.0</v>
      </c>
      <c r="H12" s="38">
        <v>367.0</v>
      </c>
      <c r="I12" s="48">
        <f t="shared" ref="I12:I100" si="3">SUM(D12:F12)</f>
        <v>15272</v>
      </c>
      <c r="J12" s="48">
        <f t="shared" ref="J12:J100" si="4">SUM(G12:I12)</f>
        <v>16025</v>
      </c>
      <c r="K12" s="49">
        <f t="shared" ref="K12:K100" si="5">D12/I12</f>
        <v>0.6714248298</v>
      </c>
      <c r="L12" s="49">
        <f t="shared" ref="L12:L100" si="6">E12/I12</f>
        <v>0.2927579885</v>
      </c>
      <c r="M12" s="49">
        <f t="shared" ref="M12:M100" si="7">F12/I12</f>
        <v>0.03581718177</v>
      </c>
      <c r="N12" s="32" t="str">
        <f t="shared" ref="N12:N100" si="8">IF(LARGE(D12:F12,1)=0,#REF!,IF(LARGE(D12:F12,1)=LARGE(D12:F12,2),$D$6,IF(LARGE(D12:F12,1)=D12,$D$3,IF(LARGE(D12:F12,1)=E12,$D$4,IF(LARGE(D12:F12,1)=F12,$D$5)))))</f>
        <v>Jânio</v>
      </c>
      <c r="O12" s="117"/>
      <c r="P12" s="38">
        <v>4293.0</v>
      </c>
      <c r="Q12" s="38">
        <v>7310.0</v>
      </c>
      <c r="R12" s="38">
        <v>3049.0</v>
      </c>
      <c r="S12" s="38">
        <v>1116.0</v>
      </c>
      <c r="T12" s="38">
        <v>257.0</v>
      </c>
      <c r="U12" s="48">
        <f t="shared" ref="U12:U100" si="9">SUM(P12:R12)</f>
        <v>14652</v>
      </c>
      <c r="V12" s="48">
        <f t="shared" ref="V12:V100" si="10">SUM(S12:U12)</f>
        <v>16025</v>
      </c>
      <c r="W12" s="49">
        <f t="shared" ref="W12:W100" si="11">P12/U12</f>
        <v>0.292997543</v>
      </c>
      <c r="X12" s="49">
        <f t="shared" ref="X12:X100" si="12">Q12/U12</f>
        <v>0.4989079989</v>
      </c>
      <c r="Y12" s="49">
        <f t="shared" ref="Y12:Y100" si="13">R12/U12</f>
        <v>0.2080944581</v>
      </c>
      <c r="Z12" s="32" t="str">
        <f t="shared" ref="Z12:Z100" si="14">IF(LARGE(P12:R12,1)=0,#REF!,IF(LARGE(P12:R12,1)=LARGE(P12:R12,2),$F$6,IF(LARGE(P12:R12,1)=P12,$F$3,IF(LARGE(P12:R12,1)=Q12,$F$4,IF(LARGE(P12:R12,1)=R12,$F$5)))))</f>
        <v>Milton</v>
      </c>
      <c r="AA12" s="117"/>
      <c r="AB12" s="38">
        <v>18732.0</v>
      </c>
      <c r="AC12" s="48">
        <f t="shared" ref="AC12:AC57" si="15">AB12-V12</f>
        <v>2707</v>
      </c>
      <c r="AD12" s="51">
        <f t="shared" ref="AD12:AD77" si="16">V12/AB12</f>
        <v>0.8554879351</v>
      </c>
    </row>
    <row r="13">
      <c r="A13" s="45" t="s">
        <v>75</v>
      </c>
      <c r="B13" s="46" t="s">
        <v>675</v>
      </c>
      <c r="C13" s="47"/>
      <c r="D13" s="38">
        <v>10436.0</v>
      </c>
      <c r="E13" s="38">
        <v>5907.0</v>
      </c>
      <c r="F13" s="38">
        <v>774.0</v>
      </c>
      <c r="G13" s="38">
        <v>575.0</v>
      </c>
      <c r="H13" s="38">
        <v>534.0</v>
      </c>
      <c r="I13" s="48">
        <f t="shared" si="3"/>
        <v>17117</v>
      </c>
      <c r="J13" s="48">
        <f t="shared" si="4"/>
        <v>18226</v>
      </c>
      <c r="K13" s="49">
        <f t="shared" si="5"/>
        <v>0.6096862768</v>
      </c>
      <c r="L13" s="49">
        <f t="shared" si="6"/>
        <v>0.3450955191</v>
      </c>
      <c r="M13" s="49">
        <f t="shared" si="7"/>
        <v>0.04521820412</v>
      </c>
      <c r="N13" s="32" t="str">
        <f t="shared" si="8"/>
        <v>Jânio</v>
      </c>
      <c r="O13" s="117"/>
      <c r="P13" s="38">
        <v>6126.0</v>
      </c>
      <c r="Q13" s="38">
        <v>7124.0</v>
      </c>
      <c r="R13" s="38">
        <v>3150.0</v>
      </c>
      <c r="S13" s="38">
        <v>1366.0</v>
      </c>
      <c r="T13" s="38">
        <v>460.0</v>
      </c>
      <c r="U13" s="48">
        <f t="shared" si="9"/>
        <v>16400</v>
      </c>
      <c r="V13" s="48">
        <f t="shared" si="10"/>
        <v>18226</v>
      </c>
      <c r="W13" s="49">
        <f t="shared" si="11"/>
        <v>0.3735365854</v>
      </c>
      <c r="X13" s="49">
        <f t="shared" si="12"/>
        <v>0.4343902439</v>
      </c>
      <c r="Y13" s="49">
        <f t="shared" si="13"/>
        <v>0.1920731707</v>
      </c>
      <c r="Z13" s="32" t="str">
        <f t="shared" si="14"/>
        <v>Milton</v>
      </c>
      <c r="AA13" s="117"/>
      <c r="AB13" s="38">
        <v>21409.0</v>
      </c>
      <c r="AC13" s="48">
        <f t="shared" si="15"/>
        <v>3183</v>
      </c>
      <c r="AD13" s="51">
        <f t="shared" si="16"/>
        <v>0.8513242094</v>
      </c>
    </row>
    <row r="14">
      <c r="A14" s="45" t="s">
        <v>77</v>
      </c>
      <c r="B14" s="46" t="s">
        <v>676</v>
      </c>
      <c r="C14" s="47"/>
      <c r="D14" s="38">
        <v>20690.0</v>
      </c>
      <c r="E14" s="38">
        <v>10378.0</v>
      </c>
      <c r="F14" s="38">
        <v>1321.0</v>
      </c>
      <c r="G14" s="38">
        <v>961.0</v>
      </c>
      <c r="H14" s="38">
        <v>901.0</v>
      </c>
      <c r="I14" s="48">
        <f t="shared" si="3"/>
        <v>32389</v>
      </c>
      <c r="J14" s="48">
        <f t="shared" si="4"/>
        <v>34251</v>
      </c>
      <c r="K14" s="49">
        <f t="shared" si="5"/>
        <v>0.6387971225</v>
      </c>
      <c r="L14" s="49">
        <f t="shared" si="6"/>
        <v>0.3204174257</v>
      </c>
      <c r="M14" s="49">
        <f t="shared" si="7"/>
        <v>0.04078545185</v>
      </c>
      <c r="N14" s="32" t="str">
        <f t="shared" si="8"/>
        <v>Jânio</v>
      </c>
      <c r="O14" s="118" t="s">
        <v>77</v>
      </c>
      <c r="P14" s="38">
        <v>10419.0</v>
      </c>
      <c r="Q14" s="38">
        <v>14434.0</v>
      </c>
      <c r="R14" s="38">
        <v>6199.0</v>
      </c>
      <c r="S14" s="38">
        <v>2482.0</v>
      </c>
      <c r="T14" s="38">
        <v>717.0</v>
      </c>
      <c r="U14" s="48">
        <f t="shared" si="9"/>
        <v>31052</v>
      </c>
      <c r="V14" s="48">
        <f t="shared" si="10"/>
        <v>34251</v>
      </c>
      <c r="W14" s="49">
        <f t="shared" si="11"/>
        <v>0.3355339431</v>
      </c>
      <c r="X14" s="49">
        <f t="shared" si="12"/>
        <v>0.464833183</v>
      </c>
      <c r="Y14" s="49">
        <f t="shared" si="13"/>
        <v>0.1996328739</v>
      </c>
      <c r="Z14" s="32" t="str">
        <f t="shared" si="14"/>
        <v>Milton</v>
      </c>
      <c r="AA14" s="118" t="s">
        <v>77</v>
      </c>
      <c r="AB14" s="38">
        <v>40141.0</v>
      </c>
      <c r="AC14" s="48">
        <f t="shared" si="15"/>
        <v>5890</v>
      </c>
      <c r="AD14" s="51">
        <f t="shared" si="16"/>
        <v>0.853267233</v>
      </c>
    </row>
    <row r="15">
      <c r="A15" s="45" t="s">
        <v>75</v>
      </c>
      <c r="B15" s="46" t="s">
        <v>677</v>
      </c>
      <c r="C15" s="47"/>
      <c r="D15" s="38">
        <v>3232.0</v>
      </c>
      <c r="E15" s="38">
        <v>3561.0</v>
      </c>
      <c r="F15" s="38">
        <v>376.0</v>
      </c>
      <c r="G15" s="38">
        <v>504.0</v>
      </c>
      <c r="H15" s="38">
        <v>199.0</v>
      </c>
      <c r="I15" s="48">
        <f t="shared" si="3"/>
        <v>7169</v>
      </c>
      <c r="J15" s="48">
        <f t="shared" si="4"/>
        <v>7872</v>
      </c>
      <c r="K15" s="49">
        <f t="shared" si="5"/>
        <v>0.4508299623</v>
      </c>
      <c r="L15" s="49">
        <f t="shared" si="6"/>
        <v>0.4967219975</v>
      </c>
      <c r="M15" s="49">
        <f t="shared" si="7"/>
        <v>0.05244804017</v>
      </c>
      <c r="N15" s="32" t="str">
        <f t="shared" si="8"/>
        <v>Mal. Lott</v>
      </c>
      <c r="O15" s="118" t="s">
        <v>77</v>
      </c>
      <c r="P15" s="38">
        <v>3875.0</v>
      </c>
      <c r="Q15" s="38">
        <v>2282.0</v>
      </c>
      <c r="R15" s="38">
        <v>694.0</v>
      </c>
      <c r="S15" s="38">
        <v>797.0</v>
      </c>
      <c r="T15" s="38">
        <v>224.0</v>
      </c>
      <c r="U15" s="48">
        <f t="shared" si="9"/>
        <v>6851</v>
      </c>
      <c r="V15" s="48">
        <f t="shared" si="10"/>
        <v>7872</v>
      </c>
      <c r="W15" s="49">
        <f t="shared" si="11"/>
        <v>0.5656108597</v>
      </c>
      <c r="X15" s="49">
        <f t="shared" si="12"/>
        <v>0.3330900598</v>
      </c>
      <c r="Y15" s="49">
        <f t="shared" si="13"/>
        <v>0.1012990804</v>
      </c>
      <c r="Z15" s="32" t="str">
        <f t="shared" si="14"/>
        <v>Jango</v>
      </c>
      <c r="AA15" s="118" t="s">
        <v>77</v>
      </c>
      <c r="AB15" s="38">
        <v>9179.0</v>
      </c>
      <c r="AC15" s="48">
        <f t="shared" si="15"/>
        <v>1307</v>
      </c>
      <c r="AD15" s="51">
        <f t="shared" si="16"/>
        <v>0.8576097614</v>
      </c>
    </row>
    <row r="16">
      <c r="A16" s="45" t="s">
        <v>79</v>
      </c>
      <c r="B16" s="46" t="s">
        <v>678</v>
      </c>
      <c r="C16" s="47"/>
      <c r="D16" s="38">
        <v>1349.0</v>
      </c>
      <c r="E16" s="38">
        <v>555.0</v>
      </c>
      <c r="F16" s="38">
        <v>178.0</v>
      </c>
      <c r="G16" s="38">
        <v>108.0</v>
      </c>
      <c r="H16" s="38">
        <v>64.0</v>
      </c>
      <c r="I16" s="48">
        <f t="shared" si="3"/>
        <v>2082</v>
      </c>
      <c r="J16" s="48">
        <f t="shared" si="4"/>
        <v>2254</v>
      </c>
      <c r="K16" s="49">
        <f t="shared" si="5"/>
        <v>0.6479346782</v>
      </c>
      <c r="L16" s="49">
        <f t="shared" si="6"/>
        <v>0.2665706052</v>
      </c>
      <c r="M16" s="49">
        <f t="shared" si="7"/>
        <v>0.08549471662</v>
      </c>
      <c r="N16" s="32" t="str">
        <f t="shared" si="8"/>
        <v>Jânio</v>
      </c>
      <c r="O16" s="118" t="s">
        <v>77</v>
      </c>
      <c r="P16" s="38">
        <v>715.0</v>
      </c>
      <c r="Q16" s="38">
        <v>1152.0</v>
      </c>
      <c r="R16" s="38">
        <v>138.0</v>
      </c>
      <c r="S16" s="38">
        <v>191.0</v>
      </c>
      <c r="T16" s="38">
        <v>58.0</v>
      </c>
      <c r="U16" s="48">
        <f t="shared" si="9"/>
        <v>2005</v>
      </c>
      <c r="V16" s="48">
        <f t="shared" si="10"/>
        <v>2254</v>
      </c>
      <c r="W16" s="49">
        <f t="shared" si="11"/>
        <v>0.3566084788</v>
      </c>
      <c r="X16" s="49">
        <f t="shared" si="12"/>
        <v>0.574563591</v>
      </c>
      <c r="Y16" s="49">
        <f t="shared" si="13"/>
        <v>0.06882793017</v>
      </c>
      <c r="Z16" s="32" t="str">
        <f t="shared" si="14"/>
        <v>Milton</v>
      </c>
      <c r="AA16" s="118" t="s">
        <v>77</v>
      </c>
      <c r="AB16" s="38">
        <v>2646.0</v>
      </c>
      <c r="AC16" s="48">
        <f t="shared" si="15"/>
        <v>392</v>
      </c>
      <c r="AD16" s="51">
        <f t="shared" si="16"/>
        <v>0.8518518519</v>
      </c>
    </row>
    <row r="17">
      <c r="A17" s="45" t="s">
        <v>85</v>
      </c>
      <c r="B17" s="46" t="s">
        <v>679</v>
      </c>
      <c r="C17" s="47"/>
      <c r="D17" s="38">
        <v>2597.0</v>
      </c>
      <c r="E17" s="38">
        <v>2356.0</v>
      </c>
      <c r="F17" s="38">
        <v>367.0</v>
      </c>
      <c r="G17" s="38">
        <v>150.0</v>
      </c>
      <c r="H17" s="38">
        <v>159.0</v>
      </c>
      <c r="I17" s="48">
        <f t="shared" si="3"/>
        <v>5320</v>
      </c>
      <c r="J17" s="48">
        <f t="shared" si="4"/>
        <v>5629</v>
      </c>
      <c r="K17" s="49">
        <f t="shared" si="5"/>
        <v>0.4881578947</v>
      </c>
      <c r="L17" s="49">
        <f t="shared" si="6"/>
        <v>0.4428571429</v>
      </c>
      <c r="M17" s="49">
        <f t="shared" si="7"/>
        <v>0.06898496241</v>
      </c>
      <c r="N17" s="32" t="str">
        <f t="shared" si="8"/>
        <v>Jânio</v>
      </c>
      <c r="O17" s="118" t="s">
        <v>77</v>
      </c>
      <c r="P17" s="38">
        <v>2694.0</v>
      </c>
      <c r="Q17" s="38">
        <v>2197.0</v>
      </c>
      <c r="R17" s="38">
        <v>292.0</v>
      </c>
      <c r="S17" s="38">
        <v>348.0</v>
      </c>
      <c r="T17" s="38">
        <v>98.0</v>
      </c>
      <c r="U17" s="48">
        <f t="shared" si="9"/>
        <v>5183</v>
      </c>
      <c r="V17" s="48">
        <f t="shared" si="10"/>
        <v>5629</v>
      </c>
      <c r="W17" s="49">
        <f t="shared" si="11"/>
        <v>0.5197761914</v>
      </c>
      <c r="X17" s="49">
        <f t="shared" si="12"/>
        <v>0.4238857804</v>
      </c>
      <c r="Y17" s="49">
        <f t="shared" si="13"/>
        <v>0.05633802817</v>
      </c>
      <c r="Z17" s="32" t="str">
        <f t="shared" si="14"/>
        <v>Jango</v>
      </c>
      <c r="AA17" s="118" t="s">
        <v>77</v>
      </c>
      <c r="AB17" s="38">
        <v>6648.0</v>
      </c>
      <c r="AC17" s="48">
        <f t="shared" si="15"/>
        <v>1019</v>
      </c>
      <c r="AD17" s="51">
        <f t="shared" si="16"/>
        <v>0.8467208183</v>
      </c>
    </row>
    <row r="18">
      <c r="A18" s="61" t="s">
        <v>90</v>
      </c>
      <c r="B18" s="46" t="s">
        <v>680</v>
      </c>
      <c r="C18" s="47"/>
      <c r="D18" s="38">
        <v>1012.0</v>
      </c>
      <c r="E18" s="38">
        <v>1009.0</v>
      </c>
      <c r="F18" s="38">
        <v>180.0</v>
      </c>
      <c r="G18" s="38">
        <v>102.0</v>
      </c>
      <c r="H18" s="38">
        <v>83.0</v>
      </c>
      <c r="I18" s="48">
        <f t="shared" si="3"/>
        <v>2201</v>
      </c>
      <c r="J18" s="48">
        <f t="shared" si="4"/>
        <v>2386</v>
      </c>
      <c r="K18" s="49">
        <f t="shared" si="5"/>
        <v>0.4597910041</v>
      </c>
      <c r="L18" s="49">
        <f t="shared" si="6"/>
        <v>0.4584279873</v>
      </c>
      <c r="M18" s="49">
        <f t="shared" si="7"/>
        <v>0.08178100863</v>
      </c>
      <c r="N18" s="32" t="str">
        <f t="shared" si="8"/>
        <v>Jânio</v>
      </c>
      <c r="O18" s="118" t="s">
        <v>77</v>
      </c>
      <c r="P18" s="38">
        <v>852.0</v>
      </c>
      <c r="Q18" s="38">
        <v>911.0</v>
      </c>
      <c r="R18" s="38">
        <v>289.0</v>
      </c>
      <c r="S18" s="38">
        <v>253.0</v>
      </c>
      <c r="T18" s="38">
        <v>81.0</v>
      </c>
      <c r="U18" s="48">
        <f t="shared" si="9"/>
        <v>2052</v>
      </c>
      <c r="V18" s="48">
        <f t="shared" si="10"/>
        <v>2386</v>
      </c>
      <c r="W18" s="49">
        <f t="shared" si="11"/>
        <v>0.4152046784</v>
      </c>
      <c r="X18" s="49">
        <f t="shared" si="12"/>
        <v>0.443957115</v>
      </c>
      <c r="Y18" s="49">
        <f t="shared" si="13"/>
        <v>0.1408382066</v>
      </c>
      <c r="Z18" s="32" t="str">
        <f t="shared" si="14"/>
        <v>Milton</v>
      </c>
      <c r="AA18" s="118" t="s">
        <v>77</v>
      </c>
      <c r="AB18" s="38">
        <v>4018.0</v>
      </c>
      <c r="AC18" s="48">
        <f t="shared" si="15"/>
        <v>1632</v>
      </c>
      <c r="AD18" s="51">
        <f t="shared" si="16"/>
        <v>0.593827775</v>
      </c>
    </row>
    <row r="19">
      <c r="A19" s="24"/>
      <c r="B19" s="46" t="s">
        <v>681</v>
      </c>
      <c r="C19" s="47"/>
      <c r="D19" s="38">
        <v>346.0</v>
      </c>
      <c r="E19" s="38">
        <v>437.0</v>
      </c>
      <c r="F19" s="38">
        <v>91.0</v>
      </c>
      <c r="G19" s="38">
        <v>45.0</v>
      </c>
      <c r="H19" s="38">
        <v>41.0</v>
      </c>
      <c r="I19" s="48">
        <f t="shared" si="3"/>
        <v>874</v>
      </c>
      <c r="J19" s="48">
        <f t="shared" si="4"/>
        <v>960</v>
      </c>
      <c r="K19" s="49">
        <f t="shared" si="5"/>
        <v>0.3958810069</v>
      </c>
      <c r="L19" s="49">
        <f t="shared" si="6"/>
        <v>0.5</v>
      </c>
      <c r="M19" s="49">
        <f t="shared" si="7"/>
        <v>0.1041189931</v>
      </c>
      <c r="N19" s="32" t="str">
        <f t="shared" si="8"/>
        <v>Mal. Lott</v>
      </c>
      <c r="O19" s="118" t="s">
        <v>77</v>
      </c>
      <c r="P19" s="38">
        <v>480.0</v>
      </c>
      <c r="Q19" s="38">
        <v>274.0</v>
      </c>
      <c r="R19" s="38">
        <v>60.0</v>
      </c>
      <c r="S19" s="38">
        <v>134.0</v>
      </c>
      <c r="T19" s="38">
        <v>12.0</v>
      </c>
      <c r="U19" s="48">
        <f t="shared" si="9"/>
        <v>814</v>
      </c>
      <c r="V19" s="48">
        <f t="shared" si="10"/>
        <v>960</v>
      </c>
      <c r="W19" s="49">
        <f t="shared" si="11"/>
        <v>0.5896805897</v>
      </c>
      <c r="X19" s="49">
        <f t="shared" si="12"/>
        <v>0.3366093366</v>
      </c>
      <c r="Y19" s="49">
        <f t="shared" si="13"/>
        <v>0.07371007371</v>
      </c>
      <c r="Z19" s="32" t="str">
        <f t="shared" si="14"/>
        <v>Jango</v>
      </c>
      <c r="AA19" s="118" t="s">
        <v>77</v>
      </c>
      <c r="AB19" s="38">
        <v>1014.0</v>
      </c>
      <c r="AC19" s="48">
        <f t="shared" si="15"/>
        <v>54</v>
      </c>
      <c r="AD19" s="51">
        <f t="shared" si="16"/>
        <v>0.9467455621</v>
      </c>
    </row>
    <row r="20">
      <c r="A20" s="45" t="s">
        <v>92</v>
      </c>
      <c r="B20" s="46" t="s">
        <v>682</v>
      </c>
      <c r="C20" s="47"/>
      <c r="D20" s="38">
        <v>1855.0</v>
      </c>
      <c r="E20" s="38">
        <v>2936.0</v>
      </c>
      <c r="F20" s="38">
        <v>341.0</v>
      </c>
      <c r="G20" s="38">
        <v>209.0</v>
      </c>
      <c r="H20" s="38">
        <v>114.0</v>
      </c>
      <c r="I20" s="48">
        <f t="shared" si="3"/>
        <v>5132</v>
      </c>
      <c r="J20" s="48">
        <f t="shared" si="4"/>
        <v>5455</v>
      </c>
      <c r="K20" s="49">
        <f t="shared" si="5"/>
        <v>0.3614575214</v>
      </c>
      <c r="L20" s="49">
        <f t="shared" si="6"/>
        <v>0.5720966485</v>
      </c>
      <c r="M20" s="49">
        <f t="shared" si="7"/>
        <v>0.06644583009</v>
      </c>
      <c r="N20" s="32" t="str">
        <f t="shared" si="8"/>
        <v>Mal. Lott</v>
      </c>
      <c r="O20" s="118" t="s">
        <v>77</v>
      </c>
      <c r="P20" s="38">
        <v>3130.0</v>
      </c>
      <c r="Q20" s="38">
        <v>1495.0</v>
      </c>
      <c r="R20" s="38">
        <v>347.0</v>
      </c>
      <c r="S20" s="38">
        <v>419.0</v>
      </c>
      <c r="T20" s="38">
        <v>64.0</v>
      </c>
      <c r="U20" s="48">
        <f t="shared" si="9"/>
        <v>4972</v>
      </c>
      <c r="V20" s="48">
        <f t="shared" si="10"/>
        <v>5455</v>
      </c>
      <c r="W20" s="49">
        <f t="shared" si="11"/>
        <v>0.6295253419</v>
      </c>
      <c r="X20" s="49">
        <f t="shared" si="12"/>
        <v>0.3006838294</v>
      </c>
      <c r="Y20" s="49">
        <f t="shared" si="13"/>
        <v>0.06979082864</v>
      </c>
      <c r="Z20" s="32" t="str">
        <f t="shared" si="14"/>
        <v>Jango</v>
      </c>
      <c r="AA20" s="118" t="s">
        <v>77</v>
      </c>
      <c r="AB20" s="38">
        <v>6463.0</v>
      </c>
      <c r="AC20" s="48">
        <f t="shared" si="15"/>
        <v>1008</v>
      </c>
      <c r="AD20" s="51">
        <f t="shared" si="16"/>
        <v>0.8440352777</v>
      </c>
    </row>
    <row r="21">
      <c r="A21" s="45" t="s">
        <v>94</v>
      </c>
      <c r="B21" s="46" t="s">
        <v>683</v>
      </c>
      <c r="C21" s="47"/>
      <c r="D21" s="38">
        <v>1879.0</v>
      </c>
      <c r="E21" s="38">
        <v>3097.0</v>
      </c>
      <c r="F21" s="38">
        <v>393.0</v>
      </c>
      <c r="G21" s="38">
        <v>216.0</v>
      </c>
      <c r="H21" s="38">
        <v>113.0</v>
      </c>
      <c r="I21" s="48">
        <f t="shared" si="3"/>
        <v>5369</v>
      </c>
      <c r="J21" s="48">
        <f t="shared" si="4"/>
        <v>5698</v>
      </c>
      <c r="K21" s="49">
        <f t="shared" si="5"/>
        <v>0.3499720618</v>
      </c>
      <c r="L21" s="49">
        <f t="shared" si="6"/>
        <v>0.5768299497</v>
      </c>
      <c r="M21" s="49">
        <f t="shared" si="7"/>
        <v>0.07319798845</v>
      </c>
      <c r="N21" s="32" t="str">
        <f t="shared" si="8"/>
        <v>Mal. Lott</v>
      </c>
      <c r="O21" s="118" t="s">
        <v>77</v>
      </c>
      <c r="P21" s="38">
        <v>3362.0</v>
      </c>
      <c r="Q21" s="38">
        <v>1596.0</v>
      </c>
      <c r="R21" s="38">
        <v>261.0</v>
      </c>
      <c r="S21" s="38">
        <v>304.0</v>
      </c>
      <c r="T21" s="38">
        <v>175.0</v>
      </c>
      <c r="U21" s="48">
        <f t="shared" si="9"/>
        <v>5219</v>
      </c>
      <c r="V21" s="48">
        <f t="shared" si="10"/>
        <v>5698</v>
      </c>
      <c r="W21" s="49">
        <f t="shared" si="11"/>
        <v>0.6441847097</v>
      </c>
      <c r="X21" s="49">
        <f t="shared" si="12"/>
        <v>0.3058057099</v>
      </c>
      <c r="Y21" s="49">
        <f t="shared" si="13"/>
        <v>0.05000958038</v>
      </c>
      <c r="Z21" s="32" t="str">
        <f t="shared" si="14"/>
        <v>Jango</v>
      </c>
      <c r="AA21" s="118" t="s">
        <v>77</v>
      </c>
      <c r="AB21" s="38">
        <v>6551.0</v>
      </c>
      <c r="AC21" s="48">
        <f t="shared" si="15"/>
        <v>853</v>
      </c>
      <c r="AD21" s="51">
        <f t="shared" si="16"/>
        <v>0.8697908716</v>
      </c>
    </row>
    <row r="22">
      <c r="A22" s="61" t="s">
        <v>97</v>
      </c>
      <c r="B22" s="46" t="s">
        <v>684</v>
      </c>
      <c r="C22" s="47"/>
      <c r="D22" s="38">
        <v>918.0</v>
      </c>
      <c r="E22" s="38">
        <v>1328.0</v>
      </c>
      <c r="F22" s="38">
        <v>198.0</v>
      </c>
      <c r="G22" s="38">
        <v>104.0</v>
      </c>
      <c r="H22" s="38">
        <v>53.0</v>
      </c>
      <c r="I22" s="48">
        <f t="shared" si="3"/>
        <v>2444</v>
      </c>
      <c r="J22" s="48">
        <f t="shared" si="4"/>
        <v>2601</v>
      </c>
      <c r="K22" s="49">
        <f t="shared" si="5"/>
        <v>0.375613748</v>
      </c>
      <c r="L22" s="49">
        <f t="shared" si="6"/>
        <v>0.5433715221</v>
      </c>
      <c r="M22" s="49">
        <f t="shared" si="7"/>
        <v>0.08101472995</v>
      </c>
      <c r="N22" s="32" t="str">
        <f t="shared" si="8"/>
        <v>Mal. Lott</v>
      </c>
      <c r="O22" s="118" t="s">
        <v>77</v>
      </c>
      <c r="P22" s="38">
        <v>1452.0</v>
      </c>
      <c r="Q22" s="38">
        <v>708.0</v>
      </c>
      <c r="R22" s="38">
        <v>175.0</v>
      </c>
      <c r="S22" s="38">
        <v>231.0</v>
      </c>
      <c r="T22" s="38">
        <v>35.0</v>
      </c>
      <c r="U22" s="48">
        <f t="shared" si="9"/>
        <v>2335</v>
      </c>
      <c r="V22" s="48">
        <f t="shared" si="10"/>
        <v>2601</v>
      </c>
      <c r="W22" s="49">
        <f t="shared" si="11"/>
        <v>0.6218415418</v>
      </c>
      <c r="X22" s="49">
        <f t="shared" si="12"/>
        <v>0.3032119914</v>
      </c>
      <c r="Y22" s="49">
        <f t="shared" si="13"/>
        <v>0.07494646681</v>
      </c>
      <c r="Z22" s="32" t="str">
        <f t="shared" si="14"/>
        <v>Jango</v>
      </c>
      <c r="AA22" s="118" t="s">
        <v>77</v>
      </c>
      <c r="AB22" s="38">
        <v>3134.0</v>
      </c>
      <c r="AC22" s="48">
        <f t="shared" si="15"/>
        <v>533</v>
      </c>
      <c r="AD22" s="51">
        <f t="shared" si="16"/>
        <v>0.8299298022</v>
      </c>
    </row>
    <row r="23">
      <c r="A23" s="24"/>
      <c r="B23" s="46" t="s">
        <v>685</v>
      </c>
      <c r="C23" s="47"/>
      <c r="D23" s="38">
        <v>278.0</v>
      </c>
      <c r="E23" s="38">
        <v>437.0</v>
      </c>
      <c r="F23" s="38">
        <v>61.0</v>
      </c>
      <c r="G23" s="38">
        <v>44.0</v>
      </c>
      <c r="H23" s="38">
        <v>37.0</v>
      </c>
      <c r="I23" s="48">
        <f t="shared" si="3"/>
        <v>776</v>
      </c>
      <c r="J23" s="48">
        <f t="shared" si="4"/>
        <v>857</v>
      </c>
      <c r="K23" s="49">
        <f t="shared" si="5"/>
        <v>0.3582474227</v>
      </c>
      <c r="L23" s="49">
        <f t="shared" si="6"/>
        <v>0.5631443299</v>
      </c>
      <c r="M23" s="49">
        <f t="shared" si="7"/>
        <v>0.07860824742</v>
      </c>
      <c r="N23" s="32" t="str">
        <f t="shared" si="8"/>
        <v>Mal. Lott</v>
      </c>
      <c r="O23" s="118" t="s">
        <v>77</v>
      </c>
      <c r="P23" s="38">
        <v>494.0</v>
      </c>
      <c r="Q23" s="38">
        <v>204.0</v>
      </c>
      <c r="R23" s="38">
        <v>51.0</v>
      </c>
      <c r="S23" s="38">
        <v>91.0</v>
      </c>
      <c r="T23" s="38">
        <v>17.0</v>
      </c>
      <c r="U23" s="48">
        <f t="shared" si="9"/>
        <v>749</v>
      </c>
      <c r="V23" s="48">
        <f t="shared" si="10"/>
        <v>857</v>
      </c>
      <c r="W23" s="49">
        <f t="shared" si="11"/>
        <v>0.6595460614</v>
      </c>
      <c r="X23" s="49">
        <f t="shared" si="12"/>
        <v>0.2723631509</v>
      </c>
      <c r="Y23" s="49">
        <f t="shared" si="13"/>
        <v>0.06809078772</v>
      </c>
      <c r="Z23" s="32" t="str">
        <f t="shared" si="14"/>
        <v>Jango</v>
      </c>
      <c r="AA23" s="118" t="s">
        <v>77</v>
      </c>
      <c r="AB23" s="38">
        <v>1220.0</v>
      </c>
      <c r="AC23" s="48">
        <f t="shared" si="15"/>
        <v>363</v>
      </c>
      <c r="AD23" s="51">
        <f t="shared" si="16"/>
        <v>0.7024590164</v>
      </c>
    </row>
    <row r="24">
      <c r="A24" s="45" t="s">
        <v>99</v>
      </c>
      <c r="B24" s="46" t="s">
        <v>686</v>
      </c>
      <c r="C24" s="47"/>
      <c r="D24" s="38">
        <v>1688.0</v>
      </c>
      <c r="E24" s="38">
        <v>1612.0</v>
      </c>
      <c r="F24" s="38">
        <v>234.0</v>
      </c>
      <c r="G24" s="38">
        <v>127.0</v>
      </c>
      <c r="H24" s="38">
        <v>101.0</v>
      </c>
      <c r="I24" s="48">
        <f t="shared" si="3"/>
        <v>3534</v>
      </c>
      <c r="J24" s="48">
        <f t="shared" si="4"/>
        <v>3762</v>
      </c>
      <c r="K24" s="49">
        <f t="shared" si="5"/>
        <v>0.4776457272</v>
      </c>
      <c r="L24" s="49">
        <f t="shared" si="6"/>
        <v>0.4561403509</v>
      </c>
      <c r="M24" s="49">
        <f t="shared" si="7"/>
        <v>0.0662139219</v>
      </c>
      <c r="N24" s="32" t="str">
        <f t="shared" si="8"/>
        <v>Jânio</v>
      </c>
      <c r="O24" s="118" t="s">
        <v>77</v>
      </c>
      <c r="P24" s="38">
        <v>1781.0</v>
      </c>
      <c r="Q24" s="38">
        <v>1298.0</v>
      </c>
      <c r="R24" s="38">
        <v>248.0</v>
      </c>
      <c r="S24" s="38">
        <v>292.0</v>
      </c>
      <c r="T24" s="38">
        <v>143.0</v>
      </c>
      <c r="U24" s="48">
        <f t="shared" si="9"/>
        <v>3327</v>
      </c>
      <c r="V24" s="48">
        <f t="shared" si="10"/>
        <v>3762</v>
      </c>
      <c r="W24" s="49">
        <f t="shared" si="11"/>
        <v>0.5353171025</v>
      </c>
      <c r="X24" s="49">
        <f t="shared" si="12"/>
        <v>0.3901412684</v>
      </c>
      <c r="Y24" s="49">
        <f t="shared" si="13"/>
        <v>0.0745416291</v>
      </c>
      <c r="Z24" s="32" t="str">
        <f t="shared" si="14"/>
        <v>Jango</v>
      </c>
      <c r="AA24" s="118" t="s">
        <v>77</v>
      </c>
      <c r="AB24" s="38">
        <v>4545.0</v>
      </c>
      <c r="AC24" s="48">
        <f t="shared" si="15"/>
        <v>783</v>
      </c>
      <c r="AD24" s="51">
        <f t="shared" si="16"/>
        <v>0.8277227723</v>
      </c>
    </row>
    <row r="25">
      <c r="A25" s="61" t="s">
        <v>104</v>
      </c>
      <c r="B25" s="46" t="s">
        <v>687</v>
      </c>
      <c r="C25" s="47"/>
      <c r="D25" s="38">
        <v>2007.0</v>
      </c>
      <c r="E25" s="38">
        <v>1136.0</v>
      </c>
      <c r="F25" s="38">
        <v>354.0</v>
      </c>
      <c r="G25" s="38">
        <v>218.0</v>
      </c>
      <c r="H25" s="38">
        <v>155.0</v>
      </c>
      <c r="I25" s="48">
        <f t="shared" si="3"/>
        <v>3497</v>
      </c>
      <c r="J25" s="48">
        <f t="shared" si="4"/>
        <v>3870</v>
      </c>
      <c r="K25" s="49">
        <f t="shared" si="5"/>
        <v>0.5739205033</v>
      </c>
      <c r="L25" s="49">
        <f t="shared" si="6"/>
        <v>0.3248498713</v>
      </c>
      <c r="M25" s="49">
        <f t="shared" si="7"/>
        <v>0.1012296254</v>
      </c>
      <c r="N25" s="32" t="str">
        <f t="shared" si="8"/>
        <v>Jânio</v>
      </c>
      <c r="O25" s="118" t="s">
        <v>77</v>
      </c>
      <c r="P25" s="38">
        <v>1417.0</v>
      </c>
      <c r="Q25" s="38">
        <v>1229.0</v>
      </c>
      <c r="R25" s="38">
        <v>514.0</v>
      </c>
      <c r="S25" s="38">
        <v>608.0</v>
      </c>
      <c r="T25" s="38">
        <v>102.0</v>
      </c>
      <c r="U25" s="48">
        <f t="shared" si="9"/>
        <v>3160</v>
      </c>
      <c r="V25" s="48">
        <f t="shared" si="10"/>
        <v>3870</v>
      </c>
      <c r="W25" s="49">
        <f t="shared" si="11"/>
        <v>0.4484177215</v>
      </c>
      <c r="X25" s="49">
        <f t="shared" si="12"/>
        <v>0.3889240506</v>
      </c>
      <c r="Y25" s="49">
        <f t="shared" si="13"/>
        <v>0.1626582278</v>
      </c>
      <c r="Z25" s="32" t="str">
        <f t="shared" si="14"/>
        <v>Jango</v>
      </c>
      <c r="AA25" s="118" t="s">
        <v>77</v>
      </c>
      <c r="AB25" s="38">
        <v>4930.0</v>
      </c>
      <c r="AC25" s="48">
        <f t="shared" si="15"/>
        <v>1060</v>
      </c>
      <c r="AD25" s="51">
        <f t="shared" si="16"/>
        <v>0.784989858</v>
      </c>
    </row>
    <row r="26">
      <c r="A26" s="23"/>
      <c r="B26" s="46" t="s">
        <v>688</v>
      </c>
      <c r="C26" s="47"/>
      <c r="D26" s="38">
        <v>358.0</v>
      </c>
      <c r="E26" s="38">
        <v>389.0</v>
      </c>
      <c r="F26" s="38">
        <v>59.0</v>
      </c>
      <c r="G26" s="38">
        <v>78.0</v>
      </c>
      <c r="H26" s="38">
        <v>29.0</v>
      </c>
      <c r="I26" s="48">
        <f t="shared" si="3"/>
        <v>806</v>
      </c>
      <c r="J26" s="48">
        <f t="shared" si="4"/>
        <v>913</v>
      </c>
      <c r="K26" s="49">
        <f t="shared" si="5"/>
        <v>0.4441687345</v>
      </c>
      <c r="L26" s="49">
        <f t="shared" si="6"/>
        <v>0.482630273</v>
      </c>
      <c r="M26" s="49">
        <f t="shared" si="7"/>
        <v>0.07320099256</v>
      </c>
      <c r="N26" s="32" t="str">
        <f t="shared" si="8"/>
        <v>Mal. Lott</v>
      </c>
      <c r="O26" s="118" t="s">
        <v>77</v>
      </c>
      <c r="P26" s="38">
        <v>403.0</v>
      </c>
      <c r="Q26" s="38">
        <v>189.0</v>
      </c>
      <c r="R26" s="38">
        <v>107.0</v>
      </c>
      <c r="S26" s="38">
        <v>197.0</v>
      </c>
      <c r="T26" s="38">
        <v>17.0</v>
      </c>
      <c r="U26" s="48">
        <f t="shared" si="9"/>
        <v>699</v>
      </c>
      <c r="V26" s="48">
        <f t="shared" si="10"/>
        <v>913</v>
      </c>
      <c r="W26" s="49">
        <f t="shared" si="11"/>
        <v>0.5765379113</v>
      </c>
      <c r="X26" s="49">
        <f t="shared" si="12"/>
        <v>0.2703862661</v>
      </c>
      <c r="Y26" s="49">
        <f t="shared" si="13"/>
        <v>0.1530758226</v>
      </c>
      <c r="Z26" s="32" t="str">
        <f t="shared" si="14"/>
        <v>Jango</v>
      </c>
      <c r="AA26" s="118" t="s">
        <v>77</v>
      </c>
      <c r="AB26" s="38">
        <v>1075.0</v>
      </c>
      <c r="AC26" s="48">
        <f t="shared" si="15"/>
        <v>162</v>
      </c>
      <c r="AD26" s="51">
        <f t="shared" si="16"/>
        <v>0.8493023256</v>
      </c>
    </row>
    <row r="27">
      <c r="A27" s="24"/>
      <c r="B27" s="46" t="s">
        <v>689</v>
      </c>
      <c r="C27" s="47"/>
      <c r="D27" s="38">
        <v>412.0</v>
      </c>
      <c r="E27" s="38">
        <v>265.0</v>
      </c>
      <c r="F27" s="38">
        <v>82.0</v>
      </c>
      <c r="G27" s="38">
        <v>49.0</v>
      </c>
      <c r="H27" s="38">
        <v>50.0</v>
      </c>
      <c r="I27" s="48">
        <f t="shared" si="3"/>
        <v>759</v>
      </c>
      <c r="J27" s="48">
        <f t="shared" si="4"/>
        <v>858</v>
      </c>
      <c r="K27" s="49">
        <f t="shared" si="5"/>
        <v>0.5428194993</v>
      </c>
      <c r="L27" s="49">
        <f t="shared" si="6"/>
        <v>0.34914361</v>
      </c>
      <c r="M27" s="49">
        <f t="shared" si="7"/>
        <v>0.1080368906</v>
      </c>
      <c r="N27" s="32" t="str">
        <f t="shared" si="8"/>
        <v>Jânio</v>
      </c>
      <c r="O27" s="118" t="s">
        <v>77</v>
      </c>
      <c r="P27" s="38">
        <v>326.0</v>
      </c>
      <c r="Q27" s="38">
        <v>219.0</v>
      </c>
      <c r="R27" s="38">
        <v>129.0</v>
      </c>
      <c r="S27" s="38">
        <v>160.0</v>
      </c>
      <c r="T27" s="38">
        <v>24.0</v>
      </c>
      <c r="U27" s="48">
        <f t="shared" si="9"/>
        <v>674</v>
      </c>
      <c r="V27" s="48">
        <f t="shared" si="10"/>
        <v>858</v>
      </c>
      <c r="W27" s="49">
        <f t="shared" si="11"/>
        <v>0.4836795252</v>
      </c>
      <c r="X27" s="49">
        <f t="shared" si="12"/>
        <v>0.324925816</v>
      </c>
      <c r="Y27" s="49">
        <f t="shared" si="13"/>
        <v>0.1913946588</v>
      </c>
      <c r="Z27" s="32" t="str">
        <f t="shared" si="14"/>
        <v>Jango</v>
      </c>
      <c r="AA27" s="118" t="s">
        <v>77</v>
      </c>
      <c r="AB27" s="38">
        <v>1115.0</v>
      </c>
      <c r="AC27" s="48">
        <f t="shared" si="15"/>
        <v>257</v>
      </c>
      <c r="AD27" s="51">
        <f t="shared" si="16"/>
        <v>0.7695067265</v>
      </c>
    </row>
    <row r="28">
      <c r="A28" s="61" t="s">
        <v>107</v>
      </c>
      <c r="B28" s="46" t="s">
        <v>690</v>
      </c>
      <c r="C28" s="47"/>
      <c r="D28" s="38">
        <v>1680.0</v>
      </c>
      <c r="E28" s="38">
        <v>767.0</v>
      </c>
      <c r="F28" s="38">
        <v>238.0</v>
      </c>
      <c r="G28" s="38">
        <v>156.0</v>
      </c>
      <c r="H28" s="38">
        <v>122.0</v>
      </c>
      <c r="I28" s="48">
        <f t="shared" si="3"/>
        <v>2685</v>
      </c>
      <c r="J28" s="48">
        <f t="shared" si="4"/>
        <v>2963</v>
      </c>
      <c r="K28" s="49">
        <f t="shared" si="5"/>
        <v>0.625698324</v>
      </c>
      <c r="L28" s="49">
        <f t="shared" si="6"/>
        <v>0.2856610801</v>
      </c>
      <c r="M28" s="49">
        <f t="shared" si="7"/>
        <v>0.0886405959</v>
      </c>
      <c r="N28" s="32" t="str">
        <f t="shared" si="8"/>
        <v>Jânio</v>
      </c>
      <c r="O28" s="118" t="s">
        <v>77</v>
      </c>
      <c r="P28" s="38">
        <v>1084.0</v>
      </c>
      <c r="Q28" s="38">
        <v>979.0</v>
      </c>
      <c r="R28" s="38">
        <v>450.0</v>
      </c>
      <c r="S28" s="38">
        <v>387.0</v>
      </c>
      <c r="T28" s="38">
        <v>63.0</v>
      </c>
      <c r="U28" s="48">
        <f t="shared" si="9"/>
        <v>2513</v>
      </c>
      <c r="V28" s="48">
        <f t="shared" si="10"/>
        <v>2963</v>
      </c>
      <c r="W28" s="49">
        <f t="shared" si="11"/>
        <v>0.4313569439</v>
      </c>
      <c r="X28" s="49">
        <f t="shared" si="12"/>
        <v>0.3895742141</v>
      </c>
      <c r="Y28" s="49">
        <f t="shared" si="13"/>
        <v>0.179068842</v>
      </c>
      <c r="Z28" s="32" t="str">
        <f t="shared" si="14"/>
        <v>Jango</v>
      </c>
      <c r="AA28" s="118" t="s">
        <v>77</v>
      </c>
      <c r="AB28" s="38">
        <v>3946.0</v>
      </c>
      <c r="AC28" s="48">
        <f t="shared" si="15"/>
        <v>983</v>
      </c>
      <c r="AD28" s="51">
        <f t="shared" si="16"/>
        <v>0.7508869742</v>
      </c>
    </row>
    <row r="29">
      <c r="A29" s="24"/>
      <c r="B29" s="46" t="s">
        <v>691</v>
      </c>
      <c r="C29" s="47"/>
      <c r="D29" s="38">
        <v>964.0</v>
      </c>
      <c r="E29" s="38">
        <v>182.0</v>
      </c>
      <c r="F29" s="38">
        <v>93.0</v>
      </c>
      <c r="G29" s="38">
        <v>50.0</v>
      </c>
      <c r="H29" s="38">
        <v>41.0</v>
      </c>
      <c r="I29" s="48">
        <f t="shared" si="3"/>
        <v>1239</v>
      </c>
      <c r="J29" s="48">
        <f t="shared" si="4"/>
        <v>1330</v>
      </c>
      <c r="K29" s="49">
        <f t="shared" si="5"/>
        <v>0.7780468119</v>
      </c>
      <c r="L29" s="49">
        <f t="shared" si="6"/>
        <v>0.1468926554</v>
      </c>
      <c r="M29" s="49">
        <f t="shared" si="7"/>
        <v>0.07506053269</v>
      </c>
      <c r="N29" s="32" t="str">
        <f t="shared" si="8"/>
        <v>Jânio</v>
      </c>
      <c r="O29" s="118" t="s">
        <v>77</v>
      </c>
      <c r="P29" s="38">
        <v>348.0</v>
      </c>
      <c r="Q29" s="38">
        <v>687.0</v>
      </c>
      <c r="R29" s="38">
        <v>107.0</v>
      </c>
      <c r="S29" s="38">
        <v>170.0</v>
      </c>
      <c r="T29" s="38">
        <v>18.0</v>
      </c>
      <c r="U29" s="48">
        <f t="shared" si="9"/>
        <v>1142</v>
      </c>
      <c r="V29" s="48">
        <f t="shared" si="10"/>
        <v>1330</v>
      </c>
      <c r="W29" s="49">
        <f t="shared" si="11"/>
        <v>0.3047285464</v>
      </c>
      <c r="X29" s="49">
        <f t="shared" si="12"/>
        <v>0.6015761821</v>
      </c>
      <c r="Y29" s="49">
        <f t="shared" si="13"/>
        <v>0.09369527145</v>
      </c>
      <c r="Z29" s="32" t="str">
        <f t="shared" si="14"/>
        <v>Milton</v>
      </c>
      <c r="AA29" s="118" t="s">
        <v>77</v>
      </c>
      <c r="AB29" s="38">
        <v>1752.0</v>
      </c>
      <c r="AC29" s="48">
        <f t="shared" si="15"/>
        <v>422</v>
      </c>
      <c r="AD29" s="51">
        <f t="shared" si="16"/>
        <v>0.7591324201</v>
      </c>
    </row>
    <row r="30">
      <c r="A30" s="45" t="s">
        <v>111</v>
      </c>
      <c r="B30" s="46" t="s">
        <v>692</v>
      </c>
      <c r="C30" s="47"/>
      <c r="D30" s="38">
        <v>1209.0</v>
      </c>
      <c r="E30" s="38">
        <v>183.0</v>
      </c>
      <c r="F30" s="38">
        <v>69.0</v>
      </c>
      <c r="G30" s="38">
        <v>137.0</v>
      </c>
      <c r="H30" s="38">
        <v>45.0</v>
      </c>
      <c r="I30" s="48">
        <f t="shared" si="3"/>
        <v>1461</v>
      </c>
      <c r="J30" s="48">
        <f t="shared" si="4"/>
        <v>1643</v>
      </c>
      <c r="K30" s="49">
        <f t="shared" si="5"/>
        <v>0.8275154004</v>
      </c>
      <c r="L30" s="49">
        <f t="shared" si="6"/>
        <v>0.1252566735</v>
      </c>
      <c r="M30" s="49">
        <f t="shared" si="7"/>
        <v>0.04722792608</v>
      </c>
      <c r="N30" s="32" t="str">
        <f t="shared" si="8"/>
        <v>Jânio</v>
      </c>
      <c r="O30" s="118" t="s">
        <v>77</v>
      </c>
      <c r="P30" s="38">
        <v>301.0</v>
      </c>
      <c r="Q30" s="38">
        <v>756.0</v>
      </c>
      <c r="R30" s="38">
        <v>249.0</v>
      </c>
      <c r="S30" s="38">
        <v>310.0</v>
      </c>
      <c r="T30" s="38">
        <v>27.0</v>
      </c>
      <c r="U30" s="48">
        <f t="shared" si="9"/>
        <v>1306</v>
      </c>
      <c r="V30" s="48">
        <f t="shared" si="10"/>
        <v>1643</v>
      </c>
      <c r="W30" s="49">
        <f t="shared" si="11"/>
        <v>0.230474732</v>
      </c>
      <c r="X30" s="49">
        <f t="shared" si="12"/>
        <v>0.5788667688</v>
      </c>
      <c r="Y30" s="49">
        <f t="shared" si="13"/>
        <v>0.1906584992</v>
      </c>
      <c r="Z30" s="32" t="str">
        <f t="shared" si="14"/>
        <v>Milton</v>
      </c>
      <c r="AA30" s="118" t="s">
        <v>77</v>
      </c>
      <c r="AB30" s="38">
        <v>2139.0</v>
      </c>
      <c r="AC30" s="48">
        <f t="shared" si="15"/>
        <v>496</v>
      </c>
      <c r="AD30" s="51">
        <f t="shared" si="16"/>
        <v>0.768115942</v>
      </c>
    </row>
    <row r="31">
      <c r="A31" s="45" t="s">
        <v>114</v>
      </c>
      <c r="B31" s="46" t="s">
        <v>693</v>
      </c>
      <c r="C31" s="47"/>
      <c r="D31" s="38">
        <v>1711.0</v>
      </c>
      <c r="E31" s="38">
        <v>527.0</v>
      </c>
      <c r="F31" s="38">
        <v>139.0</v>
      </c>
      <c r="G31" s="38">
        <v>162.0</v>
      </c>
      <c r="H31" s="38">
        <v>83.0</v>
      </c>
      <c r="I31" s="48">
        <f t="shared" si="3"/>
        <v>2377</v>
      </c>
      <c r="J31" s="48">
        <f t="shared" si="4"/>
        <v>2622</v>
      </c>
      <c r="K31" s="49">
        <f t="shared" si="5"/>
        <v>0.7198148927</v>
      </c>
      <c r="L31" s="49">
        <f t="shared" si="6"/>
        <v>0.2217080353</v>
      </c>
      <c r="M31" s="49">
        <f t="shared" si="7"/>
        <v>0.05847707194</v>
      </c>
      <c r="N31" s="32" t="str">
        <f t="shared" si="8"/>
        <v>Jânio</v>
      </c>
      <c r="O31" s="118" t="s">
        <v>77</v>
      </c>
      <c r="P31" s="38">
        <v>615.0</v>
      </c>
      <c r="Q31" s="38">
        <v>1183.0</v>
      </c>
      <c r="R31" s="38">
        <v>233.0</v>
      </c>
      <c r="S31" s="38">
        <v>553.0</v>
      </c>
      <c r="T31" s="38">
        <v>38.0</v>
      </c>
      <c r="U31" s="48">
        <f t="shared" si="9"/>
        <v>2031</v>
      </c>
      <c r="V31" s="48">
        <f t="shared" si="10"/>
        <v>2622</v>
      </c>
      <c r="W31" s="49">
        <f t="shared" si="11"/>
        <v>0.3028064993</v>
      </c>
      <c r="X31" s="49">
        <f t="shared" si="12"/>
        <v>0.5824716888</v>
      </c>
      <c r="Y31" s="49">
        <f t="shared" si="13"/>
        <v>0.1147218119</v>
      </c>
      <c r="Z31" s="32" t="str">
        <f t="shared" si="14"/>
        <v>Milton</v>
      </c>
      <c r="AA31" s="118" t="s">
        <v>77</v>
      </c>
      <c r="AB31" s="38">
        <v>3314.0</v>
      </c>
      <c r="AC31" s="48">
        <f t="shared" si="15"/>
        <v>692</v>
      </c>
      <c r="AD31" s="51">
        <f t="shared" si="16"/>
        <v>0.7911888956</v>
      </c>
    </row>
    <row r="32">
      <c r="A32" s="61" t="s">
        <v>117</v>
      </c>
      <c r="B32" s="46" t="s">
        <v>694</v>
      </c>
      <c r="C32" s="47"/>
      <c r="D32" s="38">
        <v>1124.0</v>
      </c>
      <c r="E32" s="38">
        <v>580.0</v>
      </c>
      <c r="F32" s="38">
        <v>99.0</v>
      </c>
      <c r="G32" s="38">
        <v>110.0</v>
      </c>
      <c r="H32" s="38">
        <v>41.0</v>
      </c>
      <c r="I32" s="48">
        <f t="shared" si="3"/>
        <v>1803</v>
      </c>
      <c r="J32" s="48">
        <f t="shared" si="4"/>
        <v>1954</v>
      </c>
      <c r="K32" s="49">
        <f t="shared" si="5"/>
        <v>0.6234054354</v>
      </c>
      <c r="L32" s="49">
        <f t="shared" si="6"/>
        <v>0.3216860788</v>
      </c>
      <c r="M32" s="49">
        <f t="shared" si="7"/>
        <v>0.05490848586</v>
      </c>
      <c r="N32" s="32" t="str">
        <f t="shared" si="8"/>
        <v>Jânio</v>
      </c>
      <c r="O32" s="118" t="s">
        <v>77</v>
      </c>
      <c r="P32" s="38">
        <v>650.0</v>
      </c>
      <c r="Q32" s="38">
        <v>828.0</v>
      </c>
      <c r="R32" s="38">
        <v>158.0</v>
      </c>
      <c r="S32" s="38">
        <v>283.0</v>
      </c>
      <c r="T32" s="38">
        <v>35.0</v>
      </c>
      <c r="U32" s="48">
        <f t="shared" si="9"/>
        <v>1636</v>
      </c>
      <c r="V32" s="48">
        <f t="shared" si="10"/>
        <v>1954</v>
      </c>
      <c r="W32" s="49">
        <f t="shared" si="11"/>
        <v>0.3973105134</v>
      </c>
      <c r="X32" s="49">
        <f t="shared" si="12"/>
        <v>0.5061124694</v>
      </c>
      <c r="Y32" s="49">
        <f t="shared" si="13"/>
        <v>0.09657701711</v>
      </c>
      <c r="Z32" s="32" t="str">
        <f t="shared" si="14"/>
        <v>Milton</v>
      </c>
      <c r="AA32" s="118" t="s">
        <v>77</v>
      </c>
      <c r="AB32" s="38">
        <v>2616.0</v>
      </c>
      <c r="AC32" s="48">
        <f t="shared" si="15"/>
        <v>662</v>
      </c>
      <c r="AD32" s="51">
        <f t="shared" si="16"/>
        <v>0.746941896</v>
      </c>
    </row>
    <row r="33">
      <c r="A33" s="23"/>
      <c r="B33" s="46" t="s">
        <v>695</v>
      </c>
      <c r="C33" s="47"/>
      <c r="D33" s="38">
        <v>483.0</v>
      </c>
      <c r="E33" s="38">
        <v>195.0</v>
      </c>
      <c r="F33" s="38">
        <v>33.0</v>
      </c>
      <c r="G33" s="38">
        <v>33.0</v>
      </c>
      <c r="H33" s="38">
        <v>24.0</v>
      </c>
      <c r="I33" s="48">
        <f t="shared" si="3"/>
        <v>711</v>
      </c>
      <c r="J33" s="48">
        <f t="shared" si="4"/>
        <v>768</v>
      </c>
      <c r="K33" s="49">
        <f t="shared" si="5"/>
        <v>0.6793248945</v>
      </c>
      <c r="L33" s="49">
        <f t="shared" si="6"/>
        <v>0.2742616034</v>
      </c>
      <c r="M33" s="49">
        <f t="shared" si="7"/>
        <v>0.04641350211</v>
      </c>
      <c r="N33" s="32" t="str">
        <f t="shared" si="8"/>
        <v>Jânio</v>
      </c>
      <c r="O33" s="118" t="s">
        <v>77</v>
      </c>
      <c r="P33" s="38">
        <v>219.0</v>
      </c>
      <c r="Q33" s="38">
        <v>387.0</v>
      </c>
      <c r="R33" s="38">
        <v>34.0</v>
      </c>
      <c r="S33" s="38">
        <v>106.0</v>
      </c>
      <c r="T33" s="38">
        <v>22.0</v>
      </c>
      <c r="U33" s="48">
        <f t="shared" si="9"/>
        <v>640</v>
      </c>
      <c r="V33" s="48">
        <f t="shared" si="10"/>
        <v>768</v>
      </c>
      <c r="W33" s="49">
        <f t="shared" si="11"/>
        <v>0.3421875</v>
      </c>
      <c r="X33" s="49">
        <f t="shared" si="12"/>
        <v>0.6046875</v>
      </c>
      <c r="Y33" s="49">
        <f t="shared" si="13"/>
        <v>0.053125</v>
      </c>
      <c r="Z33" s="32" t="str">
        <f t="shared" si="14"/>
        <v>Milton</v>
      </c>
      <c r="AA33" s="118" t="s">
        <v>77</v>
      </c>
      <c r="AB33" s="38">
        <v>980.0</v>
      </c>
      <c r="AC33" s="48">
        <f t="shared" si="15"/>
        <v>212</v>
      </c>
      <c r="AD33" s="51">
        <f t="shared" si="16"/>
        <v>0.7836734694</v>
      </c>
    </row>
    <row r="34">
      <c r="A34" s="24"/>
      <c r="B34" s="46" t="s">
        <v>696</v>
      </c>
      <c r="C34" s="47"/>
      <c r="D34" s="38">
        <v>295.0</v>
      </c>
      <c r="E34" s="38">
        <v>137.0</v>
      </c>
      <c r="F34" s="38">
        <v>31.0</v>
      </c>
      <c r="G34" s="38">
        <v>30.0</v>
      </c>
      <c r="H34" s="38">
        <v>20.0</v>
      </c>
      <c r="I34" s="48">
        <f t="shared" si="3"/>
        <v>463</v>
      </c>
      <c r="J34" s="48">
        <f t="shared" si="4"/>
        <v>513</v>
      </c>
      <c r="K34" s="49">
        <f t="shared" si="5"/>
        <v>0.6371490281</v>
      </c>
      <c r="L34" s="49">
        <f t="shared" si="6"/>
        <v>0.2958963283</v>
      </c>
      <c r="M34" s="49">
        <f t="shared" si="7"/>
        <v>0.06695464363</v>
      </c>
      <c r="N34" s="32" t="str">
        <f t="shared" si="8"/>
        <v>Jânio</v>
      </c>
      <c r="O34" s="118" t="s">
        <v>77</v>
      </c>
      <c r="P34" s="38">
        <v>185.0</v>
      </c>
      <c r="Q34" s="38">
        <v>240.0</v>
      </c>
      <c r="R34" s="38">
        <v>14.0</v>
      </c>
      <c r="S34" s="38">
        <v>62.0</v>
      </c>
      <c r="T34" s="38">
        <v>12.0</v>
      </c>
      <c r="U34" s="48">
        <f t="shared" si="9"/>
        <v>439</v>
      </c>
      <c r="V34" s="48">
        <f t="shared" si="10"/>
        <v>513</v>
      </c>
      <c r="W34" s="49">
        <f t="shared" si="11"/>
        <v>0.4214123007</v>
      </c>
      <c r="X34" s="49">
        <f t="shared" si="12"/>
        <v>0.5466970387</v>
      </c>
      <c r="Y34" s="49">
        <f t="shared" si="13"/>
        <v>0.03189066059</v>
      </c>
      <c r="Z34" s="32" t="str">
        <f t="shared" si="14"/>
        <v>Milton</v>
      </c>
      <c r="AA34" s="118" t="s">
        <v>77</v>
      </c>
      <c r="AB34" s="38">
        <v>611.0</v>
      </c>
      <c r="AC34" s="48">
        <f t="shared" si="15"/>
        <v>98</v>
      </c>
      <c r="AD34" s="51">
        <f t="shared" si="16"/>
        <v>0.8396072013</v>
      </c>
    </row>
    <row r="35">
      <c r="A35" s="61" t="s">
        <v>119</v>
      </c>
      <c r="B35" s="46" t="s">
        <v>697</v>
      </c>
      <c r="C35" s="47"/>
      <c r="D35" s="38">
        <v>1126.0</v>
      </c>
      <c r="E35" s="38">
        <v>1092.0</v>
      </c>
      <c r="F35" s="38">
        <v>153.0</v>
      </c>
      <c r="G35" s="38">
        <v>74.0</v>
      </c>
      <c r="H35" s="38">
        <v>60.0</v>
      </c>
      <c r="I35" s="48">
        <f t="shared" si="3"/>
        <v>2371</v>
      </c>
      <c r="J35" s="48">
        <f t="shared" si="4"/>
        <v>2505</v>
      </c>
      <c r="K35" s="49">
        <f t="shared" si="5"/>
        <v>0.4749051033</v>
      </c>
      <c r="L35" s="49">
        <f t="shared" si="6"/>
        <v>0.4605651624</v>
      </c>
      <c r="M35" s="49">
        <f t="shared" si="7"/>
        <v>0.06452973429</v>
      </c>
      <c r="N35" s="32" t="str">
        <f t="shared" si="8"/>
        <v>Jânio</v>
      </c>
      <c r="O35" s="118" t="s">
        <v>77</v>
      </c>
      <c r="P35" s="38">
        <v>1538.0</v>
      </c>
      <c r="Q35" s="38">
        <v>564.0</v>
      </c>
      <c r="R35" s="38">
        <v>114.0</v>
      </c>
      <c r="S35" s="38">
        <v>259.0</v>
      </c>
      <c r="T35" s="38">
        <v>30.0</v>
      </c>
      <c r="U35" s="48">
        <f t="shared" si="9"/>
        <v>2216</v>
      </c>
      <c r="V35" s="48">
        <f t="shared" si="10"/>
        <v>2505</v>
      </c>
      <c r="W35" s="49">
        <f t="shared" si="11"/>
        <v>0.6940433213</v>
      </c>
      <c r="X35" s="49">
        <f t="shared" si="12"/>
        <v>0.2545126354</v>
      </c>
      <c r="Y35" s="49">
        <f t="shared" si="13"/>
        <v>0.05144404332</v>
      </c>
      <c r="Z35" s="32" t="str">
        <f t="shared" si="14"/>
        <v>Jango</v>
      </c>
      <c r="AA35" s="118" t="s">
        <v>77</v>
      </c>
      <c r="AB35" s="38">
        <v>2993.0</v>
      </c>
      <c r="AC35" s="48">
        <f t="shared" si="15"/>
        <v>488</v>
      </c>
      <c r="AD35" s="51">
        <f t="shared" si="16"/>
        <v>0.8369528901</v>
      </c>
    </row>
    <row r="36">
      <c r="A36" s="24"/>
      <c r="B36" s="46" t="s">
        <v>698</v>
      </c>
      <c r="C36" s="47"/>
      <c r="D36" s="38">
        <v>649.0</v>
      </c>
      <c r="E36" s="38">
        <v>481.0</v>
      </c>
      <c r="F36" s="38">
        <v>84.0</v>
      </c>
      <c r="G36" s="38">
        <v>54.0</v>
      </c>
      <c r="H36" s="38">
        <v>18.0</v>
      </c>
      <c r="I36" s="48">
        <f t="shared" si="3"/>
        <v>1214</v>
      </c>
      <c r="J36" s="48">
        <f t="shared" si="4"/>
        <v>1286</v>
      </c>
      <c r="K36" s="49">
        <f t="shared" si="5"/>
        <v>0.5345963756</v>
      </c>
      <c r="L36" s="49">
        <f t="shared" si="6"/>
        <v>0.3962108731</v>
      </c>
      <c r="M36" s="49">
        <f t="shared" si="7"/>
        <v>0.06919275124</v>
      </c>
      <c r="N36" s="32" t="str">
        <f t="shared" si="8"/>
        <v>Jânio</v>
      </c>
      <c r="O36" s="118" t="s">
        <v>77</v>
      </c>
      <c r="P36" s="38">
        <v>551.0</v>
      </c>
      <c r="Q36" s="38">
        <v>521.0</v>
      </c>
      <c r="R36" s="38">
        <v>105.0</v>
      </c>
      <c r="S36" s="38">
        <v>93.0</v>
      </c>
      <c r="T36" s="38">
        <v>16.0</v>
      </c>
      <c r="U36" s="48">
        <f t="shared" si="9"/>
        <v>1177</v>
      </c>
      <c r="V36" s="48">
        <f t="shared" si="10"/>
        <v>1286</v>
      </c>
      <c r="W36" s="49">
        <f t="shared" si="11"/>
        <v>0.4681393373</v>
      </c>
      <c r="X36" s="49">
        <f t="shared" si="12"/>
        <v>0.4426508071</v>
      </c>
      <c r="Y36" s="49">
        <f t="shared" si="13"/>
        <v>0.08920985556</v>
      </c>
      <c r="Z36" s="32" t="str">
        <f t="shared" si="14"/>
        <v>Jango</v>
      </c>
      <c r="AA36" s="118" t="s">
        <v>77</v>
      </c>
      <c r="AB36" s="38">
        <v>1827.0</v>
      </c>
      <c r="AC36" s="48">
        <f t="shared" si="15"/>
        <v>541</v>
      </c>
      <c r="AD36" s="51">
        <f t="shared" si="16"/>
        <v>0.7038861522</v>
      </c>
    </row>
    <row r="37">
      <c r="A37" s="45" t="s">
        <v>123</v>
      </c>
      <c r="B37" s="46" t="s">
        <v>699</v>
      </c>
      <c r="C37" s="47"/>
      <c r="D37" s="38">
        <v>7387.0</v>
      </c>
      <c r="E37" s="38">
        <v>4517.0</v>
      </c>
      <c r="F37" s="38">
        <v>666.0</v>
      </c>
      <c r="G37" s="38">
        <v>640.0</v>
      </c>
      <c r="H37" s="38">
        <v>580.0</v>
      </c>
      <c r="I37" s="48">
        <f t="shared" si="3"/>
        <v>12570</v>
      </c>
      <c r="J37" s="48">
        <f t="shared" si="4"/>
        <v>13790</v>
      </c>
      <c r="K37" s="49">
        <f t="shared" si="5"/>
        <v>0.5876690533</v>
      </c>
      <c r="L37" s="49">
        <f t="shared" si="6"/>
        <v>0.3593476531</v>
      </c>
      <c r="M37" s="49">
        <f t="shared" si="7"/>
        <v>0.05298329356</v>
      </c>
      <c r="N37" s="32" t="str">
        <f t="shared" si="8"/>
        <v>Jânio</v>
      </c>
      <c r="O37" s="117"/>
      <c r="P37" s="38">
        <v>4704.0</v>
      </c>
      <c r="Q37" s="38">
        <v>4764.0</v>
      </c>
      <c r="R37" s="38">
        <v>2185.0</v>
      </c>
      <c r="S37" s="38">
        <v>1820.0</v>
      </c>
      <c r="T37" s="38">
        <v>317.0</v>
      </c>
      <c r="U37" s="48">
        <f t="shared" si="9"/>
        <v>11653</v>
      </c>
      <c r="V37" s="48">
        <f t="shared" si="10"/>
        <v>13790</v>
      </c>
      <c r="W37" s="49">
        <f t="shared" si="11"/>
        <v>0.4036728739</v>
      </c>
      <c r="X37" s="49">
        <f t="shared" si="12"/>
        <v>0.4088217626</v>
      </c>
      <c r="Y37" s="49">
        <f t="shared" si="13"/>
        <v>0.1875053634</v>
      </c>
      <c r="Z37" s="32" t="str">
        <f t="shared" si="14"/>
        <v>Milton</v>
      </c>
      <c r="AA37" s="117"/>
      <c r="AB37" s="38">
        <v>18159.0</v>
      </c>
      <c r="AC37" s="48">
        <f t="shared" si="15"/>
        <v>4369</v>
      </c>
      <c r="AD37" s="51">
        <f t="shared" si="16"/>
        <v>0.7594030508</v>
      </c>
    </row>
    <row r="38">
      <c r="A38" s="45" t="s">
        <v>125</v>
      </c>
      <c r="B38" s="46" t="s">
        <v>700</v>
      </c>
      <c r="C38" s="47"/>
      <c r="D38" s="38">
        <v>9764.0</v>
      </c>
      <c r="E38" s="38">
        <v>5301.0</v>
      </c>
      <c r="F38" s="38">
        <v>838.0</v>
      </c>
      <c r="G38" s="38">
        <v>748.0</v>
      </c>
      <c r="H38" s="38">
        <v>1127.0</v>
      </c>
      <c r="I38" s="48">
        <f t="shared" si="3"/>
        <v>15903</v>
      </c>
      <c r="J38" s="48">
        <f t="shared" si="4"/>
        <v>17778</v>
      </c>
      <c r="K38" s="49">
        <f t="shared" si="5"/>
        <v>0.6139722065</v>
      </c>
      <c r="L38" s="49">
        <f t="shared" si="6"/>
        <v>0.3333333333</v>
      </c>
      <c r="M38" s="49">
        <f t="shared" si="7"/>
        <v>0.05269446016</v>
      </c>
      <c r="N38" s="32" t="str">
        <f t="shared" si="8"/>
        <v>Jânio</v>
      </c>
      <c r="O38" s="117"/>
      <c r="P38" s="38">
        <v>5752.0</v>
      </c>
      <c r="Q38" s="38">
        <v>6504.0</v>
      </c>
      <c r="R38" s="38">
        <v>2565.0</v>
      </c>
      <c r="S38" s="38">
        <v>2035.0</v>
      </c>
      <c r="T38" s="38">
        <v>922.0</v>
      </c>
      <c r="U38" s="48">
        <f t="shared" si="9"/>
        <v>14821</v>
      </c>
      <c r="V38" s="48">
        <f t="shared" si="10"/>
        <v>17778</v>
      </c>
      <c r="W38" s="49">
        <f t="shared" si="11"/>
        <v>0.3880979691</v>
      </c>
      <c r="X38" s="49">
        <f t="shared" si="12"/>
        <v>0.4388367856</v>
      </c>
      <c r="Y38" s="49">
        <f t="shared" si="13"/>
        <v>0.1730652453</v>
      </c>
      <c r="Z38" s="32" t="str">
        <f t="shared" si="14"/>
        <v>Milton</v>
      </c>
      <c r="AA38" s="117"/>
      <c r="AB38" s="38">
        <v>22978.0</v>
      </c>
      <c r="AC38" s="48">
        <f t="shared" si="15"/>
        <v>5200</v>
      </c>
      <c r="AD38" s="51">
        <f t="shared" si="16"/>
        <v>0.7736965793</v>
      </c>
    </row>
    <row r="39">
      <c r="A39" s="45" t="s">
        <v>77</v>
      </c>
      <c r="B39" s="46" t="s">
        <v>701</v>
      </c>
      <c r="C39" s="47"/>
      <c r="D39" s="38">
        <v>17151.0</v>
      </c>
      <c r="E39" s="38">
        <v>9818.0</v>
      </c>
      <c r="F39" s="38">
        <v>1504.0</v>
      </c>
      <c r="G39" s="38">
        <v>1388.0</v>
      </c>
      <c r="H39" s="38">
        <v>1707.0</v>
      </c>
      <c r="I39" s="48">
        <f t="shared" si="3"/>
        <v>28473</v>
      </c>
      <c r="J39" s="48">
        <f t="shared" si="4"/>
        <v>31568</v>
      </c>
      <c r="K39" s="49">
        <f t="shared" si="5"/>
        <v>0.6023601307</v>
      </c>
      <c r="L39" s="49">
        <f t="shared" si="6"/>
        <v>0.3448178977</v>
      </c>
      <c r="M39" s="49">
        <f t="shared" si="7"/>
        <v>0.05282197169</v>
      </c>
      <c r="N39" s="32" t="str">
        <f t="shared" si="8"/>
        <v>Jânio</v>
      </c>
      <c r="O39" s="118" t="s">
        <v>77</v>
      </c>
      <c r="P39" s="38">
        <v>10456.0</v>
      </c>
      <c r="Q39" s="38">
        <v>11268.0</v>
      </c>
      <c r="R39" s="38">
        <v>4750.0</v>
      </c>
      <c r="S39" s="38">
        <v>3855.0</v>
      </c>
      <c r="T39" s="38">
        <v>1239.0</v>
      </c>
      <c r="U39" s="48">
        <f t="shared" si="9"/>
        <v>26474</v>
      </c>
      <c r="V39" s="48">
        <f t="shared" si="10"/>
        <v>31568</v>
      </c>
      <c r="W39" s="49">
        <f t="shared" si="11"/>
        <v>0.3949535393</v>
      </c>
      <c r="X39" s="49">
        <f t="shared" si="12"/>
        <v>0.4256251416</v>
      </c>
      <c r="Y39" s="49">
        <f t="shared" si="13"/>
        <v>0.179421319</v>
      </c>
      <c r="Z39" s="32" t="str">
        <f t="shared" si="14"/>
        <v>Milton</v>
      </c>
      <c r="AA39" s="118" t="s">
        <v>77</v>
      </c>
      <c r="AB39" s="38">
        <v>41137.0</v>
      </c>
      <c r="AC39" s="48">
        <f t="shared" si="15"/>
        <v>9569</v>
      </c>
      <c r="AD39" s="51">
        <f t="shared" si="16"/>
        <v>0.7673870238</v>
      </c>
    </row>
    <row r="40">
      <c r="A40" s="45" t="s">
        <v>127</v>
      </c>
      <c r="B40" s="46" t="s">
        <v>702</v>
      </c>
      <c r="C40" s="47"/>
      <c r="D40" s="38">
        <v>1377.0</v>
      </c>
      <c r="E40" s="38">
        <v>461.0</v>
      </c>
      <c r="F40" s="38">
        <v>112.0</v>
      </c>
      <c r="G40" s="38">
        <v>47.0</v>
      </c>
      <c r="H40" s="38">
        <v>36.0</v>
      </c>
      <c r="I40" s="48">
        <f t="shared" si="3"/>
        <v>1950</v>
      </c>
      <c r="J40" s="48">
        <f t="shared" si="4"/>
        <v>2033</v>
      </c>
      <c r="K40" s="49">
        <f t="shared" si="5"/>
        <v>0.7061538462</v>
      </c>
      <c r="L40" s="49">
        <f t="shared" si="6"/>
        <v>0.2364102564</v>
      </c>
      <c r="M40" s="49">
        <f t="shared" si="7"/>
        <v>0.05743589744</v>
      </c>
      <c r="N40" s="32" t="str">
        <f t="shared" si="8"/>
        <v>Jânio</v>
      </c>
      <c r="O40" s="118" t="s">
        <v>77</v>
      </c>
      <c r="P40" s="38">
        <v>666.0</v>
      </c>
      <c r="Q40" s="38">
        <v>1130.0</v>
      </c>
      <c r="R40" s="38">
        <v>97.0</v>
      </c>
      <c r="S40" s="38">
        <v>98.0</v>
      </c>
      <c r="T40" s="38">
        <v>42.0</v>
      </c>
      <c r="U40" s="48">
        <f t="shared" si="9"/>
        <v>1893</v>
      </c>
      <c r="V40" s="48">
        <f t="shared" si="10"/>
        <v>2033</v>
      </c>
      <c r="W40" s="49">
        <f t="shared" si="11"/>
        <v>0.351822504</v>
      </c>
      <c r="X40" s="49">
        <f t="shared" si="12"/>
        <v>0.5969360803</v>
      </c>
      <c r="Y40" s="49">
        <f t="shared" si="13"/>
        <v>0.05124141574</v>
      </c>
      <c r="Z40" s="32" t="str">
        <f t="shared" si="14"/>
        <v>Milton</v>
      </c>
      <c r="AA40" s="118" t="s">
        <v>77</v>
      </c>
      <c r="AB40" s="38">
        <v>3032.0</v>
      </c>
      <c r="AC40" s="48">
        <f t="shared" si="15"/>
        <v>999</v>
      </c>
      <c r="AD40" s="51">
        <f t="shared" si="16"/>
        <v>0.6705145119</v>
      </c>
    </row>
    <row r="41">
      <c r="A41" s="45" t="s">
        <v>129</v>
      </c>
      <c r="B41" s="46" t="s">
        <v>703</v>
      </c>
      <c r="C41" s="47"/>
      <c r="D41" s="38">
        <v>2591.0</v>
      </c>
      <c r="E41" s="38">
        <v>875.0</v>
      </c>
      <c r="F41" s="38">
        <v>203.0</v>
      </c>
      <c r="G41" s="38">
        <v>128.0</v>
      </c>
      <c r="H41" s="38">
        <v>79.0</v>
      </c>
      <c r="I41" s="48">
        <f t="shared" si="3"/>
        <v>3669</v>
      </c>
      <c r="J41" s="48">
        <f t="shared" si="4"/>
        <v>3876</v>
      </c>
      <c r="K41" s="49">
        <f t="shared" si="5"/>
        <v>0.7061869719</v>
      </c>
      <c r="L41" s="49">
        <f t="shared" si="6"/>
        <v>0.2384846007</v>
      </c>
      <c r="M41" s="49">
        <f t="shared" si="7"/>
        <v>0.05532842736</v>
      </c>
      <c r="N41" s="32" t="str">
        <f t="shared" si="8"/>
        <v>Jânio</v>
      </c>
      <c r="O41" s="118" t="s">
        <v>77</v>
      </c>
      <c r="P41" s="38">
        <v>1158.0</v>
      </c>
      <c r="Q41" s="38">
        <v>1569.0</v>
      </c>
      <c r="R41" s="38">
        <v>655.0</v>
      </c>
      <c r="S41" s="38">
        <v>256.0</v>
      </c>
      <c r="T41" s="38">
        <v>238.0</v>
      </c>
      <c r="U41" s="48">
        <f t="shared" si="9"/>
        <v>3382</v>
      </c>
      <c r="V41" s="48">
        <f t="shared" si="10"/>
        <v>3876</v>
      </c>
      <c r="W41" s="49">
        <f t="shared" si="11"/>
        <v>0.3424009462</v>
      </c>
      <c r="X41" s="49">
        <f t="shared" si="12"/>
        <v>0.4639266706</v>
      </c>
      <c r="Y41" s="49">
        <f t="shared" si="13"/>
        <v>0.1936723832</v>
      </c>
      <c r="Z41" s="32" t="str">
        <f t="shared" si="14"/>
        <v>Milton</v>
      </c>
      <c r="AA41" s="118" t="s">
        <v>77</v>
      </c>
      <c r="AB41" s="38">
        <v>5169.0</v>
      </c>
      <c r="AC41" s="48">
        <f t="shared" si="15"/>
        <v>1293</v>
      </c>
      <c r="AD41" s="51">
        <f t="shared" si="16"/>
        <v>0.7498549042</v>
      </c>
    </row>
    <row r="42">
      <c r="A42" s="61" t="s">
        <v>131</v>
      </c>
      <c r="B42" s="46" t="s">
        <v>704</v>
      </c>
      <c r="C42" s="47"/>
      <c r="D42" s="38">
        <v>819.0</v>
      </c>
      <c r="E42" s="38">
        <v>810.0</v>
      </c>
      <c r="F42" s="38">
        <v>182.0</v>
      </c>
      <c r="G42" s="38">
        <v>96.0</v>
      </c>
      <c r="H42" s="38">
        <v>66.0</v>
      </c>
      <c r="I42" s="48">
        <f t="shared" si="3"/>
        <v>1811</v>
      </c>
      <c r="J42" s="48">
        <f t="shared" si="4"/>
        <v>1973</v>
      </c>
      <c r="K42" s="49">
        <f t="shared" si="5"/>
        <v>0.4522363335</v>
      </c>
      <c r="L42" s="49">
        <f t="shared" si="6"/>
        <v>0.4472667035</v>
      </c>
      <c r="M42" s="49">
        <f t="shared" si="7"/>
        <v>0.100496963</v>
      </c>
      <c r="N42" s="32" t="str">
        <f t="shared" si="8"/>
        <v>Jânio</v>
      </c>
      <c r="O42" s="118" t="s">
        <v>77</v>
      </c>
      <c r="P42" s="38">
        <v>976.0</v>
      </c>
      <c r="Q42" s="38">
        <v>559.0</v>
      </c>
      <c r="R42" s="38">
        <v>177.0</v>
      </c>
      <c r="S42" s="38">
        <v>201.0</v>
      </c>
      <c r="T42" s="38">
        <v>60.0</v>
      </c>
      <c r="U42" s="48">
        <f t="shared" si="9"/>
        <v>1712</v>
      </c>
      <c r="V42" s="48">
        <f t="shared" si="10"/>
        <v>1973</v>
      </c>
      <c r="W42" s="49">
        <f t="shared" si="11"/>
        <v>0.5700934579</v>
      </c>
      <c r="X42" s="49">
        <f t="shared" si="12"/>
        <v>0.3265186916</v>
      </c>
      <c r="Y42" s="49">
        <f t="shared" si="13"/>
        <v>0.1033878505</v>
      </c>
      <c r="Z42" s="32" t="str">
        <f t="shared" si="14"/>
        <v>Jango</v>
      </c>
      <c r="AA42" s="118" t="s">
        <v>77</v>
      </c>
      <c r="AB42" s="38">
        <v>2412.0</v>
      </c>
      <c r="AC42" s="48">
        <f t="shared" si="15"/>
        <v>439</v>
      </c>
      <c r="AD42" s="51">
        <f t="shared" si="16"/>
        <v>0.8179933665</v>
      </c>
    </row>
    <row r="43">
      <c r="A43" s="23"/>
      <c r="B43" s="46" t="s">
        <v>705</v>
      </c>
      <c r="C43" s="47"/>
      <c r="D43" s="38">
        <v>519.0</v>
      </c>
      <c r="E43" s="38">
        <v>697.0</v>
      </c>
      <c r="F43" s="38">
        <v>131.0</v>
      </c>
      <c r="G43" s="38">
        <v>72.0</v>
      </c>
      <c r="H43" s="38">
        <v>42.0</v>
      </c>
      <c r="I43" s="48">
        <f t="shared" si="3"/>
        <v>1347</v>
      </c>
      <c r="J43" s="48">
        <f t="shared" si="4"/>
        <v>1461</v>
      </c>
      <c r="K43" s="49">
        <f t="shared" si="5"/>
        <v>0.3853006682</v>
      </c>
      <c r="L43" s="49">
        <f t="shared" si="6"/>
        <v>0.5174461767</v>
      </c>
      <c r="M43" s="49">
        <f t="shared" si="7"/>
        <v>0.09725315516</v>
      </c>
      <c r="N43" s="32" t="str">
        <f t="shared" si="8"/>
        <v>Mal. Lott</v>
      </c>
      <c r="O43" s="118" t="s">
        <v>77</v>
      </c>
      <c r="P43" s="38">
        <v>840.0</v>
      </c>
      <c r="Q43" s="38">
        <v>359.0</v>
      </c>
      <c r="R43" s="38">
        <v>112.0</v>
      </c>
      <c r="S43" s="38">
        <v>115.0</v>
      </c>
      <c r="T43" s="38">
        <v>35.0</v>
      </c>
      <c r="U43" s="48">
        <f t="shared" si="9"/>
        <v>1311</v>
      </c>
      <c r="V43" s="48">
        <f t="shared" si="10"/>
        <v>1461</v>
      </c>
      <c r="W43" s="49">
        <f t="shared" si="11"/>
        <v>0.6407322654</v>
      </c>
      <c r="X43" s="49">
        <f t="shared" si="12"/>
        <v>0.2738367658</v>
      </c>
      <c r="Y43" s="49">
        <f t="shared" si="13"/>
        <v>0.08543096873</v>
      </c>
      <c r="Z43" s="32" t="str">
        <f t="shared" si="14"/>
        <v>Jango</v>
      </c>
      <c r="AA43" s="118" t="s">
        <v>77</v>
      </c>
      <c r="AB43" s="38">
        <v>1705.0</v>
      </c>
      <c r="AC43" s="48">
        <f t="shared" si="15"/>
        <v>244</v>
      </c>
      <c r="AD43" s="51">
        <f t="shared" si="16"/>
        <v>0.8568914956</v>
      </c>
    </row>
    <row r="44">
      <c r="A44" s="24"/>
      <c r="B44" s="46" t="s">
        <v>706</v>
      </c>
      <c r="C44" s="47"/>
      <c r="D44" s="38">
        <v>535.0</v>
      </c>
      <c r="E44" s="38">
        <v>483.0</v>
      </c>
      <c r="F44" s="38">
        <v>111.0</v>
      </c>
      <c r="G44" s="38">
        <v>50.0</v>
      </c>
      <c r="H44" s="38">
        <v>42.0</v>
      </c>
      <c r="I44" s="48">
        <f t="shared" si="3"/>
        <v>1129</v>
      </c>
      <c r="J44" s="48">
        <f t="shared" si="4"/>
        <v>1221</v>
      </c>
      <c r="K44" s="49">
        <f t="shared" si="5"/>
        <v>0.473870682</v>
      </c>
      <c r="L44" s="49">
        <f t="shared" si="6"/>
        <v>0.4278122232</v>
      </c>
      <c r="M44" s="49">
        <f t="shared" si="7"/>
        <v>0.09831709477</v>
      </c>
      <c r="N44" s="32" t="str">
        <f t="shared" si="8"/>
        <v>Jânio</v>
      </c>
      <c r="O44" s="118" t="s">
        <v>77</v>
      </c>
      <c r="P44" s="38">
        <v>579.0</v>
      </c>
      <c r="Q44" s="38">
        <v>360.0</v>
      </c>
      <c r="R44" s="38">
        <v>131.0</v>
      </c>
      <c r="S44" s="38">
        <v>118.0</v>
      </c>
      <c r="T44" s="38">
        <v>33.0</v>
      </c>
      <c r="U44" s="48">
        <f t="shared" si="9"/>
        <v>1070</v>
      </c>
      <c r="V44" s="48">
        <f t="shared" si="10"/>
        <v>1221</v>
      </c>
      <c r="W44" s="49">
        <f t="shared" si="11"/>
        <v>0.5411214953</v>
      </c>
      <c r="X44" s="49">
        <f t="shared" si="12"/>
        <v>0.3364485981</v>
      </c>
      <c r="Y44" s="49">
        <f t="shared" si="13"/>
        <v>0.1224299065</v>
      </c>
      <c r="Z44" s="32" t="str">
        <f t="shared" si="14"/>
        <v>Jango</v>
      </c>
      <c r="AA44" s="118" t="s">
        <v>77</v>
      </c>
      <c r="AB44" s="38">
        <v>1579.0</v>
      </c>
      <c r="AC44" s="48">
        <f t="shared" si="15"/>
        <v>358</v>
      </c>
      <c r="AD44" s="51">
        <f t="shared" si="16"/>
        <v>0.7732742242</v>
      </c>
    </row>
    <row r="45">
      <c r="A45" s="61" t="s">
        <v>133</v>
      </c>
      <c r="B45" s="46" t="s">
        <v>707</v>
      </c>
      <c r="C45" s="47"/>
      <c r="D45" s="38">
        <v>833.0</v>
      </c>
      <c r="E45" s="38">
        <v>848.0</v>
      </c>
      <c r="F45" s="38">
        <v>150.0</v>
      </c>
      <c r="G45" s="38">
        <v>68.0</v>
      </c>
      <c r="H45" s="38">
        <v>100.0</v>
      </c>
      <c r="I45" s="48">
        <f t="shared" si="3"/>
        <v>1831</v>
      </c>
      <c r="J45" s="48">
        <f t="shared" si="4"/>
        <v>1999</v>
      </c>
      <c r="K45" s="49">
        <f t="shared" si="5"/>
        <v>0.4549426543</v>
      </c>
      <c r="L45" s="49">
        <f t="shared" si="6"/>
        <v>0.463134899</v>
      </c>
      <c r="M45" s="49">
        <f t="shared" si="7"/>
        <v>0.08192244675</v>
      </c>
      <c r="N45" s="32" t="str">
        <f t="shared" si="8"/>
        <v>Mal. Lott</v>
      </c>
      <c r="O45" s="118" t="s">
        <v>77</v>
      </c>
      <c r="P45" s="38">
        <v>1033.0</v>
      </c>
      <c r="Q45" s="38">
        <v>551.0</v>
      </c>
      <c r="R45" s="38">
        <v>138.0</v>
      </c>
      <c r="S45" s="38">
        <v>245.0</v>
      </c>
      <c r="T45" s="38">
        <v>32.0</v>
      </c>
      <c r="U45" s="48">
        <f t="shared" si="9"/>
        <v>1722</v>
      </c>
      <c r="V45" s="48">
        <f t="shared" si="10"/>
        <v>1999</v>
      </c>
      <c r="W45" s="49">
        <f t="shared" si="11"/>
        <v>0.599883856</v>
      </c>
      <c r="X45" s="49">
        <f t="shared" si="12"/>
        <v>0.3199767712</v>
      </c>
      <c r="Y45" s="49">
        <f t="shared" si="13"/>
        <v>0.08013937282</v>
      </c>
      <c r="Z45" s="32" t="str">
        <f t="shared" si="14"/>
        <v>Jango</v>
      </c>
      <c r="AA45" s="118" t="s">
        <v>77</v>
      </c>
      <c r="AB45" s="38">
        <v>2108.0</v>
      </c>
      <c r="AC45" s="48">
        <f t="shared" si="15"/>
        <v>109</v>
      </c>
      <c r="AD45" s="51">
        <f t="shared" si="16"/>
        <v>0.9482922201</v>
      </c>
    </row>
    <row r="46">
      <c r="A46" s="24"/>
      <c r="B46" s="46" t="s">
        <v>708</v>
      </c>
      <c r="C46" s="47"/>
      <c r="D46" s="38">
        <v>945.0</v>
      </c>
      <c r="E46" s="38">
        <v>1242.0</v>
      </c>
      <c r="F46" s="38">
        <v>238.0</v>
      </c>
      <c r="G46" s="38">
        <v>102.0</v>
      </c>
      <c r="H46" s="38">
        <v>123.0</v>
      </c>
      <c r="I46" s="48">
        <f t="shared" si="3"/>
        <v>2425</v>
      </c>
      <c r="J46" s="48">
        <f t="shared" si="4"/>
        <v>2650</v>
      </c>
      <c r="K46" s="49">
        <f t="shared" si="5"/>
        <v>0.3896907216</v>
      </c>
      <c r="L46" s="49">
        <f t="shared" si="6"/>
        <v>0.5121649485</v>
      </c>
      <c r="M46" s="49">
        <f t="shared" si="7"/>
        <v>0.0981443299</v>
      </c>
      <c r="N46" s="32" t="str">
        <f t="shared" si="8"/>
        <v>Mal. Lott</v>
      </c>
      <c r="O46" s="118" t="s">
        <v>77</v>
      </c>
      <c r="P46" s="38">
        <v>1478.0</v>
      </c>
      <c r="Q46" s="38">
        <v>574.0</v>
      </c>
      <c r="R46" s="38">
        <v>219.0</v>
      </c>
      <c r="S46" s="38">
        <v>329.0</v>
      </c>
      <c r="T46" s="38">
        <v>50.0</v>
      </c>
      <c r="U46" s="48">
        <f t="shared" si="9"/>
        <v>2271</v>
      </c>
      <c r="V46" s="48">
        <f t="shared" si="10"/>
        <v>2650</v>
      </c>
      <c r="W46" s="49">
        <f t="shared" si="11"/>
        <v>0.6508146191</v>
      </c>
      <c r="X46" s="49">
        <f t="shared" si="12"/>
        <v>0.2527520916</v>
      </c>
      <c r="Y46" s="49">
        <f t="shared" si="13"/>
        <v>0.0964332893</v>
      </c>
      <c r="Z46" s="32" t="str">
        <f t="shared" si="14"/>
        <v>Jango</v>
      </c>
      <c r="AA46" s="118" t="s">
        <v>77</v>
      </c>
      <c r="AB46" s="38">
        <v>3387.0</v>
      </c>
      <c r="AC46" s="48">
        <f t="shared" si="15"/>
        <v>737</v>
      </c>
      <c r="AD46" s="51">
        <f t="shared" si="16"/>
        <v>0.7824033068</v>
      </c>
    </row>
    <row r="47">
      <c r="A47" s="61" t="s">
        <v>135</v>
      </c>
      <c r="B47" s="46" t="s">
        <v>709</v>
      </c>
      <c r="C47" s="47"/>
      <c r="D47" s="38">
        <v>1425.0</v>
      </c>
      <c r="E47" s="38">
        <v>855.0</v>
      </c>
      <c r="F47" s="38">
        <v>220.0</v>
      </c>
      <c r="G47" s="38">
        <v>130.0</v>
      </c>
      <c r="H47" s="38">
        <v>85.0</v>
      </c>
      <c r="I47" s="48">
        <f t="shared" si="3"/>
        <v>2500</v>
      </c>
      <c r="J47" s="48">
        <f t="shared" si="4"/>
        <v>2715</v>
      </c>
      <c r="K47" s="49">
        <f t="shared" si="5"/>
        <v>0.57</v>
      </c>
      <c r="L47" s="49">
        <f t="shared" si="6"/>
        <v>0.342</v>
      </c>
      <c r="M47" s="49">
        <f t="shared" si="7"/>
        <v>0.088</v>
      </c>
      <c r="N47" s="32" t="str">
        <f t="shared" si="8"/>
        <v>Jânio</v>
      </c>
      <c r="O47" s="118" t="s">
        <v>77</v>
      </c>
      <c r="P47" s="38">
        <v>1025.0</v>
      </c>
      <c r="Q47" s="38">
        <v>921.0</v>
      </c>
      <c r="R47" s="38">
        <v>196.0</v>
      </c>
      <c r="S47" s="38">
        <v>363.0</v>
      </c>
      <c r="T47" s="38">
        <v>210.0</v>
      </c>
      <c r="U47" s="48">
        <f t="shared" si="9"/>
        <v>2142</v>
      </c>
      <c r="V47" s="48">
        <f t="shared" si="10"/>
        <v>2715</v>
      </c>
      <c r="W47" s="49">
        <f t="shared" si="11"/>
        <v>0.4785247432</v>
      </c>
      <c r="X47" s="49">
        <f t="shared" si="12"/>
        <v>0.4299719888</v>
      </c>
      <c r="Y47" s="49">
        <f t="shared" si="13"/>
        <v>0.09150326797</v>
      </c>
      <c r="Z47" s="32" t="str">
        <f t="shared" si="14"/>
        <v>Jango</v>
      </c>
      <c r="AA47" s="118" t="s">
        <v>77</v>
      </c>
      <c r="AB47" s="38">
        <v>3149.0</v>
      </c>
      <c r="AC47" s="48">
        <f t="shared" si="15"/>
        <v>434</v>
      </c>
      <c r="AD47" s="51">
        <f t="shared" si="16"/>
        <v>0.8621784694</v>
      </c>
    </row>
    <row r="48">
      <c r="A48" s="23"/>
      <c r="B48" s="46" t="s">
        <v>710</v>
      </c>
      <c r="C48" s="47"/>
      <c r="D48" s="38">
        <v>1632.0</v>
      </c>
      <c r="E48" s="38">
        <v>1470.0</v>
      </c>
      <c r="F48" s="38">
        <v>295.0</v>
      </c>
      <c r="G48" s="38">
        <v>139.0</v>
      </c>
      <c r="H48" s="38">
        <v>167.0</v>
      </c>
      <c r="I48" s="48">
        <f t="shared" si="3"/>
        <v>3397</v>
      </c>
      <c r="J48" s="48">
        <f t="shared" si="4"/>
        <v>3703</v>
      </c>
      <c r="K48" s="49">
        <f t="shared" si="5"/>
        <v>0.4804239034</v>
      </c>
      <c r="L48" s="49">
        <f t="shared" si="6"/>
        <v>0.432734766</v>
      </c>
      <c r="M48" s="49">
        <f t="shared" si="7"/>
        <v>0.08684133059</v>
      </c>
      <c r="N48" s="32" t="str">
        <f t="shared" si="8"/>
        <v>Jânio</v>
      </c>
      <c r="O48" s="118" t="s">
        <v>77</v>
      </c>
      <c r="P48" s="38">
        <v>1750.0</v>
      </c>
      <c r="Q48" s="38">
        <v>1230.0</v>
      </c>
      <c r="R48" s="38">
        <v>214.0</v>
      </c>
      <c r="S48" s="38">
        <v>436.0</v>
      </c>
      <c r="T48" s="38">
        <v>73.0</v>
      </c>
      <c r="U48" s="48">
        <f t="shared" si="9"/>
        <v>3194</v>
      </c>
      <c r="V48" s="48">
        <f t="shared" si="10"/>
        <v>3703</v>
      </c>
      <c r="W48" s="49">
        <f t="shared" si="11"/>
        <v>0.5479023168</v>
      </c>
      <c r="X48" s="49">
        <f t="shared" si="12"/>
        <v>0.385097057</v>
      </c>
      <c r="Y48" s="49">
        <f t="shared" si="13"/>
        <v>0.06700062617</v>
      </c>
      <c r="Z48" s="32" t="str">
        <f t="shared" si="14"/>
        <v>Jango</v>
      </c>
      <c r="AA48" s="118" t="s">
        <v>77</v>
      </c>
      <c r="AB48" s="38">
        <v>4726.0</v>
      </c>
      <c r="AC48" s="48">
        <f t="shared" si="15"/>
        <v>1023</v>
      </c>
      <c r="AD48" s="51">
        <f t="shared" si="16"/>
        <v>0.7835378756</v>
      </c>
    </row>
    <row r="49">
      <c r="A49" s="24"/>
      <c r="B49" s="46" t="s">
        <v>711</v>
      </c>
      <c r="C49" s="47"/>
      <c r="D49" s="38">
        <v>306.0</v>
      </c>
      <c r="E49" s="38">
        <v>412.0</v>
      </c>
      <c r="F49" s="38">
        <v>73.0</v>
      </c>
      <c r="G49" s="38">
        <v>28.0</v>
      </c>
      <c r="H49" s="38">
        <v>5.0</v>
      </c>
      <c r="I49" s="48">
        <f t="shared" si="3"/>
        <v>791</v>
      </c>
      <c r="J49" s="48">
        <f t="shared" si="4"/>
        <v>824</v>
      </c>
      <c r="K49" s="49">
        <f t="shared" si="5"/>
        <v>0.386852086</v>
      </c>
      <c r="L49" s="49">
        <f t="shared" si="6"/>
        <v>0.5208596713</v>
      </c>
      <c r="M49" s="49">
        <f t="shared" si="7"/>
        <v>0.09228824273</v>
      </c>
      <c r="N49" s="32" t="str">
        <f t="shared" si="8"/>
        <v>Mal. Lott</v>
      </c>
      <c r="O49" s="118" t="s">
        <v>77</v>
      </c>
      <c r="P49" s="38">
        <v>489.0</v>
      </c>
      <c r="Q49" s="38">
        <v>224.0</v>
      </c>
      <c r="R49" s="38">
        <v>32.0</v>
      </c>
      <c r="S49" s="38">
        <v>58.0</v>
      </c>
      <c r="T49" s="38">
        <v>21.0</v>
      </c>
      <c r="U49" s="48">
        <f t="shared" si="9"/>
        <v>745</v>
      </c>
      <c r="V49" s="48">
        <f t="shared" si="10"/>
        <v>824</v>
      </c>
      <c r="W49" s="49">
        <f t="shared" si="11"/>
        <v>0.6563758389</v>
      </c>
      <c r="X49" s="49">
        <f t="shared" si="12"/>
        <v>0.3006711409</v>
      </c>
      <c r="Y49" s="49">
        <f t="shared" si="13"/>
        <v>0.04295302013</v>
      </c>
      <c r="Z49" s="32" t="str">
        <f t="shared" si="14"/>
        <v>Jango</v>
      </c>
      <c r="AA49" s="118" t="s">
        <v>77</v>
      </c>
      <c r="AB49" s="38">
        <v>998.0</v>
      </c>
      <c r="AC49" s="48">
        <f t="shared" si="15"/>
        <v>174</v>
      </c>
      <c r="AD49" s="51">
        <f t="shared" si="16"/>
        <v>0.8256513026</v>
      </c>
    </row>
    <row r="50">
      <c r="A50" s="45" t="s">
        <v>193</v>
      </c>
      <c r="B50" s="46" t="s">
        <v>712</v>
      </c>
      <c r="C50" s="47"/>
      <c r="D50" s="38">
        <v>1096.0</v>
      </c>
      <c r="E50" s="38">
        <v>528.0</v>
      </c>
      <c r="F50" s="38">
        <v>118.0</v>
      </c>
      <c r="G50" s="38">
        <v>156.0</v>
      </c>
      <c r="H50" s="38">
        <v>71.0</v>
      </c>
      <c r="I50" s="48">
        <f t="shared" si="3"/>
        <v>1742</v>
      </c>
      <c r="J50" s="48">
        <f t="shared" si="4"/>
        <v>1969</v>
      </c>
      <c r="K50" s="49">
        <f t="shared" si="5"/>
        <v>0.6291618829</v>
      </c>
      <c r="L50" s="49">
        <f t="shared" si="6"/>
        <v>0.3030998852</v>
      </c>
      <c r="M50" s="49">
        <f t="shared" si="7"/>
        <v>0.06773823192</v>
      </c>
      <c r="N50" s="32" t="str">
        <f t="shared" si="8"/>
        <v>Jânio</v>
      </c>
      <c r="O50" s="118" t="s">
        <v>77</v>
      </c>
      <c r="P50" s="38">
        <v>601.0</v>
      </c>
      <c r="Q50" s="38">
        <v>656.0</v>
      </c>
      <c r="R50" s="38">
        <v>222.0</v>
      </c>
      <c r="S50" s="38">
        <v>439.0</v>
      </c>
      <c r="T50" s="38">
        <v>51.0</v>
      </c>
      <c r="U50" s="48">
        <f t="shared" si="9"/>
        <v>1479</v>
      </c>
      <c r="V50" s="48">
        <f t="shared" si="10"/>
        <v>1969</v>
      </c>
      <c r="W50" s="49">
        <f t="shared" si="11"/>
        <v>0.4063556457</v>
      </c>
      <c r="X50" s="49">
        <f t="shared" si="12"/>
        <v>0.4435429344</v>
      </c>
      <c r="Y50" s="49">
        <f t="shared" si="13"/>
        <v>0.1501014199</v>
      </c>
      <c r="Z50" s="32" t="str">
        <f t="shared" si="14"/>
        <v>Milton</v>
      </c>
      <c r="AA50" s="118" t="s">
        <v>77</v>
      </c>
      <c r="AB50" s="38">
        <v>2475.0</v>
      </c>
      <c r="AC50" s="48">
        <f t="shared" si="15"/>
        <v>506</v>
      </c>
      <c r="AD50" s="51">
        <f t="shared" si="16"/>
        <v>0.7955555556</v>
      </c>
    </row>
    <row r="51">
      <c r="A51" s="61" t="s">
        <v>196</v>
      </c>
      <c r="B51" s="46" t="s">
        <v>713</v>
      </c>
      <c r="C51" s="47"/>
      <c r="D51" s="38">
        <v>918.0</v>
      </c>
      <c r="E51" s="38">
        <v>735.0</v>
      </c>
      <c r="F51" s="38">
        <v>117.0</v>
      </c>
      <c r="G51" s="38">
        <v>57.0</v>
      </c>
      <c r="H51" s="38">
        <v>93.0</v>
      </c>
      <c r="I51" s="48">
        <f t="shared" si="3"/>
        <v>1770</v>
      </c>
      <c r="J51" s="48">
        <f t="shared" si="4"/>
        <v>1920</v>
      </c>
      <c r="K51" s="49">
        <f t="shared" si="5"/>
        <v>0.5186440678</v>
      </c>
      <c r="L51" s="49">
        <f t="shared" si="6"/>
        <v>0.4152542373</v>
      </c>
      <c r="M51" s="49">
        <f t="shared" si="7"/>
        <v>0.06610169492</v>
      </c>
      <c r="N51" s="32" t="str">
        <f t="shared" si="8"/>
        <v>Jânio</v>
      </c>
      <c r="O51" s="118" t="s">
        <v>77</v>
      </c>
      <c r="P51" s="38">
        <v>912.0</v>
      </c>
      <c r="Q51" s="38">
        <v>651.0</v>
      </c>
      <c r="R51" s="38">
        <v>137.0</v>
      </c>
      <c r="S51" s="38">
        <v>182.0</v>
      </c>
      <c r="T51" s="38">
        <v>38.0</v>
      </c>
      <c r="U51" s="48">
        <f t="shared" si="9"/>
        <v>1700</v>
      </c>
      <c r="V51" s="48">
        <f t="shared" si="10"/>
        <v>1920</v>
      </c>
      <c r="W51" s="49">
        <f t="shared" si="11"/>
        <v>0.5364705882</v>
      </c>
      <c r="X51" s="49">
        <f t="shared" si="12"/>
        <v>0.3829411765</v>
      </c>
      <c r="Y51" s="49">
        <f t="shared" si="13"/>
        <v>0.08058823529</v>
      </c>
      <c r="Z51" s="32" t="str">
        <f t="shared" si="14"/>
        <v>Jango</v>
      </c>
      <c r="AA51" s="118" t="s">
        <v>77</v>
      </c>
      <c r="AB51" s="38">
        <v>2273.0</v>
      </c>
      <c r="AC51" s="48">
        <f t="shared" si="15"/>
        <v>353</v>
      </c>
      <c r="AD51" s="51">
        <f t="shared" si="16"/>
        <v>0.8446986362</v>
      </c>
    </row>
    <row r="52">
      <c r="A52" s="23"/>
      <c r="B52" s="46" t="s">
        <v>714</v>
      </c>
      <c r="C52" s="47"/>
      <c r="D52" s="38">
        <v>359.0</v>
      </c>
      <c r="E52" s="38">
        <v>137.0</v>
      </c>
      <c r="F52" s="38">
        <v>52.0</v>
      </c>
      <c r="G52" s="38">
        <v>39.0</v>
      </c>
      <c r="H52" s="38">
        <v>81.0</v>
      </c>
      <c r="I52" s="48">
        <f t="shared" si="3"/>
        <v>548</v>
      </c>
      <c r="J52" s="48">
        <f t="shared" si="4"/>
        <v>668</v>
      </c>
      <c r="K52" s="49">
        <f t="shared" si="5"/>
        <v>0.6551094891</v>
      </c>
      <c r="L52" s="49">
        <f t="shared" si="6"/>
        <v>0.25</v>
      </c>
      <c r="M52" s="49">
        <f t="shared" si="7"/>
        <v>0.09489051095</v>
      </c>
      <c r="N52" s="32" t="str">
        <f t="shared" si="8"/>
        <v>Jânio</v>
      </c>
      <c r="O52" s="118" t="s">
        <v>77</v>
      </c>
      <c r="P52" s="38">
        <v>176.0</v>
      </c>
      <c r="Q52" s="38">
        <v>118.0</v>
      </c>
      <c r="R52" s="38">
        <v>135.0</v>
      </c>
      <c r="S52" s="38">
        <v>224.0</v>
      </c>
      <c r="T52" s="38">
        <v>15.0</v>
      </c>
      <c r="U52" s="48">
        <f t="shared" si="9"/>
        <v>429</v>
      </c>
      <c r="V52" s="48">
        <f t="shared" si="10"/>
        <v>668</v>
      </c>
      <c r="W52" s="49">
        <f t="shared" si="11"/>
        <v>0.4102564103</v>
      </c>
      <c r="X52" s="49">
        <f t="shared" si="12"/>
        <v>0.2750582751</v>
      </c>
      <c r="Y52" s="49">
        <f t="shared" si="13"/>
        <v>0.3146853147</v>
      </c>
      <c r="Z52" s="32" t="str">
        <f t="shared" si="14"/>
        <v>Jango</v>
      </c>
      <c r="AA52" s="118" t="s">
        <v>77</v>
      </c>
      <c r="AB52" s="38">
        <v>855.0</v>
      </c>
      <c r="AC52" s="48">
        <f t="shared" si="15"/>
        <v>187</v>
      </c>
      <c r="AD52" s="51">
        <f t="shared" si="16"/>
        <v>0.7812865497</v>
      </c>
    </row>
    <row r="53">
      <c r="A53" s="24"/>
      <c r="B53" s="46" t="s">
        <v>715</v>
      </c>
      <c r="C53" s="47"/>
      <c r="D53" s="38">
        <v>284.0</v>
      </c>
      <c r="E53" s="38">
        <v>198.0</v>
      </c>
      <c r="F53" s="38">
        <v>57.0</v>
      </c>
      <c r="G53" s="38">
        <v>27.0</v>
      </c>
      <c r="H53" s="38">
        <v>27.0</v>
      </c>
      <c r="I53" s="48">
        <f t="shared" si="3"/>
        <v>539</v>
      </c>
      <c r="J53" s="48">
        <f t="shared" si="4"/>
        <v>593</v>
      </c>
      <c r="K53" s="49">
        <f t="shared" si="5"/>
        <v>0.5269016698</v>
      </c>
      <c r="L53" s="49">
        <f t="shared" si="6"/>
        <v>0.3673469388</v>
      </c>
      <c r="M53" s="49">
        <f t="shared" si="7"/>
        <v>0.1057513915</v>
      </c>
      <c r="N53" s="32" t="str">
        <f t="shared" si="8"/>
        <v>Jânio</v>
      </c>
      <c r="O53" s="118" t="s">
        <v>77</v>
      </c>
      <c r="P53" s="38">
        <v>291.0</v>
      </c>
      <c r="Q53" s="38">
        <v>150.0</v>
      </c>
      <c r="R53" s="38">
        <v>66.0</v>
      </c>
      <c r="S53" s="38">
        <v>73.0</v>
      </c>
      <c r="T53" s="38">
        <v>13.0</v>
      </c>
      <c r="U53" s="48">
        <f t="shared" si="9"/>
        <v>507</v>
      </c>
      <c r="V53" s="48">
        <f t="shared" si="10"/>
        <v>593</v>
      </c>
      <c r="W53" s="49">
        <f t="shared" si="11"/>
        <v>0.573964497</v>
      </c>
      <c r="X53" s="49">
        <f t="shared" si="12"/>
        <v>0.2958579882</v>
      </c>
      <c r="Y53" s="49">
        <f t="shared" si="13"/>
        <v>0.1301775148</v>
      </c>
      <c r="Z53" s="32" t="str">
        <f t="shared" si="14"/>
        <v>Jango</v>
      </c>
      <c r="AA53" s="118" t="s">
        <v>77</v>
      </c>
      <c r="AB53" s="38">
        <v>723.0</v>
      </c>
      <c r="AC53" s="48">
        <f t="shared" si="15"/>
        <v>130</v>
      </c>
      <c r="AD53" s="51">
        <f t="shared" si="16"/>
        <v>0.8201936376</v>
      </c>
    </row>
    <row r="54">
      <c r="A54" s="61" t="s">
        <v>198</v>
      </c>
      <c r="B54" s="46" t="s">
        <v>716</v>
      </c>
      <c r="C54" s="47"/>
      <c r="D54" s="38">
        <v>1338.0</v>
      </c>
      <c r="E54" s="38">
        <v>719.0</v>
      </c>
      <c r="F54" s="38">
        <v>134.0</v>
      </c>
      <c r="G54" s="38">
        <v>87.0</v>
      </c>
      <c r="H54" s="38">
        <v>74.0</v>
      </c>
      <c r="I54" s="48">
        <f t="shared" si="3"/>
        <v>2191</v>
      </c>
      <c r="J54" s="48">
        <f t="shared" si="4"/>
        <v>2352</v>
      </c>
      <c r="K54" s="49">
        <f t="shared" si="5"/>
        <v>0.6106800548</v>
      </c>
      <c r="L54" s="49">
        <f t="shared" si="6"/>
        <v>0.3281606572</v>
      </c>
      <c r="M54" s="49">
        <f t="shared" si="7"/>
        <v>0.061159288</v>
      </c>
      <c r="N54" s="32" t="str">
        <f t="shared" si="8"/>
        <v>Jânio</v>
      </c>
      <c r="O54" s="118" t="s">
        <v>77</v>
      </c>
      <c r="P54" s="38">
        <v>892.0</v>
      </c>
      <c r="Q54" s="38">
        <v>903.0</v>
      </c>
      <c r="R54" s="38">
        <v>191.0</v>
      </c>
      <c r="S54" s="38">
        <v>298.0</v>
      </c>
      <c r="T54" s="38">
        <v>68.0</v>
      </c>
      <c r="U54" s="48">
        <f t="shared" si="9"/>
        <v>1986</v>
      </c>
      <c r="V54" s="48">
        <f t="shared" si="10"/>
        <v>2352</v>
      </c>
      <c r="W54" s="49">
        <f t="shared" si="11"/>
        <v>0.4491440081</v>
      </c>
      <c r="X54" s="49">
        <f t="shared" si="12"/>
        <v>0.4546827795</v>
      </c>
      <c r="Y54" s="49">
        <f t="shared" si="13"/>
        <v>0.09617321249</v>
      </c>
      <c r="Z54" s="32" t="str">
        <f t="shared" si="14"/>
        <v>Milton</v>
      </c>
      <c r="AA54" s="118" t="s">
        <v>77</v>
      </c>
      <c r="AB54" s="38">
        <v>2735.0</v>
      </c>
      <c r="AC54" s="48">
        <f t="shared" si="15"/>
        <v>383</v>
      </c>
      <c r="AD54" s="51">
        <f t="shared" si="16"/>
        <v>0.8599634369</v>
      </c>
    </row>
    <row r="55">
      <c r="A55" s="23"/>
      <c r="B55" s="46" t="s">
        <v>717</v>
      </c>
      <c r="C55" s="47"/>
      <c r="D55" s="38">
        <v>689.0</v>
      </c>
      <c r="E55" s="38">
        <v>165.0</v>
      </c>
      <c r="F55" s="38">
        <v>85.0</v>
      </c>
      <c r="G55" s="38">
        <v>65.0</v>
      </c>
      <c r="H55" s="38">
        <v>21.0</v>
      </c>
      <c r="I55" s="48">
        <f t="shared" si="3"/>
        <v>939</v>
      </c>
      <c r="J55" s="48">
        <f t="shared" si="4"/>
        <v>1025</v>
      </c>
      <c r="K55" s="49">
        <f t="shared" si="5"/>
        <v>0.7337593184</v>
      </c>
      <c r="L55" s="49">
        <f t="shared" si="6"/>
        <v>0.1757188498</v>
      </c>
      <c r="M55" s="49">
        <f t="shared" si="7"/>
        <v>0.09052183174</v>
      </c>
      <c r="N55" s="32" t="str">
        <f t="shared" si="8"/>
        <v>Jânio</v>
      </c>
      <c r="O55" s="118" t="s">
        <v>77</v>
      </c>
      <c r="P55" s="38">
        <v>285.0</v>
      </c>
      <c r="Q55" s="38">
        <v>436.0</v>
      </c>
      <c r="R55" s="38">
        <v>106.0</v>
      </c>
      <c r="S55" s="38">
        <v>156.0</v>
      </c>
      <c r="T55" s="38">
        <v>42.0</v>
      </c>
      <c r="U55" s="48">
        <f t="shared" si="9"/>
        <v>827</v>
      </c>
      <c r="V55" s="48">
        <f t="shared" si="10"/>
        <v>1025</v>
      </c>
      <c r="W55" s="49">
        <f t="shared" si="11"/>
        <v>0.3446191052</v>
      </c>
      <c r="X55" s="49">
        <f t="shared" si="12"/>
        <v>0.5272067715</v>
      </c>
      <c r="Y55" s="49">
        <f t="shared" si="13"/>
        <v>0.1281741233</v>
      </c>
      <c r="Z55" s="32" t="str">
        <f t="shared" si="14"/>
        <v>Milton</v>
      </c>
      <c r="AA55" s="118" t="s">
        <v>77</v>
      </c>
      <c r="AB55" s="38">
        <v>1229.0</v>
      </c>
      <c r="AC55" s="48">
        <f t="shared" si="15"/>
        <v>204</v>
      </c>
      <c r="AD55" s="51">
        <f t="shared" si="16"/>
        <v>0.8340113914</v>
      </c>
    </row>
    <row r="56">
      <c r="A56" s="24"/>
      <c r="B56" s="46" t="s">
        <v>718</v>
      </c>
      <c r="C56" s="47"/>
      <c r="D56" s="38">
        <v>327.0</v>
      </c>
      <c r="E56" s="38">
        <v>89.0</v>
      </c>
      <c r="F56" s="38">
        <v>33.0</v>
      </c>
      <c r="G56" s="38">
        <v>28.0</v>
      </c>
      <c r="H56" s="38">
        <v>11.0</v>
      </c>
      <c r="I56" s="48">
        <f t="shared" si="3"/>
        <v>449</v>
      </c>
      <c r="J56" s="48">
        <f t="shared" si="4"/>
        <v>488</v>
      </c>
      <c r="K56" s="49">
        <f t="shared" si="5"/>
        <v>0.728285078</v>
      </c>
      <c r="L56" s="49">
        <f t="shared" si="6"/>
        <v>0.1982182628</v>
      </c>
      <c r="M56" s="49">
        <f t="shared" si="7"/>
        <v>0.07349665924</v>
      </c>
      <c r="N56" s="32" t="str">
        <f t="shared" si="8"/>
        <v>Jânio</v>
      </c>
      <c r="O56" s="118" t="s">
        <v>77</v>
      </c>
      <c r="P56" s="38">
        <v>129.0</v>
      </c>
      <c r="Q56" s="38">
        <v>204.0</v>
      </c>
      <c r="R56" s="38">
        <v>38.0</v>
      </c>
      <c r="S56" s="38">
        <v>103.0</v>
      </c>
      <c r="T56" s="38">
        <v>14.0</v>
      </c>
      <c r="U56" s="48">
        <f t="shared" si="9"/>
        <v>371</v>
      </c>
      <c r="V56" s="48">
        <f t="shared" si="10"/>
        <v>488</v>
      </c>
      <c r="W56" s="49">
        <f t="shared" si="11"/>
        <v>0.3477088949</v>
      </c>
      <c r="X56" s="49">
        <f t="shared" si="12"/>
        <v>0.5498652291</v>
      </c>
      <c r="Y56" s="49">
        <f t="shared" si="13"/>
        <v>0.102425876</v>
      </c>
      <c r="Z56" s="32" t="str">
        <f t="shared" si="14"/>
        <v>Milton</v>
      </c>
      <c r="AA56" s="118" t="s">
        <v>77</v>
      </c>
      <c r="AB56" s="38">
        <v>561.0</v>
      </c>
      <c r="AC56" s="48">
        <f t="shared" si="15"/>
        <v>73</v>
      </c>
      <c r="AD56" s="51">
        <f t="shared" si="16"/>
        <v>0.8698752228</v>
      </c>
    </row>
    <row r="57">
      <c r="A57" s="61" t="s">
        <v>202</v>
      </c>
      <c r="B57" s="46" t="s">
        <v>719</v>
      </c>
      <c r="C57" s="47"/>
      <c r="D57" s="38">
        <v>1872.0</v>
      </c>
      <c r="E57" s="38">
        <v>1570.0</v>
      </c>
      <c r="F57" s="38">
        <v>200.0</v>
      </c>
      <c r="G57" s="38">
        <v>123.0</v>
      </c>
      <c r="H57" s="38">
        <v>85.0</v>
      </c>
      <c r="I57" s="48">
        <f t="shared" si="3"/>
        <v>3642</v>
      </c>
      <c r="J57" s="48">
        <f t="shared" si="4"/>
        <v>3850</v>
      </c>
      <c r="K57" s="49">
        <f t="shared" si="5"/>
        <v>0.5140032949</v>
      </c>
      <c r="L57" s="49">
        <f t="shared" si="6"/>
        <v>0.4310818232</v>
      </c>
      <c r="M57" s="49">
        <f t="shared" si="7"/>
        <v>0.05491488193</v>
      </c>
      <c r="N57" s="32" t="str">
        <f t="shared" si="8"/>
        <v>Jânio</v>
      </c>
      <c r="O57" s="118" t="s">
        <v>77</v>
      </c>
      <c r="P57" s="38">
        <v>1853.0</v>
      </c>
      <c r="Q57" s="38">
        <v>1494.0</v>
      </c>
      <c r="R57" s="38">
        <v>159.0</v>
      </c>
      <c r="S57" s="38">
        <v>300.0</v>
      </c>
      <c r="T57" s="38">
        <v>44.0</v>
      </c>
      <c r="U57" s="48">
        <f t="shared" si="9"/>
        <v>3506</v>
      </c>
      <c r="V57" s="48">
        <f t="shared" si="10"/>
        <v>3850</v>
      </c>
      <c r="W57" s="49">
        <f t="shared" si="11"/>
        <v>0.5285225328</v>
      </c>
      <c r="X57" s="49">
        <f t="shared" si="12"/>
        <v>0.42612664</v>
      </c>
      <c r="Y57" s="49">
        <f t="shared" si="13"/>
        <v>0.04535082715</v>
      </c>
      <c r="Z57" s="32" t="str">
        <f t="shared" si="14"/>
        <v>Jango</v>
      </c>
      <c r="AA57" s="118" t="s">
        <v>77</v>
      </c>
      <c r="AB57" s="38">
        <v>4247.0</v>
      </c>
      <c r="AC57" s="48">
        <f t="shared" si="15"/>
        <v>397</v>
      </c>
      <c r="AD57" s="51">
        <f t="shared" si="16"/>
        <v>0.906522251</v>
      </c>
    </row>
    <row r="58">
      <c r="A58" s="24"/>
      <c r="B58" s="46" t="s">
        <v>720</v>
      </c>
      <c r="C58" s="47"/>
      <c r="D58" s="38">
        <v>1115.0</v>
      </c>
      <c r="E58" s="38">
        <v>644.0</v>
      </c>
      <c r="F58" s="38">
        <v>97.0</v>
      </c>
      <c r="G58" s="38">
        <v>44.0</v>
      </c>
      <c r="H58" s="38">
        <v>48.0</v>
      </c>
      <c r="I58" s="48">
        <f t="shared" si="3"/>
        <v>1856</v>
      </c>
      <c r="J58" s="48">
        <f t="shared" si="4"/>
        <v>1948</v>
      </c>
      <c r="K58" s="49">
        <f t="shared" si="5"/>
        <v>0.6007543103</v>
      </c>
      <c r="L58" s="49">
        <f t="shared" si="6"/>
        <v>0.3469827586</v>
      </c>
      <c r="M58" s="49">
        <f t="shared" si="7"/>
        <v>0.05226293103</v>
      </c>
      <c r="N58" s="32" t="str">
        <f t="shared" si="8"/>
        <v>Jânio</v>
      </c>
      <c r="O58" s="118" t="s">
        <v>77</v>
      </c>
      <c r="P58" s="38">
        <v>842.0</v>
      </c>
      <c r="Q58" s="38">
        <v>889.0</v>
      </c>
      <c r="R58" s="38">
        <v>55.0</v>
      </c>
      <c r="S58" s="55">
        <v>148.0</v>
      </c>
      <c r="T58" s="38">
        <v>14.0</v>
      </c>
      <c r="U58" s="48">
        <f t="shared" si="9"/>
        <v>1786</v>
      </c>
      <c r="V58" s="114">
        <f t="shared" si="10"/>
        <v>1948</v>
      </c>
      <c r="W58" s="49">
        <f t="shared" si="11"/>
        <v>0.4714445689</v>
      </c>
      <c r="X58" s="49">
        <f t="shared" si="12"/>
        <v>0.4977603583</v>
      </c>
      <c r="Y58" s="49">
        <f t="shared" si="13"/>
        <v>0.03079507279</v>
      </c>
      <c r="Z58" s="32" t="str">
        <f t="shared" si="14"/>
        <v>Milton</v>
      </c>
      <c r="AA58" s="118" t="s">
        <v>77</v>
      </c>
      <c r="AB58" s="38">
        <v>2167.0</v>
      </c>
      <c r="AC58" s="48">
        <f>AB58-J58</f>
        <v>219</v>
      </c>
      <c r="AD58" s="51">
        <f t="shared" si="16"/>
        <v>0.8989386248</v>
      </c>
    </row>
    <row r="59">
      <c r="A59" s="45" t="s">
        <v>205</v>
      </c>
      <c r="B59" s="46" t="s">
        <v>721</v>
      </c>
      <c r="C59" s="47"/>
      <c r="D59" s="38">
        <v>1252.0</v>
      </c>
      <c r="E59" s="38">
        <v>1718.0</v>
      </c>
      <c r="F59" s="38">
        <v>367.0</v>
      </c>
      <c r="G59" s="38">
        <v>129.0</v>
      </c>
      <c r="H59" s="38">
        <v>118.0</v>
      </c>
      <c r="I59" s="48">
        <f t="shared" si="3"/>
        <v>3337</v>
      </c>
      <c r="J59" s="48">
        <f t="shared" si="4"/>
        <v>3584</v>
      </c>
      <c r="K59" s="49">
        <f t="shared" si="5"/>
        <v>0.375187294</v>
      </c>
      <c r="L59" s="49">
        <f t="shared" si="6"/>
        <v>0.5148336829</v>
      </c>
      <c r="M59" s="49">
        <f t="shared" si="7"/>
        <v>0.1099790231</v>
      </c>
      <c r="N59" s="32" t="str">
        <f t="shared" si="8"/>
        <v>Mal. Lott</v>
      </c>
      <c r="O59" s="118" t="s">
        <v>77</v>
      </c>
      <c r="P59" s="38">
        <v>1967.0</v>
      </c>
      <c r="Q59" s="38">
        <v>975.0</v>
      </c>
      <c r="R59" s="38">
        <v>216.0</v>
      </c>
      <c r="S59" s="38">
        <v>340.0</v>
      </c>
      <c r="T59" s="38">
        <v>86.0</v>
      </c>
      <c r="U59" s="48">
        <f t="shared" si="9"/>
        <v>3158</v>
      </c>
      <c r="V59" s="48">
        <f t="shared" si="10"/>
        <v>3584</v>
      </c>
      <c r="W59" s="49">
        <f t="shared" si="11"/>
        <v>0.6228625712</v>
      </c>
      <c r="X59" s="49">
        <f t="shared" si="12"/>
        <v>0.3087397087</v>
      </c>
      <c r="Y59" s="49">
        <f t="shared" si="13"/>
        <v>0.06839772008</v>
      </c>
      <c r="Z59" s="32" t="str">
        <f t="shared" si="14"/>
        <v>Jango</v>
      </c>
      <c r="AA59" s="118" t="s">
        <v>77</v>
      </c>
      <c r="AB59" s="38">
        <v>4434.0</v>
      </c>
      <c r="AC59" s="48">
        <f t="shared" ref="AC59:AC77" si="17">AB59-V59</f>
        <v>850</v>
      </c>
      <c r="AD59" s="51">
        <f t="shared" si="16"/>
        <v>0.8082995038</v>
      </c>
    </row>
    <row r="60">
      <c r="A60" s="45" t="s">
        <v>141</v>
      </c>
      <c r="B60" s="46" t="s">
        <v>722</v>
      </c>
      <c r="C60" s="47"/>
      <c r="D60" s="38">
        <v>4724.0</v>
      </c>
      <c r="E60" s="38">
        <v>4242.0</v>
      </c>
      <c r="F60" s="38">
        <v>490.0</v>
      </c>
      <c r="G60" s="38">
        <v>218.0</v>
      </c>
      <c r="H60" s="38">
        <v>259.0</v>
      </c>
      <c r="I60" s="48">
        <f t="shared" si="3"/>
        <v>9456</v>
      </c>
      <c r="J60" s="48">
        <f t="shared" si="4"/>
        <v>9933</v>
      </c>
      <c r="K60" s="49">
        <f t="shared" si="5"/>
        <v>0.4995769882</v>
      </c>
      <c r="L60" s="49">
        <f t="shared" si="6"/>
        <v>0.4486040609</v>
      </c>
      <c r="M60" s="49">
        <f t="shared" si="7"/>
        <v>0.05181895093</v>
      </c>
      <c r="N60" s="32" t="str">
        <f t="shared" si="8"/>
        <v>Jânio</v>
      </c>
      <c r="O60" s="118" t="s">
        <v>77</v>
      </c>
      <c r="P60" s="38">
        <v>4853.0</v>
      </c>
      <c r="Q60" s="38">
        <v>3712.0</v>
      </c>
      <c r="R60" s="38">
        <v>530.0</v>
      </c>
      <c r="S60" s="38">
        <v>699.0</v>
      </c>
      <c r="T60" s="38">
        <v>139.0</v>
      </c>
      <c r="U60" s="48">
        <f t="shared" si="9"/>
        <v>9095</v>
      </c>
      <c r="V60" s="48">
        <f t="shared" si="10"/>
        <v>9933</v>
      </c>
      <c r="W60" s="49">
        <f t="shared" si="11"/>
        <v>0.5335898846</v>
      </c>
      <c r="X60" s="49">
        <f t="shared" si="12"/>
        <v>0.4081363386</v>
      </c>
      <c r="Y60" s="49">
        <f t="shared" si="13"/>
        <v>0.0582737768</v>
      </c>
      <c r="Z60" s="32" t="str">
        <f t="shared" si="14"/>
        <v>Jango</v>
      </c>
      <c r="AA60" s="118" t="s">
        <v>77</v>
      </c>
      <c r="AB60" s="38">
        <v>11769.0</v>
      </c>
      <c r="AC60" s="48">
        <f t="shared" si="17"/>
        <v>1836</v>
      </c>
      <c r="AD60" s="51">
        <f t="shared" si="16"/>
        <v>0.8439969411</v>
      </c>
    </row>
    <row r="61">
      <c r="A61" s="61" t="s">
        <v>143</v>
      </c>
      <c r="B61" s="46" t="s">
        <v>723</v>
      </c>
      <c r="C61" s="47"/>
      <c r="D61" s="38">
        <v>2452.0</v>
      </c>
      <c r="E61" s="38">
        <v>1910.0</v>
      </c>
      <c r="F61" s="38">
        <v>481.0</v>
      </c>
      <c r="G61" s="38">
        <v>155.0</v>
      </c>
      <c r="H61" s="38">
        <v>150.0</v>
      </c>
      <c r="I61" s="48">
        <f t="shared" si="3"/>
        <v>4843</v>
      </c>
      <c r="J61" s="48">
        <f t="shared" si="4"/>
        <v>5148</v>
      </c>
      <c r="K61" s="49">
        <f t="shared" si="5"/>
        <v>0.5062977493</v>
      </c>
      <c r="L61" s="49">
        <f t="shared" si="6"/>
        <v>0.3943836465</v>
      </c>
      <c r="M61" s="49">
        <f t="shared" si="7"/>
        <v>0.09931860417</v>
      </c>
      <c r="N61" s="32" t="str">
        <f t="shared" si="8"/>
        <v>Jânio</v>
      </c>
      <c r="O61" s="118" t="s">
        <v>77</v>
      </c>
      <c r="P61" s="38">
        <v>2569.0</v>
      </c>
      <c r="Q61" s="38">
        <v>1752.0</v>
      </c>
      <c r="R61" s="38">
        <v>220.0</v>
      </c>
      <c r="S61" s="38">
        <v>520.0</v>
      </c>
      <c r="T61" s="38">
        <v>87.0</v>
      </c>
      <c r="U61" s="48">
        <f t="shared" si="9"/>
        <v>4541</v>
      </c>
      <c r="V61" s="48">
        <f t="shared" si="10"/>
        <v>5148</v>
      </c>
      <c r="W61" s="49">
        <f t="shared" si="11"/>
        <v>0.5657344197</v>
      </c>
      <c r="X61" s="49">
        <f t="shared" si="12"/>
        <v>0.3858181017</v>
      </c>
      <c r="Y61" s="49">
        <f t="shared" si="13"/>
        <v>0.04844747853</v>
      </c>
      <c r="Z61" s="32" t="str">
        <f t="shared" si="14"/>
        <v>Jango</v>
      </c>
      <c r="AA61" s="118" t="s">
        <v>77</v>
      </c>
      <c r="AB61" s="38">
        <v>6699.0</v>
      </c>
      <c r="AC61" s="48">
        <f t="shared" si="17"/>
        <v>1551</v>
      </c>
      <c r="AD61" s="51">
        <f t="shared" si="16"/>
        <v>0.7684729064</v>
      </c>
    </row>
    <row r="62">
      <c r="A62" s="23"/>
      <c r="B62" s="46" t="s">
        <v>724</v>
      </c>
      <c r="C62" s="47"/>
      <c r="D62" s="38">
        <v>896.0</v>
      </c>
      <c r="E62" s="38">
        <v>467.0</v>
      </c>
      <c r="F62" s="38">
        <v>38.0</v>
      </c>
      <c r="G62" s="38">
        <v>38.0</v>
      </c>
      <c r="H62" s="38">
        <v>60.0</v>
      </c>
      <c r="I62" s="48">
        <f t="shared" si="3"/>
        <v>1401</v>
      </c>
      <c r="J62" s="48">
        <f t="shared" si="4"/>
        <v>1499</v>
      </c>
      <c r="K62" s="49">
        <f t="shared" si="5"/>
        <v>0.6395431834</v>
      </c>
      <c r="L62" s="49">
        <f t="shared" si="6"/>
        <v>0.3333333333</v>
      </c>
      <c r="M62" s="49">
        <f t="shared" si="7"/>
        <v>0.02712348323</v>
      </c>
      <c r="N62" s="32" t="str">
        <f t="shared" si="8"/>
        <v>Jânio</v>
      </c>
      <c r="O62" s="118" t="s">
        <v>77</v>
      </c>
      <c r="P62" s="38">
        <v>479.0</v>
      </c>
      <c r="Q62" s="38">
        <v>654.0</v>
      </c>
      <c r="R62" s="38">
        <v>202.0</v>
      </c>
      <c r="S62" s="38">
        <v>144.0</v>
      </c>
      <c r="T62" s="38">
        <v>20.0</v>
      </c>
      <c r="U62" s="48">
        <f t="shared" si="9"/>
        <v>1335</v>
      </c>
      <c r="V62" s="48">
        <f t="shared" si="10"/>
        <v>1499</v>
      </c>
      <c r="W62" s="49">
        <f t="shared" si="11"/>
        <v>0.3588014981</v>
      </c>
      <c r="X62" s="49">
        <f t="shared" si="12"/>
        <v>0.4898876404</v>
      </c>
      <c r="Y62" s="49">
        <f t="shared" si="13"/>
        <v>0.1513108614</v>
      </c>
      <c r="Z62" s="32" t="str">
        <f t="shared" si="14"/>
        <v>Milton</v>
      </c>
      <c r="AA62" s="118" t="s">
        <v>77</v>
      </c>
      <c r="AB62" s="38">
        <v>1936.0</v>
      </c>
      <c r="AC62" s="48">
        <f t="shared" si="17"/>
        <v>437</v>
      </c>
      <c r="AD62" s="51">
        <f t="shared" si="16"/>
        <v>0.7742768595</v>
      </c>
    </row>
    <row r="63">
      <c r="A63" s="24"/>
      <c r="B63" s="46" t="s">
        <v>725</v>
      </c>
      <c r="C63" s="47"/>
      <c r="D63" s="38">
        <v>833.0</v>
      </c>
      <c r="E63" s="38">
        <v>417.0</v>
      </c>
      <c r="F63" s="38">
        <v>106.0</v>
      </c>
      <c r="G63" s="38">
        <v>35.0</v>
      </c>
      <c r="H63" s="38">
        <v>45.0</v>
      </c>
      <c r="I63" s="48">
        <f t="shared" si="3"/>
        <v>1356</v>
      </c>
      <c r="J63" s="48">
        <f t="shared" si="4"/>
        <v>1436</v>
      </c>
      <c r="K63" s="49">
        <f t="shared" si="5"/>
        <v>0.6143067847</v>
      </c>
      <c r="L63" s="49">
        <f t="shared" si="6"/>
        <v>0.3075221239</v>
      </c>
      <c r="M63" s="49">
        <f t="shared" si="7"/>
        <v>0.07817109145</v>
      </c>
      <c r="N63" s="32" t="str">
        <f t="shared" si="8"/>
        <v>Jânio</v>
      </c>
      <c r="O63" s="118" t="s">
        <v>77</v>
      </c>
      <c r="P63" s="38">
        <v>566.0</v>
      </c>
      <c r="Q63" s="38">
        <v>562.0</v>
      </c>
      <c r="R63" s="38">
        <v>49.0</v>
      </c>
      <c r="S63" s="38">
        <v>246.0</v>
      </c>
      <c r="T63" s="38">
        <v>13.0</v>
      </c>
      <c r="U63" s="48">
        <f t="shared" si="9"/>
        <v>1177</v>
      </c>
      <c r="V63" s="48">
        <f t="shared" si="10"/>
        <v>1436</v>
      </c>
      <c r="W63" s="49">
        <f t="shared" si="11"/>
        <v>0.4808836024</v>
      </c>
      <c r="X63" s="49">
        <f t="shared" si="12"/>
        <v>0.4774851317</v>
      </c>
      <c r="Y63" s="49">
        <f t="shared" si="13"/>
        <v>0.04163126593</v>
      </c>
      <c r="Z63" s="32" t="str">
        <f t="shared" si="14"/>
        <v>Jango</v>
      </c>
      <c r="AA63" s="118" t="s">
        <v>77</v>
      </c>
      <c r="AB63" s="38">
        <v>1841.0</v>
      </c>
      <c r="AC63" s="48">
        <f t="shared" si="17"/>
        <v>405</v>
      </c>
      <c r="AD63" s="51">
        <f t="shared" si="16"/>
        <v>0.7800108637</v>
      </c>
    </row>
    <row r="64">
      <c r="A64" s="61" t="s">
        <v>145</v>
      </c>
      <c r="B64" s="46" t="s">
        <v>726</v>
      </c>
      <c r="C64" s="47"/>
      <c r="D64" s="38">
        <v>1369.0</v>
      </c>
      <c r="E64" s="38">
        <v>1295.0</v>
      </c>
      <c r="F64" s="38">
        <v>239.0</v>
      </c>
      <c r="G64" s="38">
        <v>102.0</v>
      </c>
      <c r="H64" s="38">
        <v>85.0</v>
      </c>
      <c r="I64" s="48">
        <f t="shared" si="3"/>
        <v>2903</v>
      </c>
      <c r="J64" s="48">
        <f t="shared" si="4"/>
        <v>3090</v>
      </c>
      <c r="K64" s="49">
        <f t="shared" si="5"/>
        <v>0.471581123</v>
      </c>
      <c r="L64" s="49">
        <f t="shared" si="6"/>
        <v>0.4460902515</v>
      </c>
      <c r="M64" s="49">
        <f t="shared" si="7"/>
        <v>0.08232862556</v>
      </c>
      <c r="N64" s="32" t="str">
        <f t="shared" si="8"/>
        <v>Jânio</v>
      </c>
      <c r="O64" s="118" t="s">
        <v>77</v>
      </c>
      <c r="P64" s="38">
        <v>1490.0</v>
      </c>
      <c r="Q64" s="38">
        <v>1044.0</v>
      </c>
      <c r="R64" s="38">
        <v>165.0</v>
      </c>
      <c r="S64" s="38">
        <v>358.0</v>
      </c>
      <c r="T64" s="38">
        <v>33.0</v>
      </c>
      <c r="U64" s="48">
        <f t="shared" si="9"/>
        <v>2699</v>
      </c>
      <c r="V64" s="48">
        <f t="shared" si="10"/>
        <v>3090</v>
      </c>
      <c r="W64" s="49">
        <f t="shared" si="11"/>
        <v>0.5520563172</v>
      </c>
      <c r="X64" s="49">
        <f t="shared" si="12"/>
        <v>0.3868099296</v>
      </c>
      <c r="Y64" s="49">
        <f t="shared" si="13"/>
        <v>0.06113375324</v>
      </c>
      <c r="Z64" s="32" t="str">
        <f t="shared" si="14"/>
        <v>Jango</v>
      </c>
      <c r="AA64" s="118" t="s">
        <v>77</v>
      </c>
      <c r="AB64" s="38">
        <v>4121.0</v>
      </c>
      <c r="AC64" s="48">
        <f t="shared" si="17"/>
        <v>1031</v>
      </c>
      <c r="AD64" s="51">
        <f t="shared" si="16"/>
        <v>0.7498180053</v>
      </c>
    </row>
    <row r="65">
      <c r="A65" s="24"/>
      <c r="B65" s="46" t="s">
        <v>727</v>
      </c>
      <c r="C65" s="47"/>
      <c r="D65" s="38">
        <v>468.0</v>
      </c>
      <c r="E65" s="38">
        <v>286.0</v>
      </c>
      <c r="F65" s="38">
        <v>63.0</v>
      </c>
      <c r="G65" s="38">
        <v>42.0</v>
      </c>
      <c r="H65" s="38">
        <v>253.0</v>
      </c>
      <c r="I65" s="48">
        <f t="shared" si="3"/>
        <v>817</v>
      </c>
      <c r="J65" s="48">
        <f t="shared" si="4"/>
        <v>1112</v>
      </c>
      <c r="K65" s="49">
        <f t="shared" si="5"/>
        <v>0.5728274174</v>
      </c>
      <c r="L65" s="49">
        <f t="shared" si="6"/>
        <v>0.3500611995</v>
      </c>
      <c r="M65" s="49">
        <f t="shared" si="7"/>
        <v>0.07711138311</v>
      </c>
      <c r="N65" s="32" t="str">
        <f t="shared" si="8"/>
        <v>Jânio</v>
      </c>
      <c r="O65" s="118" t="s">
        <v>77</v>
      </c>
      <c r="P65" s="38">
        <v>321.0</v>
      </c>
      <c r="Q65" s="38">
        <v>418.0</v>
      </c>
      <c r="R65" s="38">
        <v>48.0</v>
      </c>
      <c r="S65" s="38">
        <v>94.0</v>
      </c>
      <c r="T65" s="38">
        <v>231.0</v>
      </c>
      <c r="U65" s="48">
        <f t="shared" si="9"/>
        <v>787</v>
      </c>
      <c r="V65" s="48">
        <f t="shared" si="10"/>
        <v>1112</v>
      </c>
      <c r="W65" s="49">
        <f t="shared" si="11"/>
        <v>0.4078780178</v>
      </c>
      <c r="X65" s="49">
        <f t="shared" si="12"/>
        <v>0.5311308767</v>
      </c>
      <c r="Y65" s="49">
        <f t="shared" si="13"/>
        <v>0.06099110546</v>
      </c>
      <c r="Z65" s="32" t="str">
        <f t="shared" si="14"/>
        <v>Milton</v>
      </c>
      <c r="AA65" s="118" t="s">
        <v>77</v>
      </c>
      <c r="AB65" s="38">
        <v>1294.0</v>
      </c>
      <c r="AC65" s="48">
        <f t="shared" si="17"/>
        <v>182</v>
      </c>
      <c r="AD65" s="51">
        <f t="shared" si="16"/>
        <v>0.8593508501</v>
      </c>
    </row>
    <row r="66">
      <c r="A66" s="45" t="s">
        <v>207</v>
      </c>
      <c r="B66" s="46" t="s">
        <v>728</v>
      </c>
      <c r="C66" s="47"/>
      <c r="D66" s="38">
        <v>4679.0</v>
      </c>
      <c r="E66" s="38">
        <v>4407.0</v>
      </c>
      <c r="F66" s="38">
        <v>756.0</v>
      </c>
      <c r="G66" s="38">
        <v>208.0</v>
      </c>
      <c r="H66" s="38">
        <v>224.0</v>
      </c>
      <c r="I66" s="48">
        <f t="shared" si="3"/>
        <v>9842</v>
      </c>
      <c r="J66" s="48">
        <f t="shared" si="4"/>
        <v>10274</v>
      </c>
      <c r="K66" s="49">
        <f t="shared" si="5"/>
        <v>0.4754115017</v>
      </c>
      <c r="L66" s="49">
        <f t="shared" si="6"/>
        <v>0.4477748425</v>
      </c>
      <c r="M66" s="49">
        <f t="shared" si="7"/>
        <v>0.07681365576</v>
      </c>
      <c r="N66" s="32" t="str">
        <f t="shared" si="8"/>
        <v>Jânio</v>
      </c>
      <c r="O66" s="118" t="s">
        <v>77</v>
      </c>
      <c r="P66" s="38">
        <v>5495.0</v>
      </c>
      <c r="Q66" s="38">
        <v>3762.0</v>
      </c>
      <c r="R66" s="38">
        <v>356.0</v>
      </c>
      <c r="S66" s="38">
        <v>448.0</v>
      </c>
      <c r="T66" s="38">
        <v>213.0</v>
      </c>
      <c r="U66" s="48">
        <f t="shared" si="9"/>
        <v>9613</v>
      </c>
      <c r="V66" s="48">
        <f t="shared" si="10"/>
        <v>10274</v>
      </c>
      <c r="W66" s="49">
        <f t="shared" si="11"/>
        <v>0.5716217622</v>
      </c>
      <c r="X66" s="49">
        <f t="shared" si="12"/>
        <v>0.3913450536</v>
      </c>
      <c r="Y66" s="49">
        <f t="shared" si="13"/>
        <v>0.03703318423</v>
      </c>
      <c r="Z66" s="32" t="str">
        <f t="shared" si="14"/>
        <v>Jango</v>
      </c>
      <c r="AA66" s="118" t="s">
        <v>77</v>
      </c>
      <c r="AB66" s="38">
        <v>12062.0</v>
      </c>
      <c r="AC66" s="48">
        <f t="shared" si="17"/>
        <v>1788</v>
      </c>
      <c r="AD66" s="51">
        <f t="shared" si="16"/>
        <v>0.8517658763</v>
      </c>
    </row>
    <row r="67">
      <c r="A67" s="61" t="s">
        <v>209</v>
      </c>
      <c r="B67" s="46" t="s">
        <v>729</v>
      </c>
      <c r="C67" s="47"/>
      <c r="D67" s="38">
        <v>2214.0</v>
      </c>
      <c r="E67" s="38">
        <v>2438.0</v>
      </c>
      <c r="F67" s="38">
        <v>709.0</v>
      </c>
      <c r="G67" s="38">
        <v>307.0</v>
      </c>
      <c r="H67" s="38">
        <v>99.0</v>
      </c>
      <c r="I67" s="48">
        <f t="shared" si="3"/>
        <v>5361</v>
      </c>
      <c r="J67" s="48">
        <f t="shared" si="4"/>
        <v>5767</v>
      </c>
      <c r="K67" s="49">
        <f t="shared" si="5"/>
        <v>0.4129826525</v>
      </c>
      <c r="L67" s="49">
        <f t="shared" si="6"/>
        <v>0.4547659019</v>
      </c>
      <c r="M67" s="49">
        <f t="shared" si="7"/>
        <v>0.1322514456</v>
      </c>
      <c r="N67" s="32" t="str">
        <f t="shared" si="8"/>
        <v>Mal. Lott</v>
      </c>
      <c r="O67" s="118" t="s">
        <v>77</v>
      </c>
      <c r="P67" s="38">
        <v>3257.0</v>
      </c>
      <c r="Q67" s="38">
        <v>1553.0</v>
      </c>
      <c r="R67" s="38">
        <v>358.0</v>
      </c>
      <c r="S67" s="38">
        <v>416.0</v>
      </c>
      <c r="T67" s="38">
        <v>183.0</v>
      </c>
      <c r="U67" s="48">
        <f t="shared" si="9"/>
        <v>5168</v>
      </c>
      <c r="V67" s="48">
        <f t="shared" si="10"/>
        <v>5767</v>
      </c>
      <c r="W67" s="49">
        <f t="shared" si="11"/>
        <v>0.6302244582</v>
      </c>
      <c r="X67" s="49">
        <f t="shared" si="12"/>
        <v>0.300503096</v>
      </c>
      <c r="Y67" s="49">
        <f t="shared" si="13"/>
        <v>0.06927244582</v>
      </c>
      <c r="Z67" s="32" t="str">
        <f t="shared" si="14"/>
        <v>Jango</v>
      </c>
      <c r="AA67" s="118" t="s">
        <v>77</v>
      </c>
      <c r="AB67" s="38">
        <v>7439.0</v>
      </c>
      <c r="AC67" s="48">
        <f t="shared" si="17"/>
        <v>1672</v>
      </c>
      <c r="AD67" s="51">
        <f t="shared" si="16"/>
        <v>0.7752386073</v>
      </c>
    </row>
    <row r="68">
      <c r="A68" s="24"/>
      <c r="B68" s="46" t="s">
        <v>730</v>
      </c>
      <c r="C68" s="47"/>
      <c r="D68" s="38">
        <v>631.0</v>
      </c>
      <c r="E68" s="38">
        <v>319.0</v>
      </c>
      <c r="F68" s="38">
        <v>71.0</v>
      </c>
      <c r="G68" s="38">
        <v>50.0</v>
      </c>
      <c r="H68" s="38">
        <v>22.0</v>
      </c>
      <c r="I68" s="48">
        <f t="shared" si="3"/>
        <v>1021</v>
      </c>
      <c r="J68" s="48">
        <f t="shared" si="4"/>
        <v>1093</v>
      </c>
      <c r="K68" s="49">
        <f t="shared" si="5"/>
        <v>0.6180215475</v>
      </c>
      <c r="L68" s="49">
        <f t="shared" si="6"/>
        <v>0.3124387855</v>
      </c>
      <c r="M68" s="49">
        <f t="shared" si="7"/>
        <v>0.06953966699</v>
      </c>
      <c r="N68" s="32" t="str">
        <f t="shared" si="8"/>
        <v>Jânio</v>
      </c>
      <c r="O68" s="118" t="s">
        <v>77</v>
      </c>
      <c r="P68" s="38">
        <v>466.0</v>
      </c>
      <c r="Q68" s="38">
        <v>427.0</v>
      </c>
      <c r="R68" s="38">
        <v>94.0</v>
      </c>
      <c r="S68" s="38">
        <v>91.0</v>
      </c>
      <c r="T68" s="38">
        <v>15.0</v>
      </c>
      <c r="U68" s="48">
        <f t="shared" si="9"/>
        <v>987</v>
      </c>
      <c r="V68" s="48">
        <f t="shared" si="10"/>
        <v>1093</v>
      </c>
      <c r="W68" s="49">
        <f t="shared" si="11"/>
        <v>0.4721377913</v>
      </c>
      <c r="X68" s="49">
        <f t="shared" si="12"/>
        <v>0.4326241135</v>
      </c>
      <c r="Y68" s="49">
        <f t="shared" si="13"/>
        <v>0.09523809524</v>
      </c>
      <c r="Z68" s="32" t="str">
        <f t="shared" si="14"/>
        <v>Jango</v>
      </c>
      <c r="AA68" s="118" t="s">
        <v>77</v>
      </c>
      <c r="AB68" s="38">
        <v>1196.0</v>
      </c>
      <c r="AC68" s="48">
        <f t="shared" si="17"/>
        <v>103</v>
      </c>
      <c r="AD68" s="51">
        <f t="shared" si="16"/>
        <v>0.9138795987</v>
      </c>
    </row>
    <row r="69">
      <c r="A69" s="45" t="s">
        <v>211</v>
      </c>
      <c r="B69" s="46" t="s">
        <v>731</v>
      </c>
      <c r="C69" s="47"/>
      <c r="D69" s="38">
        <v>2896.0</v>
      </c>
      <c r="E69" s="38">
        <v>2008.0</v>
      </c>
      <c r="F69" s="38">
        <v>301.0</v>
      </c>
      <c r="G69" s="38">
        <v>104.0</v>
      </c>
      <c r="H69" s="38">
        <v>128.0</v>
      </c>
      <c r="I69" s="48">
        <f t="shared" si="3"/>
        <v>5205</v>
      </c>
      <c r="J69" s="48">
        <f t="shared" si="4"/>
        <v>5437</v>
      </c>
      <c r="K69" s="49">
        <f t="shared" si="5"/>
        <v>0.5563880884</v>
      </c>
      <c r="L69" s="49">
        <f t="shared" si="6"/>
        <v>0.3857829011</v>
      </c>
      <c r="M69" s="49">
        <f t="shared" si="7"/>
        <v>0.05782901057</v>
      </c>
      <c r="N69" s="32" t="str">
        <f t="shared" si="8"/>
        <v>Jânio</v>
      </c>
      <c r="O69" s="118" t="s">
        <v>77</v>
      </c>
      <c r="P69" s="38">
        <v>2462.0</v>
      </c>
      <c r="Q69" s="38">
        <v>2422.0</v>
      </c>
      <c r="R69" s="38">
        <v>224.0</v>
      </c>
      <c r="S69" s="38">
        <v>240.0</v>
      </c>
      <c r="T69" s="38">
        <v>89.0</v>
      </c>
      <c r="U69" s="48">
        <f t="shared" si="9"/>
        <v>5108</v>
      </c>
      <c r="V69" s="48">
        <f t="shared" si="10"/>
        <v>5437</v>
      </c>
      <c r="W69" s="49">
        <f t="shared" si="11"/>
        <v>0.4819890368</v>
      </c>
      <c r="X69" s="49">
        <f t="shared" si="12"/>
        <v>0.4741581832</v>
      </c>
      <c r="Y69" s="49">
        <f t="shared" si="13"/>
        <v>0.04385277995</v>
      </c>
      <c r="Z69" s="32" t="str">
        <f t="shared" si="14"/>
        <v>Jango</v>
      </c>
      <c r="AA69" s="118" t="s">
        <v>77</v>
      </c>
      <c r="AB69" s="38">
        <v>7388.0</v>
      </c>
      <c r="AC69" s="48">
        <f t="shared" si="17"/>
        <v>1951</v>
      </c>
      <c r="AD69" s="51">
        <f t="shared" si="16"/>
        <v>0.7359231186</v>
      </c>
    </row>
    <row r="70">
      <c r="A70" s="61" t="s">
        <v>213</v>
      </c>
      <c r="B70" s="46" t="s">
        <v>732</v>
      </c>
      <c r="C70" s="47"/>
      <c r="D70" s="38">
        <v>1619.0</v>
      </c>
      <c r="E70" s="38">
        <v>1441.0</v>
      </c>
      <c r="F70" s="38">
        <v>243.0</v>
      </c>
      <c r="G70" s="38">
        <v>97.0</v>
      </c>
      <c r="H70" s="38">
        <v>58.0</v>
      </c>
      <c r="I70" s="48">
        <f t="shared" si="3"/>
        <v>3303</v>
      </c>
      <c r="J70" s="48">
        <f t="shared" si="4"/>
        <v>3458</v>
      </c>
      <c r="K70" s="49">
        <f t="shared" si="5"/>
        <v>0.4901604602</v>
      </c>
      <c r="L70" s="49">
        <f t="shared" si="6"/>
        <v>0.4362700575</v>
      </c>
      <c r="M70" s="49">
        <f t="shared" si="7"/>
        <v>0.07356948229</v>
      </c>
      <c r="N70" s="32" t="str">
        <f t="shared" si="8"/>
        <v>Jânio</v>
      </c>
      <c r="O70" s="118" t="s">
        <v>77</v>
      </c>
      <c r="P70" s="38">
        <v>1741.0</v>
      </c>
      <c r="Q70" s="38">
        <v>1245.0</v>
      </c>
      <c r="R70" s="38">
        <v>147.0</v>
      </c>
      <c r="S70" s="38">
        <v>244.0</v>
      </c>
      <c r="T70" s="38">
        <v>81.0</v>
      </c>
      <c r="U70" s="48">
        <f t="shared" si="9"/>
        <v>3133</v>
      </c>
      <c r="V70" s="48">
        <f t="shared" si="10"/>
        <v>3458</v>
      </c>
      <c r="W70" s="49">
        <f t="shared" si="11"/>
        <v>0.5556974146</v>
      </c>
      <c r="X70" s="49">
        <f t="shared" si="12"/>
        <v>0.3973827003</v>
      </c>
      <c r="Y70" s="49">
        <f t="shared" si="13"/>
        <v>0.04691988509</v>
      </c>
      <c r="Z70" s="32" t="str">
        <f t="shared" si="14"/>
        <v>Jango</v>
      </c>
      <c r="AA70" s="118" t="s">
        <v>77</v>
      </c>
      <c r="AB70" s="38">
        <v>5057.0</v>
      </c>
      <c r="AC70" s="48">
        <f t="shared" si="17"/>
        <v>1599</v>
      </c>
      <c r="AD70" s="51">
        <f t="shared" si="16"/>
        <v>0.6838046272</v>
      </c>
    </row>
    <row r="71">
      <c r="A71" s="23"/>
      <c r="B71" s="46" t="s">
        <v>387</v>
      </c>
      <c r="C71" s="47"/>
      <c r="D71" s="38">
        <v>574.0</v>
      </c>
      <c r="E71" s="38">
        <v>410.0</v>
      </c>
      <c r="F71" s="38">
        <v>35.0</v>
      </c>
      <c r="G71" s="38">
        <v>45.0</v>
      </c>
      <c r="H71" s="38">
        <v>21.0</v>
      </c>
      <c r="I71" s="48">
        <f t="shared" si="3"/>
        <v>1019</v>
      </c>
      <c r="J71" s="48">
        <f t="shared" si="4"/>
        <v>1085</v>
      </c>
      <c r="K71" s="49">
        <f t="shared" si="5"/>
        <v>0.5632973503</v>
      </c>
      <c r="L71" s="49">
        <f t="shared" si="6"/>
        <v>0.4023552502</v>
      </c>
      <c r="M71" s="49">
        <f t="shared" si="7"/>
        <v>0.03434739941</v>
      </c>
      <c r="N71" s="32" t="str">
        <f t="shared" si="8"/>
        <v>Jânio</v>
      </c>
      <c r="O71" s="118" t="s">
        <v>77</v>
      </c>
      <c r="P71" s="38">
        <v>463.0</v>
      </c>
      <c r="Q71" s="38">
        <v>494.0</v>
      </c>
      <c r="R71" s="38">
        <v>25.0</v>
      </c>
      <c r="S71" s="38">
        <v>71.0</v>
      </c>
      <c r="T71" s="38">
        <v>32.0</v>
      </c>
      <c r="U71" s="48">
        <f t="shared" si="9"/>
        <v>982</v>
      </c>
      <c r="V71" s="48">
        <f t="shared" si="10"/>
        <v>1085</v>
      </c>
      <c r="W71" s="49">
        <f t="shared" si="11"/>
        <v>0.4714867617</v>
      </c>
      <c r="X71" s="49">
        <f t="shared" si="12"/>
        <v>0.5030549898</v>
      </c>
      <c r="Y71" s="49">
        <f t="shared" si="13"/>
        <v>0.02545824847</v>
      </c>
      <c r="Z71" s="32" t="str">
        <f t="shared" si="14"/>
        <v>Milton</v>
      </c>
      <c r="AA71" s="118" t="s">
        <v>77</v>
      </c>
      <c r="AB71" s="38">
        <v>1277.0</v>
      </c>
      <c r="AC71" s="48">
        <f t="shared" si="17"/>
        <v>192</v>
      </c>
      <c r="AD71" s="51">
        <f t="shared" si="16"/>
        <v>0.8496476116</v>
      </c>
    </row>
    <row r="72">
      <c r="A72" s="24"/>
      <c r="B72" s="46" t="s">
        <v>733</v>
      </c>
      <c r="C72" s="47"/>
      <c r="D72" s="38">
        <v>971.0</v>
      </c>
      <c r="E72" s="38">
        <v>862.0</v>
      </c>
      <c r="F72" s="38">
        <v>230.0</v>
      </c>
      <c r="G72" s="38">
        <v>63.0</v>
      </c>
      <c r="H72" s="38">
        <v>64.0</v>
      </c>
      <c r="I72" s="48">
        <f t="shared" si="3"/>
        <v>2063</v>
      </c>
      <c r="J72" s="48">
        <f t="shared" si="4"/>
        <v>2190</v>
      </c>
      <c r="K72" s="49">
        <f t="shared" si="5"/>
        <v>0.4706737761</v>
      </c>
      <c r="L72" s="49">
        <f t="shared" si="6"/>
        <v>0.4178380999</v>
      </c>
      <c r="M72" s="49">
        <f t="shared" si="7"/>
        <v>0.1114881241</v>
      </c>
      <c r="N72" s="32" t="str">
        <f t="shared" si="8"/>
        <v>Jânio</v>
      </c>
      <c r="O72" s="118" t="s">
        <v>77</v>
      </c>
      <c r="P72" s="38">
        <v>1119.0</v>
      </c>
      <c r="Q72" s="38">
        <v>774.0</v>
      </c>
      <c r="R72" s="38">
        <v>91.0</v>
      </c>
      <c r="S72" s="38">
        <v>138.0</v>
      </c>
      <c r="T72" s="38">
        <v>68.0</v>
      </c>
      <c r="U72" s="48">
        <f t="shared" si="9"/>
        <v>1984</v>
      </c>
      <c r="V72" s="48">
        <f t="shared" si="10"/>
        <v>2190</v>
      </c>
      <c r="W72" s="49">
        <f t="shared" si="11"/>
        <v>0.5640120968</v>
      </c>
      <c r="X72" s="49">
        <f t="shared" si="12"/>
        <v>0.3901209677</v>
      </c>
      <c r="Y72" s="49">
        <f t="shared" si="13"/>
        <v>0.04586693548</v>
      </c>
      <c r="Z72" s="32" t="str">
        <f t="shared" si="14"/>
        <v>Jango</v>
      </c>
      <c r="AA72" s="118" t="s">
        <v>77</v>
      </c>
      <c r="AB72" s="38">
        <v>2892.0</v>
      </c>
      <c r="AC72" s="48">
        <f t="shared" si="17"/>
        <v>702</v>
      </c>
      <c r="AD72" s="51">
        <f t="shared" si="16"/>
        <v>0.7572614108</v>
      </c>
    </row>
    <row r="73">
      <c r="A73" s="61" t="s">
        <v>215</v>
      </c>
      <c r="B73" s="46" t="s">
        <v>734</v>
      </c>
      <c r="C73" s="47"/>
      <c r="D73" s="38">
        <v>5236.0</v>
      </c>
      <c r="E73" s="38">
        <v>5140.0</v>
      </c>
      <c r="F73" s="38">
        <v>710.0</v>
      </c>
      <c r="G73" s="38">
        <v>218.0</v>
      </c>
      <c r="H73" s="38">
        <v>352.0</v>
      </c>
      <c r="I73" s="48">
        <f t="shared" si="3"/>
        <v>11086</v>
      </c>
      <c r="J73" s="48">
        <f t="shared" si="4"/>
        <v>11656</v>
      </c>
      <c r="K73" s="49">
        <f t="shared" si="5"/>
        <v>0.4723074148</v>
      </c>
      <c r="L73" s="49">
        <f t="shared" si="6"/>
        <v>0.4636478441</v>
      </c>
      <c r="M73" s="49">
        <f t="shared" si="7"/>
        <v>0.06404474111</v>
      </c>
      <c r="N73" s="32" t="str">
        <f t="shared" si="8"/>
        <v>Jânio</v>
      </c>
      <c r="O73" s="118" t="s">
        <v>77</v>
      </c>
      <c r="P73" s="38">
        <v>5933.0</v>
      </c>
      <c r="Q73" s="38">
        <v>4209.0</v>
      </c>
      <c r="R73" s="38">
        <v>649.0</v>
      </c>
      <c r="S73" s="38">
        <v>686.0</v>
      </c>
      <c r="T73" s="38">
        <v>179.0</v>
      </c>
      <c r="U73" s="48">
        <f t="shared" si="9"/>
        <v>10791</v>
      </c>
      <c r="V73" s="48">
        <f t="shared" si="10"/>
        <v>11656</v>
      </c>
      <c r="W73" s="49">
        <f t="shared" si="11"/>
        <v>0.5498100269</v>
      </c>
      <c r="X73" s="49">
        <f t="shared" si="12"/>
        <v>0.3900472616</v>
      </c>
      <c r="Y73" s="49">
        <f t="shared" si="13"/>
        <v>0.06014271152</v>
      </c>
      <c r="Z73" s="32" t="str">
        <f t="shared" si="14"/>
        <v>Jango</v>
      </c>
      <c r="AA73" s="118" t="s">
        <v>77</v>
      </c>
      <c r="AB73" s="38">
        <v>13727.0</v>
      </c>
      <c r="AC73" s="48">
        <f t="shared" si="17"/>
        <v>2071</v>
      </c>
      <c r="AD73" s="51">
        <f t="shared" si="16"/>
        <v>0.8491294529</v>
      </c>
    </row>
    <row r="74">
      <c r="A74" s="24"/>
      <c r="B74" s="46" t="s">
        <v>735</v>
      </c>
      <c r="C74" s="47"/>
      <c r="D74" s="38">
        <v>485.0</v>
      </c>
      <c r="E74" s="38">
        <v>226.0</v>
      </c>
      <c r="F74" s="38">
        <v>55.0</v>
      </c>
      <c r="G74" s="38">
        <v>22.0</v>
      </c>
      <c r="H74" s="38">
        <v>36.0</v>
      </c>
      <c r="I74" s="48">
        <f t="shared" si="3"/>
        <v>766</v>
      </c>
      <c r="J74" s="48">
        <f t="shared" si="4"/>
        <v>824</v>
      </c>
      <c r="K74" s="49">
        <f t="shared" si="5"/>
        <v>0.6331592689</v>
      </c>
      <c r="L74" s="49">
        <f t="shared" si="6"/>
        <v>0.2950391645</v>
      </c>
      <c r="M74" s="49">
        <f t="shared" si="7"/>
        <v>0.07180156658</v>
      </c>
      <c r="N74" s="32" t="str">
        <f t="shared" si="8"/>
        <v>Jânio</v>
      </c>
      <c r="O74" s="118" t="s">
        <v>77</v>
      </c>
      <c r="P74" s="38">
        <v>300.0</v>
      </c>
      <c r="Q74" s="38">
        <v>378.0</v>
      </c>
      <c r="R74" s="38">
        <v>62.0</v>
      </c>
      <c r="S74" s="38">
        <v>58.0</v>
      </c>
      <c r="T74" s="38">
        <v>26.0</v>
      </c>
      <c r="U74" s="48">
        <f t="shared" si="9"/>
        <v>740</v>
      </c>
      <c r="V74" s="48">
        <f t="shared" si="10"/>
        <v>824</v>
      </c>
      <c r="W74" s="49">
        <f t="shared" si="11"/>
        <v>0.4054054054</v>
      </c>
      <c r="X74" s="49">
        <f t="shared" si="12"/>
        <v>0.5108108108</v>
      </c>
      <c r="Y74" s="49">
        <f t="shared" si="13"/>
        <v>0.08378378378</v>
      </c>
      <c r="Z74" s="32" t="str">
        <f t="shared" si="14"/>
        <v>Milton</v>
      </c>
      <c r="AA74" s="118" t="s">
        <v>77</v>
      </c>
      <c r="AB74" s="38">
        <v>926.0</v>
      </c>
      <c r="AC74" s="48">
        <f t="shared" si="17"/>
        <v>102</v>
      </c>
      <c r="AD74" s="51">
        <f t="shared" si="16"/>
        <v>0.8898488121</v>
      </c>
    </row>
    <row r="75">
      <c r="A75" s="61" t="s">
        <v>218</v>
      </c>
      <c r="B75" s="46" t="s">
        <v>736</v>
      </c>
      <c r="C75" s="47"/>
      <c r="D75" s="38">
        <v>3315.0</v>
      </c>
      <c r="E75" s="38">
        <v>1420.0</v>
      </c>
      <c r="F75" s="38">
        <v>252.0</v>
      </c>
      <c r="G75" s="38">
        <v>67.0</v>
      </c>
      <c r="H75" s="38">
        <v>108.0</v>
      </c>
      <c r="I75" s="48">
        <f t="shared" si="3"/>
        <v>4987</v>
      </c>
      <c r="J75" s="48">
        <f t="shared" si="4"/>
        <v>5162</v>
      </c>
      <c r="K75" s="49">
        <f t="shared" si="5"/>
        <v>0.6647282936</v>
      </c>
      <c r="L75" s="49">
        <f t="shared" si="6"/>
        <v>0.2847403248</v>
      </c>
      <c r="M75" s="49">
        <f t="shared" si="7"/>
        <v>0.05053138159</v>
      </c>
      <c r="N75" s="32" t="str">
        <f t="shared" si="8"/>
        <v>Jânio</v>
      </c>
      <c r="O75" s="118" t="s">
        <v>77</v>
      </c>
      <c r="P75" s="38">
        <v>1862.0</v>
      </c>
      <c r="Q75" s="38">
        <v>2898.0</v>
      </c>
      <c r="R75" s="38">
        <v>130.0</v>
      </c>
      <c r="S75" s="38">
        <v>218.0</v>
      </c>
      <c r="T75" s="38">
        <v>54.0</v>
      </c>
      <c r="U75" s="48">
        <f t="shared" si="9"/>
        <v>4890</v>
      </c>
      <c r="V75" s="48">
        <f t="shared" si="10"/>
        <v>5162</v>
      </c>
      <c r="W75" s="49">
        <f t="shared" si="11"/>
        <v>0.3807770961</v>
      </c>
      <c r="X75" s="49">
        <f t="shared" si="12"/>
        <v>0.5926380368</v>
      </c>
      <c r="Y75" s="49">
        <f t="shared" si="13"/>
        <v>0.02658486708</v>
      </c>
      <c r="Z75" s="32" t="str">
        <f t="shared" si="14"/>
        <v>Milton</v>
      </c>
      <c r="AA75" s="118" t="s">
        <v>77</v>
      </c>
      <c r="AB75" s="38">
        <v>5881.0</v>
      </c>
      <c r="AC75" s="48">
        <f t="shared" si="17"/>
        <v>719</v>
      </c>
      <c r="AD75" s="51">
        <f t="shared" si="16"/>
        <v>0.8777418806</v>
      </c>
    </row>
    <row r="76">
      <c r="A76" s="24"/>
      <c r="B76" s="46" t="s">
        <v>737</v>
      </c>
      <c r="C76" s="47"/>
      <c r="D76" s="38">
        <v>1102.0</v>
      </c>
      <c r="E76" s="38">
        <v>492.0</v>
      </c>
      <c r="F76" s="38">
        <v>98.0</v>
      </c>
      <c r="G76" s="38">
        <v>41.0</v>
      </c>
      <c r="H76" s="38">
        <v>32.0</v>
      </c>
      <c r="I76" s="48">
        <f t="shared" si="3"/>
        <v>1692</v>
      </c>
      <c r="J76" s="48">
        <f t="shared" si="4"/>
        <v>1765</v>
      </c>
      <c r="K76" s="49">
        <f t="shared" si="5"/>
        <v>0.6513002364</v>
      </c>
      <c r="L76" s="49">
        <f t="shared" si="6"/>
        <v>0.2907801418</v>
      </c>
      <c r="M76" s="49">
        <f t="shared" si="7"/>
        <v>0.05791962175</v>
      </c>
      <c r="N76" s="32" t="str">
        <f t="shared" si="8"/>
        <v>Jânio</v>
      </c>
      <c r="O76" s="118" t="s">
        <v>77</v>
      </c>
      <c r="P76" s="38">
        <v>644.0</v>
      </c>
      <c r="Q76" s="38">
        <v>997.0</v>
      </c>
      <c r="R76" s="38">
        <v>38.0</v>
      </c>
      <c r="S76" s="38">
        <v>56.0</v>
      </c>
      <c r="T76" s="38">
        <v>30.0</v>
      </c>
      <c r="U76" s="48">
        <f t="shared" si="9"/>
        <v>1679</v>
      </c>
      <c r="V76" s="48">
        <f t="shared" si="10"/>
        <v>1765</v>
      </c>
      <c r="W76" s="49">
        <f t="shared" si="11"/>
        <v>0.3835616438</v>
      </c>
      <c r="X76" s="49">
        <f t="shared" si="12"/>
        <v>0.5938058368</v>
      </c>
      <c r="Y76" s="49">
        <f t="shared" si="13"/>
        <v>0.02263251936</v>
      </c>
      <c r="Z76" s="32" t="str">
        <f t="shared" si="14"/>
        <v>Milton</v>
      </c>
      <c r="AA76" s="118" t="s">
        <v>77</v>
      </c>
      <c r="AB76" s="38">
        <v>2141.0</v>
      </c>
      <c r="AC76" s="48">
        <f t="shared" si="17"/>
        <v>376</v>
      </c>
      <c r="AD76" s="51">
        <f t="shared" si="16"/>
        <v>0.8243811303</v>
      </c>
    </row>
    <row r="77">
      <c r="A77" s="45" t="s">
        <v>220</v>
      </c>
      <c r="B77" s="46" t="s">
        <v>738</v>
      </c>
      <c r="C77" s="47"/>
      <c r="D77" s="38">
        <v>1359.0</v>
      </c>
      <c r="E77" s="38">
        <v>1884.0</v>
      </c>
      <c r="F77" s="38">
        <v>338.0</v>
      </c>
      <c r="G77" s="38">
        <v>109.0</v>
      </c>
      <c r="H77" s="38">
        <v>178.0</v>
      </c>
      <c r="I77" s="48">
        <f t="shared" si="3"/>
        <v>3581</v>
      </c>
      <c r="J77" s="48">
        <f t="shared" si="4"/>
        <v>3868</v>
      </c>
      <c r="K77" s="49">
        <f t="shared" si="5"/>
        <v>0.3795029321</v>
      </c>
      <c r="L77" s="49">
        <f t="shared" si="6"/>
        <v>0.5261100251</v>
      </c>
      <c r="M77" s="49">
        <f t="shared" si="7"/>
        <v>0.09438704273</v>
      </c>
      <c r="N77" s="32" t="str">
        <f t="shared" si="8"/>
        <v>Mal. Lott</v>
      </c>
      <c r="O77" s="118" t="s">
        <v>77</v>
      </c>
      <c r="P77" s="38">
        <v>2264.0</v>
      </c>
      <c r="Q77" s="38">
        <v>816.0</v>
      </c>
      <c r="R77" s="38">
        <v>386.0</v>
      </c>
      <c r="S77" s="38">
        <v>315.0</v>
      </c>
      <c r="T77" s="38">
        <v>87.0</v>
      </c>
      <c r="U77" s="48">
        <f t="shared" si="9"/>
        <v>3466</v>
      </c>
      <c r="V77" s="48">
        <f t="shared" si="10"/>
        <v>3868</v>
      </c>
      <c r="W77" s="49">
        <f t="shared" si="11"/>
        <v>0.6532025389</v>
      </c>
      <c r="X77" s="49">
        <f t="shared" si="12"/>
        <v>0.2354298904</v>
      </c>
      <c r="Y77" s="49">
        <f t="shared" si="13"/>
        <v>0.1113675707</v>
      </c>
      <c r="Z77" s="32" t="str">
        <f t="shared" si="14"/>
        <v>Jango</v>
      </c>
      <c r="AA77" s="118" t="s">
        <v>77</v>
      </c>
      <c r="AB77" s="38">
        <v>4687.0</v>
      </c>
      <c r="AC77" s="48">
        <f t="shared" si="17"/>
        <v>819</v>
      </c>
      <c r="AD77" s="51">
        <f t="shared" si="16"/>
        <v>0.8252613612</v>
      </c>
    </row>
    <row r="78">
      <c r="A78" s="61" t="s">
        <v>295</v>
      </c>
      <c r="B78" s="46" t="s">
        <v>739</v>
      </c>
      <c r="C78" s="47"/>
      <c r="D78" s="38">
        <v>1739.0</v>
      </c>
      <c r="E78" s="38">
        <v>647.0</v>
      </c>
      <c r="F78" s="38">
        <v>170.0</v>
      </c>
      <c r="G78" s="38">
        <v>61.0</v>
      </c>
      <c r="H78" s="38">
        <v>42.0</v>
      </c>
      <c r="I78" s="48">
        <f t="shared" si="3"/>
        <v>2556</v>
      </c>
      <c r="J78" s="48">
        <f t="shared" si="4"/>
        <v>2659</v>
      </c>
      <c r="K78" s="49">
        <f t="shared" si="5"/>
        <v>0.6803599374</v>
      </c>
      <c r="L78" s="49">
        <f t="shared" si="6"/>
        <v>0.2531298905</v>
      </c>
      <c r="M78" s="49">
        <f t="shared" si="7"/>
        <v>0.06651017214</v>
      </c>
      <c r="N78" s="32" t="str">
        <f t="shared" si="8"/>
        <v>Jânio</v>
      </c>
      <c r="O78" s="118" t="s">
        <v>77</v>
      </c>
      <c r="P78" s="38">
        <v>918.0</v>
      </c>
      <c r="Q78" s="38">
        <v>1568.0</v>
      </c>
      <c r="R78" s="38">
        <v>62.0</v>
      </c>
      <c r="S78" s="38">
        <v>131.0</v>
      </c>
      <c r="T78" s="38">
        <v>45.0</v>
      </c>
      <c r="U78" s="48">
        <f t="shared" si="9"/>
        <v>2548</v>
      </c>
      <c r="V78" s="48">
        <f t="shared" si="10"/>
        <v>2724</v>
      </c>
      <c r="W78" s="49">
        <f t="shared" si="11"/>
        <v>0.3602825746</v>
      </c>
      <c r="X78" s="49">
        <f t="shared" si="12"/>
        <v>0.6153846154</v>
      </c>
      <c r="Y78" s="49">
        <f t="shared" si="13"/>
        <v>0.02433281005</v>
      </c>
      <c r="Z78" s="32" t="str">
        <f t="shared" si="14"/>
        <v>Milton</v>
      </c>
      <c r="AA78" s="118" t="s">
        <v>77</v>
      </c>
      <c r="AB78" s="38">
        <v>3082.0</v>
      </c>
      <c r="AC78" s="48">
        <f t="shared" ref="AC78:AC79" si="18">AB78-J78</f>
        <v>423</v>
      </c>
      <c r="AD78" s="51">
        <f t="shared" ref="AD78:AD79" si="19">J78/AB78</f>
        <v>0.8627514601</v>
      </c>
    </row>
    <row r="79">
      <c r="A79" s="24"/>
      <c r="B79" s="46" t="s">
        <v>296</v>
      </c>
      <c r="C79" s="47"/>
      <c r="D79" s="38">
        <v>762.0</v>
      </c>
      <c r="E79" s="38">
        <v>182.0</v>
      </c>
      <c r="F79" s="38">
        <v>38.0</v>
      </c>
      <c r="G79" s="38">
        <v>20.0</v>
      </c>
      <c r="H79" s="38">
        <v>31.0</v>
      </c>
      <c r="I79" s="48">
        <f t="shared" si="3"/>
        <v>982</v>
      </c>
      <c r="J79" s="48">
        <f t="shared" si="4"/>
        <v>1033</v>
      </c>
      <c r="K79" s="49">
        <f t="shared" si="5"/>
        <v>0.7759674134</v>
      </c>
      <c r="L79" s="49">
        <f t="shared" si="6"/>
        <v>0.1853360489</v>
      </c>
      <c r="M79" s="49">
        <f t="shared" si="7"/>
        <v>0.03869653768</v>
      </c>
      <c r="N79" s="32" t="str">
        <f t="shared" si="8"/>
        <v>Jânio</v>
      </c>
      <c r="O79" s="118" t="s">
        <v>77</v>
      </c>
      <c r="P79" s="38">
        <v>244.0</v>
      </c>
      <c r="Q79" s="38">
        <v>629.0</v>
      </c>
      <c r="R79" s="38">
        <v>12.0</v>
      </c>
      <c r="S79" s="38">
        <v>72.0</v>
      </c>
      <c r="T79" s="38">
        <v>11.0</v>
      </c>
      <c r="U79" s="48">
        <f t="shared" si="9"/>
        <v>885</v>
      </c>
      <c r="V79" s="48">
        <f t="shared" si="10"/>
        <v>968</v>
      </c>
      <c r="W79" s="49">
        <f t="shared" si="11"/>
        <v>0.2757062147</v>
      </c>
      <c r="X79" s="49">
        <f t="shared" si="12"/>
        <v>0.7107344633</v>
      </c>
      <c r="Y79" s="49">
        <f t="shared" si="13"/>
        <v>0.01355932203</v>
      </c>
      <c r="Z79" s="32" t="str">
        <f t="shared" si="14"/>
        <v>Milton</v>
      </c>
      <c r="AA79" s="118" t="s">
        <v>77</v>
      </c>
      <c r="AB79" s="38">
        <v>1134.0</v>
      </c>
      <c r="AC79" s="48">
        <f t="shared" si="18"/>
        <v>101</v>
      </c>
      <c r="AD79" s="51">
        <f t="shared" si="19"/>
        <v>0.9109347443</v>
      </c>
    </row>
    <row r="80">
      <c r="A80" s="45" t="s">
        <v>299</v>
      </c>
      <c r="B80" s="46" t="s">
        <v>740</v>
      </c>
      <c r="C80" s="47"/>
      <c r="D80" s="38">
        <v>545.0</v>
      </c>
      <c r="E80" s="38">
        <v>614.0</v>
      </c>
      <c r="F80" s="38">
        <v>114.0</v>
      </c>
      <c r="G80" s="38">
        <v>52.0</v>
      </c>
      <c r="H80" s="38">
        <v>43.0</v>
      </c>
      <c r="I80" s="48">
        <f t="shared" si="3"/>
        <v>1273</v>
      </c>
      <c r="J80" s="48">
        <f t="shared" si="4"/>
        <v>1368</v>
      </c>
      <c r="K80" s="49">
        <f t="shared" si="5"/>
        <v>0.4281225452</v>
      </c>
      <c r="L80" s="49">
        <f t="shared" si="6"/>
        <v>0.482325216</v>
      </c>
      <c r="M80" s="49">
        <f t="shared" si="7"/>
        <v>0.08955223881</v>
      </c>
      <c r="N80" s="32" t="str">
        <f t="shared" si="8"/>
        <v>Mal. Lott</v>
      </c>
      <c r="O80" s="118" t="s">
        <v>77</v>
      </c>
      <c r="P80" s="38">
        <v>726.0</v>
      </c>
      <c r="Q80" s="38">
        <v>382.0</v>
      </c>
      <c r="R80" s="38">
        <v>103.0</v>
      </c>
      <c r="S80" s="38">
        <v>130.0</v>
      </c>
      <c r="T80" s="38">
        <v>27.0</v>
      </c>
      <c r="U80" s="48">
        <f t="shared" si="9"/>
        <v>1211</v>
      </c>
      <c r="V80" s="48">
        <f t="shared" si="10"/>
        <v>1368</v>
      </c>
      <c r="W80" s="49">
        <f t="shared" si="11"/>
        <v>0.5995045417</v>
      </c>
      <c r="X80" s="49">
        <f t="shared" si="12"/>
        <v>0.3154417836</v>
      </c>
      <c r="Y80" s="49">
        <f t="shared" si="13"/>
        <v>0.08505367465</v>
      </c>
      <c r="Z80" s="32" t="str">
        <f t="shared" si="14"/>
        <v>Jango</v>
      </c>
      <c r="AA80" s="118" t="s">
        <v>77</v>
      </c>
      <c r="AB80" s="38">
        <v>1846.0</v>
      </c>
      <c r="AC80" s="48">
        <f t="shared" ref="AC80:AC100" si="20">AB80-V80</f>
        <v>478</v>
      </c>
      <c r="AD80" s="51">
        <f t="shared" ref="AD80:AD100" si="21">V80/AB80</f>
        <v>0.7410617551</v>
      </c>
    </row>
    <row r="81">
      <c r="A81" s="45" t="s">
        <v>302</v>
      </c>
      <c r="B81" s="46" t="s">
        <v>741</v>
      </c>
      <c r="C81" s="47"/>
      <c r="D81" s="38">
        <v>1030.0</v>
      </c>
      <c r="E81" s="38">
        <v>633.0</v>
      </c>
      <c r="F81" s="38">
        <v>155.0</v>
      </c>
      <c r="G81" s="38">
        <v>118.0</v>
      </c>
      <c r="H81" s="38">
        <v>70.0</v>
      </c>
      <c r="I81" s="48">
        <f t="shared" si="3"/>
        <v>1818</v>
      </c>
      <c r="J81" s="48">
        <f t="shared" si="4"/>
        <v>2006</v>
      </c>
      <c r="K81" s="49">
        <f t="shared" si="5"/>
        <v>0.5665566557</v>
      </c>
      <c r="L81" s="49">
        <f t="shared" si="6"/>
        <v>0.3481848185</v>
      </c>
      <c r="M81" s="49">
        <f t="shared" si="7"/>
        <v>0.08525852585</v>
      </c>
      <c r="N81" s="32" t="str">
        <f t="shared" si="8"/>
        <v>Jânio</v>
      </c>
      <c r="O81" s="118" t="s">
        <v>77</v>
      </c>
      <c r="P81" s="38">
        <v>865.0</v>
      </c>
      <c r="Q81" s="38">
        <v>599.0</v>
      </c>
      <c r="R81" s="38">
        <v>170.0</v>
      </c>
      <c r="S81" s="38">
        <v>279.0</v>
      </c>
      <c r="T81" s="38">
        <v>93.0</v>
      </c>
      <c r="U81" s="48">
        <f t="shared" si="9"/>
        <v>1634</v>
      </c>
      <c r="V81" s="48">
        <f t="shared" si="10"/>
        <v>2006</v>
      </c>
      <c r="W81" s="49">
        <f t="shared" si="11"/>
        <v>0.529375765</v>
      </c>
      <c r="X81" s="49">
        <f t="shared" si="12"/>
        <v>0.3665850673</v>
      </c>
      <c r="Y81" s="49">
        <f t="shared" si="13"/>
        <v>0.1040391677</v>
      </c>
      <c r="Z81" s="32" t="str">
        <f t="shared" si="14"/>
        <v>Jango</v>
      </c>
      <c r="AA81" s="118" t="s">
        <v>77</v>
      </c>
      <c r="AB81" s="38">
        <v>2585.0</v>
      </c>
      <c r="AC81" s="48">
        <f t="shared" si="20"/>
        <v>579</v>
      </c>
      <c r="AD81" s="51">
        <f t="shared" si="21"/>
        <v>0.7760154739</v>
      </c>
    </row>
    <row r="82">
      <c r="A82" s="61" t="s">
        <v>304</v>
      </c>
      <c r="B82" s="46" t="s">
        <v>742</v>
      </c>
      <c r="C82" s="47"/>
      <c r="D82" s="38">
        <v>1695.0</v>
      </c>
      <c r="E82" s="38">
        <v>1010.0</v>
      </c>
      <c r="F82" s="38">
        <v>285.0</v>
      </c>
      <c r="G82" s="38">
        <v>77.0</v>
      </c>
      <c r="H82" s="38">
        <v>97.0</v>
      </c>
      <c r="I82" s="48">
        <f t="shared" si="3"/>
        <v>2990</v>
      </c>
      <c r="J82" s="48">
        <f t="shared" si="4"/>
        <v>3164</v>
      </c>
      <c r="K82" s="49">
        <f t="shared" si="5"/>
        <v>0.5668896321</v>
      </c>
      <c r="L82" s="49">
        <f t="shared" si="6"/>
        <v>0.3377926421</v>
      </c>
      <c r="M82" s="49">
        <f t="shared" si="7"/>
        <v>0.09531772575</v>
      </c>
      <c r="N82" s="32" t="str">
        <f t="shared" si="8"/>
        <v>Jânio</v>
      </c>
      <c r="O82" s="118" t="s">
        <v>77</v>
      </c>
      <c r="P82" s="38">
        <v>1403.0</v>
      </c>
      <c r="Q82" s="38">
        <v>1287.0</v>
      </c>
      <c r="R82" s="38">
        <v>187.0</v>
      </c>
      <c r="S82" s="38">
        <v>228.0</v>
      </c>
      <c r="T82" s="38">
        <v>59.0</v>
      </c>
      <c r="U82" s="48">
        <f t="shared" si="9"/>
        <v>2877</v>
      </c>
      <c r="V82" s="48">
        <f t="shared" si="10"/>
        <v>3164</v>
      </c>
      <c r="W82" s="49">
        <f t="shared" si="11"/>
        <v>0.4876607577</v>
      </c>
      <c r="X82" s="49">
        <f t="shared" si="12"/>
        <v>0.4473409802</v>
      </c>
      <c r="Y82" s="49">
        <f t="shared" si="13"/>
        <v>0.06499826208</v>
      </c>
      <c r="Z82" s="32" t="str">
        <f t="shared" si="14"/>
        <v>Jango</v>
      </c>
      <c r="AA82" s="118" t="s">
        <v>77</v>
      </c>
      <c r="AB82" s="38">
        <v>3410.0</v>
      </c>
      <c r="AC82" s="48">
        <f t="shared" si="20"/>
        <v>246</v>
      </c>
      <c r="AD82" s="51">
        <f t="shared" si="21"/>
        <v>0.9278592375</v>
      </c>
    </row>
    <row r="83">
      <c r="A83" s="24"/>
      <c r="B83" s="46" t="s">
        <v>743</v>
      </c>
      <c r="C83" s="47"/>
      <c r="D83" s="38">
        <v>345.0</v>
      </c>
      <c r="E83" s="38">
        <v>222.0</v>
      </c>
      <c r="F83" s="38">
        <v>29.0</v>
      </c>
      <c r="G83" s="38">
        <v>5.0</v>
      </c>
      <c r="H83" s="38">
        <v>21.0</v>
      </c>
      <c r="I83" s="48">
        <f t="shared" si="3"/>
        <v>596</v>
      </c>
      <c r="J83" s="48">
        <f t="shared" si="4"/>
        <v>622</v>
      </c>
      <c r="K83" s="49">
        <f t="shared" si="5"/>
        <v>0.5788590604</v>
      </c>
      <c r="L83" s="49">
        <f t="shared" si="6"/>
        <v>0.3724832215</v>
      </c>
      <c r="M83" s="49">
        <f t="shared" si="7"/>
        <v>0.04865771812</v>
      </c>
      <c r="N83" s="32" t="str">
        <f t="shared" si="8"/>
        <v>Jânio</v>
      </c>
      <c r="O83" s="118" t="s">
        <v>77</v>
      </c>
      <c r="P83" s="38">
        <v>284.0</v>
      </c>
      <c r="Q83" s="38">
        <v>296.0</v>
      </c>
      <c r="R83" s="38">
        <v>14.0</v>
      </c>
      <c r="S83" s="38">
        <v>14.0</v>
      </c>
      <c r="T83" s="38">
        <v>14.0</v>
      </c>
      <c r="U83" s="48">
        <f t="shared" si="9"/>
        <v>594</v>
      </c>
      <c r="V83" s="48">
        <f t="shared" si="10"/>
        <v>622</v>
      </c>
      <c r="W83" s="49">
        <f t="shared" si="11"/>
        <v>0.4781144781</v>
      </c>
      <c r="X83" s="49">
        <f t="shared" si="12"/>
        <v>0.4983164983</v>
      </c>
      <c r="Y83" s="49">
        <f t="shared" si="13"/>
        <v>0.02356902357</v>
      </c>
      <c r="Z83" s="32" t="str">
        <f t="shared" si="14"/>
        <v>Milton</v>
      </c>
      <c r="AA83" s="118" t="s">
        <v>77</v>
      </c>
      <c r="AB83" s="38">
        <v>1554.0</v>
      </c>
      <c r="AC83" s="48">
        <f t="shared" si="20"/>
        <v>932</v>
      </c>
      <c r="AD83" s="51">
        <f t="shared" si="21"/>
        <v>0.4002574003</v>
      </c>
    </row>
    <row r="84">
      <c r="A84" s="45" t="s">
        <v>308</v>
      </c>
      <c r="B84" s="46" t="s">
        <v>744</v>
      </c>
      <c r="C84" s="47"/>
      <c r="D84" s="38">
        <v>3049.0</v>
      </c>
      <c r="E84" s="38">
        <v>1493.0</v>
      </c>
      <c r="F84" s="38">
        <v>697.0</v>
      </c>
      <c r="G84" s="38">
        <v>207.0</v>
      </c>
      <c r="H84" s="38">
        <v>196.0</v>
      </c>
      <c r="I84" s="48">
        <f t="shared" si="3"/>
        <v>5239</v>
      </c>
      <c r="J84" s="48">
        <f t="shared" si="4"/>
        <v>5642</v>
      </c>
      <c r="K84" s="49">
        <f t="shared" si="5"/>
        <v>0.5819812941</v>
      </c>
      <c r="L84" s="49">
        <f t="shared" si="6"/>
        <v>0.2849780492</v>
      </c>
      <c r="M84" s="49">
        <f t="shared" si="7"/>
        <v>0.1330406566</v>
      </c>
      <c r="N84" s="32" t="str">
        <f t="shared" si="8"/>
        <v>Jânio</v>
      </c>
      <c r="O84" s="118" t="s">
        <v>77</v>
      </c>
      <c r="P84" s="38">
        <v>2126.0</v>
      </c>
      <c r="Q84" s="38">
        <v>2152.0</v>
      </c>
      <c r="R84" s="38">
        <v>736.0</v>
      </c>
      <c r="S84" s="38">
        <v>490.0</v>
      </c>
      <c r="T84" s="38">
        <v>138.0</v>
      </c>
      <c r="U84" s="48">
        <f t="shared" si="9"/>
        <v>5014</v>
      </c>
      <c r="V84" s="48">
        <f t="shared" si="10"/>
        <v>5642</v>
      </c>
      <c r="W84" s="49">
        <f t="shared" si="11"/>
        <v>0.4240127643</v>
      </c>
      <c r="X84" s="49">
        <f t="shared" si="12"/>
        <v>0.4291982449</v>
      </c>
      <c r="Y84" s="49">
        <f t="shared" si="13"/>
        <v>0.1467889908</v>
      </c>
      <c r="Z84" s="32" t="str">
        <f t="shared" si="14"/>
        <v>Milton</v>
      </c>
      <c r="AA84" s="118" t="s">
        <v>77</v>
      </c>
      <c r="AB84" s="38">
        <v>6940.0</v>
      </c>
      <c r="AC84" s="48">
        <f t="shared" si="20"/>
        <v>1298</v>
      </c>
      <c r="AD84" s="51">
        <f t="shared" si="21"/>
        <v>0.8129682997</v>
      </c>
    </row>
    <row r="85">
      <c r="A85" s="45" t="s">
        <v>312</v>
      </c>
      <c r="B85" s="46" t="s">
        <v>745</v>
      </c>
      <c r="C85" s="47"/>
      <c r="D85" s="38">
        <v>1124.0</v>
      </c>
      <c r="E85" s="38">
        <v>408.0</v>
      </c>
      <c r="F85" s="38">
        <v>74.0</v>
      </c>
      <c r="G85" s="38">
        <v>50.0</v>
      </c>
      <c r="H85" s="38">
        <v>54.0</v>
      </c>
      <c r="I85" s="48">
        <f t="shared" si="3"/>
        <v>1606</v>
      </c>
      <c r="J85" s="48">
        <f t="shared" si="4"/>
        <v>1710</v>
      </c>
      <c r="K85" s="49">
        <f t="shared" si="5"/>
        <v>0.699875467</v>
      </c>
      <c r="L85" s="49">
        <f t="shared" si="6"/>
        <v>0.2540473225</v>
      </c>
      <c r="M85" s="49">
        <f t="shared" si="7"/>
        <v>0.04607721046</v>
      </c>
      <c r="N85" s="32" t="str">
        <f t="shared" si="8"/>
        <v>Jânio</v>
      </c>
      <c r="O85" s="118" t="s">
        <v>77</v>
      </c>
      <c r="P85" s="38">
        <v>473.0</v>
      </c>
      <c r="Q85" s="38">
        <v>877.0</v>
      </c>
      <c r="R85" s="38">
        <v>119.0</v>
      </c>
      <c r="S85" s="38">
        <v>194.0</v>
      </c>
      <c r="T85" s="38">
        <v>47.0</v>
      </c>
      <c r="U85" s="48">
        <f t="shared" si="9"/>
        <v>1469</v>
      </c>
      <c r="V85" s="48">
        <f t="shared" si="10"/>
        <v>1710</v>
      </c>
      <c r="W85" s="49">
        <f t="shared" si="11"/>
        <v>0.3219877468</v>
      </c>
      <c r="X85" s="49">
        <f t="shared" si="12"/>
        <v>0.5970047651</v>
      </c>
      <c r="Y85" s="49">
        <f t="shared" si="13"/>
        <v>0.08100748809</v>
      </c>
      <c r="Z85" s="32" t="str">
        <f t="shared" si="14"/>
        <v>Milton</v>
      </c>
      <c r="AA85" s="118" t="s">
        <v>77</v>
      </c>
      <c r="AB85" s="38">
        <v>2033.0</v>
      </c>
      <c r="AC85" s="48">
        <f t="shared" si="20"/>
        <v>323</v>
      </c>
      <c r="AD85" s="51">
        <f t="shared" si="21"/>
        <v>0.8411214953</v>
      </c>
    </row>
    <row r="86">
      <c r="A86" s="45" t="s">
        <v>314</v>
      </c>
      <c r="B86" s="46" t="s">
        <v>746</v>
      </c>
      <c r="C86" s="47"/>
      <c r="D86" s="38">
        <v>1032.0</v>
      </c>
      <c r="E86" s="38">
        <v>512.0</v>
      </c>
      <c r="F86" s="38">
        <v>134.0</v>
      </c>
      <c r="G86" s="38">
        <v>96.0</v>
      </c>
      <c r="H86" s="38">
        <v>54.0</v>
      </c>
      <c r="I86" s="48">
        <f t="shared" si="3"/>
        <v>1678</v>
      </c>
      <c r="J86" s="48">
        <f t="shared" si="4"/>
        <v>1828</v>
      </c>
      <c r="K86" s="49">
        <f t="shared" si="5"/>
        <v>0.6150178784</v>
      </c>
      <c r="L86" s="49">
        <f t="shared" si="6"/>
        <v>0.305125149</v>
      </c>
      <c r="M86" s="49">
        <f t="shared" si="7"/>
        <v>0.07985697259</v>
      </c>
      <c r="N86" s="32" t="str">
        <f t="shared" si="8"/>
        <v>Jânio</v>
      </c>
      <c r="O86" s="118" t="s">
        <v>77</v>
      </c>
      <c r="P86" s="38">
        <v>640.0</v>
      </c>
      <c r="Q86" s="38">
        <v>844.0</v>
      </c>
      <c r="R86" s="38">
        <v>115.0</v>
      </c>
      <c r="S86" s="38">
        <v>190.0</v>
      </c>
      <c r="T86" s="38">
        <v>39.0</v>
      </c>
      <c r="U86" s="48">
        <f t="shared" si="9"/>
        <v>1599</v>
      </c>
      <c r="V86" s="48">
        <f t="shared" si="10"/>
        <v>1828</v>
      </c>
      <c r="W86" s="49">
        <f t="shared" si="11"/>
        <v>0.4002501563</v>
      </c>
      <c r="X86" s="49">
        <f t="shared" si="12"/>
        <v>0.5278298937</v>
      </c>
      <c r="Y86" s="49">
        <f t="shared" si="13"/>
        <v>0.07191994997</v>
      </c>
      <c r="Z86" s="32" t="str">
        <f t="shared" si="14"/>
        <v>Milton</v>
      </c>
      <c r="AA86" s="118" t="s">
        <v>77</v>
      </c>
      <c r="AB86" s="38">
        <v>2235.0</v>
      </c>
      <c r="AC86" s="48">
        <f t="shared" si="20"/>
        <v>407</v>
      </c>
      <c r="AD86" s="51">
        <f t="shared" si="21"/>
        <v>0.8178970917</v>
      </c>
    </row>
    <row r="87">
      <c r="A87" s="45" t="s">
        <v>254</v>
      </c>
      <c r="B87" s="46" t="s">
        <v>747</v>
      </c>
      <c r="C87" s="47"/>
      <c r="D87" s="38">
        <v>623.0</v>
      </c>
      <c r="E87" s="38">
        <v>158.0</v>
      </c>
      <c r="F87" s="38">
        <v>78.0</v>
      </c>
      <c r="G87" s="38">
        <v>85.0</v>
      </c>
      <c r="H87" s="38">
        <v>79.0</v>
      </c>
      <c r="I87" s="48">
        <f t="shared" si="3"/>
        <v>859</v>
      </c>
      <c r="J87" s="48">
        <f t="shared" si="4"/>
        <v>1023</v>
      </c>
      <c r="K87" s="49">
        <f t="shared" si="5"/>
        <v>0.7252619325</v>
      </c>
      <c r="L87" s="49">
        <f t="shared" si="6"/>
        <v>0.1839348079</v>
      </c>
      <c r="M87" s="49">
        <f t="shared" si="7"/>
        <v>0.0908032596</v>
      </c>
      <c r="N87" s="32" t="str">
        <f t="shared" si="8"/>
        <v>Jânio</v>
      </c>
      <c r="O87" s="118" t="s">
        <v>77</v>
      </c>
      <c r="P87" s="38">
        <v>214.0</v>
      </c>
      <c r="Q87" s="38">
        <v>287.0</v>
      </c>
      <c r="R87" s="38">
        <v>249.0</v>
      </c>
      <c r="S87" s="38">
        <v>253.0</v>
      </c>
      <c r="T87" s="38">
        <v>20.0</v>
      </c>
      <c r="U87" s="48">
        <f t="shared" si="9"/>
        <v>750</v>
      </c>
      <c r="V87" s="48">
        <f t="shared" si="10"/>
        <v>1023</v>
      </c>
      <c r="W87" s="49">
        <f t="shared" si="11"/>
        <v>0.2853333333</v>
      </c>
      <c r="X87" s="49">
        <f t="shared" si="12"/>
        <v>0.3826666667</v>
      </c>
      <c r="Y87" s="49">
        <f t="shared" si="13"/>
        <v>0.332</v>
      </c>
      <c r="Z87" s="32" t="str">
        <f t="shared" si="14"/>
        <v>Milton</v>
      </c>
      <c r="AA87" s="118" t="s">
        <v>77</v>
      </c>
      <c r="AB87" s="38">
        <v>1493.0</v>
      </c>
      <c r="AC87" s="48">
        <f t="shared" si="20"/>
        <v>470</v>
      </c>
      <c r="AD87" s="51">
        <f t="shared" si="21"/>
        <v>0.6851975887</v>
      </c>
    </row>
    <row r="88">
      <c r="A88" s="45" t="s">
        <v>258</v>
      </c>
      <c r="B88" s="46" t="s">
        <v>748</v>
      </c>
      <c r="C88" s="47"/>
      <c r="D88" s="38">
        <v>671.0</v>
      </c>
      <c r="E88" s="38">
        <v>746.0</v>
      </c>
      <c r="F88" s="38">
        <v>109.0</v>
      </c>
      <c r="G88" s="38">
        <v>38.0</v>
      </c>
      <c r="H88" s="38">
        <v>22.0</v>
      </c>
      <c r="I88" s="48">
        <f t="shared" si="3"/>
        <v>1526</v>
      </c>
      <c r="J88" s="48">
        <f t="shared" si="4"/>
        <v>1586</v>
      </c>
      <c r="K88" s="49">
        <f t="shared" si="5"/>
        <v>0.4397116645</v>
      </c>
      <c r="L88" s="49">
        <f t="shared" si="6"/>
        <v>0.4888597641</v>
      </c>
      <c r="M88" s="49">
        <f t="shared" si="7"/>
        <v>0.07142857143</v>
      </c>
      <c r="N88" s="32" t="str">
        <f t="shared" si="8"/>
        <v>Mal. Lott</v>
      </c>
      <c r="O88" s="118" t="s">
        <v>77</v>
      </c>
      <c r="P88" s="38">
        <v>842.0</v>
      </c>
      <c r="Q88" s="38">
        <v>579.0</v>
      </c>
      <c r="R88" s="38">
        <v>65.0</v>
      </c>
      <c r="S88" s="38">
        <v>84.0</v>
      </c>
      <c r="T88" s="38">
        <v>16.0</v>
      </c>
      <c r="U88" s="48">
        <f t="shared" si="9"/>
        <v>1486</v>
      </c>
      <c r="V88" s="48">
        <f t="shared" si="10"/>
        <v>1586</v>
      </c>
      <c r="W88" s="49">
        <f t="shared" si="11"/>
        <v>0.5666218035</v>
      </c>
      <c r="X88" s="49">
        <f t="shared" si="12"/>
        <v>0.3896366083</v>
      </c>
      <c r="Y88" s="49">
        <f t="shared" si="13"/>
        <v>0.04374158816</v>
      </c>
      <c r="Z88" s="32" t="str">
        <f t="shared" si="14"/>
        <v>Jango</v>
      </c>
      <c r="AA88" s="118" t="s">
        <v>77</v>
      </c>
      <c r="AB88" s="38">
        <v>1915.0</v>
      </c>
      <c r="AC88" s="48">
        <f t="shared" si="20"/>
        <v>329</v>
      </c>
      <c r="AD88" s="51">
        <f t="shared" si="21"/>
        <v>0.8281984334</v>
      </c>
    </row>
    <row r="89">
      <c r="A89" s="45" t="s">
        <v>319</v>
      </c>
      <c r="B89" s="46" t="s">
        <v>749</v>
      </c>
      <c r="C89" s="47"/>
      <c r="D89" s="38">
        <v>371.0</v>
      </c>
      <c r="E89" s="38">
        <v>756.0</v>
      </c>
      <c r="F89" s="38">
        <v>95.0</v>
      </c>
      <c r="G89" s="38">
        <v>45.0</v>
      </c>
      <c r="H89" s="38">
        <v>37.0</v>
      </c>
      <c r="I89" s="48">
        <f t="shared" si="3"/>
        <v>1222</v>
      </c>
      <c r="J89" s="48">
        <f t="shared" si="4"/>
        <v>1304</v>
      </c>
      <c r="K89" s="49">
        <f t="shared" si="5"/>
        <v>0.3036006547</v>
      </c>
      <c r="L89" s="49">
        <f t="shared" si="6"/>
        <v>0.6186579378</v>
      </c>
      <c r="M89" s="49">
        <f t="shared" si="7"/>
        <v>0.07774140753</v>
      </c>
      <c r="N89" s="32" t="str">
        <f t="shared" si="8"/>
        <v>Mal. Lott</v>
      </c>
      <c r="O89" s="118" t="s">
        <v>77</v>
      </c>
      <c r="P89" s="38">
        <v>860.0</v>
      </c>
      <c r="Q89" s="38">
        <v>244.0</v>
      </c>
      <c r="R89" s="38">
        <v>92.0</v>
      </c>
      <c r="S89" s="38">
        <v>94.0</v>
      </c>
      <c r="T89" s="38">
        <v>14.0</v>
      </c>
      <c r="U89" s="48">
        <f t="shared" si="9"/>
        <v>1196</v>
      </c>
      <c r="V89" s="48">
        <f t="shared" si="10"/>
        <v>1304</v>
      </c>
      <c r="W89" s="49">
        <f t="shared" si="11"/>
        <v>0.7190635452</v>
      </c>
      <c r="X89" s="49">
        <f t="shared" si="12"/>
        <v>0.2040133779</v>
      </c>
      <c r="Y89" s="49">
        <f t="shared" si="13"/>
        <v>0.07692307692</v>
      </c>
      <c r="Z89" s="32" t="str">
        <f t="shared" si="14"/>
        <v>Jango</v>
      </c>
      <c r="AA89" s="118" t="s">
        <v>77</v>
      </c>
      <c r="AB89" s="38">
        <v>1618.0</v>
      </c>
      <c r="AC89" s="48">
        <f t="shared" si="20"/>
        <v>314</v>
      </c>
      <c r="AD89" s="51">
        <f t="shared" si="21"/>
        <v>0.8059332509</v>
      </c>
    </row>
    <row r="90">
      <c r="A90" s="45" t="s">
        <v>321</v>
      </c>
      <c r="B90" s="46" t="s">
        <v>750</v>
      </c>
      <c r="C90" s="47"/>
      <c r="D90" s="38">
        <v>682.0</v>
      </c>
      <c r="E90" s="38">
        <v>627.0</v>
      </c>
      <c r="F90" s="38">
        <v>88.0</v>
      </c>
      <c r="G90" s="38">
        <v>74.0</v>
      </c>
      <c r="H90" s="38">
        <v>36.0</v>
      </c>
      <c r="I90" s="48">
        <f t="shared" si="3"/>
        <v>1397</v>
      </c>
      <c r="J90" s="48">
        <f t="shared" si="4"/>
        <v>1507</v>
      </c>
      <c r="K90" s="49">
        <f t="shared" si="5"/>
        <v>0.4881889764</v>
      </c>
      <c r="L90" s="49">
        <f t="shared" si="6"/>
        <v>0.4488188976</v>
      </c>
      <c r="M90" s="49">
        <f t="shared" si="7"/>
        <v>0.06299212598</v>
      </c>
      <c r="N90" s="32" t="str">
        <f t="shared" si="8"/>
        <v>Jânio</v>
      </c>
      <c r="O90" s="118" t="s">
        <v>77</v>
      </c>
      <c r="P90" s="38">
        <v>637.0</v>
      </c>
      <c r="Q90" s="38">
        <v>494.0</v>
      </c>
      <c r="R90" s="38">
        <v>108.0</v>
      </c>
      <c r="S90" s="38">
        <v>233.0</v>
      </c>
      <c r="T90" s="38">
        <v>35.0</v>
      </c>
      <c r="U90" s="48">
        <f t="shared" si="9"/>
        <v>1239</v>
      </c>
      <c r="V90" s="48">
        <f t="shared" si="10"/>
        <v>1507</v>
      </c>
      <c r="W90" s="49">
        <f t="shared" si="11"/>
        <v>0.5141242938</v>
      </c>
      <c r="X90" s="49">
        <f t="shared" si="12"/>
        <v>0.398708636</v>
      </c>
      <c r="Y90" s="49">
        <f t="shared" si="13"/>
        <v>0.08716707022</v>
      </c>
      <c r="Z90" s="32" t="str">
        <f t="shared" si="14"/>
        <v>Jango</v>
      </c>
      <c r="AA90" s="118" t="s">
        <v>77</v>
      </c>
      <c r="AB90" s="38">
        <v>2123.0</v>
      </c>
      <c r="AC90" s="48">
        <f t="shared" si="20"/>
        <v>616</v>
      </c>
      <c r="AD90" s="51">
        <f t="shared" si="21"/>
        <v>0.7098445596</v>
      </c>
    </row>
    <row r="91">
      <c r="A91" s="45" t="s">
        <v>324</v>
      </c>
      <c r="B91" s="46" t="s">
        <v>751</v>
      </c>
      <c r="C91" s="47"/>
      <c r="D91" s="38">
        <v>993.0</v>
      </c>
      <c r="E91" s="38">
        <v>566.0</v>
      </c>
      <c r="F91" s="38">
        <v>75.0</v>
      </c>
      <c r="G91" s="38">
        <v>30.0</v>
      </c>
      <c r="H91" s="38">
        <v>21.0</v>
      </c>
      <c r="I91" s="48">
        <f t="shared" si="3"/>
        <v>1634</v>
      </c>
      <c r="J91" s="48">
        <f t="shared" si="4"/>
        <v>1685</v>
      </c>
      <c r="K91" s="49">
        <f t="shared" si="5"/>
        <v>0.6077111383</v>
      </c>
      <c r="L91" s="49">
        <f t="shared" si="6"/>
        <v>0.3463892289</v>
      </c>
      <c r="M91" s="49">
        <f t="shared" si="7"/>
        <v>0.0458996328</v>
      </c>
      <c r="N91" s="32" t="str">
        <f t="shared" si="8"/>
        <v>Jânio</v>
      </c>
      <c r="O91" s="118" t="s">
        <v>77</v>
      </c>
      <c r="P91" s="38">
        <v>646.0</v>
      </c>
      <c r="Q91" s="38">
        <v>842.0</v>
      </c>
      <c r="R91" s="38">
        <v>88.0</v>
      </c>
      <c r="S91" s="38">
        <v>51.0</v>
      </c>
      <c r="T91" s="38">
        <v>58.0</v>
      </c>
      <c r="U91" s="48">
        <f t="shared" si="9"/>
        <v>1576</v>
      </c>
      <c r="V91" s="48">
        <f t="shared" si="10"/>
        <v>1685</v>
      </c>
      <c r="W91" s="49">
        <f t="shared" si="11"/>
        <v>0.4098984772</v>
      </c>
      <c r="X91" s="49">
        <f t="shared" si="12"/>
        <v>0.5342639594</v>
      </c>
      <c r="Y91" s="49">
        <f t="shared" si="13"/>
        <v>0.05583756345</v>
      </c>
      <c r="Z91" s="32" t="str">
        <f t="shared" si="14"/>
        <v>Milton</v>
      </c>
      <c r="AA91" s="118" t="s">
        <v>77</v>
      </c>
      <c r="AB91" s="38">
        <v>2053.0</v>
      </c>
      <c r="AC91" s="48">
        <f t="shared" si="20"/>
        <v>368</v>
      </c>
      <c r="AD91" s="51">
        <f t="shared" si="21"/>
        <v>0.8207501218</v>
      </c>
    </row>
    <row r="92">
      <c r="A92" s="45" t="s">
        <v>327</v>
      </c>
      <c r="B92" s="46" t="s">
        <v>752</v>
      </c>
      <c r="C92" s="47"/>
      <c r="D92" s="38">
        <v>987.0</v>
      </c>
      <c r="E92" s="38">
        <v>709.0</v>
      </c>
      <c r="F92" s="38">
        <v>116.0</v>
      </c>
      <c r="G92" s="38">
        <v>74.0</v>
      </c>
      <c r="H92" s="38">
        <v>78.0</v>
      </c>
      <c r="I92" s="48">
        <f t="shared" si="3"/>
        <v>1812</v>
      </c>
      <c r="J92" s="48">
        <f t="shared" si="4"/>
        <v>1964</v>
      </c>
      <c r="K92" s="49">
        <f t="shared" si="5"/>
        <v>0.5447019868</v>
      </c>
      <c r="L92" s="49">
        <f t="shared" si="6"/>
        <v>0.3912803532</v>
      </c>
      <c r="M92" s="49">
        <f t="shared" si="7"/>
        <v>0.06401766004</v>
      </c>
      <c r="N92" s="32" t="str">
        <f t="shared" si="8"/>
        <v>Jânio</v>
      </c>
      <c r="O92" s="118" t="s">
        <v>77</v>
      </c>
      <c r="P92" s="38">
        <v>847.0</v>
      </c>
      <c r="Q92" s="38">
        <v>666.0</v>
      </c>
      <c r="R92" s="38">
        <v>147.0</v>
      </c>
      <c r="S92" s="38">
        <v>249.0</v>
      </c>
      <c r="T92" s="38">
        <v>55.0</v>
      </c>
      <c r="U92" s="48">
        <f t="shared" si="9"/>
        <v>1660</v>
      </c>
      <c r="V92" s="48">
        <f t="shared" si="10"/>
        <v>1964</v>
      </c>
      <c r="W92" s="49">
        <f t="shared" si="11"/>
        <v>0.5102409639</v>
      </c>
      <c r="X92" s="49">
        <f t="shared" si="12"/>
        <v>0.4012048193</v>
      </c>
      <c r="Y92" s="49">
        <f t="shared" si="13"/>
        <v>0.08855421687</v>
      </c>
      <c r="Z92" s="32" t="str">
        <f t="shared" si="14"/>
        <v>Jango</v>
      </c>
      <c r="AA92" s="118" t="s">
        <v>77</v>
      </c>
      <c r="AB92" s="38">
        <v>2539.0</v>
      </c>
      <c r="AC92" s="48">
        <f t="shared" si="20"/>
        <v>575</v>
      </c>
      <c r="AD92" s="51">
        <f t="shared" si="21"/>
        <v>0.773532887</v>
      </c>
    </row>
    <row r="93">
      <c r="A93" s="45" t="s">
        <v>501</v>
      </c>
      <c r="B93" s="46" t="s">
        <v>753</v>
      </c>
      <c r="C93" s="47"/>
      <c r="D93" s="38">
        <v>998.0</v>
      </c>
      <c r="E93" s="38">
        <v>1290.0</v>
      </c>
      <c r="F93" s="38">
        <v>289.0</v>
      </c>
      <c r="G93" s="38">
        <v>75.0</v>
      </c>
      <c r="H93" s="38">
        <v>84.0</v>
      </c>
      <c r="I93" s="48">
        <f t="shared" si="3"/>
        <v>2577</v>
      </c>
      <c r="J93" s="48">
        <f t="shared" si="4"/>
        <v>2736</v>
      </c>
      <c r="K93" s="49">
        <f t="shared" si="5"/>
        <v>0.3872720217</v>
      </c>
      <c r="L93" s="49">
        <f t="shared" si="6"/>
        <v>0.5005820722</v>
      </c>
      <c r="M93" s="49">
        <f t="shared" si="7"/>
        <v>0.1121459061</v>
      </c>
      <c r="N93" s="32" t="str">
        <f t="shared" si="8"/>
        <v>Mal. Lott</v>
      </c>
      <c r="O93" s="118" t="s">
        <v>77</v>
      </c>
      <c r="P93" s="38">
        <v>1562.0</v>
      </c>
      <c r="Q93" s="38">
        <v>714.0</v>
      </c>
      <c r="R93" s="38">
        <v>176.0</v>
      </c>
      <c r="S93" s="38">
        <v>255.0</v>
      </c>
      <c r="T93" s="38">
        <v>29.0</v>
      </c>
      <c r="U93" s="48">
        <f t="shared" si="9"/>
        <v>2452</v>
      </c>
      <c r="V93" s="48">
        <f t="shared" si="10"/>
        <v>2736</v>
      </c>
      <c r="W93" s="49">
        <f t="shared" si="11"/>
        <v>0.6370309951</v>
      </c>
      <c r="X93" s="49">
        <f t="shared" si="12"/>
        <v>0.2911908646</v>
      </c>
      <c r="Y93" s="49">
        <f t="shared" si="13"/>
        <v>0.07177814029</v>
      </c>
      <c r="Z93" s="32" t="str">
        <f t="shared" si="14"/>
        <v>Jango</v>
      </c>
      <c r="AA93" s="118" t="s">
        <v>77</v>
      </c>
      <c r="AB93" s="38">
        <v>3214.0</v>
      </c>
      <c r="AC93" s="48">
        <f t="shared" si="20"/>
        <v>478</v>
      </c>
      <c r="AD93" s="51">
        <f t="shared" si="21"/>
        <v>0.8512756689</v>
      </c>
    </row>
    <row r="94">
      <c r="A94" s="45" t="s">
        <v>504</v>
      </c>
      <c r="B94" s="46" t="s">
        <v>754</v>
      </c>
      <c r="C94" s="47"/>
      <c r="D94" s="38">
        <v>1114.0</v>
      </c>
      <c r="E94" s="38">
        <v>852.0</v>
      </c>
      <c r="F94" s="38">
        <v>189.0</v>
      </c>
      <c r="G94" s="38">
        <v>124.0</v>
      </c>
      <c r="H94" s="38">
        <v>231.0</v>
      </c>
      <c r="I94" s="48">
        <f t="shared" si="3"/>
        <v>2155</v>
      </c>
      <c r="J94" s="48">
        <f t="shared" si="4"/>
        <v>2510</v>
      </c>
      <c r="K94" s="49">
        <f t="shared" si="5"/>
        <v>0.516937355</v>
      </c>
      <c r="L94" s="49">
        <f t="shared" si="6"/>
        <v>0.3953596288</v>
      </c>
      <c r="M94" s="49">
        <f t="shared" si="7"/>
        <v>0.08770301624</v>
      </c>
      <c r="N94" s="32" t="str">
        <f t="shared" si="8"/>
        <v>Jânio</v>
      </c>
      <c r="O94" s="118" t="s">
        <v>77</v>
      </c>
      <c r="P94" s="38">
        <v>1046.0</v>
      </c>
      <c r="Q94" s="38">
        <v>863.0</v>
      </c>
      <c r="R94" s="38">
        <v>138.0</v>
      </c>
      <c r="S94" s="38">
        <v>232.0</v>
      </c>
      <c r="T94" s="38">
        <v>231.0</v>
      </c>
      <c r="U94" s="48">
        <f t="shared" si="9"/>
        <v>2047</v>
      </c>
      <c r="V94" s="48">
        <f t="shared" si="10"/>
        <v>2510</v>
      </c>
      <c r="W94" s="49">
        <f t="shared" si="11"/>
        <v>0.5109916952</v>
      </c>
      <c r="X94" s="49">
        <f t="shared" si="12"/>
        <v>0.4215925745</v>
      </c>
      <c r="Y94" s="49">
        <f t="shared" si="13"/>
        <v>0.06741573034</v>
      </c>
      <c r="Z94" s="32" t="str">
        <f t="shared" si="14"/>
        <v>Jango</v>
      </c>
      <c r="AA94" s="118" t="s">
        <v>77</v>
      </c>
      <c r="AB94" s="38">
        <v>3159.0</v>
      </c>
      <c r="AC94" s="48">
        <f t="shared" si="20"/>
        <v>649</v>
      </c>
      <c r="AD94" s="51">
        <f t="shared" si="21"/>
        <v>0.794555239</v>
      </c>
    </row>
    <row r="95">
      <c r="A95" s="45" t="s">
        <v>506</v>
      </c>
      <c r="B95" s="46" t="s">
        <v>755</v>
      </c>
      <c r="C95" s="47"/>
      <c r="D95" s="38">
        <v>1099.0</v>
      </c>
      <c r="E95" s="38">
        <v>1149.0</v>
      </c>
      <c r="F95" s="38">
        <v>200.0</v>
      </c>
      <c r="G95" s="38">
        <v>58.0</v>
      </c>
      <c r="H95" s="38">
        <v>111.0</v>
      </c>
      <c r="I95" s="48">
        <f t="shared" si="3"/>
        <v>2448</v>
      </c>
      <c r="J95" s="48">
        <f t="shared" si="4"/>
        <v>2617</v>
      </c>
      <c r="K95" s="49">
        <f t="shared" si="5"/>
        <v>0.4489379085</v>
      </c>
      <c r="L95" s="49">
        <f t="shared" si="6"/>
        <v>0.4693627451</v>
      </c>
      <c r="M95" s="49">
        <f t="shared" si="7"/>
        <v>0.08169934641</v>
      </c>
      <c r="N95" s="32" t="str">
        <f t="shared" si="8"/>
        <v>Mal. Lott</v>
      </c>
      <c r="O95" s="118" t="s">
        <v>77</v>
      </c>
      <c r="P95" s="38">
        <v>1468.0</v>
      </c>
      <c r="Q95" s="38">
        <v>850.0</v>
      </c>
      <c r="R95" s="38">
        <v>123.0</v>
      </c>
      <c r="S95" s="38">
        <v>119.0</v>
      </c>
      <c r="T95" s="38">
        <v>57.0</v>
      </c>
      <c r="U95" s="48">
        <f t="shared" si="9"/>
        <v>2441</v>
      </c>
      <c r="V95" s="48">
        <f t="shared" si="10"/>
        <v>2617</v>
      </c>
      <c r="W95" s="49">
        <f t="shared" si="11"/>
        <v>0.6013928718</v>
      </c>
      <c r="X95" s="49">
        <f t="shared" si="12"/>
        <v>0.3482179435</v>
      </c>
      <c r="Y95" s="49">
        <f t="shared" si="13"/>
        <v>0.05038918476</v>
      </c>
      <c r="Z95" s="32" t="str">
        <f t="shared" si="14"/>
        <v>Jango</v>
      </c>
      <c r="AA95" s="118" t="s">
        <v>77</v>
      </c>
      <c r="AB95" s="38">
        <v>3330.0</v>
      </c>
      <c r="AC95" s="48">
        <f t="shared" si="20"/>
        <v>713</v>
      </c>
      <c r="AD95" s="51">
        <f t="shared" si="21"/>
        <v>0.7858858859</v>
      </c>
    </row>
    <row r="96">
      <c r="A96" s="45" t="s">
        <v>509</v>
      </c>
      <c r="B96" s="46" t="s">
        <v>756</v>
      </c>
      <c r="C96" s="47"/>
      <c r="D96" s="38">
        <v>835.0</v>
      </c>
      <c r="E96" s="38">
        <v>660.0</v>
      </c>
      <c r="F96" s="38">
        <v>129.0</v>
      </c>
      <c r="G96" s="38">
        <v>79.0</v>
      </c>
      <c r="H96" s="38">
        <v>44.0</v>
      </c>
      <c r="I96" s="48">
        <f t="shared" si="3"/>
        <v>1624</v>
      </c>
      <c r="J96" s="48">
        <f t="shared" si="4"/>
        <v>1747</v>
      </c>
      <c r="K96" s="49">
        <f t="shared" si="5"/>
        <v>0.5141625616</v>
      </c>
      <c r="L96" s="49">
        <f t="shared" si="6"/>
        <v>0.4064039409</v>
      </c>
      <c r="M96" s="49">
        <f t="shared" si="7"/>
        <v>0.07943349754</v>
      </c>
      <c r="N96" s="32" t="str">
        <f t="shared" si="8"/>
        <v>Jânio</v>
      </c>
      <c r="O96" s="118" t="s">
        <v>77</v>
      </c>
      <c r="P96" s="38">
        <v>930.0</v>
      </c>
      <c r="Q96" s="38">
        <v>560.0</v>
      </c>
      <c r="R96" s="38">
        <v>87.0</v>
      </c>
      <c r="S96" s="38">
        <v>141.0</v>
      </c>
      <c r="T96" s="38">
        <v>29.0</v>
      </c>
      <c r="U96" s="48">
        <f t="shared" si="9"/>
        <v>1577</v>
      </c>
      <c r="V96" s="48">
        <f t="shared" si="10"/>
        <v>1747</v>
      </c>
      <c r="W96" s="49">
        <f t="shared" si="11"/>
        <v>0.5897273304</v>
      </c>
      <c r="X96" s="49">
        <f t="shared" si="12"/>
        <v>0.355104629</v>
      </c>
      <c r="Y96" s="49">
        <f t="shared" si="13"/>
        <v>0.05516804058</v>
      </c>
      <c r="Z96" s="32" t="str">
        <f t="shared" si="14"/>
        <v>Jango</v>
      </c>
      <c r="AA96" s="118" t="s">
        <v>77</v>
      </c>
      <c r="AB96" s="38">
        <v>2074.0</v>
      </c>
      <c r="AC96" s="48">
        <f t="shared" si="20"/>
        <v>327</v>
      </c>
      <c r="AD96" s="51">
        <f t="shared" si="21"/>
        <v>0.8423336548</v>
      </c>
    </row>
    <row r="97">
      <c r="A97" s="45" t="s">
        <v>512</v>
      </c>
      <c r="B97" s="46" t="s">
        <v>757</v>
      </c>
      <c r="C97" s="47"/>
      <c r="D97" s="38">
        <v>944.0</v>
      </c>
      <c r="E97" s="38">
        <v>1968.0</v>
      </c>
      <c r="F97" s="38">
        <v>199.0</v>
      </c>
      <c r="G97" s="38">
        <v>150.0</v>
      </c>
      <c r="H97" s="38">
        <v>156.0</v>
      </c>
      <c r="I97" s="48">
        <f t="shared" si="3"/>
        <v>3111</v>
      </c>
      <c r="J97" s="48">
        <f t="shared" si="4"/>
        <v>3417</v>
      </c>
      <c r="K97" s="49">
        <f t="shared" si="5"/>
        <v>0.3034394086</v>
      </c>
      <c r="L97" s="49">
        <f t="shared" si="6"/>
        <v>0.6325940212</v>
      </c>
      <c r="M97" s="49">
        <f t="shared" si="7"/>
        <v>0.06396657023</v>
      </c>
      <c r="N97" s="32" t="str">
        <f t="shared" si="8"/>
        <v>Mal. Lott</v>
      </c>
      <c r="O97" s="118" t="s">
        <v>77</v>
      </c>
      <c r="P97" s="38">
        <v>1990.0</v>
      </c>
      <c r="Q97" s="38">
        <v>626.0</v>
      </c>
      <c r="R97" s="38">
        <v>321.0</v>
      </c>
      <c r="S97" s="38">
        <v>374.0</v>
      </c>
      <c r="T97" s="38">
        <v>106.0</v>
      </c>
      <c r="U97" s="48">
        <f t="shared" si="9"/>
        <v>2937</v>
      </c>
      <c r="V97" s="48">
        <f t="shared" si="10"/>
        <v>3417</v>
      </c>
      <c r="W97" s="49">
        <f t="shared" si="11"/>
        <v>0.6775621382</v>
      </c>
      <c r="X97" s="49">
        <f t="shared" si="12"/>
        <v>0.2131426626</v>
      </c>
      <c r="Y97" s="49">
        <f t="shared" si="13"/>
        <v>0.1092951992</v>
      </c>
      <c r="Z97" s="32" t="str">
        <f t="shared" si="14"/>
        <v>Jango</v>
      </c>
      <c r="AA97" s="118" t="s">
        <v>77</v>
      </c>
      <c r="AB97" s="38">
        <v>4140.0</v>
      </c>
      <c r="AC97" s="48">
        <f t="shared" si="20"/>
        <v>723</v>
      </c>
      <c r="AD97" s="51">
        <f t="shared" si="21"/>
        <v>0.8253623188</v>
      </c>
    </row>
    <row r="98">
      <c r="A98" s="45" t="s">
        <v>514</v>
      </c>
      <c r="B98" s="46" t="s">
        <v>758</v>
      </c>
      <c r="C98" s="47"/>
      <c r="D98" s="38">
        <v>659.0</v>
      </c>
      <c r="E98" s="38">
        <v>554.0</v>
      </c>
      <c r="F98" s="38">
        <v>117.0</v>
      </c>
      <c r="G98" s="38">
        <v>77.0</v>
      </c>
      <c r="H98" s="38">
        <v>67.0</v>
      </c>
      <c r="I98" s="48">
        <f t="shared" si="3"/>
        <v>1330</v>
      </c>
      <c r="J98" s="48">
        <f t="shared" si="4"/>
        <v>1474</v>
      </c>
      <c r="K98" s="49">
        <f t="shared" si="5"/>
        <v>0.4954887218</v>
      </c>
      <c r="L98" s="49">
        <f t="shared" si="6"/>
        <v>0.4165413534</v>
      </c>
      <c r="M98" s="49">
        <f t="shared" si="7"/>
        <v>0.08796992481</v>
      </c>
      <c r="N98" s="32" t="str">
        <f t="shared" si="8"/>
        <v>Jânio</v>
      </c>
      <c r="O98" s="118" t="s">
        <v>77</v>
      </c>
      <c r="P98" s="38">
        <v>614.0</v>
      </c>
      <c r="Q98" s="38">
        <v>461.0</v>
      </c>
      <c r="R98" s="38">
        <v>125.0</v>
      </c>
      <c r="S98" s="38">
        <v>243.0</v>
      </c>
      <c r="T98" s="38">
        <v>31.0</v>
      </c>
      <c r="U98" s="48">
        <f t="shared" si="9"/>
        <v>1200</v>
      </c>
      <c r="V98" s="48">
        <f t="shared" si="10"/>
        <v>1474</v>
      </c>
      <c r="W98" s="49">
        <f t="shared" si="11"/>
        <v>0.5116666667</v>
      </c>
      <c r="X98" s="49">
        <f t="shared" si="12"/>
        <v>0.3841666667</v>
      </c>
      <c r="Y98" s="49">
        <f t="shared" si="13"/>
        <v>0.1041666667</v>
      </c>
      <c r="Z98" s="32" t="str">
        <f t="shared" si="14"/>
        <v>Jango</v>
      </c>
      <c r="AA98" s="118" t="s">
        <v>77</v>
      </c>
      <c r="AB98" s="38">
        <v>1600.0</v>
      </c>
      <c r="AC98" s="48">
        <f t="shared" si="20"/>
        <v>126</v>
      </c>
      <c r="AD98" s="51">
        <f t="shared" si="21"/>
        <v>0.92125</v>
      </c>
    </row>
    <row r="99">
      <c r="A99" s="45" t="s">
        <v>516</v>
      </c>
      <c r="B99" s="46" t="s">
        <v>759</v>
      </c>
      <c r="C99" s="47"/>
      <c r="D99" s="38">
        <v>1043.0</v>
      </c>
      <c r="E99" s="38">
        <v>1191.0</v>
      </c>
      <c r="F99" s="38">
        <v>101.0</v>
      </c>
      <c r="G99" s="38">
        <v>105.0</v>
      </c>
      <c r="H99" s="38">
        <v>103.0</v>
      </c>
      <c r="I99" s="48">
        <f t="shared" si="3"/>
        <v>2335</v>
      </c>
      <c r="J99" s="48">
        <f t="shared" si="4"/>
        <v>2543</v>
      </c>
      <c r="K99" s="49">
        <f t="shared" si="5"/>
        <v>0.4466809422</v>
      </c>
      <c r="L99" s="49">
        <f t="shared" si="6"/>
        <v>0.5100642398</v>
      </c>
      <c r="M99" s="49">
        <f t="shared" si="7"/>
        <v>0.04325481799</v>
      </c>
      <c r="N99" s="32" t="str">
        <f t="shared" si="8"/>
        <v>Mal. Lott</v>
      </c>
      <c r="O99" s="118" t="s">
        <v>77</v>
      </c>
      <c r="P99" s="38">
        <v>1563.0</v>
      </c>
      <c r="Q99" s="38">
        <v>418.0</v>
      </c>
      <c r="R99" s="38">
        <v>244.0</v>
      </c>
      <c r="S99" s="38">
        <v>241.0</v>
      </c>
      <c r="T99" s="38">
        <v>77.0</v>
      </c>
      <c r="U99" s="48">
        <f t="shared" si="9"/>
        <v>2225</v>
      </c>
      <c r="V99" s="48">
        <f t="shared" si="10"/>
        <v>2543</v>
      </c>
      <c r="W99" s="49">
        <f t="shared" si="11"/>
        <v>0.7024719101</v>
      </c>
      <c r="X99" s="49">
        <f t="shared" si="12"/>
        <v>0.1878651685</v>
      </c>
      <c r="Y99" s="49">
        <f t="shared" si="13"/>
        <v>0.1096629213</v>
      </c>
      <c r="Z99" s="32" t="str">
        <f t="shared" si="14"/>
        <v>Jango</v>
      </c>
      <c r="AA99" s="118" t="s">
        <v>77</v>
      </c>
      <c r="AB99" s="38">
        <v>3003.0</v>
      </c>
      <c r="AC99" s="48">
        <f t="shared" si="20"/>
        <v>460</v>
      </c>
      <c r="AD99" s="51">
        <f t="shared" si="21"/>
        <v>0.8468198468</v>
      </c>
    </row>
    <row r="100">
      <c r="A100" s="69" t="s">
        <v>54</v>
      </c>
      <c r="B100" s="13"/>
      <c r="C100" s="47"/>
      <c r="D100" s="38">
        <f t="shared" ref="D100:H100" si="22">SUM(D14:D36,D39:D99)</f>
        <v>143408</v>
      </c>
      <c r="E100" s="38">
        <f t="shared" si="22"/>
        <v>104725</v>
      </c>
      <c r="F100" s="38">
        <f t="shared" si="22"/>
        <v>18349</v>
      </c>
      <c r="G100" s="38">
        <f t="shared" si="22"/>
        <v>10345</v>
      </c>
      <c r="H100" s="38">
        <f t="shared" si="22"/>
        <v>9485</v>
      </c>
      <c r="I100" s="48">
        <f t="shared" si="3"/>
        <v>266482</v>
      </c>
      <c r="J100" s="48">
        <f t="shared" si="4"/>
        <v>286312</v>
      </c>
      <c r="K100" s="49">
        <f t="shared" si="5"/>
        <v>0.5381526707</v>
      </c>
      <c r="L100" s="49">
        <f t="shared" si="6"/>
        <v>0.3929908962</v>
      </c>
      <c r="M100" s="49">
        <f t="shared" si="7"/>
        <v>0.06885643308</v>
      </c>
      <c r="N100" s="32" t="str">
        <f t="shared" si="8"/>
        <v>Jânio</v>
      </c>
      <c r="O100" s="117"/>
      <c r="P100" s="38">
        <f t="shared" ref="P100:R100" si="23">SUM(P14:P36,P39:P99)</f>
        <v>122471</v>
      </c>
      <c r="Q100" s="38">
        <f t="shared" si="23"/>
        <v>103909</v>
      </c>
      <c r="R100" s="38">
        <f t="shared" si="23"/>
        <v>26269</v>
      </c>
      <c r="S100" s="55">
        <v>26413.0</v>
      </c>
      <c r="T100" s="55">
        <v>7250.0</v>
      </c>
      <c r="U100" s="48">
        <f t="shared" si="9"/>
        <v>252649</v>
      </c>
      <c r="V100" s="48">
        <f t="shared" si="10"/>
        <v>286312</v>
      </c>
      <c r="W100" s="49">
        <f t="shared" si="11"/>
        <v>0.4847476143</v>
      </c>
      <c r="X100" s="49">
        <f t="shared" si="12"/>
        <v>0.4112780973</v>
      </c>
      <c r="Y100" s="49">
        <f t="shared" si="13"/>
        <v>0.1039742884</v>
      </c>
      <c r="Z100" s="32" t="str">
        <f t="shared" si="14"/>
        <v>Jango</v>
      </c>
      <c r="AA100" s="117"/>
      <c r="AB100" s="55">
        <v>352357.0</v>
      </c>
      <c r="AC100" s="48">
        <f t="shared" si="20"/>
        <v>66045</v>
      </c>
      <c r="AD100" s="51">
        <f t="shared" si="21"/>
        <v>0.8125622593</v>
      </c>
    </row>
    <row r="101">
      <c r="O101" s="73"/>
    </row>
    <row r="102">
      <c r="B102" s="74" t="s">
        <v>138</v>
      </c>
      <c r="D102" s="75"/>
      <c r="E102" s="75"/>
      <c r="F102" s="75"/>
      <c r="G102" s="75"/>
    </row>
    <row r="103">
      <c r="B103" s="76" t="s">
        <v>139</v>
      </c>
      <c r="C103" s="33"/>
      <c r="D103" s="29"/>
      <c r="E103" s="29"/>
      <c r="F103" s="77"/>
      <c r="G103" s="77"/>
    </row>
    <row r="104">
      <c r="B104" s="76" t="s">
        <v>139</v>
      </c>
      <c r="D104" s="29"/>
      <c r="E104" s="29"/>
      <c r="F104" s="77"/>
      <c r="G104" s="77"/>
    </row>
    <row r="105">
      <c r="D105" s="29"/>
      <c r="E105" s="29"/>
      <c r="F105" s="77"/>
      <c r="G105" s="77"/>
    </row>
  </sheetData>
  <mergeCells count="26">
    <mergeCell ref="D2:G2"/>
    <mergeCell ref="A10:C10"/>
    <mergeCell ref="D10:N10"/>
    <mergeCell ref="P10:Z10"/>
    <mergeCell ref="AA10:AD10"/>
    <mergeCell ref="A18:A19"/>
    <mergeCell ref="A22:A23"/>
    <mergeCell ref="A25:A27"/>
    <mergeCell ref="A28:A29"/>
    <mergeCell ref="A32:A34"/>
    <mergeCell ref="A35:A36"/>
    <mergeCell ref="A42:A44"/>
    <mergeCell ref="A45:A46"/>
    <mergeCell ref="A47:A49"/>
    <mergeCell ref="A73:A74"/>
    <mergeCell ref="A75:A76"/>
    <mergeCell ref="A78:A79"/>
    <mergeCell ref="A82:A83"/>
    <mergeCell ref="A100:B100"/>
    <mergeCell ref="A51:A53"/>
    <mergeCell ref="A54:A56"/>
    <mergeCell ref="A57:A58"/>
    <mergeCell ref="A61:A63"/>
    <mergeCell ref="A64:A65"/>
    <mergeCell ref="A67:A68"/>
    <mergeCell ref="A70:A72"/>
  </mergeCells>
  <conditionalFormatting sqref="K12:M100 N12:N101 Z12:Z100">
    <cfRule type="colorScale" priority="1">
      <colorScale>
        <cfvo type="percent" val="0"/>
        <cfvo type="percent" val="50"/>
        <cfvo type="percent" val="100"/>
        <color rgb="FFFFFFFF"/>
        <color rgb="FFABDDC5"/>
        <color rgb="FF57BB8A"/>
      </colorScale>
    </cfRule>
  </conditionalFormatting>
  <conditionalFormatting sqref="W12:Y100">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IF(SUM(COUNTIF($N$21:$N$67,D3),COUNTIF($N$70:$N$124,D3))=0,"-",SUM(COUNTIF($N$21:$N$67,D3),COUNTIF($N$70:$N$124,D3)))</f>
        <v>64</v>
      </c>
      <c r="F3" s="32" t="s">
        <v>47</v>
      </c>
      <c r="G3" s="22">
        <f t="shared" ref="G3:G6" si="2">IF(SUM(COUNTIF($Z$21:$Z$67,F3),COUNTIF($Z$70:$Z$124,F3))=0,"-",SUM(COUNTIF($Z$21:$Z$67,F3),COUNTIF($Z$70:$Z$124,F3)))</f>
        <v>48</v>
      </c>
    </row>
    <row r="4">
      <c r="D4" s="32" t="s">
        <v>48</v>
      </c>
      <c r="E4" s="22">
        <f t="shared" si="1"/>
        <v>37</v>
      </c>
      <c r="F4" s="32" t="s">
        <v>49</v>
      </c>
      <c r="G4" s="22">
        <f t="shared" si="2"/>
        <v>53</v>
      </c>
    </row>
    <row r="5">
      <c r="D5" s="32" t="s">
        <v>50</v>
      </c>
      <c r="E5" s="22" t="str">
        <f t="shared" si="1"/>
        <v>-</v>
      </c>
      <c r="F5" s="32" t="s">
        <v>51</v>
      </c>
      <c r="G5" s="22">
        <f t="shared" si="2"/>
        <v>1</v>
      </c>
    </row>
    <row r="6">
      <c r="D6" s="32" t="s">
        <v>52</v>
      </c>
      <c r="E6" s="22">
        <f t="shared" si="1"/>
        <v>1</v>
      </c>
      <c r="F6" s="32" t="s">
        <v>52</v>
      </c>
      <c r="G6" s="22" t="str">
        <f t="shared" si="2"/>
        <v>-</v>
      </c>
    </row>
    <row r="7">
      <c r="D7" s="32" t="s">
        <v>54</v>
      </c>
      <c r="E7" s="32">
        <f>SUM(E3:E6)</f>
        <v>102</v>
      </c>
      <c r="F7" s="32" t="s">
        <v>54</v>
      </c>
      <c r="G7" s="32">
        <f>SUM(G3:G6)</f>
        <v>102</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45" t="s">
        <v>73</v>
      </c>
      <c r="B12" s="46" t="s">
        <v>760</v>
      </c>
      <c r="C12" s="47"/>
      <c r="D12" s="38">
        <v>10184.0</v>
      </c>
      <c r="E12" s="38">
        <v>8179.0</v>
      </c>
      <c r="F12" s="38">
        <v>2575.0</v>
      </c>
      <c r="G12" s="38">
        <v>514.0</v>
      </c>
      <c r="H12" s="38">
        <v>1203.0</v>
      </c>
      <c r="I12" s="48">
        <f t="shared" ref="I12:I125" si="3">SUM(D12:F12)</f>
        <v>20938</v>
      </c>
      <c r="J12" s="48">
        <f t="shared" ref="J12:J125" si="4">SUM(G12:I12)</f>
        <v>22655</v>
      </c>
      <c r="K12" s="49">
        <f t="shared" ref="K12:K125" si="5">D12/I12</f>
        <v>0.4863883848</v>
      </c>
      <c r="L12" s="49">
        <f t="shared" ref="L12:L125" si="6">E12/I12</f>
        <v>0.3906294775</v>
      </c>
      <c r="M12" s="49">
        <f t="shared" ref="M12:M125" si="7">F12/I12</f>
        <v>0.1229821377</v>
      </c>
      <c r="N12" s="32" t="str">
        <f t="shared" ref="N12:N125" si="8">IF(LARGE(D12:F12,1)=0,#REF!,IF(LARGE(D12:F12,1)=LARGE(D12:F12,2),$D$6,IF(LARGE(D12:F12,1)=D12,$D$3,IF(LARGE(D12:F12,1)=E12,$D$4,IF(LARGE(D12:F12,1)=F12,$D$5)))))</f>
        <v>Jânio</v>
      </c>
      <c r="O12" s="50"/>
      <c r="P12" s="38">
        <v>7771.0</v>
      </c>
      <c r="Q12" s="38">
        <v>7930.0</v>
      </c>
      <c r="R12" s="38">
        <v>4750.0</v>
      </c>
      <c r="S12" s="38">
        <v>1396.0</v>
      </c>
      <c r="T12" s="38">
        <v>808.0</v>
      </c>
      <c r="U12" s="48">
        <f t="shared" ref="U12:U125" si="9">SUM(P12:R12)</f>
        <v>20451</v>
      </c>
      <c r="V12" s="48">
        <f t="shared" ref="V12:V125" si="10">SUM(S12:U12)</f>
        <v>22655</v>
      </c>
      <c r="W12" s="49">
        <f t="shared" ref="W12:W125" si="11">P12/U12</f>
        <v>0.379981419</v>
      </c>
      <c r="X12" s="49">
        <f t="shared" ref="X12:X125" si="12">Q12/U12</f>
        <v>0.3877560999</v>
      </c>
      <c r="Y12" s="49">
        <f t="shared" ref="Y12:Y125" si="13">R12/U12</f>
        <v>0.2322624811</v>
      </c>
      <c r="Z12" s="32" t="str">
        <f t="shared" ref="Z12:Z125" si="14">IF(LARGE(P12:R12,1)=0,#REF!,IF(LARGE(P12:R12,1)=LARGE(P12:R12,2),$F$6,IF(LARGE(P12:R12,1)=P12,$F$3,IF(LARGE(P12:R12,1)=Q12,$F$4,IF(LARGE(P12:R12,1)=R12,$F$5)))))</f>
        <v>Milton</v>
      </c>
      <c r="AA12" s="44"/>
      <c r="AB12" s="38" t="s">
        <v>77</v>
      </c>
      <c r="AC12" s="38" t="s">
        <v>77</v>
      </c>
      <c r="AD12" s="38" t="s">
        <v>77</v>
      </c>
    </row>
    <row r="13">
      <c r="A13" s="45" t="s">
        <v>75</v>
      </c>
      <c r="B13" s="46" t="s">
        <v>761</v>
      </c>
      <c r="C13" s="47"/>
      <c r="D13" s="38">
        <v>5333.0</v>
      </c>
      <c r="E13" s="38">
        <v>4833.0</v>
      </c>
      <c r="F13" s="38">
        <v>1610.0</v>
      </c>
      <c r="G13" s="38">
        <v>257.0</v>
      </c>
      <c r="H13" s="38">
        <v>595.0</v>
      </c>
      <c r="I13" s="48">
        <f t="shared" si="3"/>
        <v>11776</v>
      </c>
      <c r="J13" s="48">
        <f t="shared" si="4"/>
        <v>12628</v>
      </c>
      <c r="K13" s="49">
        <f t="shared" si="5"/>
        <v>0.4528702446</v>
      </c>
      <c r="L13" s="49">
        <f t="shared" si="6"/>
        <v>0.4104110054</v>
      </c>
      <c r="M13" s="49">
        <f t="shared" si="7"/>
        <v>0.13671875</v>
      </c>
      <c r="N13" s="32" t="str">
        <f t="shared" si="8"/>
        <v>Jânio</v>
      </c>
      <c r="O13" s="50"/>
      <c r="P13" s="38">
        <v>4944.0</v>
      </c>
      <c r="Q13" s="38">
        <v>4231.0</v>
      </c>
      <c r="R13" s="38">
        <v>2379.0</v>
      </c>
      <c r="S13" s="38">
        <v>697.0</v>
      </c>
      <c r="T13" s="38">
        <v>377.0</v>
      </c>
      <c r="U13" s="48">
        <f t="shared" si="9"/>
        <v>11554</v>
      </c>
      <c r="V13" s="48">
        <f t="shared" si="10"/>
        <v>12628</v>
      </c>
      <c r="W13" s="49">
        <f t="shared" si="11"/>
        <v>0.4279037563</v>
      </c>
      <c r="X13" s="49">
        <f t="shared" si="12"/>
        <v>0.3661935261</v>
      </c>
      <c r="Y13" s="49">
        <f t="shared" si="13"/>
        <v>0.2059027177</v>
      </c>
      <c r="Z13" s="32" t="str">
        <f t="shared" si="14"/>
        <v>Jango</v>
      </c>
      <c r="AA13" s="44"/>
      <c r="AB13" s="38" t="s">
        <v>77</v>
      </c>
      <c r="AC13" s="38" t="s">
        <v>77</v>
      </c>
      <c r="AD13" s="38" t="s">
        <v>77</v>
      </c>
    </row>
    <row r="14">
      <c r="A14" s="45" t="s">
        <v>79</v>
      </c>
      <c r="B14" s="46" t="s">
        <v>762</v>
      </c>
      <c r="C14" s="47"/>
      <c r="D14" s="38">
        <v>8092.0</v>
      </c>
      <c r="E14" s="38">
        <v>8010.0</v>
      </c>
      <c r="F14" s="38">
        <v>2484.0</v>
      </c>
      <c r="G14" s="38">
        <v>387.0</v>
      </c>
      <c r="H14" s="38">
        <v>1479.0</v>
      </c>
      <c r="I14" s="48">
        <f t="shared" si="3"/>
        <v>18586</v>
      </c>
      <c r="J14" s="48">
        <f t="shared" si="4"/>
        <v>20452</v>
      </c>
      <c r="K14" s="49">
        <f t="shared" si="5"/>
        <v>0.4353814699</v>
      </c>
      <c r="L14" s="49">
        <f t="shared" si="6"/>
        <v>0.430969547</v>
      </c>
      <c r="M14" s="49">
        <f t="shared" si="7"/>
        <v>0.1336489831</v>
      </c>
      <c r="N14" s="32" t="str">
        <f t="shared" si="8"/>
        <v>Jânio</v>
      </c>
      <c r="O14" s="50"/>
      <c r="P14" s="38">
        <v>7863.0</v>
      </c>
      <c r="Q14" s="38">
        <v>6424.0</v>
      </c>
      <c r="R14" s="38">
        <v>3755.0</v>
      </c>
      <c r="S14" s="38">
        <v>993.0</v>
      </c>
      <c r="T14" s="38">
        <v>1417.0</v>
      </c>
      <c r="U14" s="48">
        <f t="shared" si="9"/>
        <v>18042</v>
      </c>
      <c r="V14" s="48">
        <f t="shared" si="10"/>
        <v>20452</v>
      </c>
      <c r="W14" s="49">
        <f t="shared" si="11"/>
        <v>0.4358164283</v>
      </c>
      <c r="X14" s="49">
        <f t="shared" si="12"/>
        <v>0.3560580867</v>
      </c>
      <c r="Y14" s="49">
        <f t="shared" si="13"/>
        <v>0.208125485</v>
      </c>
      <c r="Z14" s="32" t="str">
        <f t="shared" si="14"/>
        <v>Jango</v>
      </c>
      <c r="AA14" s="44"/>
      <c r="AB14" s="38" t="s">
        <v>77</v>
      </c>
      <c r="AC14" s="38" t="s">
        <v>77</v>
      </c>
      <c r="AD14" s="38" t="s">
        <v>77</v>
      </c>
    </row>
    <row r="15">
      <c r="A15" s="45" t="s">
        <v>85</v>
      </c>
      <c r="B15" s="46" t="s">
        <v>763</v>
      </c>
      <c r="C15" s="47"/>
      <c r="D15" s="38">
        <v>4882.0</v>
      </c>
      <c r="E15" s="38">
        <v>2970.0</v>
      </c>
      <c r="F15" s="38">
        <v>536.0</v>
      </c>
      <c r="G15" s="38">
        <v>85.0</v>
      </c>
      <c r="H15" s="38">
        <v>238.0</v>
      </c>
      <c r="I15" s="48">
        <f t="shared" si="3"/>
        <v>8388</v>
      </c>
      <c r="J15" s="48">
        <f t="shared" si="4"/>
        <v>8711</v>
      </c>
      <c r="K15" s="49">
        <f t="shared" si="5"/>
        <v>0.5820219361</v>
      </c>
      <c r="L15" s="49">
        <f t="shared" si="6"/>
        <v>0.3540772532</v>
      </c>
      <c r="M15" s="49">
        <f t="shared" si="7"/>
        <v>0.06390081068</v>
      </c>
      <c r="N15" s="32" t="str">
        <f t="shared" si="8"/>
        <v>Jânio</v>
      </c>
      <c r="O15" s="50"/>
      <c r="P15" s="38">
        <v>2199.0</v>
      </c>
      <c r="Q15" s="38">
        <v>3819.0</v>
      </c>
      <c r="R15" s="38">
        <v>2254.0</v>
      </c>
      <c r="S15" s="38">
        <v>222.0</v>
      </c>
      <c r="T15" s="38">
        <v>217.0</v>
      </c>
      <c r="U15" s="48">
        <f t="shared" si="9"/>
        <v>8272</v>
      </c>
      <c r="V15" s="48">
        <f t="shared" si="10"/>
        <v>8711</v>
      </c>
      <c r="W15" s="49">
        <f t="shared" si="11"/>
        <v>0.2658365571</v>
      </c>
      <c r="X15" s="49">
        <f t="shared" si="12"/>
        <v>0.4616779497</v>
      </c>
      <c r="Y15" s="49">
        <f t="shared" si="13"/>
        <v>0.2724854932</v>
      </c>
      <c r="Z15" s="32" t="str">
        <f t="shared" si="14"/>
        <v>Milton</v>
      </c>
      <c r="AA15" s="44"/>
      <c r="AB15" s="38" t="s">
        <v>77</v>
      </c>
      <c r="AC15" s="38" t="s">
        <v>77</v>
      </c>
      <c r="AD15" s="38" t="s">
        <v>77</v>
      </c>
    </row>
    <row r="16">
      <c r="A16" s="45" t="s">
        <v>90</v>
      </c>
      <c r="B16" s="46" t="s">
        <v>764</v>
      </c>
      <c r="C16" s="47"/>
      <c r="D16" s="38">
        <v>10656.0</v>
      </c>
      <c r="E16" s="38">
        <v>6899.0</v>
      </c>
      <c r="F16" s="38">
        <v>1943.0</v>
      </c>
      <c r="G16" s="38">
        <v>401.0</v>
      </c>
      <c r="H16" s="38">
        <v>619.0</v>
      </c>
      <c r="I16" s="48">
        <f t="shared" si="3"/>
        <v>19498</v>
      </c>
      <c r="J16" s="48">
        <f t="shared" si="4"/>
        <v>20518</v>
      </c>
      <c r="K16" s="49">
        <f t="shared" si="5"/>
        <v>0.5465175915</v>
      </c>
      <c r="L16" s="49">
        <f t="shared" si="6"/>
        <v>0.3538311622</v>
      </c>
      <c r="M16" s="49">
        <f t="shared" si="7"/>
        <v>0.09965124628</v>
      </c>
      <c r="N16" s="32" t="str">
        <f t="shared" si="8"/>
        <v>Jânio</v>
      </c>
      <c r="O16" s="50"/>
      <c r="P16" s="38">
        <v>6113.0</v>
      </c>
      <c r="Q16" s="38">
        <v>8463.0</v>
      </c>
      <c r="R16" s="38">
        <v>4664.0</v>
      </c>
      <c r="S16" s="38">
        <v>864.0</v>
      </c>
      <c r="T16" s="38">
        <v>414.0</v>
      </c>
      <c r="U16" s="48">
        <f t="shared" si="9"/>
        <v>19240</v>
      </c>
      <c r="V16" s="48">
        <f t="shared" si="10"/>
        <v>20518</v>
      </c>
      <c r="W16" s="49">
        <f t="shared" si="11"/>
        <v>0.3177234927</v>
      </c>
      <c r="X16" s="49">
        <f t="shared" si="12"/>
        <v>0.4398648649</v>
      </c>
      <c r="Y16" s="49">
        <f t="shared" si="13"/>
        <v>0.2424116424</v>
      </c>
      <c r="Z16" s="32" t="str">
        <f t="shared" si="14"/>
        <v>Milton</v>
      </c>
      <c r="AA16" s="44"/>
      <c r="AB16" s="38" t="s">
        <v>77</v>
      </c>
      <c r="AC16" s="38" t="s">
        <v>77</v>
      </c>
      <c r="AD16" s="38" t="s">
        <v>77</v>
      </c>
    </row>
    <row r="17">
      <c r="A17" s="45" t="s">
        <v>92</v>
      </c>
      <c r="B17" s="46" t="s">
        <v>765</v>
      </c>
      <c r="C17" s="47"/>
      <c r="D17" s="38">
        <v>9542.0</v>
      </c>
      <c r="E17" s="38">
        <v>8777.0</v>
      </c>
      <c r="F17" s="38">
        <v>1991.0</v>
      </c>
      <c r="G17" s="38">
        <v>704.0</v>
      </c>
      <c r="H17" s="38">
        <v>1152.0</v>
      </c>
      <c r="I17" s="48">
        <f t="shared" si="3"/>
        <v>20310</v>
      </c>
      <c r="J17" s="48">
        <f t="shared" si="4"/>
        <v>22166</v>
      </c>
      <c r="K17" s="49">
        <f t="shared" si="5"/>
        <v>0.4698178237</v>
      </c>
      <c r="L17" s="49">
        <f t="shared" si="6"/>
        <v>0.4321516494</v>
      </c>
      <c r="M17" s="49">
        <f t="shared" si="7"/>
        <v>0.09803052683</v>
      </c>
      <c r="N17" s="32" t="str">
        <f t="shared" si="8"/>
        <v>Jânio</v>
      </c>
      <c r="O17" s="50"/>
      <c r="P17" s="38">
        <v>8503.0</v>
      </c>
      <c r="Q17" s="38">
        <v>7592.0</v>
      </c>
      <c r="R17" s="38">
        <v>3774.0</v>
      </c>
      <c r="S17" s="38">
        <v>1331.0</v>
      </c>
      <c r="T17" s="38">
        <v>966.0</v>
      </c>
      <c r="U17" s="48">
        <f t="shared" si="9"/>
        <v>19869</v>
      </c>
      <c r="V17" s="48">
        <f t="shared" si="10"/>
        <v>22166</v>
      </c>
      <c r="W17" s="49">
        <f t="shared" si="11"/>
        <v>0.4279530928</v>
      </c>
      <c r="X17" s="49">
        <f t="shared" si="12"/>
        <v>0.3821027732</v>
      </c>
      <c r="Y17" s="49">
        <f t="shared" si="13"/>
        <v>0.1899441341</v>
      </c>
      <c r="Z17" s="32" t="str">
        <f t="shared" si="14"/>
        <v>Jango</v>
      </c>
      <c r="AA17" s="44"/>
      <c r="AB17" s="38" t="s">
        <v>77</v>
      </c>
      <c r="AC17" s="38" t="s">
        <v>77</v>
      </c>
      <c r="AD17" s="38" t="s">
        <v>77</v>
      </c>
    </row>
    <row r="18">
      <c r="A18" s="45" t="s">
        <v>94</v>
      </c>
      <c r="B18" s="46" t="s">
        <v>766</v>
      </c>
      <c r="C18" s="47"/>
      <c r="D18" s="38">
        <v>9441.0</v>
      </c>
      <c r="E18" s="38">
        <v>7821.0</v>
      </c>
      <c r="F18" s="38">
        <v>2186.0</v>
      </c>
      <c r="G18" s="38">
        <v>409.0</v>
      </c>
      <c r="H18" s="38">
        <v>833.0</v>
      </c>
      <c r="I18" s="48">
        <f t="shared" si="3"/>
        <v>19448</v>
      </c>
      <c r="J18" s="48">
        <f t="shared" si="4"/>
        <v>20690</v>
      </c>
      <c r="K18" s="49">
        <f t="shared" si="5"/>
        <v>0.4854483752</v>
      </c>
      <c r="L18" s="49">
        <f t="shared" si="6"/>
        <v>0.4021493213</v>
      </c>
      <c r="M18" s="49">
        <f t="shared" si="7"/>
        <v>0.1124023036</v>
      </c>
      <c r="N18" s="32" t="str">
        <f t="shared" si="8"/>
        <v>Jânio</v>
      </c>
      <c r="O18" s="50"/>
      <c r="P18" s="38">
        <v>7515.0</v>
      </c>
      <c r="Q18" s="38">
        <v>7295.0</v>
      </c>
      <c r="R18" s="38">
        <v>4258.0</v>
      </c>
      <c r="S18" s="38">
        <v>1081.0</v>
      </c>
      <c r="T18" s="38">
        <v>541.0</v>
      </c>
      <c r="U18" s="48">
        <f t="shared" si="9"/>
        <v>19068</v>
      </c>
      <c r="V18" s="48">
        <f t="shared" si="10"/>
        <v>20690</v>
      </c>
      <c r="W18" s="49">
        <f t="shared" si="11"/>
        <v>0.3941157961</v>
      </c>
      <c r="X18" s="49">
        <f t="shared" si="12"/>
        <v>0.3825781414</v>
      </c>
      <c r="Y18" s="49">
        <f t="shared" si="13"/>
        <v>0.2233060625</v>
      </c>
      <c r="Z18" s="32" t="str">
        <f t="shared" si="14"/>
        <v>Jango</v>
      </c>
      <c r="AA18" s="44"/>
      <c r="AB18" s="38" t="s">
        <v>77</v>
      </c>
      <c r="AC18" s="38" t="s">
        <v>77</v>
      </c>
      <c r="AD18" s="38" t="s">
        <v>77</v>
      </c>
    </row>
    <row r="19">
      <c r="A19" s="45" t="s">
        <v>97</v>
      </c>
      <c r="B19" s="46" t="s">
        <v>767</v>
      </c>
      <c r="C19" s="47"/>
      <c r="D19" s="38">
        <v>6142.0</v>
      </c>
      <c r="E19" s="38">
        <v>5090.0</v>
      </c>
      <c r="F19" s="38">
        <v>1540.0</v>
      </c>
      <c r="G19" s="38">
        <v>314.0</v>
      </c>
      <c r="H19" s="38">
        <v>701.0</v>
      </c>
      <c r="I19" s="48">
        <f t="shared" si="3"/>
        <v>12772</v>
      </c>
      <c r="J19" s="48">
        <f t="shared" si="4"/>
        <v>13787</v>
      </c>
      <c r="K19" s="49">
        <f t="shared" si="5"/>
        <v>0.4808957094</v>
      </c>
      <c r="L19" s="49">
        <f t="shared" si="6"/>
        <v>0.3985280301</v>
      </c>
      <c r="M19" s="49">
        <f t="shared" si="7"/>
        <v>0.1205762606</v>
      </c>
      <c r="N19" s="32" t="str">
        <f t="shared" si="8"/>
        <v>Jânio</v>
      </c>
      <c r="O19" s="50"/>
      <c r="P19" s="38">
        <v>4980.0</v>
      </c>
      <c r="Q19" s="38">
        <v>4603.0</v>
      </c>
      <c r="R19" s="38">
        <v>2914.0</v>
      </c>
      <c r="S19" s="38">
        <v>859.0</v>
      </c>
      <c r="T19" s="38">
        <v>431.0</v>
      </c>
      <c r="U19" s="48">
        <f t="shared" si="9"/>
        <v>12497</v>
      </c>
      <c r="V19" s="48">
        <f t="shared" si="10"/>
        <v>13787</v>
      </c>
      <c r="W19" s="49">
        <f t="shared" si="11"/>
        <v>0.398495639</v>
      </c>
      <c r="X19" s="49">
        <f t="shared" si="12"/>
        <v>0.3683283988</v>
      </c>
      <c r="Y19" s="49">
        <f t="shared" si="13"/>
        <v>0.2331759622</v>
      </c>
      <c r="Z19" s="32" t="str">
        <f t="shared" si="14"/>
        <v>Jango</v>
      </c>
      <c r="AA19" s="44"/>
      <c r="AB19" s="38" t="s">
        <v>77</v>
      </c>
      <c r="AC19" s="38" t="s">
        <v>77</v>
      </c>
      <c r="AD19" s="38" t="s">
        <v>77</v>
      </c>
    </row>
    <row r="20">
      <c r="A20" s="45" t="s">
        <v>99</v>
      </c>
      <c r="B20" s="46" t="s">
        <v>768</v>
      </c>
      <c r="C20" s="47"/>
      <c r="D20" s="38">
        <v>4713.0</v>
      </c>
      <c r="E20" s="38">
        <v>4547.0</v>
      </c>
      <c r="F20" s="38">
        <v>1303.0</v>
      </c>
      <c r="G20" s="38">
        <v>305.0</v>
      </c>
      <c r="H20" s="38">
        <v>587.0</v>
      </c>
      <c r="I20" s="48">
        <f t="shared" si="3"/>
        <v>10563</v>
      </c>
      <c r="J20" s="48">
        <f t="shared" si="4"/>
        <v>11455</v>
      </c>
      <c r="K20" s="49">
        <f t="shared" si="5"/>
        <v>0.4461800625</v>
      </c>
      <c r="L20" s="49">
        <f t="shared" si="6"/>
        <v>0.4304648301</v>
      </c>
      <c r="M20" s="49">
        <f t="shared" si="7"/>
        <v>0.1233551075</v>
      </c>
      <c r="N20" s="32" t="str">
        <f t="shared" si="8"/>
        <v>Jânio</v>
      </c>
      <c r="O20" s="50"/>
      <c r="P20" s="38">
        <v>4646.0</v>
      </c>
      <c r="Q20" s="38">
        <v>3657.0</v>
      </c>
      <c r="R20" s="38">
        <v>2042.0</v>
      </c>
      <c r="S20" s="38">
        <v>771.0</v>
      </c>
      <c r="T20" s="38">
        <v>339.0</v>
      </c>
      <c r="U20" s="48">
        <f t="shared" si="9"/>
        <v>10345</v>
      </c>
      <c r="V20" s="48">
        <f t="shared" si="10"/>
        <v>11455</v>
      </c>
      <c r="W20" s="49">
        <f t="shared" si="11"/>
        <v>0.4491058482</v>
      </c>
      <c r="X20" s="49">
        <f t="shared" si="12"/>
        <v>0.3535041083</v>
      </c>
      <c r="Y20" s="49">
        <f t="shared" si="13"/>
        <v>0.1973900435</v>
      </c>
      <c r="Z20" s="32" t="str">
        <f t="shared" si="14"/>
        <v>Jango</v>
      </c>
      <c r="AA20" s="44"/>
      <c r="AB20" s="38" t="s">
        <v>77</v>
      </c>
      <c r="AC20" s="38" t="s">
        <v>77</v>
      </c>
      <c r="AD20" s="38" t="s">
        <v>77</v>
      </c>
    </row>
    <row r="21">
      <c r="A21" s="45" t="s">
        <v>77</v>
      </c>
      <c r="B21" s="46" t="s">
        <v>769</v>
      </c>
      <c r="C21" s="47"/>
      <c r="D21" s="38">
        <v>68985.0</v>
      </c>
      <c r="E21" s="38">
        <v>57126.0</v>
      </c>
      <c r="F21" s="38">
        <v>16168.0</v>
      </c>
      <c r="G21" s="38">
        <v>3376.0</v>
      </c>
      <c r="H21" s="38">
        <v>7407.0</v>
      </c>
      <c r="I21" s="48">
        <f t="shared" si="3"/>
        <v>142279</v>
      </c>
      <c r="J21" s="48">
        <f t="shared" si="4"/>
        <v>153062</v>
      </c>
      <c r="K21" s="49">
        <f t="shared" si="5"/>
        <v>0.4848572172</v>
      </c>
      <c r="L21" s="49">
        <f t="shared" si="6"/>
        <v>0.4015068984</v>
      </c>
      <c r="M21" s="49">
        <f t="shared" si="7"/>
        <v>0.1136358844</v>
      </c>
      <c r="N21" s="32" t="str">
        <f t="shared" si="8"/>
        <v>Jânio</v>
      </c>
      <c r="O21" s="50" t="s">
        <v>77</v>
      </c>
      <c r="P21" s="38">
        <v>54534.0</v>
      </c>
      <c r="Q21" s="38">
        <v>54014.0</v>
      </c>
      <c r="R21" s="38">
        <v>30790.0</v>
      </c>
      <c r="S21" s="38">
        <v>8214.0</v>
      </c>
      <c r="T21" s="38">
        <v>5510.0</v>
      </c>
      <c r="U21" s="48">
        <f t="shared" si="9"/>
        <v>139338</v>
      </c>
      <c r="V21" s="48">
        <f t="shared" si="10"/>
        <v>153062</v>
      </c>
      <c r="W21" s="49">
        <f t="shared" si="11"/>
        <v>0.3913792361</v>
      </c>
      <c r="X21" s="49">
        <f t="shared" si="12"/>
        <v>0.3876473037</v>
      </c>
      <c r="Y21" s="49">
        <f t="shared" si="13"/>
        <v>0.2209734602</v>
      </c>
      <c r="Z21" s="32" t="str">
        <f t="shared" si="14"/>
        <v>Jango</v>
      </c>
      <c r="AA21" s="50" t="s">
        <v>77</v>
      </c>
      <c r="AB21" s="38">
        <v>208020.0</v>
      </c>
      <c r="AC21" s="48">
        <f t="shared" ref="AC21:AC125" si="15">AB21-V21</f>
        <v>54958</v>
      </c>
      <c r="AD21" s="51">
        <f t="shared" ref="AD21:AD125" si="16">V21/AB21</f>
        <v>0.7358042496</v>
      </c>
    </row>
    <row r="22">
      <c r="A22" s="45" t="s">
        <v>104</v>
      </c>
      <c r="B22" s="46" t="s">
        <v>770</v>
      </c>
      <c r="C22" s="47"/>
      <c r="D22" s="38">
        <v>5498.0</v>
      </c>
      <c r="E22" s="38">
        <v>4730.0</v>
      </c>
      <c r="F22" s="38">
        <v>1278.0</v>
      </c>
      <c r="G22" s="38">
        <v>350.0</v>
      </c>
      <c r="H22" s="38">
        <v>468.0</v>
      </c>
      <c r="I22" s="48">
        <f t="shared" si="3"/>
        <v>11506</v>
      </c>
      <c r="J22" s="48">
        <f t="shared" si="4"/>
        <v>12324</v>
      </c>
      <c r="K22" s="49">
        <f t="shared" si="5"/>
        <v>0.4778376499</v>
      </c>
      <c r="L22" s="49">
        <f t="shared" si="6"/>
        <v>0.4110898662</v>
      </c>
      <c r="M22" s="49">
        <f t="shared" si="7"/>
        <v>0.1110724839</v>
      </c>
      <c r="N22" s="32" t="str">
        <f t="shared" si="8"/>
        <v>Jânio</v>
      </c>
      <c r="O22" s="50" t="s">
        <v>77</v>
      </c>
      <c r="P22" s="38">
        <v>4299.0</v>
      </c>
      <c r="Q22" s="38">
        <v>2808.0</v>
      </c>
      <c r="R22" s="38">
        <v>4236.0</v>
      </c>
      <c r="S22" s="38">
        <v>562.0</v>
      </c>
      <c r="T22" s="38">
        <v>419.0</v>
      </c>
      <c r="U22" s="48">
        <f t="shared" si="9"/>
        <v>11343</v>
      </c>
      <c r="V22" s="48">
        <f t="shared" si="10"/>
        <v>12324</v>
      </c>
      <c r="W22" s="49">
        <f t="shared" si="11"/>
        <v>0.3790002645</v>
      </c>
      <c r="X22" s="49">
        <f t="shared" si="12"/>
        <v>0.2475535573</v>
      </c>
      <c r="Y22" s="49">
        <f t="shared" si="13"/>
        <v>0.3734461783</v>
      </c>
      <c r="Z22" s="32" t="str">
        <f t="shared" si="14"/>
        <v>Jango</v>
      </c>
      <c r="AA22" s="50" t="s">
        <v>77</v>
      </c>
      <c r="AB22" s="38">
        <v>15848.0</v>
      </c>
      <c r="AC22" s="48">
        <f t="shared" si="15"/>
        <v>3524</v>
      </c>
      <c r="AD22" s="51">
        <f t="shared" si="16"/>
        <v>0.7776375568</v>
      </c>
    </row>
    <row r="23">
      <c r="A23" s="45" t="s">
        <v>107</v>
      </c>
      <c r="B23" s="46" t="s">
        <v>771</v>
      </c>
      <c r="C23" s="47"/>
      <c r="D23" s="38">
        <v>4268.0</v>
      </c>
      <c r="E23" s="38">
        <v>4379.0</v>
      </c>
      <c r="F23" s="38">
        <v>1298.0</v>
      </c>
      <c r="G23" s="38">
        <v>357.0</v>
      </c>
      <c r="H23" s="38">
        <v>798.0</v>
      </c>
      <c r="I23" s="48">
        <f t="shared" si="3"/>
        <v>9945</v>
      </c>
      <c r="J23" s="48">
        <f t="shared" si="4"/>
        <v>11100</v>
      </c>
      <c r="K23" s="49">
        <f t="shared" si="5"/>
        <v>0.4291603821</v>
      </c>
      <c r="L23" s="49">
        <f t="shared" si="6"/>
        <v>0.4403217697</v>
      </c>
      <c r="M23" s="49">
        <f t="shared" si="7"/>
        <v>0.1305178482</v>
      </c>
      <c r="N23" s="32" t="str">
        <f t="shared" si="8"/>
        <v>Mal. Lott</v>
      </c>
      <c r="O23" s="50" t="s">
        <v>77</v>
      </c>
      <c r="P23" s="38">
        <v>4453.0</v>
      </c>
      <c r="Q23" s="38">
        <v>3592.0</v>
      </c>
      <c r="R23" s="38">
        <v>1546.0</v>
      </c>
      <c r="S23" s="38">
        <v>972.0</v>
      </c>
      <c r="T23" s="38">
        <v>537.0</v>
      </c>
      <c r="U23" s="48">
        <f t="shared" si="9"/>
        <v>9591</v>
      </c>
      <c r="V23" s="48">
        <f t="shared" si="10"/>
        <v>11100</v>
      </c>
      <c r="W23" s="49">
        <f t="shared" si="11"/>
        <v>0.464289438</v>
      </c>
      <c r="X23" s="49">
        <f t="shared" si="12"/>
        <v>0.3745177771</v>
      </c>
      <c r="Y23" s="49">
        <f t="shared" si="13"/>
        <v>0.1611927849</v>
      </c>
      <c r="Z23" s="32" t="str">
        <f t="shared" si="14"/>
        <v>Jango</v>
      </c>
      <c r="AA23" s="50" t="s">
        <v>77</v>
      </c>
      <c r="AB23" s="38">
        <v>15001.0</v>
      </c>
      <c r="AC23" s="48">
        <f t="shared" si="15"/>
        <v>3901</v>
      </c>
      <c r="AD23" s="51">
        <f t="shared" si="16"/>
        <v>0.73995067</v>
      </c>
    </row>
    <row r="24">
      <c r="A24" s="45" t="s">
        <v>111</v>
      </c>
      <c r="B24" s="46" t="s">
        <v>772</v>
      </c>
      <c r="C24" s="47"/>
      <c r="D24" s="38">
        <v>2518.0</v>
      </c>
      <c r="E24" s="38">
        <v>3106.0</v>
      </c>
      <c r="F24" s="38">
        <v>1121.0</v>
      </c>
      <c r="G24" s="38">
        <v>249.0</v>
      </c>
      <c r="H24" s="38">
        <v>430.0</v>
      </c>
      <c r="I24" s="48">
        <f t="shared" si="3"/>
        <v>6745</v>
      </c>
      <c r="J24" s="48">
        <f t="shared" si="4"/>
        <v>7424</v>
      </c>
      <c r="K24" s="49">
        <f t="shared" si="5"/>
        <v>0.3733135656</v>
      </c>
      <c r="L24" s="49">
        <f t="shared" si="6"/>
        <v>0.4604892513</v>
      </c>
      <c r="M24" s="49">
        <f t="shared" si="7"/>
        <v>0.1661971831</v>
      </c>
      <c r="N24" s="32" t="str">
        <f t="shared" si="8"/>
        <v>Mal. Lott</v>
      </c>
      <c r="O24" s="50" t="s">
        <v>77</v>
      </c>
      <c r="P24" s="38">
        <v>3201.0</v>
      </c>
      <c r="Q24" s="38">
        <v>781.0</v>
      </c>
      <c r="R24" s="38">
        <v>2507.0</v>
      </c>
      <c r="S24" s="38">
        <v>562.0</v>
      </c>
      <c r="T24" s="38">
        <v>373.0</v>
      </c>
      <c r="U24" s="48">
        <f t="shared" si="9"/>
        <v>6489</v>
      </c>
      <c r="V24" s="48">
        <f t="shared" si="10"/>
        <v>7424</v>
      </c>
      <c r="W24" s="49">
        <f t="shared" si="11"/>
        <v>0.4932963477</v>
      </c>
      <c r="X24" s="49">
        <f t="shared" si="12"/>
        <v>0.1203575281</v>
      </c>
      <c r="Y24" s="49">
        <f t="shared" si="13"/>
        <v>0.3863461242</v>
      </c>
      <c r="Z24" s="32" t="str">
        <f t="shared" si="14"/>
        <v>Jango</v>
      </c>
      <c r="AA24" s="50" t="s">
        <v>77</v>
      </c>
      <c r="AB24" s="38">
        <v>10795.0</v>
      </c>
      <c r="AC24" s="48">
        <f t="shared" si="15"/>
        <v>3371</v>
      </c>
      <c r="AD24" s="51">
        <f t="shared" si="16"/>
        <v>0.687725799</v>
      </c>
    </row>
    <row r="25">
      <c r="A25" s="45" t="s">
        <v>114</v>
      </c>
      <c r="B25" s="46" t="s">
        <v>773</v>
      </c>
      <c r="C25" s="47"/>
      <c r="D25" s="38">
        <v>1742.0</v>
      </c>
      <c r="E25" s="38">
        <v>2707.0</v>
      </c>
      <c r="F25" s="38">
        <v>339.0</v>
      </c>
      <c r="G25" s="38">
        <v>170.0</v>
      </c>
      <c r="H25" s="38">
        <v>259.0</v>
      </c>
      <c r="I25" s="48">
        <f t="shared" si="3"/>
        <v>4788</v>
      </c>
      <c r="J25" s="48">
        <f t="shared" si="4"/>
        <v>5217</v>
      </c>
      <c r="K25" s="49">
        <f t="shared" si="5"/>
        <v>0.3638262322</v>
      </c>
      <c r="L25" s="49">
        <f t="shared" si="6"/>
        <v>0.5653717627</v>
      </c>
      <c r="M25" s="49">
        <f t="shared" si="7"/>
        <v>0.07080200501</v>
      </c>
      <c r="N25" s="32" t="str">
        <f t="shared" si="8"/>
        <v>Mal. Lott</v>
      </c>
      <c r="O25" s="50" t="s">
        <v>77</v>
      </c>
      <c r="P25" s="38">
        <v>2577.0</v>
      </c>
      <c r="Q25" s="38">
        <v>1521.0</v>
      </c>
      <c r="R25" s="38">
        <v>541.0</v>
      </c>
      <c r="S25" s="38">
        <v>371.0</v>
      </c>
      <c r="T25" s="38">
        <v>207.0</v>
      </c>
      <c r="U25" s="48">
        <f t="shared" si="9"/>
        <v>4639</v>
      </c>
      <c r="V25" s="48">
        <f t="shared" si="10"/>
        <v>5217</v>
      </c>
      <c r="W25" s="49">
        <f t="shared" si="11"/>
        <v>0.5555076525</v>
      </c>
      <c r="X25" s="49">
        <f t="shared" si="12"/>
        <v>0.3278723863</v>
      </c>
      <c r="Y25" s="49">
        <f t="shared" si="13"/>
        <v>0.1166199612</v>
      </c>
      <c r="Z25" s="32" t="str">
        <f t="shared" si="14"/>
        <v>Jango</v>
      </c>
      <c r="AA25" s="50" t="s">
        <v>77</v>
      </c>
      <c r="AB25" s="38">
        <v>6754.0</v>
      </c>
      <c r="AC25" s="48">
        <f t="shared" si="15"/>
        <v>1537</v>
      </c>
      <c r="AD25" s="51">
        <f t="shared" si="16"/>
        <v>0.7724311519</v>
      </c>
    </row>
    <row r="26">
      <c r="A26" s="45" t="s">
        <v>117</v>
      </c>
      <c r="B26" s="46" t="s">
        <v>774</v>
      </c>
      <c r="C26" s="47"/>
      <c r="D26" s="38">
        <v>2072.0</v>
      </c>
      <c r="E26" s="38">
        <v>1857.0</v>
      </c>
      <c r="F26" s="38">
        <v>233.0</v>
      </c>
      <c r="G26" s="38">
        <v>160.0</v>
      </c>
      <c r="H26" s="38">
        <v>391.0</v>
      </c>
      <c r="I26" s="48">
        <f t="shared" si="3"/>
        <v>4162</v>
      </c>
      <c r="J26" s="48">
        <f t="shared" si="4"/>
        <v>4713</v>
      </c>
      <c r="K26" s="49">
        <f t="shared" si="5"/>
        <v>0.4978375781</v>
      </c>
      <c r="L26" s="49">
        <f t="shared" si="6"/>
        <v>0.4461797213</v>
      </c>
      <c r="M26" s="49">
        <f t="shared" si="7"/>
        <v>0.05598270062</v>
      </c>
      <c r="N26" s="32" t="str">
        <f t="shared" si="8"/>
        <v>Jânio</v>
      </c>
      <c r="O26" s="50" t="s">
        <v>77</v>
      </c>
      <c r="P26" s="38">
        <v>2712.0</v>
      </c>
      <c r="Q26" s="38">
        <v>520.0</v>
      </c>
      <c r="R26" s="38">
        <v>789.0</v>
      </c>
      <c r="S26" s="38">
        <v>470.0</v>
      </c>
      <c r="T26" s="38">
        <v>222.0</v>
      </c>
      <c r="U26" s="48">
        <f t="shared" si="9"/>
        <v>4021</v>
      </c>
      <c r="V26" s="48">
        <f t="shared" si="10"/>
        <v>4713</v>
      </c>
      <c r="W26" s="49">
        <f t="shared" si="11"/>
        <v>0.6744590898</v>
      </c>
      <c r="X26" s="49">
        <f t="shared" si="12"/>
        <v>0.1293210644</v>
      </c>
      <c r="Y26" s="49">
        <f t="shared" si="13"/>
        <v>0.1962198458</v>
      </c>
      <c r="Z26" s="32" t="str">
        <f t="shared" si="14"/>
        <v>Jango</v>
      </c>
      <c r="AA26" s="50" t="s">
        <v>77</v>
      </c>
      <c r="AB26" s="38">
        <v>6672.0</v>
      </c>
      <c r="AC26" s="48">
        <f t="shared" si="15"/>
        <v>1959</v>
      </c>
      <c r="AD26" s="51">
        <f t="shared" si="16"/>
        <v>0.7063848921</v>
      </c>
    </row>
    <row r="27">
      <c r="A27" s="45" t="s">
        <v>119</v>
      </c>
      <c r="B27" s="46" t="s">
        <v>775</v>
      </c>
      <c r="C27" s="47"/>
      <c r="D27" s="38">
        <v>2705.0</v>
      </c>
      <c r="E27" s="38">
        <v>1230.0</v>
      </c>
      <c r="F27" s="38">
        <v>210.0</v>
      </c>
      <c r="G27" s="38">
        <v>53.0</v>
      </c>
      <c r="H27" s="38">
        <v>416.0</v>
      </c>
      <c r="I27" s="48">
        <f t="shared" si="3"/>
        <v>4145</v>
      </c>
      <c r="J27" s="48">
        <f t="shared" si="4"/>
        <v>4614</v>
      </c>
      <c r="K27" s="49">
        <f t="shared" si="5"/>
        <v>0.6525934861</v>
      </c>
      <c r="L27" s="49">
        <f t="shared" si="6"/>
        <v>0.2967430639</v>
      </c>
      <c r="M27" s="49">
        <f t="shared" si="7"/>
        <v>0.05066344994</v>
      </c>
      <c r="N27" s="32" t="str">
        <f t="shared" si="8"/>
        <v>Jânio</v>
      </c>
      <c r="O27" s="50" t="s">
        <v>77</v>
      </c>
      <c r="P27" s="38">
        <v>1274.0</v>
      </c>
      <c r="Q27" s="38">
        <v>2165.0</v>
      </c>
      <c r="R27" s="38">
        <v>606.0</v>
      </c>
      <c r="S27" s="38">
        <v>146.0</v>
      </c>
      <c r="T27" s="38">
        <v>423.0</v>
      </c>
      <c r="U27" s="48">
        <f t="shared" si="9"/>
        <v>4045</v>
      </c>
      <c r="V27" s="48">
        <f t="shared" si="10"/>
        <v>4614</v>
      </c>
      <c r="W27" s="49">
        <f t="shared" si="11"/>
        <v>0.3149567367</v>
      </c>
      <c r="X27" s="49">
        <f t="shared" si="12"/>
        <v>0.5352286774</v>
      </c>
      <c r="Y27" s="49">
        <f t="shared" si="13"/>
        <v>0.1498145859</v>
      </c>
      <c r="Z27" s="32" t="str">
        <f t="shared" si="14"/>
        <v>Milton</v>
      </c>
      <c r="AA27" s="50" t="s">
        <v>77</v>
      </c>
      <c r="AB27" s="38">
        <v>5970.0</v>
      </c>
      <c r="AC27" s="48">
        <f t="shared" si="15"/>
        <v>1356</v>
      </c>
      <c r="AD27" s="51">
        <f t="shared" si="16"/>
        <v>0.7728643216</v>
      </c>
    </row>
    <row r="28">
      <c r="A28" s="45" t="s">
        <v>123</v>
      </c>
      <c r="B28" s="46" t="s">
        <v>776</v>
      </c>
      <c r="C28" s="47"/>
      <c r="D28" s="38">
        <v>1079.0</v>
      </c>
      <c r="E28" s="38">
        <v>665.0</v>
      </c>
      <c r="F28" s="38">
        <v>161.0</v>
      </c>
      <c r="G28" s="38">
        <v>104.0</v>
      </c>
      <c r="H28" s="38">
        <v>225.0</v>
      </c>
      <c r="I28" s="48">
        <f t="shared" si="3"/>
        <v>1905</v>
      </c>
      <c r="J28" s="48">
        <f t="shared" si="4"/>
        <v>2234</v>
      </c>
      <c r="K28" s="49">
        <f t="shared" si="5"/>
        <v>0.5664041995</v>
      </c>
      <c r="L28" s="49">
        <f t="shared" si="6"/>
        <v>0.3490813648</v>
      </c>
      <c r="M28" s="49">
        <f t="shared" si="7"/>
        <v>0.0845144357</v>
      </c>
      <c r="N28" s="32" t="str">
        <f t="shared" si="8"/>
        <v>Jânio</v>
      </c>
      <c r="O28" s="50" t="s">
        <v>77</v>
      </c>
      <c r="P28" s="38">
        <v>726.0</v>
      </c>
      <c r="Q28" s="38">
        <v>901.0</v>
      </c>
      <c r="R28" s="38">
        <v>179.0</v>
      </c>
      <c r="S28" s="38">
        <v>258.0</v>
      </c>
      <c r="T28" s="38">
        <v>170.0</v>
      </c>
      <c r="U28" s="48">
        <f t="shared" si="9"/>
        <v>1806</v>
      </c>
      <c r="V28" s="48">
        <f t="shared" si="10"/>
        <v>2234</v>
      </c>
      <c r="W28" s="49">
        <f t="shared" si="11"/>
        <v>0.4019933555</v>
      </c>
      <c r="X28" s="49">
        <f t="shared" si="12"/>
        <v>0.4988925803</v>
      </c>
      <c r="Y28" s="49">
        <f t="shared" si="13"/>
        <v>0.09911406423</v>
      </c>
      <c r="Z28" s="32" t="str">
        <f t="shared" si="14"/>
        <v>Milton</v>
      </c>
      <c r="AA28" s="50" t="s">
        <v>77</v>
      </c>
      <c r="AB28" s="38">
        <v>3043.0</v>
      </c>
      <c r="AC28" s="48">
        <f t="shared" si="15"/>
        <v>809</v>
      </c>
      <c r="AD28" s="51">
        <f t="shared" si="16"/>
        <v>0.7341439369</v>
      </c>
    </row>
    <row r="29">
      <c r="A29" s="45" t="s">
        <v>125</v>
      </c>
      <c r="B29" s="46" t="s">
        <v>777</v>
      </c>
      <c r="C29" s="47"/>
      <c r="D29" s="38">
        <v>925.0</v>
      </c>
      <c r="E29" s="38">
        <v>1815.0</v>
      </c>
      <c r="F29" s="38">
        <v>180.0</v>
      </c>
      <c r="G29" s="38">
        <v>111.0</v>
      </c>
      <c r="H29" s="38">
        <v>159.0</v>
      </c>
      <c r="I29" s="48">
        <f t="shared" si="3"/>
        <v>2920</v>
      </c>
      <c r="J29" s="48">
        <f t="shared" si="4"/>
        <v>3190</v>
      </c>
      <c r="K29" s="49">
        <f t="shared" si="5"/>
        <v>0.3167808219</v>
      </c>
      <c r="L29" s="49">
        <f t="shared" si="6"/>
        <v>0.6215753425</v>
      </c>
      <c r="M29" s="49">
        <f t="shared" si="7"/>
        <v>0.06164383562</v>
      </c>
      <c r="N29" s="32" t="str">
        <f t="shared" si="8"/>
        <v>Mal. Lott</v>
      </c>
      <c r="O29" s="50" t="s">
        <v>77</v>
      </c>
      <c r="P29" s="38">
        <v>1759.0</v>
      </c>
      <c r="Q29" s="38">
        <v>860.0</v>
      </c>
      <c r="R29" s="38">
        <v>224.0</v>
      </c>
      <c r="S29" s="38">
        <v>219.0</v>
      </c>
      <c r="T29" s="38">
        <v>128.0</v>
      </c>
      <c r="U29" s="48">
        <f t="shared" si="9"/>
        <v>2843</v>
      </c>
      <c r="V29" s="48">
        <f t="shared" si="10"/>
        <v>3190</v>
      </c>
      <c r="W29" s="49">
        <f t="shared" si="11"/>
        <v>0.6187126275</v>
      </c>
      <c r="X29" s="49">
        <f t="shared" si="12"/>
        <v>0.3024973619</v>
      </c>
      <c r="Y29" s="49">
        <f t="shared" si="13"/>
        <v>0.07879001055</v>
      </c>
      <c r="Z29" s="32" t="str">
        <f t="shared" si="14"/>
        <v>Jango</v>
      </c>
      <c r="AA29" s="50" t="s">
        <v>77</v>
      </c>
      <c r="AB29" s="38">
        <v>4944.0</v>
      </c>
      <c r="AC29" s="48">
        <f t="shared" si="15"/>
        <v>1754</v>
      </c>
      <c r="AD29" s="51">
        <f t="shared" si="16"/>
        <v>0.6452265372</v>
      </c>
    </row>
    <row r="30">
      <c r="A30" s="45" t="s">
        <v>127</v>
      </c>
      <c r="B30" s="46" t="s">
        <v>778</v>
      </c>
      <c r="C30" s="47"/>
      <c r="D30" s="38">
        <v>2619.0</v>
      </c>
      <c r="E30" s="38">
        <v>2794.0</v>
      </c>
      <c r="F30" s="38">
        <v>494.0</v>
      </c>
      <c r="G30" s="38">
        <v>139.0</v>
      </c>
      <c r="H30" s="38">
        <v>313.0</v>
      </c>
      <c r="I30" s="48">
        <f t="shared" si="3"/>
        <v>5907</v>
      </c>
      <c r="J30" s="48">
        <f t="shared" si="4"/>
        <v>6359</v>
      </c>
      <c r="K30" s="49">
        <f t="shared" si="5"/>
        <v>0.4433722702</v>
      </c>
      <c r="L30" s="49">
        <f t="shared" si="6"/>
        <v>0.4729981378</v>
      </c>
      <c r="M30" s="49">
        <f t="shared" si="7"/>
        <v>0.08362959201</v>
      </c>
      <c r="N30" s="32" t="str">
        <f t="shared" si="8"/>
        <v>Mal. Lott</v>
      </c>
      <c r="O30" s="50" t="s">
        <v>77</v>
      </c>
      <c r="P30" s="38">
        <v>2601.0</v>
      </c>
      <c r="Q30" s="38">
        <v>2387.0</v>
      </c>
      <c r="R30" s="38">
        <v>746.0</v>
      </c>
      <c r="S30" s="38">
        <v>430.0</v>
      </c>
      <c r="T30" s="38">
        <v>195.0</v>
      </c>
      <c r="U30" s="48">
        <f t="shared" si="9"/>
        <v>5734</v>
      </c>
      <c r="V30" s="48">
        <f t="shared" si="10"/>
        <v>6359</v>
      </c>
      <c r="W30" s="49">
        <f t="shared" si="11"/>
        <v>0.4536100453</v>
      </c>
      <c r="X30" s="49">
        <f t="shared" si="12"/>
        <v>0.4162888036</v>
      </c>
      <c r="Y30" s="49">
        <f t="shared" si="13"/>
        <v>0.130101151</v>
      </c>
      <c r="Z30" s="32" t="str">
        <f t="shared" si="14"/>
        <v>Jango</v>
      </c>
      <c r="AA30" s="50" t="s">
        <v>77</v>
      </c>
      <c r="AB30" s="38">
        <v>8422.0</v>
      </c>
      <c r="AC30" s="48">
        <f t="shared" si="15"/>
        <v>2063</v>
      </c>
      <c r="AD30" s="51">
        <f t="shared" si="16"/>
        <v>0.7550463073</v>
      </c>
    </row>
    <row r="31">
      <c r="A31" s="45" t="s">
        <v>129</v>
      </c>
      <c r="B31" s="46" t="s">
        <v>779</v>
      </c>
      <c r="C31" s="47"/>
      <c r="D31" s="38">
        <v>1622.0</v>
      </c>
      <c r="E31" s="38">
        <v>1519.0</v>
      </c>
      <c r="F31" s="38">
        <v>224.0</v>
      </c>
      <c r="G31" s="38">
        <v>117.0</v>
      </c>
      <c r="H31" s="38">
        <v>440.0</v>
      </c>
      <c r="I31" s="48">
        <f t="shared" si="3"/>
        <v>3365</v>
      </c>
      <c r="J31" s="48">
        <f t="shared" si="4"/>
        <v>3922</v>
      </c>
      <c r="K31" s="49">
        <f t="shared" si="5"/>
        <v>0.4820208024</v>
      </c>
      <c r="L31" s="49">
        <f t="shared" si="6"/>
        <v>0.4514115899</v>
      </c>
      <c r="M31" s="49">
        <f t="shared" si="7"/>
        <v>0.06656760773</v>
      </c>
      <c r="N31" s="32" t="str">
        <f t="shared" si="8"/>
        <v>Jânio</v>
      </c>
      <c r="O31" s="50" t="s">
        <v>77</v>
      </c>
      <c r="P31" s="38">
        <v>1506.0</v>
      </c>
      <c r="Q31" s="38">
        <v>753.0</v>
      </c>
      <c r="R31" s="38">
        <v>1016.0</v>
      </c>
      <c r="S31" s="38">
        <v>300.0</v>
      </c>
      <c r="T31" s="38">
        <v>347.0</v>
      </c>
      <c r="U31" s="48">
        <f t="shared" si="9"/>
        <v>3275</v>
      </c>
      <c r="V31" s="48">
        <f t="shared" si="10"/>
        <v>3922</v>
      </c>
      <c r="W31" s="49">
        <f t="shared" si="11"/>
        <v>0.4598473282</v>
      </c>
      <c r="X31" s="49">
        <f t="shared" si="12"/>
        <v>0.2299236641</v>
      </c>
      <c r="Y31" s="49">
        <f t="shared" si="13"/>
        <v>0.3102290076</v>
      </c>
      <c r="Z31" s="32" t="str">
        <f t="shared" si="14"/>
        <v>Jango</v>
      </c>
      <c r="AA31" s="50" t="s">
        <v>77</v>
      </c>
      <c r="AB31" s="38">
        <v>5141.0</v>
      </c>
      <c r="AC31" s="48">
        <f t="shared" si="15"/>
        <v>1219</v>
      </c>
      <c r="AD31" s="51">
        <f t="shared" si="16"/>
        <v>0.7628865979</v>
      </c>
    </row>
    <row r="32">
      <c r="A32" s="45" t="s">
        <v>131</v>
      </c>
      <c r="B32" s="46" t="s">
        <v>780</v>
      </c>
      <c r="C32" s="47"/>
      <c r="D32" s="38">
        <v>1341.0</v>
      </c>
      <c r="E32" s="38">
        <v>1472.0</v>
      </c>
      <c r="F32" s="38">
        <v>184.0</v>
      </c>
      <c r="G32" s="38">
        <v>89.0</v>
      </c>
      <c r="H32" s="38">
        <v>149.0</v>
      </c>
      <c r="I32" s="48">
        <f t="shared" si="3"/>
        <v>2997</v>
      </c>
      <c r="J32" s="48">
        <f t="shared" si="4"/>
        <v>3235</v>
      </c>
      <c r="K32" s="49">
        <f t="shared" si="5"/>
        <v>0.4474474474</v>
      </c>
      <c r="L32" s="49">
        <f t="shared" si="6"/>
        <v>0.4911578245</v>
      </c>
      <c r="M32" s="49">
        <f t="shared" si="7"/>
        <v>0.06139472806</v>
      </c>
      <c r="N32" s="32" t="str">
        <f t="shared" si="8"/>
        <v>Mal. Lott</v>
      </c>
      <c r="O32" s="50" t="s">
        <v>77</v>
      </c>
      <c r="P32" s="38">
        <v>1363.0</v>
      </c>
      <c r="Q32" s="38">
        <v>1224.0</v>
      </c>
      <c r="R32" s="38">
        <v>356.0</v>
      </c>
      <c r="S32" s="38">
        <v>185.0</v>
      </c>
      <c r="T32" s="38">
        <v>107.0</v>
      </c>
      <c r="U32" s="48">
        <f t="shared" si="9"/>
        <v>2943</v>
      </c>
      <c r="V32" s="48">
        <f t="shared" si="10"/>
        <v>3235</v>
      </c>
      <c r="W32" s="49">
        <f t="shared" si="11"/>
        <v>0.4631328576</v>
      </c>
      <c r="X32" s="49">
        <f t="shared" si="12"/>
        <v>0.4159021407</v>
      </c>
      <c r="Y32" s="49">
        <f t="shared" si="13"/>
        <v>0.1209650017</v>
      </c>
      <c r="Z32" s="32" t="str">
        <f t="shared" si="14"/>
        <v>Jango</v>
      </c>
      <c r="AA32" s="50" t="s">
        <v>77</v>
      </c>
      <c r="AB32" s="38">
        <v>4641.0</v>
      </c>
      <c r="AC32" s="48">
        <f t="shared" si="15"/>
        <v>1406</v>
      </c>
      <c r="AD32" s="51">
        <f t="shared" si="16"/>
        <v>0.69704805</v>
      </c>
    </row>
    <row r="33">
      <c r="A33" s="45" t="s">
        <v>133</v>
      </c>
      <c r="B33" s="46" t="s">
        <v>781</v>
      </c>
      <c r="C33" s="47"/>
      <c r="D33" s="38">
        <v>1201.0</v>
      </c>
      <c r="E33" s="38">
        <v>984.0</v>
      </c>
      <c r="F33" s="38">
        <v>92.0</v>
      </c>
      <c r="G33" s="38">
        <v>33.0</v>
      </c>
      <c r="H33" s="38">
        <v>96.0</v>
      </c>
      <c r="I33" s="48">
        <f t="shared" si="3"/>
        <v>2277</v>
      </c>
      <c r="J33" s="48">
        <f t="shared" si="4"/>
        <v>2406</v>
      </c>
      <c r="K33" s="49">
        <f t="shared" si="5"/>
        <v>0.527448397</v>
      </c>
      <c r="L33" s="49">
        <f t="shared" si="6"/>
        <v>0.4321475626</v>
      </c>
      <c r="M33" s="49">
        <f t="shared" si="7"/>
        <v>0.0404040404</v>
      </c>
      <c r="N33" s="32" t="str">
        <f t="shared" si="8"/>
        <v>Jânio</v>
      </c>
      <c r="O33" s="50" t="s">
        <v>77</v>
      </c>
      <c r="P33" s="38">
        <v>968.0</v>
      </c>
      <c r="Q33" s="38">
        <v>1165.0</v>
      </c>
      <c r="R33" s="38">
        <v>101.0</v>
      </c>
      <c r="S33" s="38">
        <v>99.0</v>
      </c>
      <c r="T33" s="38">
        <v>73.0</v>
      </c>
      <c r="U33" s="48">
        <f t="shared" si="9"/>
        <v>2234</v>
      </c>
      <c r="V33" s="48">
        <f t="shared" si="10"/>
        <v>2406</v>
      </c>
      <c r="W33" s="49">
        <f t="shared" si="11"/>
        <v>0.4333034915</v>
      </c>
      <c r="X33" s="49">
        <f t="shared" si="12"/>
        <v>0.5214861235</v>
      </c>
      <c r="Y33" s="49">
        <f t="shared" si="13"/>
        <v>0.04521038496</v>
      </c>
      <c r="Z33" s="32" t="str">
        <f t="shared" si="14"/>
        <v>Milton</v>
      </c>
      <c r="AA33" s="50" t="s">
        <v>77</v>
      </c>
      <c r="AB33" s="38">
        <v>3172.0</v>
      </c>
      <c r="AC33" s="48">
        <f t="shared" si="15"/>
        <v>766</v>
      </c>
      <c r="AD33" s="51">
        <f t="shared" si="16"/>
        <v>0.7585119798</v>
      </c>
    </row>
    <row r="34">
      <c r="A34" s="45" t="s">
        <v>135</v>
      </c>
      <c r="B34" s="46" t="s">
        <v>782</v>
      </c>
      <c r="C34" s="47"/>
      <c r="D34" s="38">
        <v>1200.0</v>
      </c>
      <c r="E34" s="38">
        <v>270.0</v>
      </c>
      <c r="F34" s="38">
        <v>48.0</v>
      </c>
      <c r="G34" s="38">
        <v>58.0</v>
      </c>
      <c r="H34" s="38">
        <v>107.0</v>
      </c>
      <c r="I34" s="48">
        <f t="shared" si="3"/>
        <v>1518</v>
      </c>
      <c r="J34" s="48">
        <f t="shared" si="4"/>
        <v>1683</v>
      </c>
      <c r="K34" s="49">
        <f t="shared" si="5"/>
        <v>0.790513834</v>
      </c>
      <c r="L34" s="49">
        <f t="shared" si="6"/>
        <v>0.1778656126</v>
      </c>
      <c r="M34" s="49">
        <f t="shared" si="7"/>
        <v>0.03162055336</v>
      </c>
      <c r="N34" s="32" t="str">
        <f t="shared" si="8"/>
        <v>Jânio</v>
      </c>
      <c r="O34" s="50" t="s">
        <v>77</v>
      </c>
      <c r="P34" s="38">
        <v>220.0</v>
      </c>
      <c r="Q34" s="38">
        <v>858.0</v>
      </c>
      <c r="R34" s="38">
        <v>431.0</v>
      </c>
      <c r="S34" s="38">
        <v>101.0</v>
      </c>
      <c r="T34" s="38">
        <v>73.0</v>
      </c>
      <c r="U34" s="48">
        <f t="shared" si="9"/>
        <v>1509</v>
      </c>
      <c r="V34" s="48">
        <f t="shared" si="10"/>
        <v>1683</v>
      </c>
      <c r="W34" s="49">
        <f t="shared" si="11"/>
        <v>0.1457919152</v>
      </c>
      <c r="X34" s="49">
        <f t="shared" si="12"/>
        <v>0.5685884692</v>
      </c>
      <c r="Y34" s="49">
        <f t="shared" si="13"/>
        <v>0.2856196156</v>
      </c>
      <c r="Z34" s="32" t="str">
        <f t="shared" si="14"/>
        <v>Milton</v>
      </c>
      <c r="AA34" s="50" t="s">
        <v>77</v>
      </c>
      <c r="AB34" s="38">
        <v>2703.0</v>
      </c>
      <c r="AC34" s="48">
        <f t="shared" si="15"/>
        <v>1020</v>
      </c>
      <c r="AD34" s="51">
        <f t="shared" si="16"/>
        <v>0.6226415094</v>
      </c>
    </row>
    <row r="35">
      <c r="A35" s="45" t="s">
        <v>193</v>
      </c>
      <c r="B35" s="46" t="s">
        <v>783</v>
      </c>
      <c r="C35" s="47"/>
      <c r="D35" s="38">
        <v>1535.0</v>
      </c>
      <c r="E35" s="38">
        <v>1584.0</v>
      </c>
      <c r="F35" s="38">
        <v>164.0</v>
      </c>
      <c r="G35" s="38">
        <v>127.0</v>
      </c>
      <c r="H35" s="38">
        <v>260.0</v>
      </c>
      <c r="I35" s="48">
        <f t="shared" si="3"/>
        <v>3283</v>
      </c>
      <c r="J35" s="48">
        <f t="shared" si="4"/>
        <v>3670</v>
      </c>
      <c r="K35" s="49">
        <f t="shared" si="5"/>
        <v>0.4675601584</v>
      </c>
      <c r="L35" s="49">
        <f t="shared" si="6"/>
        <v>0.4824855315</v>
      </c>
      <c r="M35" s="49">
        <f t="shared" si="7"/>
        <v>0.04995431008</v>
      </c>
      <c r="N35" s="32" t="str">
        <f t="shared" si="8"/>
        <v>Mal. Lott</v>
      </c>
      <c r="O35" s="50" t="s">
        <v>77</v>
      </c>
      <c r="P35" s="38">
        <v>1508.0</v>
      </c>
      <c r="Q35" s="38">
        <v>1357.0</v>
      </c>
      <c r="R35" s="38">
        <v>338.0</v>
      </c>
      <c r="S35" s="38">
        <v>234.0</v>
      </c>
      <c r="T35" s="38">
        <v>233.0</v>
      </c>
      <c r="U35" s="48">
        <f t="shared" si="9"/>
        <v>3203</v>
      </c>
      <c r="V35" s="48">
        <f t="shared" si="10"/>
        <v>3670</v>
      </c>
      <c r="W35" s="49">
        <f t="shared" si="11"/>
        <v>0.4708086169</v>
      </c>
      <c r="X35" s="49">
        <f t="shared" si="12"/>
        <v>0.4236653138</v>
      </c>
      <c r="Y35" s="49">
        <f t="shared" si="13"/>
        <v>0.1055260693</v>
      </c>
      <c r="Z35" s="32" t="str">
        <f t="shared" si="14"/>
        <v>Jango</v>
      </c>
      <c r="AA35" s="50" t="s">
        <v>77</v>
      </c>
      <c r="AB35" s="38">
        <v>4886.0</v>
      </c>
      <c r="AC35" s="48">
        <f t="shared" si="15"/>
        <v>1216</v>
      </c>
      <c r="AD35" s="51">
        <f t="shared" si="16"/>
        <v>0.7511256652</v>
      </c>
    </row>
    <row r="36">
      <c r="A36" s="45" t="s">
        <v>196</v>
      </c>
      <c r="B36" s="46" t="s">
        <v>784</v>
      </c>
      <c r="C36" s="47"/>
      <c r="D36" s="38">
        <v>3924.0</v>
      </c>
      <c r="E36" s="38">
        <v>3567.0</v>
      </c>
      <c r="F36" s="38">
        <v>261.0</v>
      </c>
      <c r="G36" s="38">
        <v>199.0</v>
      </c>
      <c r="H36" s="38">
        <v>428.0</v>
      </c>
      <c r="I36" s="48">
        <f t="shared" si="3"/>
        <v>7752</v>
      </c>
      <c r="J36" s="48">
        <f t="shared" si="4"/>
        <v>8379</v>
      </c>
      <c r="K36" s="49">
        <f t="shared" si="5"/>
        <v>0.5061919505</v>
      </c>
      <c r="L36" s="49">
        <f t="shared" si="6"/>
        <v>0.4601393189</v>
      </c>
      <c r="M36" s="49">
        <f t="shared" si="7"/>
        <v>0.03366873065</v>
      </c>
      <c r="N36" s="32" t="str">
        <f t="shared" si="8"/>
        <v>Jânio</v>
      </c>
      <c r="O36" s="50" t="s">
        <v>77</v>
      </c>
      <c r="P36" s="38">
        <v>3479.0</v>
      </c>
      <c r="Q36" s="38">
        <v>3651.0</v>
      </c>
      <c r="R36" s="38">
        <v>504.0</v>
      </c>
      <c r="S36" s="38">
        <v>484.0</v>
      </c>
      <c r="T36" s="38">
        <v>261.0</v>
      </c>
      <c r="U36" s="48">
        <f t="shared" si="9"/>
        <v>7634</v>
      </c>
      <c r="V36" s="48">
        <f t="shared" si="10"/>
        <v>8379</v>
      </c>
      <c r="W36" s="49">
        <f t="shared" si="11"/>
        <v>0.4557243909</v>
      </c>
      <c r="X36" s="49">
        <f t="shared" si="12"/>
        <v>0.4782551742</v>
      </c>
      <c r="Y36" s="49">
        <f t="shared" si="13"/>
        <v>0.0660204349</v>
      </c>
      <c r="Z36" s="32" t="str">
        <f t="shared" si="14"/>
        <v>Milton</v>
      </c>
      <c r="AA36" s="50" t="s">
        <v>77</v>
      </c>
      <c r="AB36" s="38">
        <v>10730.0</v>
      </c>
      <c r="AC36" s="48">
        <f t="shared" si="15"/>
        <v>2351</v>
      </c>
      <c r="AD36" s="51">
        <f t="shared" si="16"/>
        <v>0.7808946878</v>
      </c>
    </row>
    <row r="37">
      <c r="A37" s="45" t="s">
        <v>198</v>
      </c>
      <c r="B37" s="46" t="s">
        <v>785</v>
      </c>
      <c r="C37" s="47"/>
      <c r="D37" s="38">
        <v>1862.0</v>
      </c>
      <c r="E37" s="38">
        <v>3109.0</v>
      </c>
      <c r="F37" s="38">
        <v>253.0</v>
      </c>
      <c r="G37" s="38">
        <v>203.0</v>
      </c>
      <c r="H37" s="38">
        <v>376.0</v>
      </c>
      <c r="I37" s="48">
        <f t="shared" si="3"/>
        <v>5224</v>
      </c>
      <c r="J37" s="48">
        <f t="shared" si="4"/>
        <v>5803</v>
      </c>
      <c r="K37" s="49">
        <f t="shared" si="5"/>
        <v>0.356431853</v>
      </c>
      <c r="L37" s="49">
        <f t="shared" si="6"/>
        <v>0.5951378254</v>
      </c>
      <c r="M37" s="49">
        <f t="shared" si="7"/>
        <v>0.04843032159</v>
      </c>
      <c r="N37" s="32" t="str">
        <f t="shared" si="8"/>
        <v>Mal. Lott</v>
      </c>
      <c r="O37" s="50" t="s">
        <v>77</v>
      </c>
      <c r="P37" s="38">
        <v>3113.0</v>
      </c>
      <c r="Q37" s="38">
        <v>1361.0</v>
      </c>
      <c r="R37" s="38">
        <v>655.0</v>
      </c>
      <c r="S37" s="38">
        <v>418.0</v>
      </c>
      <c r="T37" s="38">
        <v>256.0</v>
      </c>
      <c r="U37" s="48">
        <f t="shared" si="9"/>
        <v>5129</v>
      </c>
      <c r="V37" s="48">
        <f t="shared" si="10"/>
        <v>5803</v>
      </c>
      <c r="W37" s="49">
        <f t="shared" si="11"/>
        <v>0.6069409242</v>
      </c>
      <c r="X37" s="49">
        <f t="shared" si="12"/>
        <v>0.2653538702</v>
      </c>
      <c r="Y37" s="49">
        <f t="shared" si="13"/>
        <v>0.1277052057</v>
      </c>
      <c r="Z37" s="32" t="str">
        <f t="shared" si="14"/>
        <v>Jango</v>
      </c>
      <c r="AA37" s="50" t="s">
        <v>77</v>
      </c>
      <c r="AB37" s="38">
        <v>8746.0</v>
      </c>
      <c r="AC37" s="48">
        <f t="shared" si="15"/>
        <v>2943</v>
      </c>
      <c r="AD37" s="51">
        <f t="shared" si="16"/>
        <v>0.6635033158</v>
      </c>
    </row>
    <row r="38">
      <c r="A38" s="45" t="s">
        <v>202</v>
      </c>
      <c r="B38" s="46" t="s">
        <v>786</v>
      </c>
      <c r="C38" s="47"/>
      <c r="D38" s="38">
        <v>1707.0</v>
      </c>
      <c r="E38" s="38">
        <v>1119.0</v>
      </c>
      <c r="F38" s="38">
        <v>149.0</v>
      </c>
      <c r="G38" s="38">
        <v>78.0</v>
      </c>
      <c r="H38" s="38">
        <v>225.0</v>
      </c>
      <c r="I38" s="48">
        <f t="shared" si="3"/>
        <v>2975</v>
      </c>
      <c r="J38" s="48">
        <f t="shared" si="4"/>
        <v>3278</v>
      </c>
      <c r="K38" s="49">
        <f t="shared" si="5"/>
        <v>0.5737815126</v>
      </c>
      <c r="L38" s="49">
        <f t="shared" si="6"/>
        <v>0.3761344538</v>
      </c>
      <c r="M38" s="49">
        <f t="shared" si="7"/>
        <v>0.05008403361</v>
      </c>
      <c r="N38" s="32" t="str">
        <f t="shared" si="8"/>
        <v>Jânio</v>
      </c>
      <c r="O38" s="50" t="s">
        <v>77</v>
      </c>
      <c r="P38" s="38">
        <v>1202.0</v>
      </c>
      <c r="Q38" s="38">
        <v>1458.0</v>
      </c>
      <c r="R38" s="38">
        <v>243.0</v>
      </c>
      <c r="S38" s="38">
        <v>239.0</v>
      </c>
      <c r="T38" s="38">
        <v>136.0</v>
      </c>
      <c r="U38" s="48">
        <f t="shared" si="9"/>
        <v>2903</v>
      </c>
      <c r="V38" s="48">
        <f t="shared" si="10"/>
        <v>3278</v>
      </c>
      <c r="W38" s="49">
        <f t="shared" si="11"/>
        <v>0.4140544265</v>
      </c>
      <c r="X38" s="49">
        <f t="shared" si="12"/>
        <v>0.502239063</v>
      </c>
      <c r="Y38" s="49">
        <f t="shared" si="13"/>
        <v>0.08370651051</v>
      </c>
      <c r="Z38" s="32" t="str">
        <f t="shared" si="14"/>
        <v>Milton</v>
      </c>
      <c r="AA38" s="50" t="s">
        <v>77</v>
      </c>
      <c r="AB38" s="38">
        <v>4591.0</v>
      </c>
      <c r="AC38" s="48">
        <f t="shared" si="15"/>
        <v>1313</v>
      </c>
      <c r="AD38" s="51">
        <f t="shared" si="16"/>
        <v>0.7140056633</v>
      </c>
    </row>
    <row r="39">
      <c r="A39" s="45" t="s">
        <v>205</v>
      </c>
      <c r="B39" s="46" t="s">
        <v>787</v>
      </c>
      <c r="C39" s="47"/>
      <c r="D39" s="38">
        <v>1003.0</v>
      </c>
      <c r="E39" s="38">
        <v>1542.0</v>
      </c>
      <c r="F39" s="38">
        <v>169.0</v>
      </c>
      <c r="G39" s="38">
        <v>111.0</v>
      </c>
      <c r="H39" s="38">
        <v>146.0</v>
      </c>
      <c r="I39" s="48">
        <f t="shared" si="3"/>
        <v>2714</v>
      </c>
      <c r="J39" s="48">
        <f t="shared" si="4"/>
        <v>2971</v>
      </c>
      <c r="K39" s="49">
        <f t="shared" si="5"/>
        <v>0.3695652174</v>
      </c>
      <c r="L39" s="49">
        <f t="shared" si="6"/>
        <v>0.56816507</v>
      </c>
      <c r="M39" s="49">
        <f t="shared" si="7"/>
        <v>0.0622697126</v>
      </c>
      <c r="N39" s="32" t="str">
        <f t="shared" si="8"/>
        <v>Mal. Lott</v>
      </c>
      <c r="O39" s="50" t="s">
        <v>77</v>
      </c>
      <c r="P39" s="38">
        <v>1514.0</v>
      </c>
      <c r="Q39" s="38">
        <v>917.0</v>
      </c>
      <c r="R39" s="38">
        <v>214.0</v>
      </c>
      <c r="S39" s="38">
        <v>212.0</v>
      </c>
      <c r="T39" s="38">
        <v>114.0</v>
      </c>
      <c r="U39" s="48">
        <f t="shared" si="9"/>
        <v>2645</v>
      </c>
      <c r="V39" s="48">
        <f t="shared" si="10"/>
        <v>2971</v>
      </c>
      <c r="W39" s="49">
        <f t="shared" si="11"/>
        <v>0.5724007561</v>
      </c>
      <c r="X39" s="49">
        <f t="shared" si="12"/>
        <v>0.3466918715</v>
      </c>
      <c r="Y39" s="49">
        <f t="shared" si="13"/>
        <v>0.0809073724</v>
      </c>
      <c r="Z39" s="32" t="str">
        <f t="shared" si="14"/>
        <v>Jango</v>
      </c>
      <c r="AA39" s="50" t="s">
        <v>77</v>
      </c>
      <c r="AB39" s="38">
        <v>4155.0</v>
      </c>
      <c r="AC39" s="48">
        <f t="shared" si="15"/>
        <v>1184</v>
      </c>
      <c r="AD39" s="51">
        <f t="shared" si="16"/>
        <v>0.7150421179</v>
      </c>
    </row>
    <row r="40">
      <c r="A40" s="45" t="s">
        <v>141</v>
      </c>
      <c r="B40" s="46" t="s">
        <v>788</v>
      </c>
      <c r="C40" s="47"/>
      <c r="D40" s="38">
        <v>1157.0</v>
      </c>
      <c r="E40" s="38">
        <v>989.0</v>
      </c>
      <c r="F40" s="38">
        <v>164.0</v>
      </c>
      <c r="G40" s="38">
        <v>129.0</v>
      </c>
      <c r="H40" s="38">
        <v>143.0</v>
      </c>
      <c r="I40" s="48">
        <f t="shared" si="3"/>
        <v>2310</v>
      </c>
      <c r="J40" s="48">
        <f t="shared" si="4"/>
        <v>2582</v>
      </c>
      <c r="K40" s="49">
        <f t="shared" si="5"/>
        <v>0.5008658009</v>
      </c>
      <c r="L40" s="49">
        <f t="shared" si="6"/>
        <v>0.4281385281</v>
      </c>
      <c r="M40" s="49">
        <f t="shared" si="7"/>
        <v>0.070995671</v>
      </c>
      <c r="N40" s="32" t="str">
        <f t="shared" si="8"/>
        <v>Jânio</v>
      </c>
      <c r="O40" s="50" t="s">
        <v>77</v>
      </c>
      <c r="P40" s="38">
        <v>1121.0</v>
      </c>
      <c r="Q40" s="38">
        <v>935.0</v>
      </c>
      <c r="R40" s="38">
        <v>209.0</v>
      </c>
      <c r="S40" s="38">
        <v>199.0</v>
      </c>
      <c r="T40" s="38">
        <v>118.0</v>
      </c>
      <c r="U40" s="48">
        <f t="shared" si="9"/>
        <v>2265</v>
      </c>
      <c r="V40" s="48">
        <f t="shared" si="10"/>
        <v>2582</v>
      </c>
      <c r="W40" s="49">
        <f t="shared" si="11"/>
        <v>0.4949227373</v>
      </c>
      <c r="X40" s="49">
        <f t="shared" si="12"/>
        <v>0.412803532</v>
      </c>
      <c r="Y40" s="49">
        <f t="shared" si="13"/>
        <v>0.09227373068</v>
      </c>
      <c r="Z40" s="32" t="str">
        <f t="shared" si="14"/>
        <v>Jango</v>
      </c>
      <c r="AA40" s="50" t="s">
        <v>77</v>
      </c>
      <c r="AB40" s="38">
        <v>3648.0</v>
      </c>
      <c r="AC40" s="48">
        <f t="shared" si="15"/>
        <v>1066</v>
      </c>
      <c r="AD40" s="51">
        <f t="shared" si="16"/>
        <v>0.7077850877</v>
      </c>
    </row>
    <row r="41">
      <c r="A41" s="45" t="s">
        <v>143</v>
      </c>
      <c r="B41" s="46" t="s">
        <v>789</v>
      </c>
      <c r="C41" s="47"/>
      <c r="D41" s="38">
        <v>705.0</v>
      </c>
      <c r="E41" s="38">
        <v>410.0</v>
      </c>
      <c r="F41" s="38">
        <v>35.0</v>
      </c>
      <c r="G41" s="38">
        <v>53.0</v>
      </c>
      <c r="H41" s="38">
        <v>84.0</v>
      </c>
      <c r="I41" s="48">
        <f t="shared" si="3"/>
        <v>1150</v>
      </c>
      <c r="J41" s="48">
        <f t="shared" si="4"/>
        <v>1287</v>
      </c>
      <c r="K41" s="49">
        <f t="shared" si="5"/>
        <v>0.6130434783</v>
      </c>
      <c r="L41" s="49">
        <f t="shared" si="6"/>
        <v>0.3565217391</v>
      </c>
      <c r="M41" s="49">
        <f t="shared" si="7"/>
        <v>0.03043478261</v>
      </c>
      <c r="N41" s="32" t="str">
        <f t="shared" si="8"/>
        <v>Jânio</v>
      </c>
      <c r="O41" s="50" t="s">
        <v>77</v>
      </c>
      <c r="P41" s="38">
        <v>426.0</v>
      </c>
      <c r="Q41" s="38">
        <v>579.0</v>
      </c>
      <c r="R41" s="38">
        <v>131.0</v>
      </c>
      <c r="S41" s="38">
        <v>88.0</v>
      </c>
      <c r="T41" s="38">
        <v>63.0</v>
      </c>
      <c r="U41" s="48">
        <f t="shared" si="9"/>
        <v>1136</v>
      </c>
      <c r="V41" s="48">
        <f t="shared" si="10"/>
        <v>1287</v>
      </c>
      <c r="W41" s="49">
        <f t="shared" si="11"/>
        <v>0.375</v>
      </c>
      <c r="X41" s="49">
        <f t="shared" si="12"/>
        <v>0.5096830986</v>
      </c>
      <c r="Y41" s="49">
        <f t="shared" si="13"/>
        <v>0.1153169014</v>
      </c>
      <c r="Z41" s="32" t="str">
        <f t="shared" si="14"/>
        <v>Milton</v>
      </c>
      <c r="AA41" s="50" t="s">
        <v>77</v>
      </c>
      <c r="AB41" s="38">
        <v>2108.0</v>
      </c>
      <c r="AC41" s="48">
        <f t="shared" si="15"/>
        <v>821</v>
      </c>
      <c r="AD41" s="51">
        <f t="shared" si="16"/>
        <v>0.6105313093</v>
      </c>
    </row>
    <row r="42">
      <c r="A42" s="45" t="s">
        <v>145</v>
      </c>
      <c r="B42" s="46" t="s">
        <v>790</v>
      </c>
      <c r="C42" s="47"/>
      <c r="D42" s="38">
        <v>1844.0</v>
      </c>
      <c r="E42" s="38">
        <v>1292.0</v>
      </c>
      <c r="F42" s="38">
        <v>119.0</v>
      </c>
      <c r="G42" s="38">
        <v>117.0</v>
      </c>
      <c r="H42" s="38">
        <v>217.0</v>
      </c>
      <c r="I42" s="48">
        <f t="shared" si="3"/>
        <v>3255</v>
      </c>
      <c r="J42" s="48">
        <f t="shared" si="4"/>
        <v>3589</v>
      </c>
      <c r="K42" s="49">
        <f t="shared" si="5"/>
        <v>0.5665130568</v>
      </c>
      <c r="L42" s="49">
        <f t="shared" si="6"/>
        <v>0.3969278034</v>
      </c>
      <c r="M42" s="49">
        <f t="shared" si="7"/>
        <v>0.03655913978</v>
      </c>
      <c r="N42" s="32" t="str">
        <f t="shared" si="8"/>
        <v>Jânio</v>
      </c>
      <c r="O42" s="50" t="s">
        <v>77</v>
      </c>
      <c r="P42" s="38">
        <v>1158.0</v>
      </c>
      <c r="Q42" s="38">
        <v>1551.0</v>
      </c>
      <c r="R42" s="38">
        <v>358.0</v>
      </c>
      <c r="S42" s="38">
        <v>396.0</v>
      </c>
      <c r="T42" s="38">
        <v>126.0</v>
      </c>
      <c r="U42" s="48">
        <f t="shared" si="9"/>
        <v>3067</v>
      </c>
      <c r="V42" s="48">
        <f t="shared" si="10"/>
        <v>3589</v>
      </c>
      <c r="W42" s="49">
        <f t="shared" si="11"/>
        <v>0.3775676557</v>
      </c>
      <c r="X42" s="49">
        <f t="shared" si="12"/>
        <v>0.5057059015</v>
      </c>
      <c r="Y42" s="49">
        <f t="shared" si="13"/>
        <v>0.1167264428</v>
      </c>
      <c r="Z42" s="32" t="str">
        <f t="shared" si="14"/>
        <v>Milton</v>
      </c>
      <c r="AA42" s="50" t="s">
        <v>77</v>
      </c>
      <c r="AB42" s="38">
        <v>5223.0</v>
      </c>
      <c r="AC42" s="48">
        <f t="shared" si="15"/>
        <v>1634</v>
      </c>
      <c r="AD42" s="51">
        <f t="shared" si="16"/>
        <v>0.6871529772</v>
      </c>
    </row>
    <row r="43">
      <c r="A43" s="45" t="s">
        <v>207</v>
      </c>
      <c r="B43" s="46" t="s">
        <v>791</v>
      </c>
      <c r="C43" s="47"/>
      <c r="D43" s="38">
        <v>897.0</v>
      </c>
      <c r="E43" s="38">
        <v>558.0</v>
      </c>
      <c r="F43" s="38">
        <v>95.0</v>
      </c>
      <c r="G43" s="38">
        <v>89.0</v>
      </c>
      <c r="H43" s="38">
        <v>169.0</v>
      </c>
      <c r="I43" s="48">
        <f t="shared" si="3"/>
        <v>1550</v>
      </c>
      <c r="J43" s="48">
        <f t="shared" si="4"/>
        <v>1808</v>
      </c>
      <c r="K43" s="49">
        <f t="shared" si="5"/>
        <v>0.5787096774</v>
      </c>
      <c r="L43" s="49">
        <f t="shared" si="6"/>
        <v>0.36</v>
      </c>
      <c r="M43" s="49">
        <f t="shared" si="7"/>
        <v>0.06129032258</v>
      </c>
      <c r="N43" s="32" t="str">
        <f t="shared" si="8"/>
        <v>Jânio</v>
      </c>
      <c r="O43" s="50" t="s">
        <v>77</v>
      </c>
      <c r="P43" s="38">
        <v>523.0</v>
      </c>
      <c r="Q43" s="38">
        <v>717.0</v>
      </c>
      <c r="R43" s="38">
        <v>251.0</v>
      </c>
      <c r="S43" s="38">
        <v>178.0</v>
      </c>
      <c r="T43" s="38">
        <v>139.0</v>
      </c>
      <c r="U43" s="48">
        <f t="shared" si="9"/>
        <v>1491</v>
      </c>
      <c r="V43" s="48">
        <f t="shared" si="10"/>
        <v>1808</v>
      </c>
      <c r="W43" s="49">
        <f t="shared" si="11"/>
        <v>0.3507712944</v>
      </c>
      <c r="X43" s="49">
        <f t="shared" si="12"/>
        <v>0.4808853119</v>
      </c>
      <c r="Y43" s="49">
        <f t="shared" si="13"/>
        <v>0.1683433937</v>
      </c>
      <c r="Z43" s="32" t="str">
        <f t="shared" si="14"/>
        <v>Milton</v>
      </c>
      <c r="AA43" s="50" t="s">
        <v>77</v>
      </c>
      <c r="AB43" s="38">
        <v>2617.0</v>
      </c>
      <c r="AC43" s="48">
        <f t="shared" si="15"/>
        <v>809</v>
      </c>
      <c r="AD43" s="51">
        <f t="shared" si="16"/>
        <v>0.6908674054</v>
      </c>
    </row>
    <row r="44">
      <c r="A44" s="45" t="s">
        <v>209</v>
      </c>
      <c r="B44" s="46" t="s">
        <v>792</v>
      </c>
      <c r="C44" s="47"/>
      <c r="D44" s="38">
        <v>1163.0</v>
      </c>
      <c r="E44" s="38">
        <v>747.0</v>
      </c>
      <c r="F44" s="38">
        <v>230.0</v>
      </c>
      <c r="G44" s="38">
        <v>108.0</v>
      </c>
      <c r="H44" s="38">
        <v>118.0</v>
      </c>
      <c r="I44" s="48">
        <f t="shared" si="3"/>
        <v>2140</v>
      </c>
      <c r="J44" s="48">
        <f t="shared" si="4"/>
        <v>2366</v>
      </c>
      <c r="K44" s="49">
        <f t="shared" si="5"/>
        <v>0.5434579439</v>
      </c>
      <c r="L44" s="49">
        <f t="shared" si="6"/>
        <v>0.3490654206</v>
      </c>
      <c r="M44" s="49">
        <f t="shared" si="7"/>
        <v>0.1074766355</v>
      </c>
      <c r="N44" s="32" t="str">
        <f t="shared" si="8"/>
        <v>Jânio</v>
      </c>
      <c r="O44" s="50" t="s">
        <v>77</v>
      </c>
      <c r="P44" s="38">
        <v>843.0</v>
      </c>
      <c r="Q44" s="38">
        <v>987.0</v>
      </c>
      <c r="R44" s="38">
        <v>221.0</v>
      </c>
      <c r="S44" s="38">
        <v>220.0</v>
      </c>
      <c r="T44" s="38">
        <v>95.0</v>
      </c>
      <c r="U44" s="48">
        <f t="shared" si="9"/>
        <v>2051</v>
      </c>
      <c r="V44" s="48">
        <f t="shared" si="10"/>
        <v>2366</v>
      </c>
      <c r="W44" s="49">
        <f t="shared" si="11"/>
        <v>0.4110190151</v>
      </c>
      <c r="X44" s="49">
        <f t="shared" si="12"/>
        <v>0.4812286689</v>
      </c>
      <c r="Y44" s="49">
        <f t="shared" si="13"/>
        <v>0.1077523159</v>
      </c>
      <c r="Z44" s="32" t="str">
        <f t="shared" si="14"/>
        <v>Milton</v>
      </c>
      <c r="AA44" s="50" t="s">
        <v>77</v>
      </c>
      <c r="AB44" s="38">
        <v>2977.0</v>
      </c>
      <c r="AC44" s="48">
        <f t="shared" si="15"/>
        <v>611</v>
      </c>
      <c r="AD44" s="51">
        <f t="shared" si="16"/>
        <v>0.7947598253</v>
      </c>
    </row>
    <row r="45">
      <c r="A45" s="45" t="s">
        <v>211</v>
      </c>
      <c r="B45" s="46" t="s">
        <v>793</v>
      </c>
      <c r="C45" s="47"/>
      <c r="D45" s="38">
        <v>1010.0</v>
      </c>
      <c r="E45" s="38">
        <v>1487.0</v>
      </c>
      <c r="F45" s="38">
        <v>126.0</v>
      </c>
      <c r="G45" s="38">
        <v>89.0</v>
      </c>
      <c r="H45" s="38">
        <v>173.0</v>
      </c>
      <c r="I45" s="48">
        <f t="shared" si="3"/>
        <v>2623</v>
      </c>
      <c r="J45" s="48">
        <f t="shared" si="4"/>
        <v>2885</v>
      </c>
      <c r="K45" s="49">
        <f t="shared" si="5"/>
        <v>0.3850552802</v>
      </c>
      <c r="L45" s="49">
        <f t="shared" si="6"/>
        <v>0.5669081205</v>
      </c>
      <c r="M45" s="49">
        <f t="shared" si="7"/>
        <v>0.04803659931</v>
      </c>
      <c r="N45" s="32" t="str">
        <f t="shared" si="8"/>
        <v>Mal. Lott</v>
      </c>
      <c r="O45" s="50" t="s">
        <v>77</v>
      </c>
      <c r="P45" s="38">
        <v>1449.0</v>
      </c>
      <c r="Q45" s="38">
        <v>939.0</v>
      </c>
      <c r="R45" s="38">
        <v>155.0</v>
      </c>
      <c r="S45" s="38">
        <v>220.0</v>
      </c>
      <c r="T45" s="38">
        <v>122.0</v>
      </c>
      <c r="U45" s="48">
        <f t="shared" si="9"/>
        <v>2543</v>
      </c>
      <c r="V45" s="48">
        <f t="shared" si="10"/>
        <v>2885</v>
      </c>
      <c r="W45" s="49">
        <f t="shared" si="11"/>
        <v>0.5697994495</v>
      </c>
      <c r="X45" s="49">
        <f t="shared" si="12"/>
        <v>0.3692489186</v>
      </c>
      <c r="Y45" s="49">
        <f t="shared" si="13"/>
        <v>0.06095163193</v>
      </c>
      <c r="Z45" s="32" t="str">
        <f t="shared" si="14"/>
        <v>Jango</v>
      </c>
      <c r="AA45" s="50" t="s">
        <v>77</v>
      </c>
      <c r="AB45" s="38">
        <v>4576.0</v>
      </c>
      <c r="AC45" s="48">
        <f t="shared" si="15"/>
        <v>1691</v>
      </c>
      <c r="AD45" s="51">
        <f t="shared" si="16"/>
        <v>0.6304632867</v>
      </c>
    </row>
    <row r="46">
      <c r="A46" s="45" t="s">
        <v>213</v>
      </c>
      <c r="B46" s="46" t="s">
        <v>794</v>
      </c>
      <c r="C46" s="47"/>
      <c r="D46" s="38">
        <v>2098.0</v>
      </c>
      <c r="E46" s="38">
        <v>1366.0</v>
      </c>
      <c r="F46" s="38">
        <v>179.0</v>
      </c>
      <c r="G46" s="38">
        <v>113.0</v>
      </c>
      <c r="H46" s="38">
        <v>173.0</v>
      </c>
      <c r="I46" s="48">
        <f t="shared" si="3"/>
        <v>3643</v>
      </c>
      <c r="J46" s="48">
        <f t="shared" si="4"/>
        <v>3929</v>
      </c>
      <c r="K46" s="49">
        <f t="shared" si="5"/>
        <v>0.5758989844</v>
      </c>
      <c r="L46" s="49">
        <f t="shared" si="6"/>
        <v>0.3749656876</v>
      </c>
      <c r="M46" s="49">
        <f t="shared" si="7"/>
        <v>0.04913532803</v>
      </c>
      <c r="N46" s="32" t="str">
        <f t="shared" si="8"/>
        <v>Jânio</v>
      </c>
      <c r="O46" s="50" t="s">
        <v>77</v>
      </c>
      <c r="P46" s="38">
        <v>1365.0</v>
      </c>
      <c r="Q46" s="38">
        <v>1865.0</v>
      </c>
      <c r="R46" s="38">
        <v>268.0</v>
      </c>
      <c r="S46" s="38">
        <v>331.0</v>
      </c>
      <c r="T46" s="38">
        <v>100.0</v>
      </c>
      <c r="U46" s="48">
        <f t="shared" si="9"/>
        <v>3498</v>
      </c>
      <c r="V46" s="48">
        <f t="shared" si="10"/>
        <v>3929</v>
      </c>
      <c r="W46" s="49">
        <f t="shared" si="11"/>
        <v>0.3902229846</v>
      </c>
      <c r="X46" s="49">
        <f t="shared" si="12"/>
        <v>0.5331618067</v>
      </c>
      <c r="Y46" s="49">
        <f t="shared" si="13"/>
        <v>0.07661520869</v>
      </c>
      <c r="Z46" s="32" t="str">
        <f t="shared" si="14"/>
        <v>Milton</v>
      </c>
      <c r="AA46" s="50" t="s">
        <v>77</v>
      </c>
      <c r="AB46" s="38">
        <v>5823.0</v>
      </c>
      <c r="AC46" s="48">
        <f t="shared" si="15"/>
        <v>1894</v>
      </c>
      <c r="AD46" s="51">
        <f t="shared" si="16"/>
        <v>0.6747381075</v>
      </c>
    </row>
    <row r="47">
      <c r="A47" s="45" t="s">
        <v>215</v>
      </c>
      <c r="B47" s="46" t="s">
        <v>795</v>
      </c>
      <c r="C47" s="47"/>
      <c r="D47" s="38">
        <v>2666.0</v>
      </c>
      <c r="E47" s="38">
        <v>2126.0</v>
      </c>
      <c r="F47" s="38">
        <v>109.0</v>
      </c>
      <c r="G47" s="38">
        <v>96.0</v>
      </c>
      <c r="H47" s="38">
        <v>234.0</v>
      </c>
      <c r="I47" s="48">
        <f t="shared" si="3"/>
        <v>4901</v>
      </c>
      <c r="J47" s="48">
        <f t="shared" si="4"/>
        <v>5231</v>
      </c>
      <c r="K47" s="49">
        <f t="shared" si="5"/>
        <v>0.5439706182</v>
      </c>
      <c r="L47" s="49">
        <f t="shared" si="6"/>
        <v>0.4337890226</v>
      </c>
      <c r="M47" s="49">
        <f t="shared" si="7"/>
        <v>0.02224035911</v>
      </c>
      <c r="N47" s="32" t="str">
        <f t="shared" si="8"/>
        <v>Jânio</v>
      </c>
      <c r="O47" s="50" t="s">
        <v>77</v>
      </c>
      <c r="P47" s="38">
        <v>1965.0</v>
      </c>
      <c r="Q47" s="38">
        <v>2534.0</v>
      </c>
      <c r="R47" s="38">
        <v>236.0</v>
      </c>
      <c r="S47" s="38">
        <v>345.0</v>
      </c>
      <c r="T47" s="38">
        <v>151.0</v>
      </c>
      <c r="U47" s="48">
        <f t="shared" si="9"/>
        <v>4735</v>
      </c>
      <c r="V47" s="48">
        <f t="shared" si="10"/>
        <v>5231</v>
      </c>
      <c r="W47" s="49">
        <f t="shared" si="11"/>
        <v>0.4149947202</v>
      </c>
      <c r="X47" s="49">
        <f t="shared" si="12"/>
        <v>0.5351636748</v>
      </c>
      <c r="Y47" s="49">
        <f t="shared" si="13"/>
        <v>0.04984160507</v>
      </c>
      <c r="Z47" s="32" t="str">
        <f t="shared" si="14"/>
        <v>Milton</v>
      </c>
      <c r="AA47" s="50" t="s">
        <v>77</v>
      </c>
      <c r="AB47" s="38">
        <v>7214.0</v>
      </c>
      <c r="AC47" s="48">
        <f t="shared" si="15"/>
        <v>1983</v>
      </c>
      <c r="AD47" s="51">
        <f t="shared" si="16"/>
        <v>0.7251178264</v>
      </c>
    </row>
    <row r="48">
      <c r="A48" s="45" t="s">
        <v>218</v>
      </c>
      <c r="B48" s="46" t="s">
        <v>796</v>
      </c>
      <c r="C48" s="47"/>
      <c r="D48" s="38">
        <v>1306.0</v>
      </c>
      <c r="E48" s="38">
        <v>3154.0</v>
      </c>
      <c r="F48" s="38">
        <v>224.0</v>
      </c>
      <c r="G48" s="38">
        <v>130.0</v>
      </c>
      <c r="H48" s="38">
        <v>225.0</v>
      </c>
      <c r="I48" s="48">
        <f t="shared" si="3"/>
        <v>4684</v>
      </c>
      <c r="J48" s="48">
        <f t="shared" si="4"/>
        <v>5039</v>
      </c>
      <c r="K48" s="49">
        <f t="shared" si="5"/>
        <v>0.2788215201</v>
      </c>
      <c r="L48" s="49">
        <f t="shared" si="6"/>
        <v>0.6733561059</v>
      </c>
      <c r="M48" s="49">
        <f t="shared" si="7"/>
        <v>0.04782237404</v>
      </c>
      <c r="N48" s="32" t="str">
        <f t="shared" si="8"/>
        <v>Mal. Lott</v>
      </c>
      <c r="O48" s="50" t="s">
        <v>77</v>
      </c>
      <c r="P48" s="38">
        <v>3106.0</v>
      </c>
      <c r="Q48" s="38">
        <v>1057.0</v>
      </c>
      <c r="R48" s="38">
        <v>430.0</v>
      </c>
      <c r="S48" s="38">
        <v>292.0</v>
      </c>
      <c r="T48" s="38">
        <v>154.0</v>
      </c>
      <c r="U48" s="48">
        <f t="shared" si="9"/>
        <v>4593</v>
      </c>
      <c r="V48" s="48">
        <f t="shared" si="10"/>
        <v>5039</v>
      </c>
      <c r="W48" s="49">
        <f t="shared" si="11"/>
        <v>0.676246462</v>
      </c>
      <c r="X48" s="49">
        <f t="shared" si="12"/>
        <v>0.2301328108</v>
      </c>
      <c r="Y48" s="49">
        <f t="shared" si="13"/>
        <v>0.09362072719</v>
      </c>
      <c r="Z48" s="32" t="str">
        <f t="shared" si="14"/>
        <v>Jango</v>
      </c>
      <c r="AA48" s="50" t="s">
        <v>77</v>
      </c>
      <c r="AB48" s="38">
        <v>6624.0</v>
      </c>
      <c r="AC48" s="48">
        <f t="shared" si="15"/>
        <v>1585</v>
      </c>
      <c r="AD48" s="51">
        <f t="shared" si="16"/>
        <v>0.760718599</v>
      </c>
    </row>
    <row r="49">
      <c r="A49" s="45" t="s">
        <v>220</v>
      </c>
      <c r="B49" s="46" t="s">
        <v>797</v>
      </c>
      <c r="C49" s="47"/>
      <c r="D49" s="38">
        <v>1614.0</v>
      </c>
      <c r="E49" s="38">
        <v>1822.0</v>
      </c>
      <c r="F49" s="38">
        <v>150.0</v>
      </c>
      <c r="G49" s="38">
        <v>81.0</v>
      </c>
      <c r="H49" s="38">
        <v>177.0</v>
      </c>
      <c r="I49" s="48">
        <f t="shared" si="3"/>
        <v>3586</v>
      </c>
      <c r="J49" s="48">
        <f t="shared" si="4"/>
        <v>3844</v>
      </c>
      <c r="K49" s="49">
        <f t="shared" si="5"/>
        <v>0.4500836587</v>
      </c>
      <c r="L49" s="49">
        <f t="shared" si="6"/>
        <v>0.508087005</v>
      </c>
      <c r="M49" s="49">
        <f t="shared" si="7"/>
        <v>0.04182933631</v>
      </c>
      <c r="N49" s="32" t="str">
        <f t="shared" si="8"/>
        <v>Mal. Lott</v>
      </c>
      <c r="O49" s="50" t="s">
        <v>77</v>
      </c>
      <c r="P49" s="38">
        <v>1830.0</v>
      </c>
      <c r="Q49" s="38">
        <v>1367.0</v>
      </c>
      <c r="R49" s="38">
        <v>322.0</v>
      </c>
      <c r="S49" s="38">
        <v>201.0</v>
      </c>
      <c r="T49" s="38">
        <v>124.0</v>
      </c>
      <c r="U49" s="48">
        <f t="shared" si="9"/>
        <v>3519</v>
      </c>
      <c r="V49" s="48">
        <f t="shared" si="10"/>
        <v>3844</v>
      </c>
      <c r="W49" s="49">
        <f t="shared" si="11"/>
        <v>0.5200341006</v>
      </c>
      <c r="X49" s="49">
        <f t="shared" si="12"/>
        <v>0.3884626314</v>
      </c>
      <c r="Y49" s="49">
        <f t="shared" si="13"/>
        <v>0.09150326797</v>
      </c>
      <c r="Z49" s="32" t="str">
        <f t="shared" si="14"/>
        <v>Jango</v>
      </c>
      <c r="AA49" s="50" t="s">
        <v>77</v>
      </c>
      <c r="AB49" s="38">
        <v>5483.0</v>
      </c>
      <c r="AC49" s="48">
        <f t="shared" si="15"/>
        <v>1639</v>
      </c>
      <c r="AD49" s="51">
        <f t="shared" si="16"/>
        <v>0.7010760533</v>
      </c>
    </row>
    <row r="50">
      <c r="A50" s="45" t="s">
        <v>295</v>
      </c>
      <c r="B50" s="46" t="s">
        <v>798</v>
      </c>
      <c r="C50" s="47"/>
      <c r="D50" s="38">
        <v>1108.0</v>
      </c>
      <c r="E50" s="38">
        <v>648.0</v>
      </c>
      <c r="F50" s="38">
        <v>123.0</v>
      </c>
      <c r="G50" s="38">
        <v>93.0</v>
      </c>
      <c r="H50" s="38">
        <v>206.0</v>
      </c>
      <c r="I50" s="48">
        <f t="shared" si="3"/>
        <v>1879</v>
      </c>
      <c r="J50" s="48">
        <f t="shared" si="4"/>
        <v>2178</v>
      </c>
      <c r="K50" s="49">
        <f t="shared" si="5"/>
        <v>0.5896753592</v>
      </c>
      <c r="L50" s="49">
        <f t="shared" si="6"/>
        <v>0.3448642895</v>
      </c>
      <c r="M50" s="49">
        <f t="shared" si="7"/>
        <v>0.06546035125</v>
      </c>
      <c r="N50" s="32" t="str">
        <f t="shared" si="8"/>
        <v>Jânio</v>
      </c>
      <c r="O50" s="50" t="s">
        <v>77</v>
      </c>
      <c r="P50" s="38">
        <v>646.0</v>
      </c>
      <c r="Q50" s="38">
        <v>811.0</v>
      </c>
      <c r="R50" s="38">
        <v>391.0</v>
      </c>
      <c r="S50" s="38">
        <v>188.0</v>
      </c>
      <c r="T50" s="38">
        <v>142.0</v>
      </c>
      <c r="U50" s="48">
        <f t="shared" si="9"/>
        <v>1848</v>
      </c>
      <c r="V50" s="48">
        <f t="shared" si="10"/>
        <v>2178</v>
      </c>
      <c r="W50" s="49">
        <f t="shared" si="11"/>
        <v>0.3495670996</v>
      </c>
      <c r="X50" s="49">
        <f t="shared" si="12"/>
        <v>0.4388528139</v>
      </c>
      <c r="Y50" s="49">
        <f t="shared" si="13"/>
        <v>0.2115800866</v>
      </c>
      <c r="Z50" s="32" t="str">
        <f t="shared" si="14"/>
        <v>Milton</v>
      </c>
      <c r="AA50" s="50" t="s">
        <v>77</v>
      </c>
      <c r="AB50" s="38">
        <v>3589.0</v>
      </c>
      <c r="AC50" s="48">
        <f t="shared" si="15"/>
        <v>1411</v>
      </c>
      <c r="AD50" s="51">
        <f t="shared" si="16"/>
        <v>0.606854277</v>
      </c>
    </row>
    <row r="51">
      <c r="A51" s="45" t="s">
        <v>299</v>
      </c>
      <c r="B51" s="46" t="s">
        <v>799</v>
      </c>
      <c r="C51" s="47"/>
      <c r="D51" s="38">
        <v>1317.0</v>
      </c>
      <c r="E51" s="38">
        <v>1541.0</v>
      </c>
      <c r="F51" s="38">
        <v>92.0</v>
      </c>
      <c r="G51" s="38">
        <v>119.0</v>
      </c>
      <c r="H51" s="38">
        <v>114.0</v>
      </c>
      <c r="I51" s="48">
        <f t="shared" si="3"/>
        <v>2950</v>
      </c>
      <c r="J51" s="48">
        <f t="shared" si="4"/>
        <v>3183</v>
      </c>
      <c r="K51" s="49">
        <f t="shared" si="5"/>
        <v>0.446440678</v>
      </c>
      <c r="L51" s="49">
        <f t="shared" si="6"/>
        <v>0.5223728814</v>
      </c>
      <c r="M51" s="49">
        <f t="shared" si="7"/>
        <v>0.03118644068</v>
      </c>
      <c r="N51" s="32" t="str">
        <f t="shared" si="8"/>
        <v>Mal. Lott</v>
      </c>
      <c r="O51" s="50" t="s">
        <v>77</v>
      </c>
      <c r="P51" s="38">
        <v>1448.0</v>
      </c>
      <c r="Q51" s="38">
        <v>1237.0</v>
      </c>
      <c r="R51" s="38">
        <v>161.0</v>
      </c>
      <c r="S51" s="38">
        <v>240.0</v>
      </c>
      <c r="T51" s="38">
        <v>97.0</v>
      </c>
      <c r="U51" s="48">
        <f t="shared" si="9"/>
        <v>2846</v>
      </c>
      <c r="V51" s="48">
        <f t="shared" si="10"/>
        <v>3183</v>
      </c>
      <c r="W51" s="49">
        <f t="shared" si="11"/>
        <v>0.5087842586</v>
      </c>
      <c r="X51" s="49">
        <f t="shared" si="12"/>
        <v>0.434645116</v>
      </c>
      <c r="Y51" s="49">
        <f t="shared" si="13"/>
        <v>0.05657062544</v>
      </c>
      <c r="Z51" s="32" t="str">
        <f t="shared" si="14"/>
        <v>Jango</v>
      </c>
      <c r="AA51" s="50" t="s">
        <v>77</v>
      </c>
      <c r="AB51" s="38">
        <v>4315.0</v>
      </c>
      <c r="AC51" s="48">
        <f t="shared" si="15"/>
        <v>1132</v>
      </c>
      <c r="AD51" s="51">
        <f t="shared" si="16"/>
        <v>0.7376593279</v>
      </c>
    </row>
    <row r="52">
      <c r="A52" s="45" t="s">
        <v>302</v>
      </c>
      <c r="B52" s="46" t="s">
        <v>800</v>
      </c>
      <c r="C52" s="47"/>
      <c r="D52" s="38">
        <v>1171.0</v>
      </c>
      <c r="E52" s="38">
        <v>743.0</v>
      </c>
      <c r="F52" s="38">
        <v>74.0</v>
      </c>
      <c r="G52" s="38">
        <v>70.0</v>
      </c>
      <c r="H52" s="38">
        <v>104.0</v>
      </c>
      <c r="I52" s="48">
        <f t="shared" si="3"/>
        <v>1988</v>
      </c>
      <c r="J52" s="48">
        <f t="shared" si="4"/>
        <v>2162</v>
      </c>
      <c r="K52" s="49">
        <f t="shared" si="5"/>
        <v>0.5890342052</v>
      </c>
      <c r="L52" s="49">
        <f t="shared" si="6"/>
        <v>0.3737424547</v>
      </c>
      <c r="M52" s="49">
        <f t="shared" si="7"/>
        <v>0.03722334004</v>
      </c>
      <c r="N52" s="32" t="str">
        <f t="shared" si="8"/>
        <v>Jânio</v>
      </c>
      <c r="O52" s="50" t="s">
        <v>77</v>
      </c>
      <c r="P52" s="38">
        <v>724.0</v>
      </c>
      <c r="Q52" s="38">
        <v>1150.0</v>
      </c>
      <c r="R52" s="38">
        <v>66.0</v>
      </c>
      <c r="S52" s="38">
        <v>149.0</v>
      </c>
      <c r="T52" s="38">
        <v>73.0</v>
      </c>
      <c r="U52" s="48">
        <f t="shared" si="9"/>
        <v>1940</v>
      </c>
      <c r="V52" s="48">
        <f t="shared" si="10"/>
        <v>2162</v>
      </c>
      <c r="W52" s="49">
        <f t="shared" si="11"/>
        <v>0.3731958763</v>
      </c>
      <c r="X52" s="49">
        <f t="shared" si="12"/>
        <v>0.5927835052</v>
      </c>
      <c r="Y52" s="49">
        <f t="shared" si="13"/>
        <v>0.03402061856</v>
      </c>
      <c r="Z52" s="32" t="str">
        <f t="shared" si="14"/>
        <v>Milton</v>
      </c>
      <c r="AA52" s="50" t="s">
        <v>77</v>
      </c>
      <c r="AB52" s="38">
        <v>3132.0</v>
      </c>
      <c r="AC52" s="48">
        <f t="shared" si="15"/>
        <v>970</v>
      </c>
      <c r="AD52" s="51">
        <f t="shared" si="16"/>
        <v>0.690293742</v>
      </c>
    </row>
    <row r="53">
      <c r="A53" s="45" t="s">
        <v>304</v>
      </c>
      <c r="B53" s="46" t="s">
        <v>801</v>
      </c>
      <c r="C53" s="47"/>
      <c r="D53" s="38">
        <v>7285.0</v>
      </c>
      <c r="E53" s="38">
        <v>5136.0</v>
      </c>
      <c r="F53" s="38">
        <v>446.0</v>
      </c>
      <c r="G53" s="38">
        <v>287.0</v>
      </c>
      <c r="H53" s="38">
        <v>383.0</v>
      </c>
      <c r="I53" s="48">
        <f t="shared" si="3"/>
        <v>12867</v>
      </c>
      <c r="J53" s="48">
        <f t="shared" si="4"/>
        <v>13537</v>
      </c>
      <c r="K53" s="49">
        <f t="shared" si="5"/>
        <v>0.566177042</v>
      </c>
      <c r="L53" s="49">
        <f t="shared" si="6"/>
        <v>0.3991606435</v>
      </c>
      <c r="M53" s="49">
        <f t="shared" si="7"/>
        <v>0.03466231445</v>
      </c>
      <c r="N53" s="32" t="str">
        <f t="shared" si="8"/>
        <v>Jânio</v>
      </c>
      <c r="O53" s="50" t="s">
        <v>77</v>
      </c>
      <c r="P53" s="38">
        <v>4718.0</v>
      </c>
      <c r="Q53" s="38">
        <v>6125.0</v>
      </c>
      <c r="R53" s="38">
        <v>1705.0</v>
      </c>
      <c r="S53" s="38">
        <v>570.0</v>
      </c>
      <c r="T53" s="38">
        <v>419.0</v>
      </c>
      <c r="U53" s="48">
        <f t="shared" si="9"/>
        <v>12548</v>
      </c>
      <c r="V53" s="48">
        <f t="shared" si="10"/>
        <v>13537</v>
      </c>
      <c r="W53" s="49">
        <f t="shared" si="11"/>
        <v>0.3759961747</v>
      </c>
      <c r="X53" s="49">
        <f t="shared" si="12"/>
        <v>0.4881255977</v>
      </c>
      <c r="Y53" s="49">
        <f t="shared" si="13"/>
        <v>0.1358782276</v>
      </c>
      <c r="Z53" s="32" t="str">
        <f t="shared" si="14"/>
        <v>Milton</v>
      </c>
      <c r="AA53" s="50" t="s">
        <v>77</v>
      </c>
      <c r="AB53" s="38">
        <v>18205.0</v>
      </c>
      <c r="AC53" s="48">
        <f t="shared" si="15"/>
        <v>4668</v>
      </c>
      <c r="AD53" s="51">
        <f t="shared" si="16"/>
        <v>0.7435869267</v>
      </c>
    </row>
    <row r="54">
      <c r="A54" s="45" t="s">
        <v>308</v>
      </c>
      <c r="B54" s="46" t="s">
        <v>802</v>
      </c>
      <c r="C54" s="47"/>
      <c r="D54" s="38">
        <v>1262.0</v>
      </c>
      <c r="E54" s="38">
        <v>1617.0</v>
      </c>
      <c r="F54" s="38">
        <v>107.0</v>
      </c>
      <c r="G54" s="38">
        <v>107.0</v>
      </c>
      <c r="H54" s="38">
        <v>166.0</v>
      </c>
      <c r="I54" s="48">
        <f t="shared" si="3"/>
        <v>2986</v>
      </c>
      <c r="J54" s="48">
        <f t="shared" si="4"/>
        <v>3259</v>
      </c>
      <c r="K54" s="49">
        <f t="shared" si="5"/>
        <v>0.4226389819</v>
      </c>
      <c r="L54" s="49">
        <f t="shared" si="6"/>
        <v>0.5415271266</v>
      </c>
      <c r="M54" s="49">
        <f t="shared" si="7"/>
        <v>0.03583389149</v>
      </c>
      <c r="N54" s="32" t="str">
        <f t="shared" si="8"/>
        <v>Mal. Lott</v>
      </c>
      <c r="O54" s="50" t="s">
        <v>77</v>
      </c>
      <c r="P54" s="38">
        <v>1599.0</v>
      </c>
      <c r="Q54" s="38">
        <v>678.0</v>
      </c>
      <c r="R54" s="38">
        <v>602.0</v>
      </c>
      <c r="S54" s="38">
        <v>261.0</v>
      </c>
      <c r="T54" s="38">
        <v>119.0</v>
      </c>
      <c r="U54" s="48">
        <f t="shared" si="9"/>
        <v>2879</v>
      </c>
      <c r="V54" s="48">
        <f t="shared" si="10"/>
        <v>3259</v>
      </c>
      <c r="W54" s="49">
        <f t="shared" si="11"/>
        <v>0.555401181</v>
      </c>
      <c r="X54" s="49">
        <f t="shared" si="12"/>
        <v>0.235498437</v>
      </c>
      <c r="Y54" s="49">
        <f t="shared" si="13"/>
        <v>0.2091003821</v>
      </c>
      <c r="Z54" s="32" t="str">
        <f t="shared" si="14"/>
        <v>Jango</v>
      </c>
      <c r="AA54" s="50" t="s">
        <v>77</v>
      </c>
      <c r="AB54" s="38">
        <v>4781.0</v>
      </c>
      <c r="AC54" s="48">
        <f t="shared" si="15"/>
        <v>1522</v>
      </c>
      <c r="AD54" s="51">
        <f t="shared" si="16"/>
        <v>0.6816565572</v>
      </c>
    </row>
    <row r="55">
      <c r="A55" s="45" t="s">
        <v>312</v>
      </c>
      <c r="B55" s="46" t="s">
        <v>803</v>
      </c>
      <c r="C55" s="47"/>
      <c r="D55" s="38">
        <v>1712.0</v>
      </c>
      <c r="E55" s="38">
        <v>1189.0</v>
      </c>
      <c r="F55" s="38">
        <v>196.0</v>
      </c>
      <c r="G55" s="38">
        <v>125.0</v>
      </c>
      <c r="H55" s="38">
        <v>154.0</v>
      </c>
      <c r="I55" s="48">
        <f t="shared" si="3"/>
        <v>3097</v>
      </c>
      <c r="J55" s="48">
        <f t="shared" si="4"/>
        <v>3376</v>
      </c>
      <c r="K55" s="49">
        <f t="shared" si="5"/>
        <v>0.5527930255</v>
      </c>
      <c r="L55" s="49">
        <f t="shared" si="6"/>
        <v>0.3839199225</v>
      </c>
      <c r="M55" s="49">
        <f t="shared" si="7"/>
        <v>0.06328705199</v>
      </c>
      <c r="N55" s="32" t="str">
        <f t="shared" si="8"/>
        <v>Jânio</v>
      </c>
      <c r="O55" s="50" t="s">
        <v>77</v>
      </c>
      <c r="P55" s="38">
        <v>1219.0</v>
      </c>
      <c r="Q55" s="38">
        <v>1590.0</v>
      </c>
      <c r="R55" s="38">
        <v>231.0</v>
      </c>
      <c r="S55" s="38">
        <v>240.0</v>
      </c>
      <c r="T55" s="38">
        <v>96.0</v>
      </c>
      <c r="U55" s="48">
        <f t="shared" si="9"/>
        <v>3040</v>
      </c>
      <c r="V55" s="48">
        <f t="shared" si="10"/>
        <v>3376</v>
      </c>
      <c r="W55" s="49">
        <f t="shared" si="11"/>
        <v>0.4009868421</v>
      </c>
      <c r="X55" s="49">
        <f t="shared" si="12"/>
        <v>0.5230263158</v>
      </c>
      <c r="Y55" s="49">
        <f t="shared" si="13"/>
        <v>0.07598684211</v>
      </c>
      <c r="Z55" s="32" t="str">
        <f t="shared" si="14"/>
        <v>Milton</v>
      </c>
      <c r="AA55" s="50" t="s">
        <v>77</v>
      </c>
      <c r="AB55" s="38">
        <v>4934.0</v>
      </c>
      <c r="AC55" s="48">
        <f t="shared" si="15"/>
        <v>1558</v>
      </c>
      <c r="AD55" s="51">
        <f t="shared" si="16"/>
        <v>0.6842318606</v>
      </c>
    </row>
    <row r="56">
      <c r="A56" s="45" t="s">
        <v>314</v>
      </c>
      <c r="B56" s="46" t="s">
        <v>804</v>
      </c>
      <c r="C56" s="47"/>
      <c r="D56" s="38">
        <v>1354.0</v>
      </c>
      <c r="E56" s="38">
        <v>822.0</v>
      </c>
      <c r="F56" s="38">
        <v>93.0</v>
      </c>
      <c r="G56" s="38">
        <v>84.0</v>
      </c>
      <c r="H56" s="38">
        <v>167.0</v>
      </c>
      <c r="I56" s="48">
        <f t="shared" si="3"/>
        <v>2269</v>
      </c>
      <c r="J56" s="48">
        <f t="shared" si="4"/>
        <v>2520</v>
      </c>
      <c r="K56" s="49">
        <f t="shared" si="5"/>
        <v>0.5967386514</v>
      </c>
      <c r="L56" s="49">
        <f t="shared" si="6"/>
        <v>0.3622741296</v>
      </c>
      <c r="M56" s="49">
        <f t="shared" si="7"/>
        <v>0.04098721904</v>
      </c>
      <c r="N56" s="32" t="str">
        <f t="shared" si="8"/>
        <v>Jânio</v>
      </c>
      <c r="O56" s="50" t="s">
        <v>77</v>
      </c>
      <c r="P56" s="38">
        <v>824.0</v>
      </c>
      <c r="Q56" s="38">
        <v>1253.0</v>
      </c>
      <c r="R56" s="38">
        <v>120.0</v>
      </c>
      <c r="S56" s="38">
        <v>204.0</v>
      </c>
      <c r="T56" s="38">
        <v>119.0</v>
      </c>
      <c r="U56" s="48">
        <f t="shared" si="9"/>
        <v>2197</v>
      </c>
      <c r="V56" s="48">
        <f t="shared" si="10"/>
        <v>2520</v>
      </c>
      <c r="W56" s="49">
        <f t="shared" si="11"/>
        <v>0.3750568958</v>
      </c>
      <c r="X56" s="49">
        <f t="shared" si="12"/>
        <v>0.570323168</v>
      </c>
      <c r="Y56" s="49">
        <f t="shared" si="13"/>
        <v>0.05461993628</v>
      </c>
      <c r="Z56" s="32" t="str">
        <f t="shared" si="14"/>
        <v>Milton</v>
      </c>
      <c r="AA56" s="50" t="s">
        <v>77</v>
      </c>
      <c r="AB56" s="38">
        <v>3423.0</v>
      </c>
      <c r="AC56" s="48">
        <f t="shared" si="15"/>
        <v>903</v>
      </c>
      <c r="AD56" s="51">
        <f t="shared" si="16"/>
        <v>0.736196319</v>
      </c>
    </row>
    <row r="57">
      <c r="A57" s="45" t="s">
        <v>254</v>
      </c>
      <c r="B57" s="46" t="s">
        <v>805</v>
      </c>
      <c r="C57" s="47"/>
      <c r="D57" s="38">
        <v>2429.0</v>
      </c>
      <c r="E57" s="38">
        <v>1332.0</v>
      </c>
      <c r="F57" s="38">
        <v>190.0</v>
      </c>
      <c r="G57" s="38">
        <v>143.0</v>
      </c>
      <c r="H57" s="38">
        <v>258.0</v>
      </c>
      <c r="I57" s="48">
        <f t="shared" si="3"/>
        <v>3951</v>
      </c>
      <c r="J57" s="48">
        <f t="shared" si="4"/>
        <v>4352</v>
      </c>
      <c r="K57" s="49">
        <f t="shared" si="5"/>
        <v>0.6147810681</v>
      </c>
      <c r="L57" s="49">
        <f t="shared" si="6"/>
        <v>0.3371298405</v>
      </c>
      <c r="M57" s="49">
        <f t="shared" si="7"/>
        <v>0.04808909137</v>
      </c>
      <c r="N57" s="32" t="str">
        <f t="shared" si="8"/>
        <v>Jânio</v>
      </c>
      <c r="O57" s="50" t="s">
        <v>77</v>
      </c>
      <c r="P57" s="38">
        <v>1334.0</v>
      </c>
      <c r="Q57" s="38">
        <v>2270.0</v>
      </c>
      <c r="R57" s="38">
        <v>223.0</v>
      </c>
      <c r="S57" s="38">
        <v>382.0</v>
      </c>
      <c r="T57" s="38">
        <v>143.0</v>
      </c>
      <c r="U57" s="48">
        <f t="shared" si="9"/>
        <v>3827</v>
      </c>
      <c r="V57" s="48">
        <f t="shared" si="10"/>
        <v>4352</v>
      </c>
      <c r="W57" s="49">
        <f t="shared" si="11"/>
        <v>0.348575908</v>
      </c>
      <c r="X57" s="49">
        <f t="shared" si="12"/>
        <v>0.5931539065</v>
      </c>
      <c r="Y57" s="49">
        <f t="shared" si="13"/>
        <v>0.05827018552</v>
      </c>
      <c r="Z57" s="32" t="str">
        <f t="shared" si="14"/>
        <v>Milton</v>
      </c>
      <c r="AA57" s="50" t="s">
        <v>77</v>
      </c>
      <c r="AB57" s="38">
        <v>6426.0</v>
      </c>
      <c r="AC57" s="48">
        <f t="shared" si="15"/>
        <v>2074</v>
      </c>
      <c r="AD57" s="51">
        <f t="shared" si="16"/>
        <v>0.6772486772</v>
      </c>
    </row>
    <row r="58">
      <c r="A58" s="45" t="s">
        <v>258</v>
      </c>
      <c r="B58" s="46" t="s">
        <v>806</v>
      </c>
      <c r="C58" s="47"/>
      <c r="D58" s="38">
        <v>1616.0</v>
      </c>
      <c r="E58" s="38">
        <v>1190.0</v>
      </c>
      <c r="F58" s="38">
        <v>77.0</v>
      </c>
      <c r="G58" s="38">
        <v>66.0</v>
      </c>
      <c r="H58" s="38">
        <v>135.0</v>
      </c>
      <c r="I58" s="48">
        <f t="shared" si="3"/>
        <v>2883</v>
      </c>
      <c r="J58" s="48">
        <f t="shared" si="4"/>
        <v>3084</v>
      </c>
      <c r="K58" s="49">
        <f t="shared" si="5"/>
        <v>0.5605272286</v>
      </c>
      <c r="L58" s="49">
        <f t="shared" si="6"/>
        <v>0.4127644814</v>
      </c>
      <c r="M58" s="49">
        <f t="shared" si="7"/>
        <v>0.02670828998</v>
      </c>
      <c r="N58" s="32" t="str">
        <f t="shared" si="8"/>
        <v>Jânio</v>
      </c>
      <c r="O58" s="50" t="s">
        <v>77</v>
      </c>
      <c r="P58" s="38">
        <v>1185.0</v>
      </c>
      <c r="Q58" s="38">
        <v>1547.0</v>
      </c>
      <c r="R58" s="38">
        <v>109.0</v>
      </c>
      <c r="S58" s="38">
        <v>156.0</v>
      </c>
      <c r="T58" s="38">
        <v>87.0</v>
      </c>
      <c r="U58" s="48">
        <f t="shared" si="9"/>
        <v>2841</v>
      </c>
      <c r="V58" s="48">
        <f t="shared" si="10"/>
        <v>3084</v>
      </c>
      <c r="W58" s="49">
        <f t="shared" si="11"/>
        <v>0.4171066526</v>
      </c>
      <c r="X58" s="49">
        <f t="shared" si="12"/>
        <v>0.5445265751</v>
      </c>
      <c r="Y58" s="49">
        <f t="shared" si="13"/>
        <v>0.03836677226</v>
      </c>
      <c r="Z58" s="32" t="str">
        <f t="shared" si="14"/>
        <v>Milton</v>
      </c>
      <c r="AA58" s="50" t="s">
        <v>77</v>
      </c>
      <c r="AB58" s="38">
        <v>4303.0</v>
      </c>
      <c r="AC58" s="48">
        <f t="shared" si="15"/>
        <v>1219</v>
      </c>
      <c r="AD58" s="51">
        <f t="shared" si="16"/>
        <v>0.7167092726</v>
      </c>
    </row>
    <row r="59">
      <c r="A59" s="45" t="s">
        <v>319</v>
      </c>
      <c r="B59" s="46" t="s">
        <v>807</v>
      </c>
      <c r="C59" s="47"/>
      <c r="D59" s="38">
        <v>440.0</v>
      </c>
      <c r="E59" s="38">
        <v>753.0</v>
      </c>
      <c r="F59" s="38">
        <v>72.0</v>
      </c>
      <c r="G59" s="38">
        <v>88.0</v>
      </c>
      <c r="H59" s="38">
        <v>163.0</v>
      </c>
      <c r="I59" s="48">
        <f t="shared" si="3"/>
        <v>1265</v>
      </c>
      <c r="J59" s="48">
        <f t="shared" si="4"/>
        <v>1516</v>
      </c>
      <c r="K59" s="49">
        <f t="shared" si="5"/>
        <v>0.347826087</v>
      </c>
      <c r="L59" s="49">
        <f t="shared" si="6"/>
        <v>0.595256917</v>
      </c>
      <c r="M59" s="49">
        <f t="shared" si="7"/>
        <v>0.05691699605</v>
      </c>
      <c r="N59" s="32" t="str">
        <f t="shared" si="8"/>
        <v>Mal. Lott</v>
      </c>
      <c r="O59" s="50" t="s">
        <v>77</v>
      </c>
      <c r="P59" s="38">
        <v>733.0</v>
      </c>
      <c r="Q59" s="38">
        <v>385.0</v>
      </c>
      <c r="R59" s="38">
        <v>120.0</v>
      </c>
      <c r="S59" s="38">
        <v>136.0</v>
      </c>
      <c r="T59" s="38">
        <v>142.0</v>
      </c>
      <c r="U59" s="48">
        <f t="shared" si="9"/>
        <v>1238</v>
      </c>
      <c r="V59" s="48">
        <f t="shared" si="10"/>
        <v>1516</v>
      </c>
      <c r="W59" s="49">
        <f t="shared" si="11"/>
        <v>0.5920840065</v>
      </c>
      <c r="X59" s="49">
        <f t="shared" si="12"/>
        <v>0.3109854604</v>
      </c>
      <c r="Y59" s="49">
        <f t="shared" si="13"/>
        <v>0.09693053312</v>
      </c>
      <c r="Z59" s="32" t="str">
        <f t="shared" si="14"/>
        <v>Jango</v>
      </c>
      <c r="AA59" s="50" t="s">
        <v>77</v>
      </c>
      <c r="AB59" s="38">
        <v>2180.0</v>
      </c>
      <c r="AC59" s="48">
        <f t="shared" si="15"/>
        <v>664</v>
      </c>
      <c r="AD59" s="51">
        <f t="shared" si="16"/>
        <v>0.695412844</v>
      </c>
    </row>
    <row r="60">
      <c r="A60" s="45" t="s">
        <v>321</v>
      </c>
      <c r="B60" s="46" t="s">
        <v>808</v>
      </c>
      <c r="C60" s="47"/>
      <c r="D60" s="38">
        <v>1551.0</v>
      </c>
      <c r="E60" s="38">
        <v>1132.0</v>
      </c>
      <c r="F60" s="38">
        <v>113.0</v>
      </c>
      <c r="G60" s="38">
        <v>74.0</v>
      </c>
      <c r="H60" s="38">
        <v>145.0</v>
      </c>
      <c r="I60" s="48">
        <f t="shared" si="3"/>
        <v>2796</v>
      </c>
      <c r="J60" s="48">
        <f t="shared" si="4"/>
        <v>3015</v>
      </c>
      <c r="K60" s="49">
        <f t="shared" si="5"/>
        <v>0.55472103</v>
      </c>
      <c r="L60" s="49">
        <f t="shared" si="6"/>
        <v>0.4048640916</v>
      </c>
      <c r="M60" s="49">
        <f t="shared" si="7"/>
        <v>0.0404148784</v>
      </c>
      <c r="N60" s="32" t="str">
        <f t="shared" si="8"/>
        <v>Jânio</v>
      </c>
      <c r="O60" s="50" t="s">
        <v>77</v>
      </c>
      <c r="P60" s="38">
        <v>1119.0</v>
      </c>
      <c r="Q60" s="38">
        <v>1457.0</v>
      </c>
      <c r="R60" s="38">
        <v>127.0</v>
      </c>
      <c r="S60" s="38">
        <v>195.0</v>
      </c>
      <c r="T60" s="38">
        <v>117.0</v>
      </c>
      <c r="U60" s="48">
        <f t="shared" si="9"/>
        <v>2703</v>
      </c>
      <c r="V60" s="48">
        <f t="shared" si="10"/>
        <v>3015</v>
      </c>
      <c r="W60" s="49">
        <f t="shared" si="11"/>
        <v>0.4139844617</v>
      </c>
      <c r="X60" s="49">
        <f t="shared" si="12"/>
        <v>0.5390307066</v>
      </c>
      <c r="Y60" s="49">
        <f t="shared" si="13"/>
        <v>0.04698483167</v>
      </c>
      <c r="Z60" s="32" t="str">
        <f t="shared" si="14"/>
        <v>Milton</v>
      </c>
      <c r="AA60" s="50" t="s">
        <v>77</v>
      </c>
      <c r="AB60" s="38">
        <v>4439.0</v>
      </c>
      <c r="AC60" s="48">
        <f t="shared" si="15"/>
        <v>1424</v>
      </c>
      <c r="AD60" s="51">
        <f t="shared" si="16"/>
        <v>0.6792070286</v>
      </c>
    </row>
    <row r="61">
      <c r="A61" s="45" t="s">
        <v>324</v>
      </c>
      <c r="B61" s="46" t="s">
        <v>809</v>
      </c>
      <c r="C61" s="47"/>
      <c r="D61" s="38">
        <v>688.0</v>
      </c>
      <c r="E61" s="38">
        <v>598.0</v>
      </c>
      <c r="F61" s="38">
        <v>63.0</v>
      </c>
      <c r="G61" s="38">
        <v>46.0</v>
      </c>
      <c r="H61" s="38">
        <v>69.0</v>
      </c>
      <c r="I61" s="48">
        <f t="shared" si="3"/>
        <v>1349</v>
      </c>
      <c r="J61" s="48">
        <f t="shared" si="4"/>
        <v>1464</v>
      </c>
      <c r="K61" s="49">
        <f t="shared" si="5"/>
        <v>0.5100074129</v>
      </c>
      <c r="L61" s="49">
        <f t="shared" si="6"/>
        <v>0.4432913269</v>
      </c>
      <c r="M61" s="49">
        <f t="shared" si="7"/>
        <v>0.04670126019</v>
      </c>
      <c r="N61" s="32" t="str">
        <f t="shared" si="8"/>
        <v>Jânio</v>
      </c>
      <c r="O61" s="50" t="s">
        <v>77</v>
      </c>
      <c r="P61" s="38">
        <v>606.0</v>
      </c>
      <c r="Q61" s="38">
        <v>628.0</v>
      </c>
      <c r="R61" s="38">
        <v>91.0</v>
      </c>
      <c r="S61" s="38">
        <v>93.0</v>
      </c>
      <c r="T61" s="38">
        <v>46.0</v>
      </c>
      <c r="U61" s="48">
        <f t="shared" si="9"/>
        <v>1325</v>
      </c>
      <c r="V61" s="48">
        <f t="shared" si="10"/>
        <v>1464</v>
      </c>
      <c r="W61" s="49">
        <f t="shared" si="11"/>
        <v>0.4573584906</v>
      </c>
      <c r="X61" s="49">
        <f t="shared" si="12"/>
        <v>0.4739622642</v>
      </c>
      <c r="Y61" s="49">
        <f t="shared" si="13"/>
        <v>0.06867924528</v>
      </c>
      <c r="Z61" s="32" t="str">
        <f t="shared" si="14"/>
        <v>Milton</v>
      </c>
      <c r="AA61" s="50" t="s">
        <v>77</v>
      </c>
      <c r="AB61" s="38">
        <v>1946.0</v>
      </c>
      <c r="AC61" s="48">
        <f t="shared" si="15"/>
        <v>482</v>
      </c>
      <c r="AD61" s="51">
        <f t="shared" si="16"/>
        <v>0.7523124358</v>
      </c>
    </row>
    <row r="62">
      <c r="A62" s="45" t="s">
        <v>327</v>
      </c>
      <c r="B62" s="46" t="s">
        <v>810</v>
      </c>
      <c r="C62" s="47"/>
      <c r="D62" s="38">
        <v>567.0</v>
      </c>
      <c r="E62" s="38">
        <v>654.0</v>
      </c>
      <c r="F62" s="38">
        <v>98.0</v>
      </c>
      <c r="G62" s="38">
        <v>47.0</v>
      </c>
      <c r="H62" s="38">
        <v>61.0</v>
      </c>
      <c r="I62" s="48">
        <f t="shared" si="3"/>
        <v>1319</v>
      </c>
      <c r="J62" s="48">
        <f t="shared" si="4"/>
        <v>1427</v>
      </c>
      <c r="K62" s="49">
        <f t="shared" si="5"/>
        <v>0.4298711145</v>
      </c>
      <c r="L62" s="49">
        <f t="shared" si="6"/>
        <v>0.4958301744</v>
      </c>
      <c r="M62" s="49">
        <f t="shared" si="7"/>
        <v>0.07429871114</v>
      </c>
      <c r="N62" s="32" t="str">
        <f t="shared" si="8"/>
        <v>Mal. Lott</v>
      </c>
      <c r="O62" s="50" t="s">
        <v>77</v>
      </c>
      <c r="P62" s="38">
        <v>669.0</v>
      </c>
      <c r="Q62" s="38">
        <v>557.0</v>
      </c>
      <c r="R62" s="38">
        <v>68.0</v>
      </c>
      <c r="S62" s="38">
        <v>90.0</v>
      </c>
      <c r="T62" s="38">
        <v>43.0</v>
      </c>
      <c r="U62" s="48">
        <f t="shared" si="9"/>
        <v>1294</v>
      </c>
      <c r="V62" s="48">
        <f t="shared" si="10"/>
        <v>1427</v>
      </c>
      <c r="W62" s="49">
        <f t="shared" si="11"/>
        <v>0.5170015456</v>
      </c>
      <c r="X62" s="49">
        <f t="shared" si="12"/>
        <v>0.4304482226</v>
      </c>
      <c r="Y62" s="49">
        <f t="shared" si="13"/>
        <v>0.05255023184</v>
      </c>
      <c r="Z62" s="32" t="str">
        <f t="shared" si="14"/>
        <v>Jango</v>
      </c>
      <c r="AA62" s="50" t="s">
        <v>77</v>
      </c>
      <c r="AB62" s="38">
        <v>1863.0</v>
      </c>
      <c r="AC62" s="48">
        <f t="shared" si="15"/>
        <v>436</v>
      </c>
      <c r="AD62" s="51">
        <f t="shared" si="16"/>
        <v>0.7659688674</v>
      </c>
    </row>
    <row r="63">
      <c r="A63" s="45" t="s">
        <v>501</v>
      </c>
      <c r="B63" s="46" t="s">
        <v>811</v>
      </c>
      <c r="C63" s="47"/>
      <c r="D63" s="38">
        <v>711.0</v>
      </c>
      <c r="E63" s="38">
        <v>841.0</v>
      </c>
      <c r="F63" s="38">
        <v>51.0</v>
      </c>
      <c r="G63" s="38">
        <v>61.0</v>
      </c>
      <c r="H63" s="38">
        <v>97.0</v>
      </c>
      <c r="I63" s="48">
        <f t="shared" si="3"/>
        <v>1603</v>
      </c>
      <c r="J63" s="48">
        <f t="shared" si="4"/>
        <v>1761</v>
      </c>
      <c r="K63" s="49">
        <f t="shared" si="5"/>
        <v>0.4435433562</v>
      </c>
      <c r="L63" s="49">
        <f t="shared" si="6"/>
        <v>0.5246412976</v>
      </c>
      <c r="M63" s="49">
        <f t="shared" si="7"/>
        <v>0.03181534623</v>
      </c>
      <c r="N63" s="32" t="str">
        <f t="shared" si="8"/>
        <v>Mal. Lott</v>
      </c>
      <c r="O63" s="50" t="s">
        <v>77</v>
      </c>
      <c r="P63" s="38">
        <v>840.0</v>
      </c>
      <c r="Q63" s="38">
        <v>653.0</v>
      </c>
      <c r="R63" s="38">
        <v>68.0</v>
      </c>
      <c r="S63" s="38">
        <v>133.0</v>
      </c>
      <c r="T63" s="38">
        <v>67.0</v>
      </c>
      <c r="U63" s="48">
        <f t="shared" si="9"/>
        <v>1561</v>
      </c>
      <c r="V63" s="48">
        <f t="shared" si="10"/>
        <v>1761</v>
      </c>
      <c r="W63" s="49">
        <f t="shared" si="11"/>
        <v>0.5381165919</v>
      </c>
      <c r="X63" s="49">
        <f t="shared" si="12"/>
        <v>0.4183215887</v>
      </c>
      <c r="Y63" s="49">
        <f t="shared" si="13"/>
        <v>0.04356181935</v>
      </c>
      <c r="Z63" s="32" t="str">
        <f t="shared" si="14"/>
        <v>Jango</v>
      </c>
      <c r="AA63" s="50" t="s">
        <v>77</v>
      </c>
      <c r="AB63" s="38">
        <v>2250.0</v>
      </c>
      <c r="AC63" s="48">
        <f t="shared" si="15"/>
        <v>489</v>
      </c>
      <c r="AD63" s="51">
        <f t="shared" si="16"/>
        <v>0.7826666667</v>
      </c>
    </row>
    <row r="64">
      <c r="A64" s="45" t="s">
        <v>504</v>
      </c>
      <c r="B64" s="46" t="s">
        <v>812</v>
      </c>
      <c r="C64" s="47"/>
      <c r="D64" s="38">
        <v>2131.0</v>
      </c>
      <c r="E64" s="38">
        <v>1487.0</v>
      </c>
      <c r="F64" s="38">
        <v>193.0</v>
      </c>
      <c r="G64" s="38">
        <v>109.0</v>
      </c>
      <c r="H64" s="38">
        <v>246.0</v>
      </c>
      <c r="I64" s="48">
        <f t="shared" si="3"/>
        <v>3811</v>
      </c>
      <c r="J64" s="48">
        <f t="shared" si="4"/>
        <v>4166</v>
      </c>
      <c r="K64" s="49">
        <f t="shared" si="5"/>
        <v>0.5591708213</v>
      </c>
      <c r="L64" s="49">
        <f t="shared" si="6"/>
        <v>0.3901863028</v>
      </c>
      <c r="M64" s="49">
        <f t="shared" si="7"/>
        <v>0.05064287589</v>
      </c>
      <c r="N64" s="32" t="str">
        <f t="shared" si="8"/>
        <v>Jânio</v>
      </c>
      <c r="O64" s="50" t="s">
        <v>77</v>
      </c>
      <c r="P64" s="38">
        <v>1509.0</v>
      </c>
      <c r="Q64" s="38">
        <v>1959.0</v>
      </c>
      <c r="R64" s="38">
        <v>220.0</v>
      </c>
      <c r="S64" s="38">
        <v>344.0</v>
      </c>
      <c r="T64" s="38">
        <v>134.0</v>
      </c>
      <c r="U64" s="48">
        <f t="shared" si="9"/>
        <v>3688</v>
      </c>
      <c r="V64" s="48">
        <f t="shared" si="10"/>
        <v>4166</v>
      </c>
      <c r="W64" s="49">
        <f t="shared" si="11"/>
        <v>0.409164859</v>
      </c>
      <c r="X64" s="49">
        <f t="shared" si="12"/>
        <v>0.5311822126</v>
      </c>
      <c r="Y64" s="49">
        <f t="shared" si="13"/>
        <v>0.05965292842</v>
      </c>
      <c r="Z64" s="32" t="str">
        <f t="shared" si="14"/>
        <v>Milton</v>
      </c>
      <c r="AA64" s="50" t="s">
        <v>77</v>
      </c>
      <c r="AB64" s="38">
        <v>5602.0</v>
      </c>
      <c r="AC64" s="48">
        <f t="shared" si="15"/>
        <v>1436</v>
      </c>
      <c r="AD64" s="51">
        <f t="shared" si="16"/>
        <v>0.7436629775</v>
      </c>
    </row>
    <row r="65">
      <c r="A65" s="45" t="s">
        <v>506</v>
      </c>
      <c r="B65" s="46" t="s">
        <v>813</v>
      </c>
      <c r="C65" s="47"/>
      <c r="D65" s="38">
        <v>1301.0</v>
      </c>
      <c r="E65" s="38">
        <v>1539.0</v>
      </c>
      <c r="F65" s="38">
        <v>123.0</v>
      </c>
      <c r="G65" s="38">
        <v>50.0</v>
      </c>
      <c r="H65" s="38">
        <v>209.0</v>
      </c>
      <c r="I65" s="48">
        <f t="shared" si="3"/>
        <v>2963</v>
      </c>
      <c r="J65" s="48">
        <f t="shared" si="4"/>
        <v>3222</v>
      </c>
      <c r="K65" s="49">
        <f t="shared" si="5"/>
        <v>0.4390820115</v>
      </c>
      <c r="L65" s="49">
        <f t="shared" si="6"/>
        <v>0.5194060074</v>
      </c>
      <c r="M65" s="49">
        <f t="shared" si="7"/>
        <v>0.0415119811</v>
      </c>
      <c r="N65" s="32" t="str">
        <f t="shared" si="8"/>
        <v>Mal. Lott</v>
      </c>
      <c r="O65" s="50" t="s">
        <v>77</v>
      </c>
      <c r="P65" s="38">
        <v>1169.0</v>
      </c>
      <c r="Q65" s="38">
        <v>1252.0</v>
      </c>
      <c r="R65" s="38">
        <v>463.0</v>
      </c>
      <c r="S65" s="38">
        <v>129.0</v>
      </c>
      <c r="T65" s="38">
        <v>209.0</v>
      </c>
      <c r="U65" s="48">
        <f t="shared" si="9"/>
        <v>2884</v>
      </c>
      <c r="V65" s="48">
        <f t="shared" si="10"/>
        <v>3222</v>
      </c>
      <c r="W65" s="49">
        <f t="shared" si="11"/>
        <v>0.4053398058</v>
      </c>
      <c r="X65" s="49">
        <f t="shared" si="12"/>
        <v>0.4341192788</v>
      </c>
      <c r="Y65" s="49">
        <f t="shared" si="13"/>
        <v>0.1605409154</v>
      </c>
      <c r="Z65" s="32" t="str">
        <f t="shared" si="14"/>
        <v>Milton</v>
      </c>
      <c r="AA65" s="50" t="s">
        <v>77</v>
      </c>
      <c r="AB65" s="38">
        <v>4315.0</v>
      </c>
      <c r="AC65" s="48">
        <f t="shared" si="15"/>
        <v>1093</v>
      </c>
      <c r="AD65" s="51">
        <f t="shared" si="16"/>
        <v>0.7466975666</v>
      </c>
    </row>
    <row r="66">
      <c r="A66" s="45" t="s">
        <v>509</v>
      </c>
      <c r="B66" s="46" t="s">
        <v>814</v>
      </c>
      <c r="C66" s="47"/>
      <c r="D66" s="38">
        <v>1392.0</v>
      </c>
      <c r="E66" s="38">
        <v>1188.0</v>
      </c>
      <c r="F66" s="38">
        <v>114.0</v>
      </c>
      <c r="G66" s="38">
        <v>104.0</v>
      </c>
      <c r="H66" s="38">
        <v>91.0</v>
      </c>
      <c r="I66" s="48">
        <f t="shared" si="3"/>
        <v>2694</v>
      </c>
      <c r="J66" s="48">
        <f t="shared" si="4"/>
        <v>2889</v>
      </c>
      <c r="K66" s="49">
        <f t="shared" si="5"/>
        <v>0.5167037862</v>
      </c>
      <c r="L66" s="49">
        <f t="shared" si="6"/>
        <v>0.4409799555</v>
      </c>
      <c r="M66" s="49">
        <f t="shared" si="7"/>
        <v>0.04231625835</v>
      </c>
      <c r="N66" s="32" t="str">
        <f t="shared" si="8"/>
        <v>Jânio</v>
      </c>
      <c r="O66" s="50" t="s">
        <v>77</v>
      </c>
      <c r="P66" s="38">
        <v>1141.0</v>
      </c>
      <c r="Q66" s="38">
        <v>1318.0</v>
      </c>
      <c r="R66" s="38">
        <v>160.0</v>
      </c>
      <c r="S66" s="38">
        <v>189.0</v>
      </c>
      <c r="T66" s="38">
        <v>81.0</v>
      </c>
      <c r="U66" s="48">
        <f t="shared" si="9"/>
        <v>2619</v>
      </c>
      <c r="V66" s="48">
        <f t="shared" si="10"/>
        <v>2889</v>
      </c>
      <c r="W66" s="49">
        <f t="shared" si="11"/>
        <v>0.4356624666</v>
      </c>
      <c r="X66" s="49">
        <f t="shared" si="12"/>
        <v>0.5032455136</v>
      </c>
      <c r="Y66" s="49">
        <f t="shared" si="13"/>
        <v>0.06109201985</v>
      </c>
      <c r="Z66" s="32" t="str">
        <f t="shared" si="14"/>
        <v>Milton</v>
      </c>
      <c r="AA66" s="50" t="s">
        <v>77</v>
      </c>
      <c r="AB66" s="38">
        <v>4156.0</v>
      </c>
      <c r="AC66" s="48">
        <f t="shared" si="15"/>
        <v>1267</v>
      </c>
      <c r="AD66" s="51">
        <f t="shared" si="16"/>
        <v>0.6951395573</v>
      </c>
    </row>
    <row r="67">
      <c r="A67" s="45" t="s">
        <v>512</v>
      </c>
      <c r="B67" s="46" t="s">
        <v>815</v>
      </c>
      <c r="C67" s="47"/>
      <c r="D67" s="38">
        <v>2077.0</v>
      </c>
      <c r="E67" s="38">
        <v>2016.0</v>
      </c>
      <c r="F67" s="38">
        <v>634.0</v>
      </c>
      <c r="G67" s="38">
        <v>163.0</v>
      </c>
      <c r="H67" s="38">
        <v>286.0</v>
      </c>
      <c r="I67" s="48">
        <f t="shared" si="3"/>
        <v>4727</v>
      </c>
      <c r="J67" s="48">
        <f t="shared" si="4"/>
        <v>5176</v>
      </c>
      <c r="K67" s="49">
        <f t="shared" si="5"/>
        <v>0.4393907341</v>
      </c>
      <c r="L67" s="49">
        <f t="shared" si="6"/>
        <v>0.4264861434</v>
      </c>
      <c r="M67" s="49">
        <f t="shared" si="7"/>
        <v>0.1341231225</v>
      </c>
      <c r="N67" s="32" t="str">
        <f t="shared" si="8"/>
        <v>Jânio</v>
      </c>
      <c r="O67" s="50" t="s">
        <v>77</v>
      </c>
      <c r="P67" s="38">
        <v>2107.0</v>
      </c>
      <c r="Q67" s="38">
        <v>1097.0</v>
      </c>
      <c r="R67" s="38">
        <v>1416.0</v>
      </c>
      <c r="S67" s="38">
        <v>303.0</v>
      </c>
      <c r="T67" s="38">
        <v>253.0</v>
      </c>
      <c r="U67" s="48">
        <f t="shared" si="9"/>
        <v>4620</v>
      </c>
      <c r="V67" s="48">
        <f t="shared" si="10"/>
        <v>5176</v>
      </c>
      <c r="W67" s="49">
        <f t="shared" si="11"/>
        <v>0.4560606061</v>
      </c>
      <c r="X67" s="49">
        <f t="shared" si="12"/>
        <v>0.2374458874</v>
      </c>
      <c r="Y67" s="49">
        <f t="shared" si="13"/>
        <v>0.3064935065</v>
      </c>
      <c r="Z67" s="32" t="str">
        <f t="shared" si="14"/>
        <v>Jango</v>
      </c>
      <c r="AA67" s="50" t="s">
        <v>77</v>
      </c>
      <c r="AB67" s="38">
        <v>6842.0</v>
      </c>
      <c r="AC67" s="48">
        <f t="shared" si="15"/>
        <v>1666</v>
      </c>
      <c r="AD67" s="51">
        <f t="shared" si="16"/>
        <v>0.7565039462</v>
      </c>
    </row>
    <row r="68">
      <c r="A68" s="45" t="s">
        <v>514</v>
      </c>
      <c r="B68" s="46" t="s">
        <v>816</v>
      </c>
      <c r="C68" s="47"/>
      <c r="D68" s="38">
        <v>2500.0</v>
      </c>
      <c r="E68" s="38">
        <v>3038.0</v>
      </c>
      <c r="F68" s="38">
        <v>506.0</v>
      </c>
      <c r="G68" s="38">
        <v>173.0</v>
      </c>
      <c r="H68" s="38">
        <v>267.0</v>
      </c>
      <c r="I68" s="48">
        <f t="shared" si="3"/>
        <v>6044</v>
      </c>
      <c r="J68" s="48">
        <f t="shared" si="4"/>
        <v>6484</v>
      </c>
      <c r="K68" s="49">
        <f t="shared" si="5"/>
        <v>0.4136333554</v>
      </c>
      <c r="L68" s="49">
        <f t="shared" si="6"/>
        <v>0.5026472535</v>
      </c>
      <c r="M68" s="49">
        <f t="shared" si="7"/>
        <v>0.08371939113</v>
      </c>
      <c r="N68" s="32" t="str">
        <f t="shared" si="8"/>
        <v>Mal. Lott</v>
      </c>
      <c r="O68" s="50"/>
      <c r="P68" s="38">
        <v>2864.0</v>
      </c>
      <c r="Q68" s="38">
        <v>1904.0</v>
      </c>
      <c r="R68" s="38">
        <v>1071.0</v>
      </c>
      <c r="S68" s="38">
        <v>466.0</v>
      </c>
      <c r="T68" s="38">
        <v>179.0</v>
      </c>
      <c r="U68" s="48">
        <f t="shared" si="9"/>
        <v>5839</v>
      </c>
      <c r="V68" s="48">
        <f t="shared" si="10"/>
        <v>6484</v>
      </c>
      <c r="W68" s="49">
        <f t="shared" si="11"/>
        <v>0.4904949478</v>
      </c>
      <c r="X68" s="49">
        <f t="shared" si="12"/>
        <v>0.3260832334</v>
      </c>
      <c r="Y68" s="49">
        <f t="shared" si="13"/>
        <v>0.1834218188</v>
      </c>
      <c r="Z68" s="32" t="str">
        <f t="shared" si="14"/>
        <v>Jango</v>
      </c>
      <c r="AA68" s="50"/>
      <c r="AB68" s="38">
        <v>8840.0</v>
      </c>
      <c r="AC68" s="48">
        <f t="shared" si="15"/>
        <v>2356</v>
      </c>
      <c r="AD68" s="51">
        <f t="shared" si="16"/>
        <v>0.7334841629</v>
      </c>
    </row>
    <row r="69">
      <c r="A69" s="45" t="s">
        <v>817</v>
      </c>
      <c r="B69" s="46" t="s">
        <v>818</v>
      </c>
      <c r="C69" s="47"/>
      <c r="D69" s="38">
        <v>2370.0</v>
      </c>
      <c r="E69" s="38">
        <v>1397.0</v>
      </c>
      <c r="F69" s="38">
        <v>357.0</v>
      </c>
      <c r="G69" s="38">
        <v>132.0</v>
      </c>
      <c r="H69" s="38">
        <v>353.0</v>
      </c>
      <c r="I69" s="48">
        <f t="shared" si="3"/>
        <v>4124</v>
      </c>
      <c r="J69" s="48">
        <f t="shared" si="4"/>
        <v>4609</v>
      </c>
      <c r="K69" s="49">
        <f t="shared" si="5"/>
        <v>0.5746847721</v>
      </c>
      <c r="L69" s="49">
        <f t="shared" si="6"/>
        <v>0.3387487876</v>
      </c>
      <c r="M69" s="49">
        <f t="shared" si="7"/>
        <v>0.08656644035</v>
      </c>
      <c r="N69" s="32" t="str">
        <f t="shared" si="8"/>
        <v>Jânio</v>
      </c>
      <c r="O69" s="50"/>
      <c r="P69" s="38">
        <v>1538.0</v>
      </c>
      <c r="Q69" s="38">
        <v>2036.0</v>
      </c>
      <c r="R69" s="38">
        <v>377.0</v>
      </c>
      <c r="S69" s="38">
        <v>445.0</v>
      </c>
      <c r="T69" s="38">
        <v>213.0</v>
      </c>
      <c r="U69" s="48">
        <f t="shared" si="9"/>
        <v>3951</v>
      </c>
      <c r="V69" s="48">
        <f t="shared" si="10"/>
        <v>4609</v>
      </c>
      <c r="W69" s="49">
        <f t="shared" si="11"/>
        <v>0.3892685396</v>
      </c>
      <c r="X69" s="49">
        <f t="shared" si="12"/>
        <v>0.5153125791</v>
      </c>
      <c r="Y69" s="49">
        <f t="shared" si="13"/>
        <v>0.0954188813</v>
      </c>
      <c r="Z69" s="32" t="str">
        <f t="shared" si="14"/>
        <v>Milton</v>
      </c>
      <c r="AA69" s="50"/>
      <c r="AB69" s="38">
        <v>6789.0</v>
      </c>
      <c r="AC69" s="48">
        <f t="shared" si="15"/>
        <v>2180</v>
      </c>
      <c r="AD69" s="51">
        <f t="shared" si="16"/>
        <v>0.6788923258</v>
      </c>
    </row>
    <row r="70">
      <c r="A70" s="45" t="s">
        <v>77</v>
      </c>
      <c r="B70" s="46" t="s">
        <v>819</v>
      </c>
      <c r="C70" s="47"/>
      <c r="D70" s="38">
        <v>4870.0</v>
      </c>
      <c r="E70" s="38">
        <v>4435.0</v>
      </c>
      <c r="F70" s="38">
        <v>863.0</v>
      </c>
      <c r="G70" s="38">
        <v>305.0</v>
      </c>
      <c r="H70" s="38">
        <v>620.0</v>
      </c>
      <c r="I70" s="48">
        <f t="shared" si="3"/>
        <v>10168</v>
      </c>
      <c r="J70" s="48">
        <f t="shared" si="4"/>
        <v>11093</v>
      </c>
      <c r="K70" s="49">
        <f t="shared" si="5"/>
        <v>0.4789535799</v>
      </c>
      <c r="L70" s="49">
        <f t="shared" si="6"/>
        <v>0.4361723053</v>
      </c>
      <c r="M70" s="49">
        <f t="shared" si="7"/>
        <v>0.08487411487</v>
      </c>
      <c r="N70" s="32" t="str">
        <f t="shared" si="8"/>
        <v>Jânio</v>
      </c>
      <c r="O70" s="50" t="s">
        <v>77</v>
      </c>
      <c r="P70" s="38">
        <v>4402.0</v>
      </c>
      <c r="Q70" s="38">
        <v>3940.0</v>
      </c>
      <c r="R70" s="38">
        <v>1448.0</v>
      </c>
      <c r="S70" s="38">
        <v>911.0</v>
      </c>
      <c r="T70" s="38">
        <v>392.0</v>
      </c>
      <c r="U70" s="48">
        <f t="shared" si="9"/>
        <v>9790</v>
      </c>
      <c r="V70" s="48">
        <f t="shared" si="10"/>
        <v>11093</v>
      </c>
      <c r="W70" s="49">
        <f t="shared" si="11"/>
        <v>0.4496424923</v>
      </c>
      <c r="X70" s="49">
        <f t="shared" si="12"/>
        <v>0.4024514811</v>
      </c>
      <c r="Y70" s="49">
        <f t="shared" si="13"/>
        <v>0.1479060266</v>
      </c>
      <c r="Z70" s="32" t="str">
        <f t="shared" si="14"/>
        <v>Jango</v>
      </c>
      <c r="AA70" s="50" t="s">
        <v>77</v>
      </c>
      <c r="AB70" s="38">
        <v>15629.0</v>
      </c>
      <c r="AC70" s="48">
        <f t="shared" si="15"/>
        <v>4536</v>
      </c>
      <c r="AD70" s="51">
        <f t="shared" si="16"/>
        <v>0.7097702988</v>
      </c>
    </row>
    <row r="71">
      <c r="A71" s="45" t="s">
        <v>516</v>
      </c>
      <c r="B71" s="46" t="s">
        <v>820</v>
      </c>
      <c r="C71" s="47"/>
      <c r="D71" s="38">
        <v>2231.0</v>
      </c>
      <c r="E71" s="38">
        <v>2263.0</v>
      </c>
      <c r="F71" s="38">
        <v>309.0</v>
      </c>
      <c r="G71" s="38">
        <v>66.0</v>
      </c>
      <c r="H71" s="38">
        <v>221.0</v>
      </c>
      <c r="I71" s="48">
        <f t="shared" si="3"/>
        <v>4803</v>
      </c>
      <c r="J71" s="48">
        <f t="shared" si="4"/>
        <v>5090</v>
      </c>
      <c r="K71" s="49">
        <f t="shared" si="5"/>
        <v>0.4645013533</v>
      </c>
      <c r="L71" s="49">
        <f t="shared" si="6"/>
        <v>0.4711638559</v>
      </c>
      <c r="M71" s="49">
        <f t="shared" si="7"/>
        <v>0.06433479076</v>
      </c>
      <c r="N71" s="32" t="str">
        <f t="shared" si="8"/>
        <v>Mal. Lott</v>
      </c>
      <c r="O71" s="50" t="s">
        <v>77</v>
      </c>
      <c r="P71" s="38">
        <v>2376.0</v>
      </c>
      <c r="Q71" s="38">
        <v>814.0</v>
      </c>
      <c r="R71" s="38">
        <v>1547.0</v>
      </c>
      <c r="S71" s="38">
        <v>265.0</v>
      </c>
      <c r="T71" s="38">
        <v>88.0</v>
      </c>
      <c r="U71" s="48">
        <f t="shared" si="9"/>
        <v>4737</v>
      </c>
      <c r="V71" s="48">
        <f t="shared" si="10"/>
        <v>5090</v>
      </c>
      <c r="W71" s="49">
        <f t="shared" si="11"/>
        <v>0.5015832806</v>
      </c>
      <c r="X71" s="49">
        <f t="shared" si="12"/>
        <v>0.1718387165</v>
      </c>
      <c r="Y71" s="49">
        <f t="shared" si="13"/>
        <v>0.326578003</v>
      </c>
      <c r="Z71" s="32" t="str">
        <f t="shared" si="14"/>
        <v>Jango</v>
      </c>
      <c r="AA71" s="50" t="s">
        <v>77</v>
      </c>
      <c r="AB71" s="38">
        <v>6755.0</v>
      </c>
      <c r="AC71" s="48">
        <f t="shared" si="15"/>
        <v>1665</v>
      </c>
      <c r="AD71" s="51">
        <f t="shared" si="16"/>
        <v>0.7535159141</v>
      </c>
    </row>
    <row r="72">
      <c r="A72" s="45" t="s">
        <v>518</v>
      </c>
      <c r="B72" s="46" t="s">
        <v>821</v>
      </c>
      <c r="C72" s="47"/>
      <c r="D72" s="38">
        <v>1687.0</v>
      </c>
      <c r="E72" s="38">
        <v>919.0</v>
      </c>
      <c r="F72" s="38">
        <v>97.0</v>
      </c>
      <c r="G72" s="38">
        <v>98.0</v>
      </c>
      <c r="H72" s="38">
        <v>162.0</v>
      </c>
      <c r="I72" s="48">
        <f t="shared" si="3"/>
        <v>2703</v>
      </c>
      <c r="J72" s="48">
        <f t="shared" si="4"/>
        <v>2963</v>
      </c>
      <c r="K72" s="49">
        <f t="shared" si="5"/>
        <v>0.6241213467</v>
      </c>
      <c r="L72" s="49">
        <f t="shared" si="6"/>
        <v>0.3399926008</v>
      </c>
      <c r="M72" s="49">
        <f t="shared" si="7"/>
        <v>0.03588605253</v>
      </c>
      <c r="N72" s="32" t="str">
        <f t="shared" si="8"/>
        <v>Jânio</v>
      </c>
      <c r="O72" s="50" t="s">
        <v>77</v>
      </c>
      <c r="P72" s="38">
        <v>902.0</v>
      </c>
      <c r="Q72" s="38">
        <v>1501.0</v>
      </c>
      <c r="R72" s="38">
        <v>206.0</v>
      </c>
      <c r="S72" s="38">
        <v>185.0</v>
      </c>
      <c r="T72" s="38">
        <v>169.0</v>
      </c>
      <c r="U72" s="48">
        <f t="shared" si="9"/>
        <v>2609</v>
      </c>
      <c r="V72" s="48">
        <f t="shared" si="10"/>
        <v>2963</v>
      </c>
      <c r="W72" s="49">
        <f t="shared" si="11"/>
        <v>0.3457263319</v>
      </c>
      <c r="X72" s="49">
        <f t="shared" si="12"/>
        <v>0.5753162131</v>
      </c>
      <c r="Y72" s="49">
        <f t="shared" si="13"/>
        <v>0.07895745496</v>
      </c>
      <c r="Z72" s="32" t="str">
        <f t="shared" si="14"/>
        <v>Milton</v>
      </c>
      <c r="AA72" s="50" t="s">
        <v>77</v>
      </c>
      <c r="AB72" s="38">
        <v>4170.0</v>
      </c>
      <c r="AC72" s="48">
        <f t="shared" si="15"/>
        <v>1207</v>
      </c>
      <c r="AD72" s="51">
        <f t="shared" si="16"/>
        <v>0.7105515588</v>
      </c>
    </row>
    <row r="73">
      <c r="A73" s="45" t="s">
        <v>522</v>
      </c>
      <c r="B73" s="46" t="s">
        <v>822</v>
      </c>
      <c r="C73" s="47"/>
      <c r="D73" s="38">
        <v>1472.0</v>
      </c>
      <c r="E73" s="38">
        <v>539.0</v>
      </c>
      <c r="F73" s="38">
        <v>227.0</v>
      </c>
      <c r="G73" s="38">
        <v>59.0</v>
      </c>
      <c r="H73" s="38">
        <v>136.0</v>
      </c>
      <c r="I73" s="48">
        <f t="shared" si="3"/>
        <v>2238</v>
      </c>
      <c r="J73" s="48">
        <f t="shared" si="4"/>
        <v>2433</v>
      </c>
      <c r="K73" s="49">
        <f t="shared" si="5"/>
        <v>0.6577301162</v>
      </c>
      <c r="L73" s="49">
        <f t="shared" si="6"/>
        <v>0.2408400357</v>
      </c>
      <c r="M73" s="49">
        <f t="shared" si="7"/>
        <v>0.1014298481</v>
      </c>
      <c r="N73" s="32" t="str">
        <f t="shared" si="8"/>
        <v>Jânio</v>
      </c>
      <c r="O73" s="50" t="s">
        <v>77</v>
      </c>
      <c r="P73" s="38">
        <v>536.0</v>
      </c>
      <c r="Q73" s="38">
        <v>1386.0</v>
      </c>
      <c r="R73" s="38">
        <v>248.0</v>
      </c>
      <c r="S73" s="38">
        <v>178.0</v>
      </c>
      <c r="T73" s="38">
        <v>85.0</v>
      </c>
      <c r="U73" s="48">
        <f t="shared" si="9"/>
        <v>2170</v>
      </c>
      <c r="V73" s="48">
        <f t="shared" si="10"/>
        <v>2433</v>
      </c>
      <c r="W73" s="49">
        <f t="shared" si="11"/>
        <v>0.2470046083</v>
      </c>
      <c r="X73" s="49">
        <f t="shared" si="12"/>
        <v>0.6387096774</v>
      </c>
      <c r="Y73" s="49">
        <f t="shared" si="13"/>
        <v>0.1142857143</v>
      </c>
      <c r="Z73" s="32" t="str">
        <f t="shared" si="14"/>
        <v>Milton</v>
      </c>
      <c r="AA73" s="50" t="s">
        <v>77</v>
      </c>
      <c r="AB73" s="38">
        <v>3807.0</v>
      </c>
      <c r="AC73" s="48">
        <f t="shared" si="15"/>
        <v>1374</v>
      </c>
      <c r="AD73" s="51">
        <f t="shared" si="16"/>
        <v>0.6390858944</v>
      </c>
    </row>
    <row r="74">
      <c r="A74" s="45" t="s">
        <v>524</v>
      </c>
      <c r="B74" s="46" t="s">
        <v>823</v>
      </c>
      <c r="C74" s="47"/>
      <c r="D74" s="38">
        <v>1543.0</v>
      </c>
      <c r="E74" s="38">
        <v>953.0</v>
      </c>
      <c r="F74" s="38">
        <v>103.0</v>
      </c>
      <c r="G74" s="38">
        <v>56.0</v>
      </c>
      <c r="H74" s="38">
        <v>105.0</v>
      </c>
      <c r="I74" s="48">
        <f t="shared" si="3"/>
        <v>2599</v>
      </c>
      <c r="J74" s="48">
        <f t="shared" si="4"/>
        <v>2760</v>
      </c>
      <c r="K74" s="49">
        <f t="shared" si="5"/>
        <v>0.5936898807</v>
      </c>
      <c r="L74" s="49">
        <f t="shared" si="6"/>
        <v>0.3666794921</v>
      </c>
      <c r="M74" s="49">
        <f t="shared" si="7"/>
        <v>0.03963062716</v>
      </c>
      <c r="N74" s="32" t="str">
        <f t="shared" si="8"/>
        <v>Jânio</v>
      </c>
      <c r="O74" s="50" t="s">
        <v>77</v>
      </c>
      <c r="P74" s="38">
        <v>957.0</v>
      </c>
      <c r="Q74" s="38">
        <v>1402.0</v>
      </c>
      <c r="R74" s="38">
        <v>156.0</v>
      </c>
      <c r="S74" s="38">
        <v>179.0</v>
      </c>
      <c r="T74" s="38">
        <v>66.0</v>
      </c>
      <c r="U74" s="48">
        <f t="shared" si="9"/>
        <v>2515</v>
      </c>
      <c r="V74" s="48">
        <f t="shared" si="10"/>
        <v>2760</v>
      </c>
      <c r="W74" s="49">
        <f t="shared" si="11"/>
        <v>0.3805168986</v>
      </c>
      <c r="X74" s="49">
        <f t="shared" si="12"/>
        <v>0.5574552684</v>
      </c>
      <c r="Y74" s="49">
        <f t="shared" si="13"/>
        <v>0.062027833</v>
      </c>
      <c r="Z74" s="32" t="str">
        <f t="shared" si="14"/>
        <v>Milton</v>
      </c>
      <c r="AA74" s="50" t="s">
        <v>77</v>
      </c>
      <c r="AB74" s="38">
        <v>3600.0</v>
      </c>
      <c r="AC74" s="48">
        <f t="shared" si="15"/>
        <v>840</v>
      </c>
      <c r="AD74" s="51">
        <f t="shared" si="16"/>
        <v>0.7666666667</v>
      </c>
    </row>
    <row r="75">
      <c r="A75" s="45" t="s">
        <v>526</v>
      </c>
      <c r="B75" s="46" t="s">
        <v>824</v>
      </c>
      <c r="C75" s="47"/>
      <c r="D75" s="38">
        <v>2602.0</v>
      </c>
      <c r="E75" s="38">
        <v>1450.0</v>
      </c>
      <c r="F75" s="38">
        <v>151.0</v>
      </c>
      <c r="G75" s="38">
        <v>125.0</v>
      </c>
      <c r="H75" s="38">
        <v>207.0</v>
      </c>
      <c r="I75" s="48">
        <f t="shared" si="3"/>
        <v>4203</v>
      </c>
      <c r="J75" s="48">
        <f t="shared" si="4"/>
        <v>4535</v>
      </c>
      <c r="K75" s="49">
        <f t="shared" si="5"/>
        <v>0.6190816084</v>
      </c>
      <c r="L75" s="49">
        <f t="shared" si="6"/>
        <v>0.3449916726</v>
      </c>
      <c r="M75" s="49">
        <f t="shared" si="7"/>
        <v>0.03592671901</v>
      </c>
      <c r="N75" s="32" t="str">
        <f t="shared" si="8"/>
        <v>Jânio</v>
      </c>
      <c r="O75" s="50" t="s">
        <v>77</v>
      </c>
      <c r="P75" s="38">
        <v>1377.0</v>
      </c>
      <c r="Q75" s="38">
        <v>2294.0</v>
      </c>
      <c r="R75" s="38">
        <v>362.0</v>
      </c>
      <c r="S75" s="38">
        <v>364.0</v>
      </c>
      <c r="T75" s="38">
        <v>138.0</v>
      </c>
      <c r="U75" s="48">
        <f t="shared" si="9"/>
        <v>4033</v>
      </c>
      <c r="V75" s="48">
        <f t="shared" si="10"/>
        <v>4535</v>
      </c>
      <c r="W75" s="49">
        <f t="shared" si="11"/>
        <v>0.3414331763</v>
      </c>
      <c r="X75" s="49">
        <f t="shared" si="12"/>
        <v>0.5688073394</v>
      </c>
      <c r="Y75" s="49">
        <f t="shared" si="13"/>
        <v>0.08975948425</v>
      </c>
      <c r="Z75" s="32" t="str">
        <f t="shared" si="14"/>
        <v>Milton</v>
      </c>
      <c r="AA75" s="50" t="s">
        <v>77</v>
      </c>
      <c r="AB75" s="38">
        <v>6840.0</v>
      </c>
      <c r="AC75" s="48">
        <f t="shared" si="15"/>
        <v>2305</v>
      </c>
      <c r="AD75" s="51">
        <f t="shared" si="16"/>
        <v>0.6630116959</v>
      </c>
    </row>
    <row r="76">
      <c r="A76" s="45" t="s">
        <v>529</v>
      </c>
      <c r="B76" s="46" t="s">
        <v>825</v>
      </c>
      <c r="C76" s="47"/>
      <c r="D76" s="38">
        <v>1896.0</v>
      </c>
      <c r="E76" s="38">
        <v>1510.0</v>
      </c>
      <c r="F76" s="38">
        <v>75.0</v>
      </c>
      <c r="G76" s="38">
        <v>61.0</v>
      </c>
      <c r="H76" s="38">
        <v>139.0</v>
      </c>
      <c r="I76" s="48">
        <f t="shared" si="3"/>
        <v>3481</v>
      </c>
      <c r="J76" s="48">
        <f t="shared" si="4"/>
        <v>3681</v>
      </c>
      <c r="K76" s="49">
        <f t="shared" si="5"/>
        <v>0.5446710715</v>
      </c>
      <c r="L76" s="49">
        <f t="shared" si="6"/>
        <v>0.4337833956</v>
      </c>
      <c r="M76" s="49">
        <f t="shared" si="7"/>
        <v>0.02154553289</v>
      </c>
      <c r="N76" s="32" t="str">
        <f t="shared" si="8"/>
        <v>Jânio</v>
      </c>
      <c r="O76" s="50" t="s">
        <v>77</v>
      </c>
      <c r="P76" s="38">
        <v>1447.0</v>
      </c>
      <c r="Q76" s="38">
        <v>1548.0</v>
      </c>
      <c r="R76" s="38">
        <v>421.0</v>
      </c>
      <c r="S76" s="38">
        <v>188.0</v>
      </c>
      <c r="T76" s="38">
        <v>77.0</v>
      </c>
      <c r="U76" s="48">
        <f t="shared" si="9"/>
        <v>3416</v>
      </c>
      <c r="V76" s="48">
        <f t="shared" si="10"/>
        <v>3681</v>
      </c>
      <c r="W76" s="49">
        <f t="shared" si="11"/>
        <v>0.4235948478</v>
      </c>
      <c r="X76" s="49">
        <f t="shared" si="12"/>
        <v>0.4531615925</v>
      </c>
      <c r="Y76" s="49">
        <f t="shared" si="13"/>
        <v>0.1232435597</v>
      </c>
      <c r="Z76" s="32" t="str">
        <f t="shared" si="14"/>
        <v>Milton</v>
      </c>
      <c r="AA76" s="50" t="s">
        <v>77</v>
      </c>
      <c r="AB76" s="38">
        <v>4824.0</v>
      </c>
      <c r="AC76" s="48">
        <f t="shared" si="15"/>
        <v>1143</v>
      </c>
      <c r="AD76" s="51">
        <f t="shared" si="16"/>
        <v>0.7630597015</v>
      </c>
    </row>
    <row r="77">
      <c r="A77" s="45" t="s">
        <v>531</v>
      </c>
      <c r="B77" s="46" t="s">
        <v>826</v>
      </c>
      <c r="C77" s="47"/>
      <c r="D77" s="38">
        <v>963.0</v>
      </c>
      <c r="E77" s="38">
        <v>1114.0</v>
      </c>
      <c r="F77" s="38">
        <v>109.0</v>
      </c>
      <c r="G77" s="38">
        <v>121.0</v>
      </c>
      <c r="H77" s="38">
        <v>115.0</v>
      </c>
      <c r="I77" s="48">
        <f t="shared" si="3"/>
        <v>2186</v>
      </c>
      <c r="J77" s="48">
        <f t="shared" si="4"/>
        <v>2422</v>
      </c>
      <c r="K77" s="49">
        <f t="shared" si="5"/>
        <v>0.4405306496</v>
      </c>
      <c r="L77" s="49">
        <f t="shared" si="6"/>
        <v>0.5096065874</v>
      </c>
      <c r="M77" s="49">
        <f t="shared" si="7"/>
        <v>0.04986276304</v>
      </c>
      <c r="N77" s="32" t="str">
        <f t="shared" si="8"/>
        <v>Mal. Lott</v>
      </c>
      <c r="O77" s="50" t="s">
        <v>77</v>
      </c>
      <c r="P77" s="38">
        <v>1105.0</v>
      </c>
      <c r="Q77" s="38">
        <v>779.0</v>
      </c>
      <c r="R77" s="38">
        <v>134.0</v>
      </c>
      <c r="S77" s="38">
        <v>216.0</v>
      </c>
      <c r="T77" s="38">
        <v>188.0</v>
      </c>
      <c r="U77" s="48">
        <f t="shared" si="9"/>
        <v>2018</v>
      </c>
      <c r="V77" s="48">
        <f t="shared" si="10"/>
        <v>2422</v>
      </c>
      <c r="W77" s="49">
        <f t="shared" si="11"/>
        <v>0.5475718533</v>
      </c>
      <c r="X77" s="49">
        <f t="shared" si="12"/>
        <v>0.3860257681</v>
      </c>
      <c r="Y77" s="49">
        <f t="shared" si="13"/>
        <v>0.06640237859</v>
      </c>
      <c r="Z77" s="32" t="str">
        <f t="shared" si="14"/>
        <v>Jango</v>
      </c>
      <c r="AA77" s="50" t="s">
        <v>77</v>
      </c>
      <c r="AB77" s="38">
        <v>3982.0</v>
      </c>
      <c r="AC77" s="48">
        <f t="shared" si="15"/>
        <v>1560</v>
      </c>
      <c r="AD77" s="51">
        <f t="shared" si="16"/>
        <v>0.6082370668</v>
      </c>
    </row>
    <row r="78">
      <c r="A78" s="45" t="s">
        <v>533</v>
      </c>
      <c r="B78" s="46" t="s">
        <v>827</v>
      </c>
      <c r="C78" s="47"/>
      <c r="D78" s="38">
        <v>793.0</v>
      </c>
      <c r="E78" s="38">
        <v>1191.0</v>
      </c>
      <c r="F78" s="38">
        <v>135.0</v>
      </c>
      <c r="G78" s="38">
        <v>100.0</v>
      </c>
      <c r="H78" s="38">
        <v>128.0</v>
      </c>
      <c r="I78" s="48">
        <f t="shared" si="3"/>
        <v>2119</v>
      </c>
      <c r="J78" s="48">
        <f t="shared" si="4"/>
        <v>2347</v>
      </c>
      <c r="K78" s="49">
        <f t="shared" si="5"/>
        <v>0.3742331288</v>
      </c>
      <c r="L78" s="49">
        <f t="shared" si="6"/>
        <v>0.5620575743</v>
      </c>
      <c r="M78" s="49">
        <f t="shared" si="7"/>
        <v>0.06370929684</v>
      </c>
      <c r="N78" s="32" t="str">
        <f t="shared" si="8"/>
        <v>Mal. Lott</v>
      </c>
      <c r="O78" s="50" t="s">
        <v>77</v>
      </c>
      <c r="P78" s="38">
        <v>1128.0</v>
      </c>
      <c r="Q78" s="38">
        <v>733.0</v>
      </c>
      <c r="R78" s="38">
        <v>176.0</v>
      </c>
      <c r="S78" s="38">
        <v>207.0</v>
      </c>
      <c r="T78" s="38">
        <v>103.0</v>
      </c>
      <c r="U78" s="48">
        <f t="shared" si="9"/>
        <v>2037</v>
      </c>
      <c r="V78" s="48">
        <f t="shared" si="10"/>
        <v>2347</v>
      </c>
      <c r="W78" s="49">
        <f t="shared" si="11"/>
        <v>0.5537555228</v>
      </c>
      <c r="X78" s="49">
        <f t="shared" si="12"/>
        <v>0.3598429062</v>
      </c>
      <c r="Y78" s="49">
        <f t="shared" si="13"/>
        <v>0.08640157094</v>
      </c>
      <c r="Z78" s="32" t="str">
        <f t="shared" si="14"/>
        <v>Jango</v>
      </c>
      <c r="AA78" s="50" t="s">
        <v>77</v>
      </c>
      <c r="AB78" s="38">
        <v>4598.0</v>
      </c>
      <c r="AC78" s="48">
        <f t="shared" si="15"/>
        <v>2251</v>
      </c>
      <c r="AD78" s="51">
        <f t="shared" si="16"/>
        <v>0.5104393214</v>
      </c>
    </row>
    <row r="79">
      <c r="A79" s="45" t="s">
        <v>537</v>
      </c>
      <c r="B79" s="46" t="s">
        <v>828</v>
      </c>
      <c r="C79" s="47"/>
      <c r="D79" s="38">
        <v>1593.0</v>
      </c>
      <c r="E79" s="38">
        <v>695.0</v>
      </c>
      <c r="F79" s="38">
        <v>86.0</v>
      </c>
      <c r="G79" s="38">
        <v>90.0</v>
      </c>
      <c r="H79" s="38">
        <v>203.0</v>
      </c>
      <c r="I79" s="48">
        <f t="shared" si="3"/>
        <v>2374</v>
      </c>
      <c r="J79" s="48">
        <f t="shared" si="4"/>
        <v>2667</v>
      </c>
      <c r="K79" s="49">
        <f t="shared" si="5"/>
        <v>0.6710193766</v>
      </c>
      <c r="L79" s="49">
        <f t="shared" si="6"/>
        <v>0.2927548441</v>
      </c>
      <c r="M79" s="49">
        <f t="shared" si="7"/>
        <v>0.03622577928</v>
      </c>
      <c r="N79" s="32" t="str">
        <f t="shared" si="8"/>
        <v>Jânio</v>
      </c>
      <c r="O79" s="50" t="s">
        <v>77</v>
      </c>
      <c r="P79" s="38">
        <v>687.0</v>
      </c>
      <c r="Q79" s="38">
        <v>1457.0</v>
      </c>
      <c r="R79" s="38">
        <v>187.0</v>
      </c>
      <c r="S79" s="38">
        <v>217.0</v>
      </c>
      <c r="T79" s="38">
        <v>119.0</v>
      </c>
      <c r="U79" s="48">
        <f t="shared" si="9"/>
        <v>2331</v>
      </c>
      <c r="V79" s="48">
        <f t="shared" si="10"/>
        <v>2667</v>
      </c>
      <c r="W79" s="49">
        <f t="shared" si="11"/>
        <v>0.2947232947</v>
      </c>
      <c r="X79" s="49">
        <f t="shared" si="12"/>
        <v>0.6250536251</v>
      </c>
      <c r="Y79" s="49">
        <f t="shared" si="13"/>
        <v>0.08022308022</v>
      </c>
      <c r="Z79" s="32" t="str">
        <f t="shared" si="14"/>
        <v>Milton</v>
      </c>
      <c r="AA79" s="50" t="s">
        <v>77</v>
      </c>
      <c r="AB79" s="38">
        <v>4055.0</v>
      </c>
      <c r="AC79" s="48">
        <f t="shared" si="15"/>
        <v>1388</v>
      </c>
      <c r="AD79" s="51">
        <f t="shared" si="16"/>
        <v>0.6577065351</v>
      </c>
    </row>
    <row r="80">
      <c r="A80" s="45" t="s">
        <v>540</v>
      </c>
      <c r="B80" s="46" t="s">
        <v>829</v>
      </c>
      <c r="C80" s="47"/>
      <c r="D80" s="38">
        <v>970.0</v>
      </c>
      <c r="E80" s="38">
        <v>970.0</v>
      </c>
      <c r="F80" s="38">
        <v>98.0</v>
      </c>
      <c r="G80" s="38">
        <v>75.0</v>
      </c>
      <c r="H80" s="38">
        <v>106.0</v>
      </c>
      <c r="I80" s="48">
        <f t="shared" si="3"/>
        <v>2038</v>
      </c>
      <c r="J80" s="48">
        <f t="shared" si="4"/>
        <v>2219</v>
      </c>
      <c r="K80" s="49">
        <f t="shared" si="5"/>
        <v>0.4759568204</v>
      </c>
      <c r="L80" s="49">
        <f t="shared" si="6"/>
        <v>0.4759568204</v>
      </c>
      <c r="M80" s="49">
        <f t="shared" si="7"/>
        <v>0.04808635918</v>
      </c>
      <c r="N80" s="32" t="str">
        <f t="shared" si="8"/>
        <v>Empate</v>
      </c>
      <c r="O80" s="50" t="s">
        <v>77</v>
      </c>
      <c r="P80" s="38">
        <v>936.0</v>
      </c>
      <c r="Q80" s="38">
        <v>749.0</v>
      </c>
      <c r="R80" s="38">
        <v>264.0</v>
      </c>
      <c r="S80" s="38">
        <v>203.0</v>
      </c>
      <c r="T80" s="38">
        <v>67.0</v>
      </c>
      <c r="U80" s="48">
        <f t="shared" si="9"/>
        <v>1949</v>
      </c>
      <c r="V80" s="48">
        <f t="shared" si="10"/>
        <v>2219</v>
      </c>
      <c r="W80" s="49">
        <f t="shared" si="11"/>
        <v>0.4802462801</v>
      </c>
      <c r="X80" s="49">
        <f t="shared" si="12"/>
        <v>0.3842996408</v>
      </c>
      <c r="Y80" s="49">
        <f t="shared" si="13"/>
        <v>0.135454079</v>
      </c>
      <c r="Z80" s="32" t="str">
        <f t="shared" si="14"/>
        <v>Jango</v>
      </c>
      <c r="AA80" s="50" t="s">
        <v>77</v>
      </c>
      <c r="AB80" s="38">
        <v>2984.0</v>
      </c>
      <c r="AC80" s="48">
        <f t="shared" si="15"/>
        <v>765</v>
      </c>
      <c r="AD80" s="51">
        <f t="shared" si="16"/>
        <v>0.7436327078</v>
      </c>
    </row>
    <row r="81">
      <c r="A81" s="45" t="s">
        <v>542</v>
      </c>
      <c r="B81" s="46" t="s">
        <v>830</v>
      </c>
      <c r="C81" s="47"/>
      <c r="D81" s="38">
        <v>2266.0</v>
      </c>
      <c r="E81" s="38">
        <v>212.0</v>
      </c>
      <c r="F81" s="38">
        <v>33.0</v>
      </c>
      <c r="G81" s="38">
        <v>21.0</v>
      </c>
      <c r="H81" s="38">
        <v>34.0</v>
      </c>
      <c r="I81" s="48">
        <f t="shared" si="3"/>
        <v>2511</v>
      </c>
      <c r="J81" s="48">
        <f t="shared" si="4"/>
        <v>2566</v>
      </c>
      <c r="K81" s="49">
        <f t="shared" si="5"/>
        <v>0.902429311</v>
      </c>
      <c r="L81" s="49">
        <f t="shared" si="6"/>
        <v>0.08442851454</v>
      </c>
      <c r="M81" s="49">
        <f t="shared" si="7"/>
        <v>0.01314217443</v>
      </c>
      <c r="N81" s="32" t="str">
        <f t="shared" si="8"/>
        <v>Jânio</v>
      </c>
      <c r="O81" s="50" t="s">
        <v>77</v>
      </c>
      <c r="P81" s="38">
        <v>177.0</v>
      </c>
      <c r="Q81" s="38">
        <v>2258.0</v>
      </c>
      <c r="R81" s="38">
        <v>67.0</v>
      </c>
      <c r="S81" s="38">
        <v>36.0</v>
      </c>
      <c r="T81" s="38">
        <v>28.0</v>
      </c>
      <c r="U81" s="48">
        <f t="shared" si="9"/>
        <v>2502</v>
      </c>
      <c r="V81" s="48">
        <f t="shared" si="10"/>
        <v>2566</v>
      </c>
      <c r="W81" s="49">
        <f t="shared" si="11"/>
        <v>0.07074340528</v>
      </c>
      <c r="X81" s="49">
        <f t="shared" si="12"/>
        <v>0.9024780176</v>
      </c>
      <c r="Y81" s="49">
        <f t="shared" si="13"/>
        <v>0.02677857714</v>
      </c>
      <c r="Z81" s="32" t="str">
        <f t="shared" si="14"/>
        <v>Milton</v>
      </c>
      <c r="AA81" s="50" t="s">
        <v>77</v>
      </c>
      <c r="AB81" s="38">
        <v>3876.0</v>
      </c>
      <c r="AC81" s="48">
        <f t="shared" si="15"/>
        <v>1310</v>
      </c>
      <c r="AD81" s="51">
        <f t="shared" si="16"/>
        <v>0.6620227038</v>
      </c>
    </row>
    <row r="82">
      <c r="A82" s="45" t="s">
        <v>544</v>
      </c>
      <c r="B82" s="46" t="s">
        <v>831</v>
      </c>
      <c r="C82" s="47"/>
      <c r="D82" s="38">
        <v>1662.0</v>
      </c>
      <c r="E82" s="38">
        <v>1149.0</v>
      </c>
      <c r="F82" s="38">
        <v>249.0</v>
      </c>
      <c r="G82" s="38">
        <v>62.0</v>
      </c>
      <c r="H82" s="38">
        <v>219.0</v>
      </c>
      <c r="I82" s="48">
        <f t="shared" si="3"/>
        <v>3060</v>
      </c>
      <c r="J82" s="48">
        <f t="shared" si="4"/>
        <v>3341</v>
      </c>
      <c r="K82" s="49">
        <f t="shared" si="5"/>
        <v>0.5431372549</v>
      </c>
      <c r="L82" s="49">
        <f t="shared" si="6"/>
        <v>0.3754901961</v>
      </c>
      <c r="M82" s="49">
        <f t="shared" si="7"/>
        <v>0.08137254902</v>
      </c>
      <c r="N82" s="32" t="str">
        <f t="shared" si="8"/>
        <v>Jânio</v>
      </c>
      <c r="O82" s="50" t="s">
        <v>77</v>
      </c>
      <c r="P82" s="38">
        <v>978.0</v>
      </c>
      <c r="Q82" s="38">
        <v>1498.0</v>
      </c>
      <c r="R82" s="38">
        <v>224.0</v>
      </c>
      <c r="S82" s="38">
        <v>523.0</v>
      </c>
      <c r="T82" s="38">
        <v>118.0</v>
      </c>
      <c r="U82" s="48">
        <f t="shared" si="9"/>
        <v>2700</v>
      </c>
      <c r="V82" s="48">
        <f t="shared" si="10"/>
        <v>3341</v>
      </c>
      <c r="W82" s="49">
        <f t="shared" si="11"/>
        <v>0.3622222222</v>
      </c>
      <c r="X82" s="49">
        <f t="shared" si="12"/>
        <v>0.5548148148</v>
      </c>
      <c r="Y82" s="49">
        <f t="shared" si="13"/>
        <v>0.08296296296</v>
      </c>
      <c r="Z82" s="32" t="str">
        <f t="shared" si="14"/>
        <v>Milton</v>
      </c>
      <c r="AA82" s="50" t="s">
        <v>77</v>
      </c>
      <c r="AB82" s="38">
        <v>5275.0</v>
      </c>
      <c r="AC82" s="48">
        <f t="shared" si="15"/>
        <v>1934</v>
      </c>
      <c r="AD82" s="51">
        <f t="shared" si="16"/>
        <v>0.6333649289</v>
      </c>
    </row>
    <row r="83">
      <c r="A83" s="45" t="s">
        <v>547</v>
      </c>
      <c r="B83" s="46" t="s">
        <v>832</v>
      </c>
      <c r="C83" s="47"/>
      <c r="D83" s="38">
        <v>1272.0</v>
      </c>
      <c r="E83" s="38">
        <v>620.0</v>
      </c>
      <c r="F83" s="38">
        <v>32.0</v>
      </c>
      <c r="G83" s="38">
        <v>59.0</v>
      </c>
      <c r="H83" s="38">
        <v>80.0</v>
      </c>
      <c r="I83" s="48">
        <f t="shared" si="3"/>
        <v>1924</v>
      </c>
      <c r="J83" s="48">
        <f t="shared" si="4"/>
        <v>2063</v>
      </c>
      <c r="K83" s="49">
        <f t="shared" si="5"/>
        <v>0.6611226611</v>
      </c>
      <c r="L83" s="49">
        <f t="shared" si="6"/>
        <v>0.3222453222</v>
      </c>
      <c r="M83" s="49">
        <f t="shared" si="7"/>
        <v>0.01663201663</v>
      </c>
      <c r="N83" s="32" t="str">
        <f t="shared" si="8"/>
        <v>Jânio</v>
      </c>
      <c r="O83" s="50" t="s">
        <v>77</v>
      </c>
      <c r="P83" s="38">
        <v>376.0</v>
      </c>
      <c r="Q83" s="38">
        <v>1352.0</v>
      </c>
      <c r="R83" s="38">
        <v>147.0</v>
      </c>
      <c r="S83" s="38">
        <v>141.0</v>
      </c>
      <c r="T83" s="38">
        <v>47.0</v>
      </c>
      <c r="U83" s="48">
        <f t="shared" si="9"/>
        <v>1875</v>
      </c>
      <c r="V83" s="48">
        <f t="shared" si="10"/>
        <v>2063</v>
      </c>
      <c r="W83" s="49">
        <f t="shared" si="11"/>
        <v>0.2005333333</v>
      </c>
      <c r="X83" s="49">
        <f t="shared" si="12"/>
        <v>0.7210666667</v>
      </c>
      <c r="Y83" s="49">
        <f t="shared" si="13"/>
        <v>0.0784</v>
      </c>
      <c r="Z83" s="32" t="str">
        <f t="shared" si="14"/>
        <v>Milton</v>
      </c>
      <c r="AA83" s="50" t="s">
        <v>77</v>
      </c>
      <c r="AB83" s="38">
        <v>3456.0</v>
      </c>
      <c r="AC83" s="48">
        <f t="shared" si="15"/>
        <v>1393</v>
      </c>
      <c r="AD83" s="51">
        <f t="shared" si="16"/>
        <v>0.5969328704</v>
      </c>
    </row>
    <row r="84">
      <c r="A84" s="45" t="s">
        <v>549</v>
      </c>
      <c r="B84" s="46" t="s">
        <v>833</v>
      </c>
      <c r="C84" s="47"/>
      <c r="D84" s="38">
        <v>878.0</v>
      </c>
      <c r="E84" s="38">
        <v>678.0</v>
      </c>
      <c r="F84" s="38">
        <v>70.0</v>
      </c>
      <c r="G84" s="38">
        <v>60.0</v>
      </c>
      <c r="H84" s="38">
        <v>137.0</v>
      </c>
      <c r="I84" s="48">
        <f t="shared" si="3"/>
        <v>1626</v>
      </c>
      <c r="J84" s="48">
        <f t="shared" si="4"/>
        <v>1823</v>
      </c>
      <c r="K84" s="49">
        <f t="shared" si="5"/>
        <v>0.5399753998</v>
      </c>
      <c r="L84" s="49">
        <f t="shared" si="6"/>
        <v>0.4169741697</v>
      </c>
      <c r="M84" s="49">
        <f t="shared" si="7"/>
        <v>0.0430504305</v>
      </c>
      <c r="N84" s="32" t="str">
        <f t="shared" si="8"/>
        <v>Jânio</v>
      </c>
      <c r="O84" s="50" t="s">
        <v>77</v>
      </c>
      <c r="P84" s="38">
        <v>798.0</v>
      </c>
      <c r="Q84" s="38">
        <v>719.0</v>
      </c>
      <c r="R84" s="38">
        <v>71.0</v>
      </c>
      <c r="S84" s="38">
        <v>139.0</v>
      </c>
      <c r="T84" s="38">
        <v>96.0</v>
      </c>
      <c r="U84" s="48">
        <f t="shared" si="9"/>
        <v>1588</v>
      </c>
      <c r="V84" s="48">
        <f t="shared" si="10"/>
        <v>1823</v>
      </c>
      <c r="W84" s="49">
        <f t="shared" si="11"/>
        <v>0.5025188917</v>
      </c>
      <c r="X84" s="49">
        <f t="shared" si="12"/>
        <v>0.4527707809</v>
      </c>
      <c r="Y84" s="49">
        <f t="shared" si="13"/>
        <v>0.04471032746</v>
      </c>
      <c r="Z84" s="32" t="str">
        <f t="shared" si="14"/>
        <v>Jango</v>
      </c>
      <c r="AA84" s="50" t="s">
        <v>77</v>
      </c>
      <c r="AB84" s="38">
        <v>2308.0</v>
      </c>
      <c r="AC84" s="48">
        <f t="shared" si="15"/>
        <v>485</v>
      </c>
      <c r="AD84" s="51">
        <f t="shared" si="16"/>
        <v>0.7898613518</v>
      </c>
    </row>
    <row r="85">
      <c r="A85" s="45" t="s">
        <v>554</v>
      </c>
      <c r="B85" s="46" t="s">
        <v>834</v>
      </c>
      <c r="C85" s="47"/>
      <c r="D85" s="38">
        <v>2988.0</v>
      </c>
      <c r="E85" s="38">
        <v>1351.0</v>
      </c>
      <c r="F85" s="38">
        <v>315.0</v>
      </c>
      <c r="G85" s="38">
        <v>131.0</v>
      </c>
      <c r="H85" s="38">
        <v>197.0</v>
      </c>
      <c r="I85" s="48">
        <f t="shared" si="3"/>
        <v>4654</v>
      </c>
      <c r="J85" s="48">
        <f t="shared" si="4"/>
        <v>4982</v>
      </c>
      <c r="K85" s="49">
        <f t="shared" si="5"/>
        <v>0.6420283627</v>
      </c>
      <c r="L85" s="49">
        <f t="shared" si="6"/>
        <v>0.2902879244</v>
      </c>
      <c r="M85" s="49">
        <f t="shared" si="7"/>
        <v>0.06768371294</v>
      </c>
      <c r="N85" s="32" t="str">
        <f t="shared" si="8"/>
        <v>Jânio</v>
      </c>
      <c r="O85" s="50" t="s">
        <v>77</v>
      </c>
      <c r="P85" s="38">
        <v>2198.0</v>
      </c>
      <c r="Q85" s="38">
        <v>2014.0</v>
      </c>
      <c r="R85" s="38">
        <v>350.0</v>
      </c>
      <c r="S85" s="38">
        <v>282.0</v>
      </c>
      <c r="T85" s="38">
        <v>138.0</v>
      </c>
      <c r="U85" s="48">
        <f t="shared" si="9"/>
        <v>4562</v>
      </c>
      <c r="V85" s="48">
        <f t="shared" si="10"/>
        <v>4982</v>
      </c>
      <c r="W85" s="49">
        <f t="shared" si="11"/>
        <v>0.4818062253</v>
      </c>
      <c r="X85" s="49">
        <f t="shared" si="12"/>
        <v>0.4414730381</v>
      </c>
      <c r="Y85" s="49">
        <f t="shared" si="13"/>
        <v>0.07672073652</v>
      </c>
      <c r="Z85" s="32" t="str">
        <f t="shared" si="14"/>
        <v>Jango</v>
      </c>
      <c r="AA85" s="50" t="s">
        <v>77</v>
      </c>
      <c r="AB85" s="38">
        <v>8301.0</v>
      </c>
      <c r="AC85" s="48">
        <f t="shared" si="15"/>
        <v>3319</v>
      </c>
      <c r="AD85" s="51">
        <f t="shared" si="16"/>
        <v>0.6001686544</v>
      </c>
    </row>
    <row r="86">
      <c r="A86" s="45" t="s">
        <v>557</v>
      </c>
      <c r="B86" s="46" t="s">
        <v>835</v>
      </c>
      <c r="C86" s="47"/>
      <c r="D86" s="38">
        <v>2305.0</v>
      </c>
      <c r="E86" s="38">
        <v>1035.0</v>
      </c>
      <c r="F86" s="38">
        <v>234.0</v>
      </c>
      <c r="G86" s="38">
        <v>57.0</v>
      </c>
      <c r="H86" s="38">
        <v>114.0</v>
      </c>
      <c r="I86" s="48">
        <f t="shared" si="3"/>
        <v>3574</v>
      </c>
      <c r="J86" s="48">
        <f t="shared" si="4"/>
        <v>3745</v>
      </c>
      <c r="K86" s="49">
        <f t="shared" si="5"/>
        <v>0.6449356463</v>
      </c>
      <c r="L86" s="49">
        <f t="shared" si="6"/>
        <v>0.2895914941</v>
      </c>
      <c r="M86" s="49">
        <f t="shared" si="7"/>
        <v>0.06547285954</v>
      </c>
      <c r="N86" s="32" t="str">
        <f t="shared" si="8"/>
        <v>Jânio</v>
      </c>
      <c r="O86" s="50" t="s">
        <v>77</v>
      </c>
      <c r="P86" s="38">
        <v>1039.0</v>
      </c>
      <c r="Q86" s="38">
        <v>2165.0</v>
      </c>
      <c r="R86" s="38">
        <v>335.0</v>
      </c>
      <c r="S86" s="38">
        <v>138.0</v>
      </c>
      <c r="T86" s="38">
        <v>68.0</v>
      </c>
      <c r="U86" s="48">
        <f t="shared" si="9"/>
        <v>3539</v>
      </c>
      <c r="V86" s="48">
        <f t="shared" si="10"/>
        <v>3745</v>
      </c>
      <c r="W86" s="49">
        <f t="shared" si="11"/>
        <v>0.2935857587</v>
      </c>
      <c r="X86" s="49">
        <f t="shared" si="12"/>
        <v>0.611754733</v>
      </c>
      <c r="Y86" s="49">
        <f t="shared" si="13"/>
        <v>0.09465950834</v>
      </c>
      <c r="Z86" s="32" t="str">
        <f t="shared" si="14"/>
        <v>Milton</v>
      </c>
      <c r="AA86" s="50" t="s">
        <v>77</v>
      </c>
      <c r="AB86" s="38">
        <v>5991.0</v>
      </c>
      <c r="AC86" s="48">
        <f t="shared" si="15"/>
        <v>2246</v>
      </c>
      <c r="AD86" s="51">
        <f t="shared" si="16"/>
        <v>0.6251043232</v>
      </c>
    </row>
    <row r="87">
      <c r="A87" s="45" t="s">
        <v>560</v>
      </c>
      <c r="B87" s="46" t="s">
        <v>836</v>
      </c>
      <c r="C87" s="47"/>
      <c r="D87" s="38">
        <v>843.0</v>
      </c>
      <c r="E87" s="38">
        <v>322.0</v>
      </c>
      <c r="F87" s="38">
        <v>90.0</v>
      </c>
      <c r="G87" s="38">
        <v>37.0</v>
      </c>
      <c r="H87" s="38">
        <v>86.0</v>
      </c>
      <c r="I87" s="48">
        <f t="shared" si="3"/>
        <v>1255</v>
      </c>
      <c r="J87" s="48">
        <f t="shared" si="4"/>
        <v>1378</v>
      </c>
      <c r="K87" s="49">
        <f t="shared" si="5"/>
        <v>0.6717131474</v>
      </c>
      <c r="L87" s="49">
        <f t="shared" si="6"/>
        <v>0.2565737052</v>
      </c>
      <c r="M87" s="49">
        <f t="shared" si="7"/>
        <v>0.07171314741</v>
      </c>
      <c r="N87" s="32" t="str">
        <f t="shared" si="8"/>
        <v>Jânio</v>
      </c>
      <c r="O87" s="50" t="s">
        <v>77</v>
      </c>
      <c r="P87" s="38">
        <v>345.0</v>
      </c>
      <c r="Q87" s="38">
        <v>627.0</v>
      </c>
      <c r="R87" s="38">
        <v>209.0</v>
      </c>
      <c r="S87" s="38">
        <v>139.0</v>
      </c>
      <c r="T87" s="38">
        <v>58.0</v>
      </c>
      <c r="U87" s="48">
        <f t="shared" si="9"/>
        <v>1181</v>
      </c>
      <c r="V87" s="48">
        <f t="shared" si="10"/>
        <v>1378</v>
      </c>
      <c r="W87" s="49">
        <f t="shared" si="11"/>
        <v>0.2921253175</v>
      </c>
      <c r="X87" s="49">
        <f t="shared" si="12"/>
        <v>0.5309060119</v>
      </c>
      <c r="Y87" s="49">
        <f t="shared" si="13"/>
        <v>0.1769686706</v>
      </c>
      <c r="Z87" s="32" t="str">
        <f t="shared" si="14"/>
        <v>Milton</v>
      </c>
      <c r="AA87" s="50" t="s">
        <v>77</v>
      </c>
      <c r="AB87" s="38">
        <v>2797.0</v>
      </c>
      <c r="AC87" s="48">
        <f t="shared" si="15"/>
        <v>1419</v>
      </c>
      <c r="AD87" s="51">
        <f t="shared" si="16"/>
        <v>0.4926707186</v>
      </c>
    </row>
    <row r="88">
      <c r="A88" s="45" t="s">
        <v>563</v>
      </c>
      <c r="B88" s="46" t="s">
        <v>837</v>
      </c>
      <c r="C88" s="47"/>
      <c r="D88" s="38">
        <v>1615.0</v>
      </c>
      <c r="E88" s="38">
        <v>910.0</v>
      </c>
      <c r="F88" s="38">
        <v>101.0</v>
      </c>
      <c r="G88" s="38">
        <v>43.0</v>
      </c>
      <c r="H88" s="38">
        <v>72.0</v>
      </c>
      <c r="I88" s="48">
        <f t="shared" si="3"/>
        <v>2626</v>
      </c>
      <c r="J88" s="48">
        <f t="shared" si="4"/>
        <v>2741</v>
      </c>
      <c r="K88" s="49">
        <f t="shared" si="5"/>
        <v>0.6150038081</v>
      </c>
      <c r="L88" s="49">
        <f t="shared" si="6"/>
        <v>0.3465346535</v>
      </c>
      <c r="M88" s="49">
        <f t="shared" si="7"/>
        <v>0.03846153846</v>
      </c>
      <c r="N88" s="32" t="str">
        <f t="shared" si="8"/>
        <v>Jânio</v>
      </c>
      <c r="O88" s="50" t="s">
        <v>77</v>
      </c>
      <c r="P88" s="38">
        <v>1362.0</v>
      </c>
      <c r="Q88" s="38">
        <v>1174.0</v>
      </c>
      <c r="R88" s="38">
        <v>71.0</v>
      </c>
      <c r="S88" s="38">
        <v>91.0</v>
      </c>
      <c r="T88" s="38">
        <v>43.0</v>
      </c>
      <c r="U88" s="48">
        <f t="shared" si="9"/>
        <v>2607</v>
      </c>
      <c r="V88" s="48">
        <f t="shared" si="10"/>
        <v>2741</v>
      </c>
      <c r="W88" s="49">
        <f t="shared" si="11"/>
        <v>0.5224395857</v>
      </c>
      <c r="X88" s="49">
        <f t="shared" si="12"/>
        <v>0.4503260453</v>
      </c>
      <c r="Y88" s="49">
        <f t="shared" si="13"/>
        <v>0.02723436901</v>
      </c>
      <c r="Z88" s="32" t="str">
        <f t="shared" si="14"/>
        <v>Jango</v>
      </c>
      <c r="AA88" s="50" t="s">
        <v>77</v>
      </c>
      <c r="AB88" s="38">
        <v>4621.0</v>
      </c>
      <c r="AC88" s="48">
        <f t="shared" si="15"/>
        <v>1880</v>
      </c>
      <c r="AD88" s="51">
        <f t="shared" si="16"/>
        <v>0.5931616533</v>
      </c>
    </row>
    <row r="89">
      <c r="A89" s="45" t="s">
        <v>565</v>
      </c>
      <c r="B89" s="46" t="s">
        <v>838</v>
      </c>
      <c r="C89" s="47"/>
      <c r="D89" s="38">
        <v>2063.0</v>
      </c>
      <c r="E89" s="38">
        <v>704.0</v>
      </c>
      <c r="F89" s="38">
        <v>182.0</v>
      </c>
      <c r="G89" s="38">
        <v>51.0</v>
      </c>
      <c r="H89" s="38">
        <v>86.0</v>
      </c>
      <c r="I89" s="48">
        <f t="shared" si="3"/>
        <v>2949</v>
      </c>
      <c r="J89" s="48">
        <f t="shared" si="4"/>
        <v>3086</v>
      </c>
      <c r="K89" s="49">
        <f t="shared" si="5"/>
        <v>0.6995591726</v>
      </c>
      <c r="L89" s="49">
        <f t="shared" si="6"/>
        <v>0.2387249915</v>
      </c>
      <c r="M89" s="49">
        <f t="shared" si="7"/>
        <v>0.06171583588</v>
      </c>
      <c r="N89" s="32" t="str">
        <f t="shared" si="8"/>
        <v>Jânio</v>
      </c>
      <c r="O89" s="50" t="s">
        <v>77</v>
      </c>
      <c r="P89" s="38">
        <v>710.0</v>
      </c>
      <c r="Q89" s="38">
        <v>2005.0</v>
      </c>
      <c r="R89" s="38">
        <v>141.0</v>
      </c>
      <c r="S89" s="38">
        <v>168.0</v>
      </c>
      <c r="T89" s="38">
        <v>62.0</v>
      </c>
      <c r="U89" s="48">
        <f t="shared" si="9"/>
        <v>2856</v>
      </c>
      <c r="V89" s="48">
        <f t="shared" si="10"/>
        <v>3086</v>
      </c>
      <c r="W89" s="49">
        <f t="shared" si="11"/>
        <v>0.2485994398</v>
      </c>
      <c r="X89" s="49">
        <f t="shared" si="12"/>
        <v>0.7020308123</v>
      </c>
      <c r="Y89" s="49">
        <f t="shared" si="13"/>
        <v>0.0493697479</v>
      </c>
      <c r="Z89" s="32" t="str">
        <f t="shared" si="14"/>
        <v>Milton</v>
      </c>
      <c r="AA89" s="50" t="s">
        <v>77</v>
      </c>
      <c r="AB89" s="38">
        <v>4163.0</v>
      </c>
      <c r="AC89" s="48">
        <f t="shared" si="15"/>
        <v>1077</v>
      </c>
      <c r="AD89" s="51">
        <f t="shared" si="16"/>
        <v>0.7412923373</v>
      </c>
    </row>
    <row r="90">
      <c r="A90" s="45" t="s">
        <v>568</v>
      </c>
      <c r="B90" s="46" t="s">
        <v>839</v>
      </c>
      <c r="C90" s="47"/>
      <c r="D90" s="38">
        <v>2363.0</v>
      </c>
      <c r="E90" s="38">
        <v>209.0</v>
      </c>
      <c r="F90" s="38">
        <v>72.0</v>
      </c>
      <c r="G90" s="38">
        <v>57.0</v>
      </c>
      <c r="H90" s="38">
        <v>97.0</v>
      </c>
      <c r="I90" s="48">
        <f t="shared" si="3"/>
        <v>2644</v>
      </c>
      <c r="J90" s="48">
        <f t="shared" si="4"/>
        <v>2798</v>
      </c>
      <c r="K90" s="49">
        <f t="shared" si="5"/>
        <v>0.8937216339</v>
      </c>
      <c r="L90" s="49">
        <f t="shared" si="6"/>
        <v>0.07904689864</v>
      </c>
      <c r="M90" s="49">
        <f t="shared" si="7"/>
        <v>0.02723146747</v>
      </c>
      <c r="N90" s="32" t="str">
        <f t="shared" si="8"/>
        <v>Jânio</v>
      </c>
      <c r="O90" s="50" t="s">
        <v>77</v>
      </c>
      <c r="P90" s="38">
        <v>233.0</v>
      </c>
      <c r="Q90" s="38">
        <v>2302.0</v>
      </c>
      <c r="R90" s="38">
        <v>64.0</v>
      </c>
      <c r="S90" s="38">
        <v>139.0</v>
      </c>
      <c r="T90" s="38">
        <v>60.0</v>
      </c>
      <c r="U90" s="48">
        <f t="shared" si="9"/>
        <v>2599</v>
      </c>
      <c r="V90" s="48">
        <f t="shared" si="10"/>
        <v>2798</v>
      </c>
      <c r="W90" s="49">
        <f t="shared" si="11"/>
        <v>0.08964986533</v>
      </c>
      <c r="X90" s="49">
        <f t="shared" si="12"/>
        <v>0.885725279</v>
      </c>
      <c r="Y90" s="49">
        <f t="shared" si="13"/>
        <v>0.02462485571</v>
      </c>
      <c r="Z90" s="32" t="str">
        <f t="shared" si="14"/>
        <v>Milton</v>
      </c>
      <c r="AA90" s="50" t="s">
        <v>77</v>
      </c>
      <c r="AB90" s="38">
        <v>4214.0</v>
      </c>
      <c r="AC90" s="48">
        <f t="shared" si="15"/>
        <v>1416</v>
      </c>
      <c r="AD90" s="51">
        <f t="shared" si="16"/>
        <v>0.6639772188</v>
      </c>
    </row>
    <row r="91">
      <c r="A91" s="45" t="s">
        <v>570</v>
      </c>
      <c r="B91" s="46" t="s">
        <v>840</v>
      </c>
      <c r="C91" s="47"/>
      <c r="D91" s="38">
        <v>1440.0</v>
      </c>
      <c r="E91" s="38">
        <v>298.0</v>
      </c>
      <c r="F91" s="38">
        <v>77.0</v>
      </c>
      <c r="G91" s="38">
        <v>45.0</v>
      </c>
      <c r="H91" s="38">
        <v>83.0</v>
      </c>
      <c r="I91" s="48">
        <f t="shared" si="3"/>
        <v>1815</v>
      </c>
      <c r="J91" s="48">
        <f t="shared" si="4"/>
        <v>1943</v>
      </c>
      <c r="K91" s="49">
        <f t="shared" si="5"/>
        <v>0.7933884298</v>
      </c>
      <c r="L91" s="49">
        <f t="shared" si="6"/>
        <v>0.1641873278</v>
      </c>
      <c r="M91" s="49">
        <f t="shared" si="7"/>
        <v>0.04242424242</v>
      </c>
      <c r="N91" s="32" t="str">
        <f t="shared" si="8"/>
        <v>Jânio</v>
      </c>
      <c r="O91" s="50" t="s">
        <v>77</v>
      </c>
      <c r="P91" s="38">
        <v>326.0</v>
      </c>
      <c r="Q91" s="38">
        <v>1019.0</v>
      </c>
      <c r="R91" s="38">
        <v>370.0</v>
      </c>
      <c r="S91" s="38">
        <v>122.0</v>
      </c>
      <c r="T91" s="38">
        <v>106.0</v>
      </c>
      <c r="U91" s="48">
        <f t="shared" si="9"/>
        <v>1715</v>
      </c>
      <c r="V91" s="48">
        <f t="shared" si="10"/>
        <v>1943</v>
      </c>
      <c r="W91" s="49">
        <f t="shared" si="11"/>
        <v>0.1900874636</v>
      </c>
      <c r="X91" s="49">
        <f t="shared" si="12"/>
        <v>0.5941690962</v>
      </c>
      <c r="Y91" s="49">
        <f t="shared" si="13"/>
        <v>0.2157434402</v>
      </c>
      <c r="Z91" s="32" t="str">
        <f t="shared" si="14"/>
        <v>Milton</v>
      </c>
      <c r="AA91" s="50" t="s">
        <v>77</v>
      </c>
      <c r="AB91" s="38">
        <v>2573.0</v>
      </c>
      <c r="AC91" s="48">
        <f t="shared" si="15"/>
        <v>630</v>
      </c>
      <c r="AD91" s="51">
        <f t="shared" si="16"/>
        <v>0.7551496308</v>
      </c>
    </row>
    <row r="92">
      <c r="A92" s="45" t="s">
        <v>575</v>
      </c>
      <c r="B92" s="46" t="s">
        <v>592</v>
      </c>
      <c r="C92" s="47"/>
      <c r="D92" s="38">
        <v>1270.0</v>
      </c>
      <c r="E92" s="38">
        <v>1001.0</v>
      </c>
      <c r="F92" s="38">
        <v>99.0</v>
      </c>
      <c r="G92" s="38">
        <v>57.0</v>
      </c>
      <c r="H92" s="38">
        <v>71.0</v>
      </c>
      <c r="I92" s="48">
        <f t="shared" si="3"/>
        <v>2370</v>
      </c>
      <c r="J92" s="48">
        <f t="shared" si="4"/>
        <v>2498</v>
      </c>
      <c r="K92" s="49">
        <f t="shared" si="5"/>
        <v>0.5358649789</v>
      </c>
      <c r="L92" s="49">
        <f t="shared" si="6"/>
        <v>0.4223628692</v>
      </c>
      <c r="M92" s="49">
        <f t="shared" si="7"/>
        <v>0.0417721519</v>
      </c>
      <c r="N92" s="32" t="str">
        <f t="shared" si="8"/>
        <v>Jânio</v>
      </c>
      <c r="O92" s="50" t="s">
        <v>77</v>
      </c>
      <c r="P92" s="38">
        <v>998.0</v>
      </c>
      <c r="Q92" s="38">
        <v>1217.0</v>
      </c>
      <c r="R92" s="38">
        <v>114.0</v>
      </c>
      <c r="S92" s="38">
        <v>116.0</v>
      </c>
      <c r="T92" s="38">
        <v>53.0</v>
      </c>
      <c r="U92" s="48">
        <f t="shared" si="9"/>
        <v>2329</v>
      </c>
      <c r="V92" s="48">
        <f t="shared" si="10"/>
        <v>2498</v>
      </c>
      <c r="W92" s="49">
        <f t="shared" si="11"/>
        <v>0.4285100902</v>
      </c>
      <c r="X92" s="49">
        <f t="shared" si="12"/>
        <v>0.5225418635</v>
      </c>
      <c r="Y92" s="49">
        <f t="shared" si="13"/>
        <v>0.04894804637</v>
      </c>
      <c r="Z92" s="32" t="str">
        <f t="shared" si="14"/>
        <v>Milton</v>
      </c>
      <c r="AA92" s="50" t="s">
        <v>77</v>
      </c>
      <c r="AB92" s="38">
        <v>3405.0</v>
      </c>
      <c r="AC92" s="48">
        <f t="shared" si="15"/>
        <v>907</v>
      </c>
      <c r="AD92" s="51">
        <f t="shared" si="16"/>
        <v>0.7336270191</v>
      </c>
    </row>
    <row r="93">
      <c r="A93" s="45" t="s">
        <v>578</v>
      </c>
      <c r="B93" s="46" t="s">
        <v>841</v>
      </c>
      <c r="C93" s="47"/>
      <c r="D93" s="38">
        <v>836.0</v>
      </c>
      <c r="E93" s="38">
        <v>738.0</v>
      </c>
      <c r="F93" s="38">
        <v>76.0</v>
      </c>
      <c r="G93" s="38">
        <v>39.0</v>
      </c>
      <c r="H93" s="38">
        <v>118.0</v>
      </c>
      <c r="I93" s="48">
        <f t="shared" si="3"/>
        <v>1650</v>
      </c>
      <c r="J93" s="48">
        <f t="shared" si="4"/>
        <v>1807</v>
      </c>
      <c r="K93" s="49">
        <f t="shared" si="5"/>
        <v>0.5066666667</v>
      </c>
      <c r="L93" s="49">
        <f t="shared" si="6"/>
        <v>0.4472727273</v>
      </c>
      <c r="M93" s="49">
        <f t="shared" si="7"/>
        <v>0.04606060606</v>
      </c>
      <c r="N93" s="32" t="str">
        <f t="shared" si="8"/>
        <v>Jânio</v>
      </c>
      <c r="O93" s="50" t="s">
        <v>77</v>
      </c>
      <c r="P93" s="38">
        <v>719.0</v>
      </c>
      <c r="Q93" s="38">
        <v>747.0</v>
      </c>
      <c r="R93" s="38">
        <v>126.0</v>
      </c>
      <c r="S93" s="38">
        <v>145.0</v>
      </c>
      <c r="T93" s="38">
        <v>70.0</v>
      </c>
      <c r="U93" s="48">
        <f t="shared" si="9"/>
        <v>1592</v>
      </c>
      <c r="V93" s="48">
        <f t="shared" si="10"/>
        <v>1807</v>
      </c>
      <c r="W93" s="49">
        <f t="shared" si="11"/>
        <v>0.4516331658</v>
      </c>
      <c r="X93" s="49">
        <f t="shared" si="12"/>
        <v>0.4692211055</v>
      </c>
      <c r="Y93" s="49">
        <f t="shared" si="13"/>
        <v>0.07914572864</v>
      </c>
      <c r="Z93" s="32" t="str">
        <f t="shared" si="14"/>
        <v>Milton</v>
      </c>
      <c r="AA93" s="50" t="s">
        <v>77</v>
      </c>
      <c r="AB93" s="38">
        <v>3085.0</v>
      </c>
      <c r="AC93" s="48">
        <f t="shared" si="15"/>
        <v>1278</v>
      </c>
      <c r="AD93" s="51">
        <f t="shared" si="16"/>
        <v>0.5857374392</v>
      </c>
    </row>
    <row r="94">
      <c r="A94" s="45" t="s">
        <v>580</v>
      </c>
      <c r="B94" s="46" t="s">
        <v>842</v>
      </c>
      <c r="C94" s="47"/>
      <c r="D94" s="38">
        <v>1247.0</v>
      </c>
      <c r="E94" s="38">
        <v>1269.0</v>
      </c>
      <c r="F94" s="38">
        <v>68.0</v>
      </c>
      <c r="G94" s="38">
        <v>57.0</v>
      </c>
      <c r="H94" s="38">
        <v>147.0</v>
      </c>
      <c r="I94" s="48">
        <f t="shared" si="3"/>
        <v>2584</v>
      </c>
      <c r="J94" s="48">
        <f t="shared" si="4"/>
        <v>2788</v>
      </c>
      <c r="K94" s="49">
        <f t="shared" si="5"/>
        <v>0.4825851393</v>
      </c>
      <c r="L94" s="49">
        <f t="shared" si="6"/>
        <v>0.4910990712</v>
      </c>
      <c r="M94" s="49">
        <f t="shared" si="7"/>
        <v>0.02631578947</v>
      </c>
      <c r="N94" s="32" t="str">
        <f t="shared" si="8"/>
        <v>Mal. Lott</v>
      </c>
      <c r="O94" s="50" t="s">
        <v>77</v>
      </c>
      <c r="P94" s="38">
        <v>1272.0</v>
      </c>
      <c r="Q94" s="38">
        <v>1191.0</v>
      </c>
      <c r="R94" s="38">
        <v>101.0</v>
      </c>
      <c r="S94" s="38">
        <v>121.0</v>
      </c>
      <c r="T94" s="38">
        <v>103.0</v>
      </c>
      <c r="U94" s="48">
        <f t="shared" si="9"/>
        <v>2564</v>
      </c>
      <c r="V94" s="48">
        <f t="shared" si="10"/>
        <v>2788</v>
      </c>
      <c r="W94" s="49">
        <f t="shared" si="11"/>
        <v>0.496099844</v>
      </c>
      <c r="X94" s="49">
        <f t="shared" si="12"/>
        <v>0.4645085803</v>
      </c>
      <c r="Y94" s="49">
        <f t="shared" si="13"/>
        <v>0.03939157566</v>
      </c>
      <c r="Z94" s="32" t="str">
        <f t="shared" si="14"/>
        <v>Jango</v>
      </c>
      <c r="AA94" s="50" t="s">
        <v>77</v>
      </c>
      <c r="AB94" s="38">
        <v>3754.0</v>
      </c>
      <c r="AC94" s="48">
        <f t="shared" si="15"/>
        <v>966</v>
      </c>
      <c r="AD94" s="51">
        <f t="shared" si="16"/>
        <v>0.7426744806</v>
      </c>
    </row>
    <row r="95">
      <c r="A95" s="45" t="s">
        <v>585</v>
      </c>
      <c r="B95" s="46" t="s">
        <v>843</v>
      </c>
      <c r="C95" s="47"/>
      <c r="D95" s="38">
        <v>502.0</v>
      </c>
      <c r="E95" s="38">
        <v>718.0</v>
      </c>
      <c r="F95" s="38">
        <v>74.0</v>
      </c>
      <c r="G95" s="38">
        <v>38.0</v>
      </c>
      <c r="H95" s="38">
        <v>43.0</v>
      </c>
      <c r="I95" s="48">
        <f t="shared" si="3"/>
        <v>1294</v>
      </c>
      <c r="J95" s="48">
        <f t="shared" si="4"/>
        <v>1375</v>
      </c>
      <c r="K95" s="49">
        <f t="shared" si="5"/>
        <v>0.3879443586</v>
      </c>
      <c r="L95" s="49">
        <f t="shared" si="6"/>
        <v>0.5548686244</v>
      </c>
      <c r="M95" s="49">
        <f t="shared" si="7"/>
        <v>0.057187017</v>
      </c>
      <c r="N95" s="32" t="str">
        <f t="shared" si="8"/>
        <v>Mal. Lott</v>
      </c>
      <c r="O95" s="50" t="s">
        <v>77</v>
      </c>
      <c r="P95" s="38">
        <v>707.0</v>
      </c>
      <c r="Q95" s="38">
        <v>470.0</v>
      </c>
      <c r="R95" s="38">
        <v>90.0</v>
      </c>
      <c r="S95" s="38">
        <v>89.0</v>
      </c>
      <c r="T95" s="38">
        <v>19.0</v>
      </c>
      <c r="U95" s="48">
        <f t="shared" si="9"/>
        <v>1267</v>
      </c>
      <c r="V95" s="48">
        <f t="shared" si="10"/>
        <v>1375</v>
      </c>
      <c r="W95" s="49">
        <f t="shared" si="11"/>
        <v>0.5580110497</v>
      </c>
      <c r="X95" s="49">
        <f t="shared" si="12"/>
        <v>0.3709550118</v>
      </c>
      <c r="Y95" s="49">
        <f t="shared" si="13"/>
        <v>0.07103393844</v>
      </c>
      <c r="Z95" s="32" t="str">
        <f t="shared" si="14"/>
        <v>Jango</v>
      </c>
      <c r="AA95" s="50" t="s">
        <v>77</v>
      </c>
      <c r="AB95" s="38">
        <v>1645.0</v>
      </c>
      <c r="AC95" s="48">
        <f t="shared" si="15"/>
        <v>270</v>
      </c>
      <c r="AD95" s="51">
        <f t="shared" si="16"/>
        <v>0.8358662614</v>
      </c>
    </row>
    <row r="96">
      <c r="A96" s="45" t="s">
        <v>410</v>
      </c>
      <c r="B96" s="46" t="s">
        <v>844</v>
      </c>
      <c r="C96" s="47"/>
      <c r="D96" s="38">
        <v>3110.0</v>
      </c>
      <c r="E96" s="38">
        <v>1427.0</v>
      </c>
      <c r="F96" s="38">
        <v>213.0</v>
      </c>
      <c r="G96" s="38">
        <v>275.0</v>
      </c>
      <c r="H96" s="38">
        <v>0.0</v>
      </c>
      <c r="I96" s="48">
        <f t="shared" si="3"/>
        <v>4750</v>
      </c>
      <c r="J96" s="48">
        <f t="shared" si="4"/>
        <v>5025</v>
      </c>
      <c r="K96" s="49">
        <f t="shared" si="5"/>
        <v>0.6547368421</v>
      </c>
      <c r="L96" s="49">
        <f t="shared" si="6"/>
        <v>0.3004210526</v>
      </c>
      <c r="M96" s="49">
        <f t="shared" si="7"/>
        <v>0.04484210526</v>
      </c>
      <c r="N96" s="32" t="str">
        <f t="shared" si="8"/>
        <v>Jânio</v>
      </c>
      <c r="O96" s="50" t="s">
        <v>77</v>
      </c>
      <c r="P96" s="38">
        <v>1518.0</v>
      </c>
      <c r="Q96" s="38">
        <v>2912.0</v>
      </c>
      <c r="R96" s="38">
        <v>174.0</v>
      </c>
      <c r="S96" s="38">
        <v>421.0</v>
      </c>
      <c r="T96" s="38">
        <v>0.0</v>
      </c>
      <c r="U96" s="48">
        <f t="shared" si="9"/>
        <v>4604</v>
      </c>
      <c r="V96" s="48">
        <f t="shared" si="10"/>
        <v>5025</v>
      </c>
      <c r="W96" s="49">
        <f t="shared" si="11"/>
        <v>0.3297132928</v>
      </c>
      <c r="X96" s="49">
        <f t="shared" si="12"/>
        <v>0.6324934839</v>
      </c>
      <c r="Y96" s="49">
        <f t="shared" si="13"/>
        <v>0.03779322328</v>
      </c>
      <c r="Z96" s="32" t="str">
        <f t="shared" si="14"/>
        <v>Milton</v>
      </c>
      <c r="AA96" s="50" t="s">
        <v>77</v>
      </c>
      <c r="AB96" s="38">
        <v>8049.0</v>
      </c>
      <c r="AC96" s="48">
        <f t="shared" si="15"/>
        <v>3024</v>
      </c>
      <c r="AD96" s="51">
        <f t="shared" si="16"/>
        <v>0.6243011554</v>
      </c>
    </row>
    <row r="97">
      <c r="A97" s="45" t="s">
        <v>412</v>
      </c>
      <c r="B97" s="46" t="s">
        <v>845</v>
      </c>
      <c r="C97" s="47"/>
      <c r="D97" s="38">
        <v>2070.0</v>
      </c>
      <c r="E97" s="38">
        <v>3457.0</v>
      </c>
      <c r="F97" s="38">
        <v>228.0</v>
      </c>
      <c r="G97" s="38">
        <v>188.0</v>
      </c>
      <c r="H97" s="38">
        <v>198.0</v>
      </c>
      <c r="I97" s="48">
        <f t="shared" si="3"/>
        <v>5755</v>
      </c>
      <c r="J97" s="48">
        <f t="shared" si="4"/>
        <v>6141</v>
      </c>
      <c r="K97" s="49">
        <f t="shared" si="5"/>
        <v>0.3596872285</v>
      </c>
      <c r="L97" s="49">
        <f t="shared" si="6"/>
        <v>0.6006950478</v>
      </c>
      <c r="M97" s="49">
        <f t="shared" si="7"/>
        <v>0.03961772372</v>
      </c>
      <c r="N97" s="32" t="str">
        <f t="shared" si="8"/>
        <v>Mal. Lott</v>
      </c>
      <c r="O97" s="50" t="s">
        <v>77</v>
      </c>
      <c r="P97" s="38">
        <v>3365.0</v>
      </c>
      <c r="Q97" s="38">
        <v>1790.0</v>
      </c>
      <c r="R97" s="38">
        <v>508.0</v>
      </c>
      <c r="S97" s="38">
        <v>373.0</v>
      </c>
      <c r="T97" s="38">
        <v>105.0</v>
      </c>
      <c r="U97" s="48">
        <f t="shared" si="9"/>
        <v>5663</v>
      </c>
      <c r="V97" s="48">
        <f t="shared" si="10"/>
        <v>6141</v>
      </c>
      <c r="W97" s="49">
        <f t="shared" si="11"/>
        <v>0.594208017</v>
      </c>
      <c r="X97" s="49">
        <f t="shared" si="12"/>
        <v>0.3160868797</v>
      </c>
      <c r="Y97" s="49">
        <f t="shared" si="13"/>
        <v>0.0897051033</v>
      </c>
      <c r="Z97" s="32" t="str">
        <f t="shared" si="14"/>
        <v>Jango</v>
      </c>
      <c r="AA97" s="50" t="s">
        <v>77</v>
      </c>
      <c r="AB97" s="38">
        <v>8238.0</v>
      </c>
      <c r="AC97" s="48">
        <f t="shared" si="15"/>
        <v>2097</v>
      </c>
      <c r="AD97" s="51">
        <f t="shared" si="16"/>
        <v>0.7454479243</v>
      </c>
    </row>
    <row r="98">
      <c r="A98" s="45" t="s">
        <v>846</v>
      </c>
      <c r="B98" s="46" t="s">
        <v>847</v>
      </c>
      <c r="C98" s="47"/>
      <c r="D98" s="38">
        <v>2424.0</v>
      </c>
      <c r="E98" s="38">
        <v>708.0</v>
      </c>
      <c r="F98" s="38">
        <v>147.0</v>
      </c>
      <c r="G98" s="38">
        <v>137.0</v>
      </c>
      <c r="H98" s="38">
        <v>244.0</v>
      </c>
      <c r="I98" s="48">
        <f t="shared" si="3"/>
        <v>3279</v>
      </c>
      <c r="J98" s="48">
        <f t="shared" si="4"/>
        <v>3660</v>
      </c>
      <c r="K98" s="49">
        <f t="shared" si="5"/>
        <v>0.7392497713</v>
      </c>
      <c r="L98" s="49">
        <f t="shared" si="6"/>
        <v>0.2159194876</v>
      </c>
      <c r="M98" s="49">
        <f t="shared" si="7"/>
        <v>0.04483074108</v>
      </c>
      <c r="N98" s="32" t="str">
        <f t="shared" si="8"/>
        <v>Jânio</v>
      </c>
      <c r="O98" s="50" t="s">
        <v>77</v>
      </c>
      <c r="P98" s="38">
        <v>604.0</v>
      </c>
      <c r="Q98" s="38">
        <v>2084.0</v>
      </c>
      <c r="R98" s="38">
        <v>491.0</v>
      </c>
      <c r="S98" s="38">
        <v>218.0</v>
      </c>
      <c r="T98" s="38">
        <v>263.0</v>
      </c>
      <c r="U98" s="48">
        <f t="shared" si="9"/>
        <v>3179</v>
      </c>
      <c r="V98" s="48">
        <f t="shared" si="10"/>
        <v>3660</v>
      </c>
      <c r="W98" s="49">
        <f t="shared" si="11"/>
        <v>0.1899968544</v>
      </c>
      <c r="X98" s="49">
        <f t="shared" si="12"/>
        <v>0.6555520604</v>
      </c>
      <c r="Y98" s="49">
        <f t="shared" si="13"/>
        <v>0.1544510852</v>
      </c>
      <c r="Z98" s="32" t="str">
        <f t="shared" si="14"/>
        <v>Milton</v>
      </c>
      <c r="AA98" s="50" t="s">
        <v>77</v>
      </c>
      <c r="AB98" s="38">
        <v>6352.0</v>
      </c>
      <c r="AC98" s="48">
        <f t="shared" si="15"/>
        <v>2692</v>
      </c>
      <c r="AD98" s="51">
        <f t="shared" si="16"/>
        <v>0.5761964736</v>
      </c>
    </row>
    <row r="99">
      <c r="A99" s="45" t="s">
        <v>848</v>
      </c>
      <c r="B99" s="46" t="s">
        <v>849</v>
      </c>
      <c r="C99" s="47"/>
      <c r="D99" s="38">
        <v>962.0</v>
      </c>
      <c r="E99" s="38">
        <v>1720.0</v>
      </c>
      <c r="F99" s="38">
        <v>270.0</v>
      </c>
      <c r="G99" s="38">
        <v>116.0</v>
      </c>
      <c r="H99" s="38">
        <v>190.0</v>
      </c>
      <c r="I99" s="48">
        <f t="shared" si="3"/>
        <v>2952</v>
      </c>
      <c r="J99" s="48">
        <f t="shared" si="4"/>
        <v>3258</v>
      </c>
      <c r="K99" s="49">
        <f t="shared" si="5"/>
        <v>0.3258807588</v>
      </c>
      <c r="L99" s="49">
        <f t="shared" si="6"/>
        <v>0.5826558266</v>
      </c>
      <c r="M99" s="49">
        <f t="shared" si="7"/>
        <v>0.09146341463</v>
      </c>
      <c r="N99" s="32" t="str">
        <f t="shared" si="8"/>
        <v>Mal. Lott</v>
      </c>
      <c r="O99" s="50" t="s">
        <v>77</v>
      </c>
      <c r="P99" s="38">
        <v>1659.0</v>
      </c>
      <c r="Q99" s="38">
        <v>836.0</v>
      </c>
      <c r="R99" s="38">
        <v>342.0</v>
      </c>
      <c r="S99" s="38">
        <v>274.0</v>
      </c>
      <c r="T99" s="38">
        <v>147.0</v>
      </c>
      <c r="U99" s="48">
        <f t="shared" si="9"/>
        <v>2837</v>
      </c>
      <c r="V99" s="48">
        <f t="shared" si="10"/>
        <v>3258</v>
      </c>
      <c r="W99" s="49">
        <f t="shared" si="11"/>
        <v>0.5847726472</v>
      </c>
      <c r="X99" s="49">
        <f t="shared" si="12"/>
        <v>0.2946774762</v>
      </c>
      <c r="Y99" s="49">
        <f t="shared" si="13"/>
        <v>0.1205498766</v>
      </c>
      <c r="Z99" s="32" t="str">
        <f t="shared" si="14"/>
        <v>Jango</v>
      </c>
      <c r="AA99" s="50" t="s">
        <v>77</v>
      </c>
      <c r="AB99" s="38">
        <v>4782.0</v>
      </c>
      <c r="AC99" s="48">
        <f t="shared" si="15"/>
        <v>1524</v>
      </c>
      <c r="AD99" s="51">
        <f t="shared" si="16"/>
        <v>0.6813048934</v>
      </c>
    </row>
    <row r="100">
      <c r="A100" s="45" t="s">
        <v>850</v>
      </c>
      <c r="B100" s="46" t="s">
        <v>851</v>
      </c>
      <c r="C100" s="47"/>
      <c r="D100" s="38">
        <v>1335.0</v>
      </c>
      <c r="E100" s="38">
        <v>237.0</v>
      </c>
      <c r="F100" s="38">
        <v>67.0</v>
      </c>
      <c r="G100" s="38">
        <v>48.0</v>
      </c>
      <c r="H100" s="38">
        <v>76.0</v>
      </c>
      <c r="I100" s="48">
        <f t="shared" si="3"/>
        <v>1639</v>
      </c>
      <c r="J100" s="48">
        <f t="shared" si="4"/>
        <v>1763</v>
      </c>
      <c r="K100" s="49">
        <f t="shared" si="5"/>
        <v>0.8145210494</v>
      </c>
      <c r="L100" s="49">
        <f t="shared" si="6"/>
        <v>0.1446003661</v>
      </c>
      <c r="M100" s="49">
        <f t="shared" si="7"/>
        <v>0.0408785845</v>
      </c>
      <c r="N100" s="32" t="str">
        <f t="shared" si="8"/>
        <v>Jânio</v>
      </c>
      <c r="O100" s="50" t="s">
        <v>77</v>
      </c>
      <c r="P100" s="38">
        <v>236.0</v>
      </c>
      <c r="Q100" s="38">
        <v>1296.0</v>
      </c>
      <c r="R100" s="38">
        <v>96.0</v>
      </c>
      <c r="S100" s="38">
        <v>86.0</v>
      </c>
      <c r="T100" s="38">
        <v>49.0</v>
      </c>
      <c r="U100" s="48">
        <f t="shared" si="9"/>
        <v>1628</v>
      </c>
      <c r="V100" s="48">
        <f t="shared" si="10"/>
        <v>1763</v>
      </c>
      <c r="W100" s="49">
        <f t="shared" si="11"/>
        <v>0.144963145</v>
      </c>
      <c r="X100" s="49">
        <f t="shared" si="12"/>
        <v>0.7960687961</v>
      </c>
      <c r="Y100" s="49">
        <f t="shared" si="13"/>
        <v>0.05896805897</v>
      </c>
      <c r="Z100" s="32" t="str">
        <f t="shared" si="14"/>
        <v>Milton</v>
      </c>
      <c r="AA100" s="50" t="s">
        <v>77</v>
      </c>
      <c r="AB100" s="38">
        <v>2738.0</v>
      </c>
      <c r="AC100" s="48">
        <f t="shared" si="15"/>
        <v>975</v>
      </c>
      <c r="AD100" s="51">
        <f t="shared" si="16"/>
        <v>0.6439006574</v>
      </c>
    </row>
    <row r="101">
      <c r="A101" s="45" t="s">
        <v>852</v>
      </c>
      <c r="B101" s="46" t="s">
        <v>853</v>
      </c>
      <c r="C101" s="47"/>
      <c r="D101" s="38">
        <v>975.0</v>
      </c>
      <c r="E101" s="38">
        <v>802.0</v>
      </c>
      <c r="F101" s="38">
        <v>65.0</v>
      </c>
      <c r="G101" s="38">
        <v>41.0</v>
      </c>
      <c r="H101" s="38">
        <v>121.0</v>
      </c>
      <c r="I101" s="48">
        <f t="shared" si="3"/>
        <v>1842</v>
      </c>
      <c r="J101" s="48">
        <f t="shared" si="4"/>
        <v>2004</v>
      </c>
      <c r="K101" s="49">
        <f t="shared" si="5"/>
        <v>0.5293159609</v>
      </c>
      <c r="L101" s="49">
        <f t="shared" si="6"/>
        <v>0.4353963084</v>
      </c>
      <c r="M101" s="49">
        <f t="shared" si="7"/>
        <v>0.03528773073</v>
      </c>
      <c r="N101" s="32" t="str">
        <f t="shared" si="8"/>
        <v>Jânio</v>
      </c>
      <c r="O101" s="50" t="s">
        <v>77</v>
      </c>
      <c r="P101" s="38">
        <v>830.0</v>
      </c>
      <c r="Q101" s="38">
        <v>889.0</v>
      </c>
      <c r="R101" s="38">
        <v>79.0</v>
      </c>
      <c r="S101" s="38">
        <v>151.0</v>
      </c>
      <c r="T101" s="38">
        <v>55.0</v>
      </c>
      <c r="U101" s="48">
        <f t="shared" si="9"/>
        <v>1798</v>
      </c>
      <c r="V101" s="48">
        <f t="shared" si="10"/>
        <v>2004</v>
      </c>
      <c r="W101" s="49">
        <f t="shared" si="11"/>
        <v>0.4616240267</v>
      </c>
      <c r="X101" s="49">
        <f t="shared" si="12"/>
        <v>0.4944382647</v>
      </c>
      <c r="Y101" s="49">
        <f t="shared" si="13"/>
        <v>0.04393770857</v>
      </c>
      <c r="Z101" s="32" t="str">
        <f t="shared" si="14"/>
        <v>Milton</v>
      </c>
      <c r="AA101" s="50" t="s">
        <v>77</v>
      </c>
      <c r="AB101" s="38">
        <v>2667.0</v>
      </c>
      <c r="AC101" s="48">
        <f t="shared" si="15"/>
        <v>663</v>
      </c>
      <c r="AD101" s="51">
        <f t="shared" si="16"/>
        <v>0.7514060742</v>
      </c>
    </row>
    <row r="102">
      <c r="A102" s="45" t="s">
        <v>854</v>
      </c>
      <c r="B102" s="46" t="s">
        <v>855</v>
      </c>
      <c r="C102" s="47"/>
      <c r="D102" s="38">
        <v>1006.0</v>
      </c>
      <c r="E102" s="38">
        <v>627.0</v>
      </c>
      <c r="F102" s="38">
        <v>69.0</v>
      </c>
      <c r="G102" s="38">
        <v>56.0</v>
      </c>
      <c r="H102" s="38">
        <v>84.0</v>
      </c>
      <c r="I102" s="48">
        <f t="shared" si="3"/>
        <v>1702</v>
      </c>
      <c r="J102" s="48">
        <f t="shared" si="4"/>
        <v>1842</v>
      </c>
      <c r="K102" s="49">
        <f t="shared" si="5"/>
        <v>0.5910693302</v>
      </c>
      <c r="L102" s="49">
        <f t="shared" si="6"/>
        <v>0.3683901293</v>
      </c>
      <c r="M102" s="49">
        <f t="shared" si="7"/>
        <v>0.04054054054</v>
      </c>
      <c r="N102" s="32" t="str">
        <f t="shared" si="8"/>
        <v>Jânio</v>
      </c>
      <c r="O102" s="50" t="s">
        <v>77</v>
      </c>
      <c r="P102" s="38">
        <v>577.0</v>
      </c>
      <c r="Q102" s="38">
        <v>983.0</v>
      </c>
      <c r="R102" s="38">
        <v>115.0</v>
      </c>
      <c r="S102" s="38">
        <v>105.0</v>
      </c>
      <c r="T102" s="38">
        <v>62.0</v>
      </c>
      <c r="U102" s="48">
        <f t="shared" si="9"/>
        <v>1675</v>
      </c>
      <c r="V102" s="48">
        <f t="shared" si="10"/>
        <v>1842</v>
      </c>
      <c r="W102" s="49">
        <f t="shared" si="11"/>
        <v>0.3444776119</v>
      </c>
      <c r="X102" s="49">
        <f t="shared" si="12"/>
        <v>0.5868656716</v>
      </c>
      <c r="Y102" s="49">
        <f t="shared" si="13"/>
        <v>0.06865671642</v>
      </c>
      <c r="Z102" s="32" t="str">
        <f t="shared" si="14"/>
        <v>Milton</v>
      </c>
      <c r="AA102" s="50" t="s">
        <v>77</v>
      </c>
      <c r="AB102" s="38">
        <v>3970.0</v>
      </c>
      <c r="AC102" s="48">
        <f t="shared" si="15"/>
        <v>2128</v>
      </c>
      <c r="AD102" s="51">
        <f t="shared" si="16"/>
        <v>0.4639798489</v>
      </c>
    </row>
    <row r="103">
      <c r="A103" s="45" t="s">
        <v>856</v>
      </c>
      <c r="B103" s="46" t="s">
        <v>857</v>
      </c>
      <c r="C103" s="47"/>
      <c r="D103" s="38">
        <v>323.0</v>
      </c>
      <c r="E103" s="38">
        <v>608.0</v>
      </c>
      <c r="F103" s="38">
        <v>61.0</v>
      </c>
      <c r="G103" s="38">
        <v>33.0</v>
      </c>
      <c r="H103" s="38">
        <v>45.0</v>
      </c>
      <c r="I103" s="48">
        <f t="shared" si="3"/>
        <v>992</v>
      </c>
      <c r="J103" s="48">
        <f t="shared" si="4"/>
        <v>1070</v>
      </c>
      <c r="K103" s="49">
        <f t="shared" si="5"/>
        <v>0.3256048387</v>
      </c>
      <c r="L103" s="49">
        <f t="shared" si="6"/>
        <v>0.6129032258</v>
      </c>
      <c r="M103" s="49">
        <f t="shared" si="7"/>
        <v>0.06149193548</v>
      </c>
      <c r="N103" s="32" t="str">
        <f t="shared" si="8"/>
        <v>Mal. Lott</v>
      </c>
      <c r="O103" s="50" t="s">
        <v>77</v>
      </c>
      <c r="P103" s="38">
        <v>586.0</v>
      </c>
      <c r="Q103" s="38">
        <v>305.0</v>
      </c>
      <c r="R103" s="38">
        <v>71.0</v>
      </c>
      <c r="S103" s="38">
        <v>76.0</v>
      </c>
      <c r="T103" s="38">
        <v>32.0</v>
      </c>
      <c r="U103" s="48">
        <f t="shared" si="9"/>
        <v>962</v>
      </c>
      <c r="V103" s="48">
        <f t="shared" si="10"/>
        <v>1070</v>
      </c>
      <c r="W103" s="49">
        <f t="shared" si="11"/>
        <v>0.6091476091</v>
      </c>
      <c r="X103" s="49">
        <f t="shared" si="12"/>
        <v>0.317047817</v>
      </c>
      <c r="Y103" s="49">
        <f t="shared" si="13"/>
        <v>0.0738045738</v>
      </c>
      <c r="Z103" s="32" t="str">
        <f t="shared" si="14"/>
        <v>Jango</v>
      </c>
      <c r="AA103" s="50" t="s">
        <v>77</v>
      </c>
      <c r="AB103" s="38">
        <v>1584.0</v>
      </c>
      <c r="AC103" s="48">
        <f t="shared" si="15"/>
        <v>514</v>
      </c>
      <c r="AD103" s="51">
        <f t="shared" si="16"/>
        <v>0.6755050505</v>
      </c>
    </row>
    <row r="104">
      <c r="A104" s="45" t="s">
        <v>858</v>
      </c>
      <c r="B104" s="46" t="s">
        <v>859</v>
      </c>
      <c r="C104" s="47"/>
      <c r="D104" s="38">
        <v>722.0</v>
      </c>
      <c r="E104" s="38">
        <v>894.0</v>
      </c>
      <c r="F104" s="38">
        <v>96.0</v>
      </c>
      <c r="G104" s="38">
        <v>40.0</v>
      </c>
      <c r="H104" s="38">
        <v>96.0</v>
      </c>
      <c r="I104" s="48">
        <f t="shared" si="3"/>
        <v>1712</v>
      </c>
      <c r="J104" s="48">
        <f t="shared" si="4"/>
        <v>1848</v>
      </c>
      <c r="K104" s="49">
        <f t="shared" si="5"/>
        <v>0.421728972</v>
      </c>
      <c r="L104" s="49">
        <f t="shared" si="6"/>
        <v>0.5221962617</v>
      </c>
      <c r="M104" s="49">
        <f t="shared" si="7"/>
        <v>0.05607476636</v>
      </c>
      <c r="N104" s="32" t="str">
        <f t="shared" si="8"/>
        <v>Mal. Lott</v>
      </c>
      <c r="O104" s="50" t="s">
        <v>77</v>
      </c>
      <c r="P104" s="38">
        <v>890.0</v>
      </c>
      <c r="Q104" s="38">
        <v>679.0</v>
      </c>
      <c r="R104" s="38">
        <v>108.0</v>
      </c>
      <c r="S104" s="38">
        <v>116.0</v>
      </c>
      <c r="T104" s="38">
        <v>55.0</v>
      </c>
      <c r="U104" s="48">
        <f t="shared" si="9"/>
        <v>1677</v>
      </c>
      <c r="V104" s="48">
        <f t="shared" si="10"/>
        <v>1848</v>
      </c>
      <c r="W104" s="49">
        <f t="shared" si="11"/>
        <v>0.5307096005</v>
      </c>
      <c r="X104" s="49">
        <f t="shared" si="12"/>
        <v>0.404889684</v>
      </c>
      <c r="Y104" s="49">
        <f t="shared" si="13"/>
        <v>0.06440071556</v>
      </c>
      <c r="Z104" s="32" t="str">
        <f t="shared" si="14"/>
        <v>Jango</v>
      </c>
      <c r="AA104" s="50" t="s">
        <v>77</v>
      </c>
      <c r="AB104" s="38">
        <v>2395.0</v>
      </c>
      <c r="AC104" s="48">
        <f t="shared" si="15"/>
        <v>547</v>
      </c>
      <c r="AD104" s="51">
        <f t="shared" si="16"/>
        <v>0.7716075157</v>
      </c>
    </row>
    <row r="105">
      <c r="A105" s="45" t="s">
        <v>860</v>
      </c>
      <c r="B105" s="46" t="s">
        <v>861</v>
      </c>
      <c r="C105" s="47"/>
      <c r="D105" s="38">
        <v>426.0</v>
      </c>
      <c r="E105" s="38">
        <v>287.0</v>
      </c>
      <c r="F105" s="38">
        <v>104.0</v>
      </c>
      <c r="G105" s="38">
        <v>31.0</v>
      </c>
      <c r="H105" s="38">
        <v>95.0</v>
      </c>
      <c r="I105" s="48">
        <f t="shared" si="3"/>
        <v>817</v>
      </c>
      <c r="J105" s="48">
        <f t="shared" si="4"/>
        <v>943</v>
      </c>
      <c r="K105" s="49">
        <f t="shared" si="5"/>
        <v>0.5214198286</v>
      </c>
      <c r="L105" s="49">
        <f t="shared" si="6"/>
        <v>0.3512851897</v>
      </c>
      <c r="M105" s="49">
        <f t="shared" si="7"/>
        <v>0.1272949816</v>
      </c>
      <c r="N105" s="32" t="str">
        <f t="shared" si="8"/>
        <v>Jânio</v>
      </c>
      <c r="O105" s="50" t="s">
        <v>77</v>
      </c>
      <c r="P105" s="38">
        <v>317.0</v>
      </c>
      <c r="Q105" s="38">
        <v>373.0</v>
      </c>
      <c r="R105" s="38">
        <v>103.0</v>
      </c>
      <c r="S105" s="38">
        <v>84.0</v>
      </c>
      <c r="T105" s="38">
        <v>66.0</v>
      </c>
      <c r="U105" s="48">
        <f t="shared" si="9"/>
        <v>793</v>
      </c>
      <c r="V105" s="48">
        <f t="shared" si="10"/>
        <v>943</v>
      </c>
      <c r="W105" s="49">
        <f t="shared" si="11"/>
        <v>0.3997477932</v>
      </c>
      <c r="X105" s="49">
        <f t="shared" si="12"/>
        <v>0.4703656999</v>
      </c>
      <c r="Y105" s="49">
        <f t="shared" si="13"/>
        <v>0.1298865069</v>
      </c>
      <c r="Z105" s="32" t="str">
        <f t="shared" si="14"/>
        <v>Milton</v>
      </c>
      <c r="AA105" s="50" t="s">
        <v>77</v>
      </c>
      <c r="AB105" s="38">
        <v>1414.0</v>
      </c>
      <c r="AC105" s="48">
        <f t="shared" si="15"/>
        <v>471</v>
      </c>
      <c r="AD105" s="51">
        <f t="shared" si="16"/>
        <v>0.6669024045</v>
      </c>
    </row>
    <row r="106">
      <c r="A106" s="45" t="s">
        <v>862</v>
      </c>
      <c r="B106" s="46" t="s">
        <v>863</v>
      </c>
      <c r="C106" s="47"/>
      <c r="D106" s="38">
        <v>1383.0</v>
      </c>
      <c r="E106" s="38">
        <v>512.0</v>
      </c>
      <c r="F106" s="38">
        <v>74.0</v>
      </c>
      <c r="G106" s="38">
        <v>65.0</v>
      </c>
      <c r="H106" s="38">
        <v>108.0</v>
      </c>
      <c r="I106" s="48">
        <f t="shared" si="3"/>
        <v>1969</v>
      </c>
      <c r="J106" s="48">
        <f t="shared" si="4"/>
        <v>2142</v>
      </c>
      <c r="K106" s="49">
        <f t="shared" si="5"/>
        <v>0.7023869985</v>
      </c>
      <c r="L106" s="49">
        <f t="shared" si="6"/>
        <v>0.2600304723</v>
      </c>
      <c r="M106" s="49">
        <f t="shared" si="7"/>
        <v>0.0375825292</v>
      </c>
      <c r="N106" s="32" t="str">
        <f t="shared" si="8"/>
        <v>Jânio</v>
      </c>
      <c r="O106" s="50" t="s">
        <v>77</v>
      </c>
      <c r="P106" s="38">
        <v>512.0</v>
      </c>
      <c r="Q106" s="38">
        <v>1276.0</v>
      </c>
      <c r="R106" s="38">
        <v>110.0</v>
      </c>
      <c r="S106" s="38">
        <v>173.0</v>
      </c>
      <c r="T106" s="38">
        <v>71.0</v>
      </c>
      <c r="U106" s="48">
        <f t="shared" si="9"/>
        <v>1898</v>
      </c>
      <c r="V106" s="48">
        <f t="shared" si="10"/>
        <v>2142</v>
      </c>
      <c r="W106" s="49">
        <f t="shared" si="11"/>
        <v>0.2697576396</v>
      </c>
      <c r="X106" s="49">
        <f t="shared" si="12"/>
        <v>0.6722866175</v>
      </c>
      <c r="Y106" s="49">
        <f t="shared" si="13"/>
        <v>0.05795574289</v>
      </c>
      <c r="Z106" s="32" t="str">
        <f t="shared" si="14"/>
        <v>Milton</v>
      </c>
      <c r="AA106" s="50" t="s">
        <v>77</v>
      </c>
      <c r="AB106" s="38">
        <v>2877.0</v>
      </c>
      <c r="AC106" s="48">
        <f t="shared" si="15"/>
        <v>735</v>
      </c>
      <c r="AD106" s="51">
        <f t="shared" si="16"/>
        <v>0.7445255474</v>
      </c>
    </row>
    <row r="107">
      <c r="A107" s="45" t="s">
        <v>864</v>
      </c>
      <c r="B107" s="46" t="s">
        <v>865</v>
      </c>
      <c r="C107" s="47"/>
      <c r="D107" s="38">
        <v>998.0</v>
      </c>
      <c r="E107" s="38">
        <v>672.0</v>
      </c>
      <c r="F107" s="38">
        <v>111.0</v>
      </c>
      <c r="G107" s="38">
        <v>44.0</v>
      </c>
      <c r="H107" s="38">
        <v>96.0</v>
      </c>
      <c r="I107" s="48">
        <f t="shared" si="3"/>
        <v>1781</v>
      </c>
      <c r="J107" s="48">
        <f t="shared" si="4"/>
        <v>1921</v>
      </c>
      <c r="K107" s="49">
        <f t="shared" si="5"/>
        <v>0.5603593487</v>
      </c>
      <c r="L107" s="49">
        <f t="shared" si="6"/>
        <v>0.3773161145</v>
      </c>
      <c r="M107" s="49">
        <f t="shared" si="7"/>
        <v>0.06232453678</v>
      </c>
      <c r="N107" s="32" t="str">
        <f t="shared" si="8"/>
        <v>Jânio</v>
      </c>
      <c r="O107" s="50" t="s">
        <v>77</v>
      </c>
      <c r="P107" s="38">
        <v>698.0</v>
      </c>
      <c r="Q107" s="38">
        <v>924.0</v>
      </c>
      <c r="R107" s="38">
        <v>108.0</v>
      </c>
      <c r="S107" s="38">
        <v>128.0</v>
      </c>
      <c r="T107" s="38">
        <v>63.0</v>
      </c>
      <c r="U107" s="48">
        <f t="shared" si="9"/>
        <v>1730</v>
      </c>
      <c r="V107" s="48">
        <f t="shared" si="10"/>
        <v>1921</v>
      </c>
      <c r="W107" s="49">
        <f t="shared" si="11"/>
        <v>0.4034682081</v>
      </c>
      <c r="X107" s="49">
        <f t="shared" si="12"/>
        <v>0.5341040462</v>
      </c>
      <c r="Y107" s="49">
        <f t="shared" si="13"/>
        <v>0.06242774566</v>
      </c>
      <c r="Z107" s="32" t="str">
        <f t="shared" si="14"/>
        <v>Milton</v>
      </c>
      <c r="AA107" s="50" t="s">
        <v>77</v>
      </c>
      <c r="AB107" s="38">
        <v>2505.0</v>
      </c>
      <c r="AC107" s="48">
        <f t="shared" si="15"/>
        <v>584</v>
      </c>
      <c r="AD107" s="51">
        <f t="shared" si="16"/>
        <v>0.7668662675</v>
      </c>
    </row>
    <row r="108">
      <c r="A108" s="45" t="s">
        <v>866</v>
      </c>
      <c r="B108" s="46" t="s">
        <v>867</v>
      </c>
      <c r="C108" s="47"/>
      <c r="D108" s="38">
        <v>679.0</v>
      </c>
      <c r="E108" s="38">
        <v>1709.0</v>
      </c>
      <c r="F108" s="38">
        <v>221.0</v>
      </c>
      <c r="G108" s="38">
        <v>145.0</v>
      </c>
      <c r="H108" s="38">
        <v>122.0</v>
      </c>
      <c r="I108" s="48">
        <f t="shared" si="3"/>
        <v>2609</v>
      </c>
      <c r="J108" s="48">
        <f t="shared" si="4"/>
        <v>2876</v>
      </c>
      <c r="K108" s="49">
        <f t="shared" si="5"/>
        <v>0.2602529705</v>
      </c>
      <c r="L108" s="49">
        <f t="shared" si="6"/>
        <v>0.6550402453</v>
      </c>
      <c r="M108" s="49">
        <f t="shared" si="7"/>
        <v>0.08470678421</v>
      </c>
      <c r="N108" s="32" t="str">
        <f t="shared" si="8"/>
        <v>Mal. Lott</v>
      </c>
      <c r="O108" s="50" t="s">
        <v>77</v>
      </c>
      <c r="P108" s="38">
        <v>1612.0</v>
      </c>
      <c r="Q108" s="38">
        <v>634.0</v>
      </c>
      <c r="R108" s="38">
        <v>208.0</v>
      </c>
      <c r="S108" s="38">
        <v>338.0</v>
      </c>
      <c r="T108" s="38">
        <v>84.0</v>
      </c>
      <c r="U108" s="48">
        <f t="shared" si="9"/>
        <v>2454</v>
      </c>
      <c r="V108" s="48">
        <f t="shared" si="10"/>
        <v>2876</v>
      </c>
      <c r="W108" s="49">
        <f t="shared" si="11"/>
        <v>0.6568867156</v>
      </c>
      <c r="X108" s="49">
        <f t="shared" si="12"/>
        <v>0.2583537082</v>
      </c>
      <c r="Y108" s="49">
        <f t="shared" si="13"/>
        <v>0.0847595762</v>
      </c>
      <c r="Z108" s="32" t="str">
        <f t="shared" si="14"/>
        <v>Jango</v>
      </c>
      <c r="AA108" s="50" t="s">
        <v>77</v>
      </c>
      <c r="AB108" s="38">
        <v>3780.0</v>
      </c>
      <c r="AC108" s="48">
        <f t="shared" si="15"/>
        <v>904</v>
      </c>
      <c r="AD108" s="51">
        <f t="shared" si="16"/>
        <v>0.7608465608</v>
      </c>
    </row>
    <row r="109">
      <c r="A109" s="45" t="s">
        <v>868</v>
      </c>
      <c r="B109" s="46" t="s">
        <v>869</v>
      </c>
      <c r="C109" s="47"/>
      <c r="D109" s="38">
        <v>507.0</v>
      </c>
      <c r="E109" s="38">
        <v>573.0</v>
      </c>
      <c r="F109" s="38">
        <v>95.0</v>
      </c>
      <c r="G109" s="38">
        <v>60.0</v>
      </c>
      <c r="H109" s="38">
        <v>97.0</v>
      </c>
      <c r="I109" s="48">
        <f t="shared" si="3"/>
        <v>1175</v>
      </c>
      <c r="J109" s="48">
        <f t="shared" si="4"/>
        <v>1332</v>
      </c>
      <c r="K109" s="49">
        <f t="shared" si="5"/>
        <v>0.4314893617</v>
      </c>
      <c r="L109" s="49">
        <f t="shared" si="6"/>
        <v>0.4876595745</v>
      </c>
      <c r="M109" s="49">
        <f t="shared" si="7"/>
        <v>0.08085106383</v>
      </c>
      <c r="N109" s="32" t="str">
        <f t="shared" si="8"/>
        <v>Mal. Lott</v>
      </c>
      <c r="O109" s="50" t="s">
        <v>77</v>
      </c>
      <c r="P109" s="38">
        <v>593.0</v>
      </c>
      <c r="Q109" s="38">
        <v>466.0</v>
      </c>
      <c r="R109" s="38">
        <v>73.0</v>
      </c>
      <c r="S109" s="38">
        <v>146.0</v>
      </c>
      <c r="T109" s="38">
        <v>54.0</v>
      </c>
      <c r="U109" s="48">
        <f t="shared" si="9"/>
        <v>1132</v>
      </c>
      <c r="V109" s="48">
        <f t="shared" si="10"/>
        <v>1332</v>
      </c>
      <c r="W109" s="49">
        <f t="shared" si="11"/>
        <v>0.5238515901</v>
      </c>
      <c r="X109" s="49">
        <f t="shared" si="12"/>
        <v>0.4116607774</v>
      </c>
      <c r="Y109" s="49">
        <f t="shared" si="13"/>
        <v>0.06448763251</v>
      </c>
      <c r="Z109" s="32" t="str">
        <f t="shared" si="14"/>
        <v>Jango</v>
      </c>
      <c r="AA109" s="50" t="s">
        <v>77</v>
      </c>
      <c r="AB109" s="38">
        <v>1553.0</v>
      </c>
      <c r="AC109" s="48">
        <f t="shared" si="15"/>
        <v>221</v>
      </c>
      <c r="AD109" s="51">
        <f t="shared" si="16"/>
        <v>0.8576947843</v>
      </c>
    </row>
    <row r="110">
      <c r="A110" s="45" t="s">
        <v>870</v>
      </c>
      <c r="B110" s="46" t="s">
        <v>871</v>
      </c>
      <c r="C110" s="47"/>
      <c r="D110" s="38">
        <v>792.0</v>
      </c>
      <c r="E110" s="38">
        <v>530.0</v>
      </c>
      <c r="F110" s="38">
        <v>95.0</v>
      </c>
      <c r="G110" s="38">
        <v>40.0</v>
      </c>
      <c r="H110" s="38">
        <v>93.0</v>
      </c>
      <c r="I110" s="48">
        <f t="shared" si="3"/>
        <v>1417</v>
      </c>
      <c r="J110" s="48">
        <f t="shared" si="4"/>
        <v>1550</v>
      </c>
      <c r="K110" s="49">
        <f t="shared" si="5"/>
        <v>0.5589273112</v>
      </c>
      <c r="L110" s="49">
        <f t="shared" si="6"/>
        <v>0.3740296401</v>
      </c>
      <c r="M110" s="49">
        <f t="shared" si="7"/>
        <v>0.06704304869</v>
      </c>
      <c r="N110" s="32" t="str">
        <f t="shared" si="8"/>
        <v>Jânio</v>
      </c>
      <c r="O110" s="50" t="s">
        <v>77</v>
      </c>
      <c r="P110" s="38">
        <v>561.0</v>
      </c>
      <c r="Q110" s="38">
        <v>543.0</v>
      </c>
      <c r="R110" s="38">
        <v>270.0</v>
      </c>
      <c r="S110" s="38">
        <v>101.0</v>
      </c>
      <c r="T110" s="38">
        <v>75.0</v>
      </c>
      <c r="U110" s="48">
        <f t="shared" si="9"/>
        <v>1374</v>
      </c>
      <c r="V110" s="48">
        <f t="shared" si="10"/>
        <v>1550</v>
      </c>
      <c r="W110" s="49">
        <f t="shared" si="11"/>
        <v>0.4082969432</v>
      </c>
      <c r="X110" s="49">
        <f t="shared" si="12"/>
        <v>0.3951965066</v>
      </c>
      <c r="Y110" s="49">
        <f t="shared" si="13"/>
        <v>0.1965065502</v>
      </c>
      <c r="Z110" s="32" t="str">
        <f t="shared" si="14"/>
        <v>Jango</v>
      </c>
      <c r="AA110" s="50" t="s">
        <v>77</v>
      </c>
      <c r="AB110" s="38">
        <v>1801.0</v>
      </c>
      <c r="AC110" s="48">
        <f t="shared" si="15"/>
        <v>251</v>
      </c>
      <c r="AD110" s="51">
        <f t="shared" si="16"/>
        <v>0.8606329817</v>
      </c>
    </row>
    <row r="111">
      <c r="A111" s="45" t="s">
        <v>872</v>
      </c>
      <c r="B111" s="46" t="s">
        <v>873</v>
      </c>
      <c r="C111" s="47"/>
      <c r="D111" s="38">
        <v>1530.0</v>
      </c>
      <c r="E111" s="38">
        <v>297.0</v>
      </c>
      <c r="F111" s="38">
        <v>232.0</v>
      </c>
      <c r="G111" s="38">
        <v>123.0</v>
      </c>
      <c r="H111" s="38">
        <v>220.0</v>
      </c>
      <c r="I111" s="48">
        <f t="shared" si="3"/>
        <v>2059</v>
      </c>
      <c r="J111" s="48">
        <f t="shared" si="4"/>
        <v>2402</v>
      </c>
      <c r="K111" s="49">
        <f t="shared" si="5"/>
        <v>0.7430791646</v>
      </c>
      <c r="L111" s="49">
        <f t="shared" si="6"/>
        <v>0.144244779</v>
      </c>
      <c r="M111" s="49">
        <f t="shared" si="7"/>
        <v>0.1126760563</v>
      </c>
      <c r="N111" s="32" t="str">
        <f t="shared" si="8"/>
        <v>Jânio</v>
      </c>
      <c r="O111" s="50" t="s">
        <v>77</v>
      </c>
      <c r="P111" s="38">
        <v>536.0</v>
      </c>
      <c r="Q111" s="38">
        <v>645.0</v>
      </c>
      <c r="R111" s="38">
        <v>734.0</v>
      </c>
      <c r="S111" s="38">
        <v>344.0</v>
      </c>
      <c r="T111" s="38">
        <v>143.0</v>
      </c>
      <c r="U111" s="48">
        <f t="shared" si="9"/>
        <v>1915</v>
      </c>
      <c r="V111" s="48">
        <f t="shared" si="10"/>
        <v>2402</v>
      </c>
      <c r="W111" s="49">
        <f t="shared" si="11"/>
        <v>0.2798955614</v>
      </c>
      <c r="X111" s="49">
        <f t="shared" si="12"/>
        <v>0.3368146214</v>
      </c>
      <c r="Y111" s="49">
        <f t="shared" si="13"/>
        <v>0.3832898172</v>
      </c>
      <c r="Z111" s="32" t="str">
        <f t="shared" si="14"/>
        <v>Ferrari</v>
      </c>
      <c r="AA111" s="50" t="s">
        <v>77</v>
      </c>
      <c r="AB111" s="38">
        <v>2812.0</v>
      </c>
      <c r="AC111" s="48">
        <f t="shared" si="15"/>
        <v>410</v>
      </c>
      <c r="AD111" s="51">
        <f t="shared" si="16"/>
        <v>0.8541963016</v>
      </c>
    </row>
    <row r="112">
      <c r="A112" s="45" t="s">
        <v>874</v>
      </c>
      <c r="B112" s="46" t="s">
        <v>875</v>
      </c>
      <c r="C112" s="47"/>
      <c r="D112" s="38">
        <v>1667.0</v>
      </c>
      <c r="E112" s="38">
        <v>1719.0</v>
      </c>
      <c r="F112" s="38">
        <v>345.0</v>
      </c>
      <c r="G112" s="38">
        <v>234.0</v>
      </c>
      <c r="H112" s="38">
        <v>300.0</v>
      </c>
      <c r="I112" s="48">
        <f t="shared" si="3"/>
        <v>3731</v>
      </c>
      <c r="J112" s="48">
        <f t="shared" si="4"/>
        <v>4265</v>
      </c>
      <c r="K112" s="49">
        <f t="shared" si="5"/>
        <v>0.4467971053</v>
      </c>
      <c r="L112" s="49">
        <f t="shared" si="6"/>
        <v>0.4607343876</v>
      </c>
      <c r="M112" s="49">
        <f t="shared" si="7"/>
        <v>0.0924685071</v>
      </c>
      <c r="N112" s="32" t="str">
        <f t="shared" si="8"/>
        <v>Mal. Lott</v>
      </c>
      <c r="O112" s="50" t="s">
        <v>77</v>
      </c>
      <c r="P112" s="38">
        <v>1662.0</v>
      </c>
      <c r="Q112" s="38">
        <v>1399.0</v>
      </c>
      <c r="R112" s="38">
        <v>404.0</v>
      </c>
      <c r="S112" s="38">
        <v>554.0</v>
      </c>
      <c r="T112" s="38">
        <v>246.0</v>
      </c>
      <c r="U112" s="48">
        <f t="shared" si="9"/>
        <v>3465</v>
      </c>
      <c r="V112" s="48">
        <f t="shared" si="10"/>
        <v>4265</v>
      </c>
      <c r="W112" s="49">
        <f t="shared" si="11"/>
        <v>0.4796536797</v>
      </c>
      <c r="X112" s="49">
        <f t="shared" si="12"/>
        <v>0.4037518038</v>
      </c>
      <c r="Y112" s="49">
        <f t="shared" si="13"/>
        <v>0.1165945166</v>
      </c>
      <c r="Z112" s="32" t="str">
        <f t="shared" si="14"/>
        <v>Jango</v>
      </c>
      <c r="AA112" s="50" t="s">
        <v>77</v>
      </c>
      <c r="AB112" s="38">
        <v>6481.0</v>
      </c>
      <c r="AC112" s="48">
        <f t="shared" si="15"/>
        <v>2216</v>
      </c>
      <c r="AD112" s="51">
        <f t="shared" si="16"/>
        <v>0.6580774572</v>
      </c>
    </row>
    <row r="113">
      <c r="A113" s="45" t="s">
        <v>876</v>
      </c>
      <c r="B113" s="46" t="s">
        <v>877</v>
      </c>
      <c r="C113" s="47"/>
      <c r="D113" s="38">
        <v>876.0</v>
      </c>
      <c r="E113" s="38">
        <v>933.0</v>
      </c>
      <c r="F113" s="38">
        <v>67.0</v>
      </c>
      <c r="G113" s="38">
        <v>49.0</v>
      </c>
      <c r="H113" s="38">
        <v>60.0</v>
      </c>
      <c r="I113" s="48">
        <f t="shared" si="3"/>
        <v>1876</v>
      </c>
      <c r="J113" s="48">
        <f t="shared" si="4"/>
        <v>1985</v>
      </c>
      <c r="K113" s="49">
        <f t="shared" si="5"/>
        <v>0.4669509595</v>
      </c>
      <c r="L113" s="49">
        <f t="shared" si="6"/>
        <v>0.4973347548</v>
      </c>
      <c r="M113" s="49">
        <f t="shared" si="7"/>
        <v>0.03571428571</v>
      </c>
      <c r="N113" s="32" t="str">
        <f t="shared" si="8"/>
        <v>Mal. Lott</v>
      </c>
      <c r="O113" s="50" t="s">
        <v>77</v>
      </c>
      <c r="P113" s="38">
        <v>916.0</v>
      </c>
      <c r="Q113" s="38">
        <v>870.0</v>
      </c>
      <c r="R113" s="38">
        <v>62.0</v>
      </c>
      <c r="S113" s="38">
        <v>82.0</v>
      </c>
      <c r="T113" s="38">
        <v>55.0</v>
      </c>
      <c r="U113" s="48">
        <f t="shared" si="9"/>
        <v>1848</v>
      </c>
      <c r="V113" s="48">
        <f t="shared" si="10"/>
        <v>1985</v>
      </c>
      <c r="W113" s="49">
        <f t="shared" si="11"/>
        <v>0.4956709957</v>
      </c>
      <c r="X113" s="49">
        <f t="shared" si="12"/>
        <v>0.4707792208</v>
      </c>
      <c r="Y113" s="49">
        <f t="shared" si="13"/>
        <v>0.03354978355</v>
      </c>
      <c r="Z113" s="32" t="str">
        <f t="shared" si="14"/>
        <v>Jango</v>
      </c>
      <c r="AA113" s="50" t="s">
        <v>77</v>
      </c>
      <c r="AB113" s="38">
        <v>2392.0</v>
      </c>
      <c r="AC113" s="48">
        <f t="shared" si="15"/>
        <v>407</v>
      </c>
      <c r="AD113" s="51">
        <f t="shared" si="16"/>
        <v>0.8298494983</v>
      </c>
    </row>
    <row r="114">
      <c r="A114" s="45" t="s">
        <v>878</v>
      </c>
      <c r="B114" s="46" t="s">
        <v>879</v>
      </c>
      <c r="C114" s="47"/>
      <c r="D114" s="38">
        <v>597.0</v>
      </c>
      <c r="E114" s="38">
        <v>359.0</v>
      </c>
      <c r="F114" s="38">
        <v>24.0</v>
      </c>
      <c r="G114" s="38">
        <v>26.0</v>
      </c>
      <c r="H114" s="38">
        <v>57.0</v>
      </c>
      <c r="I114" s="48">
        <f t="shared" si="3"/>
        <v>980</v>
      </c>
      <c r="J114" s="48">
        <f t="shared" si="4"/>
        <v>1063</v>
      </c>
      <c r="K114" s="49">
        <f t="shared" si="5"/>
        <v>0.6091836735</v>
      </c>
      <c r="L114" s="49">
        <f t="shared" si="6"/>
        <v>0.3663265306</v>
      </c>
      <c r="M114" s="49">
        <f t="shared" si="7"/>
        <v>0.02448979592</v>
      </c>
      <c r="N114" s="32" t="str">
        <f t="shared" si="8"/>
        <v>Jânio</v>
      </c>
      <c r="O114" s="50" t="s">
        <v>77</v>
      </c>
      <c r="P114" s="38">
        <v>367.0</v>
      </c>
      <c r="Q114" s="38">
        <v>562.0</v>
      </c>
      <c r="R114" s="38">
        <v>40.0</v>
      </c>
      <c r="S114" s="38">
        <v>68.0</v>
      </c>
      <c r="T114" s="38">
        <v>26.0</v>
      </c>
      <c r="U114" s="48">
        <f t="shared" si="9"/>
        <v>969</v>
      </c>
      <c r="V114" s="48">
        <f t="shared" si="10"/>
        <v>1063</v>
      </c>
      <c r="W114" s="49">
        <f t="shared" si="11"/>
        <v>0.3787409701</v>
      </c>
      <c r="X114" s="49">
        <f t="shared" si="12"/>
        <v>0.5799793602</v>
      </c>
      <c r="Y114" s="49">
        <f t="shared" si="13"/>
        <v>0.04127966976</v>
      </c>
      <c r="Z114" s="32" t="str">
        <f t="shared" si="14"/>
        <v>Milton</v>
      </c>
      <c r="AA114" s="50" t="s">
        <v>77</v>
      </c>
      <c r="AB114" s="38">
        <v>1427.0</v>
      </c>
      <c r="AC114" s="48">
        <f t="shared" si="15"/>
        <v>364</v>
      </c>
      <c r="AD114" s="51">
        <f t="shared" si="16"/>
        <v>0.7449194114</v>
      </c>
    </row>
    <row r="115">
      <c r="A115" s="45" t="s">
        <v>880</v>
      </c>
      <c r="B115" s="46" t="s">
        <v>881</v>
      </c>
      <c r="C115" s="47"/>
      <c r="D115" s="38">
        <v>401.0</v>
      </c>
      <c r="E115" s="38">
        <v>698.0</v>
      </c>
      <c r="F115" s="38">
        <v>38.0</v>
      </c>
      <c r="G115" s="38">
        <v>41.0</v>
      </c>
      <c r="H115" s="38">
        <v>53.0</v>
      </c>
      <c r="I115" s="48">
        <f t="shared" si="3"/>
        <v>1137</v>
      </c>
      <c r="J115" s="48">
        <f t="shared" si="4"/>
        <v>1231</v>
      </c>
      <c r="K115" s="49">
        <f t="shared" si="5"/>
        <v>0.3526824978</v>
      </c>
      <c r="L115" s="49">
        <f t="shared" si="6"/>
        <v>0.6138962181</v>
      </c>
      <c r="M115" s="49">
        <f t="shared" si="7"/>
        <v>0.03342128408</v>
      </c>
      <c r="N115" s="32" t="str">
        <f t="shared" si="8"/>
        <v>Mal. Lott</v>
      </c>
      <c r="O115" s="50" t="s">
        <v>77</v>
      </c>
      <c r="P115" s="38">
        <v>717.0</v>
      </c>
      <c r="Q115" s="38">
        <v>365.0</v>
      </c>
      <c r="R115" s="38">
        <v>25.0</v>
      </c>
      <c r="S115" s="38">
        <v>74.0</v>
      </c>
      <c r="T115" s="38">
        <v>50.0</v>
      </c>
      <c r="U115" s="48">
        <f t="shared" si="9"/>
        <v>1107</v>
      </c>
      <c r="V115" s="48">
        <f t="shared" si="10"/>
        <v>1231</v>
      </c>
      <c r="W115" s="49">
        <f t="shared" si="11"/>
        <v>0.647696477</v>
      </c>
      <c r="X115" s="49">
        <f t="shared" si="12"/>
        <v>0.3297199639</v>
      </c>
      <c r="Y115" s="49">
        <f t="shared" si="13"/>
        <v>0.02258355917</v>
      </c>
      <c r="Z115" s="32" t="str">
        <f t="shared" si="14"/>
        <v>Jango</v>
      </c>
      <c r="AA115" s="50" t="s">
        <v>77</v>
      </c>
      <c r="AB115" s="38">
        <v>1825.0</v>
      </c>
      <c r="AC115" s="48">
        <f t="shared" si="15"/>
        <v>594</v>
      </c>
      <c r="AD115" s="51">
        <f t="shared" si="16"/>
        <v>0.6745205479</v>
      </c>
    </row>
    <row r="116">
      <c r="A116" s="45" t="s">
        <v>882</v>
      </c>
      <c r="B116" s="46" t="s">
        <v>883</v>
      </c>
      <c r="C116" s="47"/>
      <c r="D116" s="38">
        <v>399.0</v>
      </c>
      <c r="E116" s="38">
        <v>520.0</v>
      </c>
      <c r="F116" s="38">
        <v>95.0</v>
      </c>
      <c r="G116" s="38">
        <v>35.0</v>
      </c>
      <c r="H116" s="38">
        <v>68.0</v>
      </c>
      <c r="I116" s="48">
        <f t="shared" si="3"/>
        <v>1014</v>
      </c>
      <c r="J116" s="48">
        <f t="shared" si="4"/>
        <v>1117</v>
      </c>
      <c r="K116" s="49">
        <f t="shared" si="5"/>
        <v>0.3934911243</v>
      </c>
      <c r="L116" s="49">
        <f t="shared" si="6"/>
        <v>0.5128205128</v>
      </c>
      <c r="M116" s="49">
        <f t="shared" si="7"/>
        <v>0.09368836292</v>
      </c>
      <c r="N116" s="32" t="str">
        <f t="shared" si="8"/>
        <v>Mal. Lott</v>
      </c>
      <c r="O116" s="50" t="s">
        <v>77</v>
      </c>
      <c r="P116" s="38">
        <v>589.0</v>
      </c>
      <c r="Q116" s="38">
        <v>330.0</v>
      </c>
      <c r="R116" s="38">
        <v>79.0</v>
      </c>
      <c r="S116" s="38">
        <v>74.0</v>
      </c>
      <c r="T116" s="38">
        <v>45.0</v>
      </c>
      <c r="U116" s="48">
        <f t="shared" si="9"/>
        <v>998</v>
      </c>
      <c r="V116" s="48">
        <f t="shared" si="10"/>
        <v>1117</v>
      </c>
      <c r="W116" s="49">
        <f t="shared" si="11"/>
        <v>0.5901803607</v>
      </c>
      <c r="X116" s="49">
        <f t="shared" si="12"/>
        <v>0.3306613226</v>
      </c>
      <c r="Y116" s="49">
        <f t="shared" si="13"/>
        <v>0.07915831663</v>
      </c>
      <c r="Z116" s="32" t="str">
        <f t="shared" si="14"/>
        <v>Jango</v>
      </c>
      <c r="AA116" s="50" t="s">
        <v>77</v>
      </c>
      <c r="AB116" s="38">
        <v>1661.0</v>
      </c>
      <c r="AC116" s="48">
        <f t="shared" si="15"/>
        <v>544</v>
      </c>
      <c r="AD116" s="51">
        <f t="shared" si="16"/>
        <v>0.6724864539</v>
      </c>
    </row>
    <row r="117">
      <c r="A117" s="45" t="s">
        <v>884</v>
      </c>
      <c r="B117" s="46" t="s">
        <v>885</v>
      </c>
      <c r="C117" s="47"/>
      <c r="D117" s="38">
        <v>614.0</v>
      </c>
      <c r="E117" s="38">
        <v>342.0</v>
      </c>
      <c r="F117" s="38">
        <v>49.0</v>
      </c>
      <c r="G117" s="38">
        <v>42.0</v>
      </c>
      <c r="H117" s="38">
        <v>139.0</v>
      </c>
      <c r="I117" s="48">
        <f t="shared" si="3"/>
        <v>1005</v>
      </c>
      <c r="J117" s="48">
        <f t="shared" si="4"/>
        <v>1186</v>
      </c>
      <c r="K117" s="49">
        <f t="shared" si="5"/>
        <v>0.6109452736</v>
      </c>
      <c r="L117" s="49">
        <f t="shared" si="6"/>
        <v>0.3402985075</v>
      </c>
      <c r="M117" s="49">
        <f t="shared" si="7"/>
        <v>0.04875621891</v>
      </c>
      <c r="N117" s="32" t="str">
        <f t="shared" si="8"/>
        <v>Jânio</v>
      </c>
      <c r="O117" s="50" t="s">
        <v>77</v>
      </c>
      <c r="P117" s="38">
        <v>325.0</v>
      </c>
      <c r="Q117" s="38">
        <v>553.0</v>
      </c>
      <c r="R117" s="38">
        <v>95.0</v>
      </c>
      <c r="S117" s="38">
        <v>118.0</v>
      </c>
      <c r="T117" s="38">
        <v>95.0</v>
      </c>
      <c r="U117" s="48">
        <f t="shared" si="9"/>
        <v>973</v>
      </c>
      <c r="V117" s="48">
        <f t="shared" si="10"/>
        <v>1186</v>
      </c>
      <c r="W117" s="49">
        <f t="shared" si="11"/>
        <v>0.3340184995</v>
      </c>
      <c r="X117" s="49">
        <f t="shared" si="12"/>
        <v>0.5683453237</v>
      </c>
      <c r="Y117" s="49">
        <f t="shared" si="13"/>
        <v>0.09763617677</v>
      </c>
      <c r="Z117" s="32" t="str">
        <f t="shared" si="14"/>
        <v>Milton</v>
      </c>
      <c r="AA117" s="50" t="s">
        <v>77</v>
      </c>
      <c r="AB117" s="38">
        <v>1486.0</v>
      </c>
      <c r="AC117" s="48">
        <f t="shared" si="15"/>
        <v>300</v>
      </c>
      <c r="AD117" s="51">
        <f t="shared" si="16"/>
        <v>0.798115747</v>
      </c>
    </row>
    <row r="118">
      <c r="A118" s="45" t="s">
        <v>886</v>
      </c>
      <c r="B118" s="46" t="s">
        <v>887</v>
      </c>
      <c r="C118" s="47"/>
      <c r="D118" s="38">
        <v>1100.0</v>
      </c>
      <c r="E118" s="38">
        <v>397.0</v>
      </c>
      <c r="F118" s="38">
        <v>40.0</v>
      </c>
      <c r="G118" s="38">
        <v>32.0</v>
      </c>
      <c r="H118" s="38">
        <v>31.0</v>
      </c>
      <c r="I118" s="48">
        <f t="shared" si="3"/>
        <v>1537</v>
      </c>
      <c r="J118" s="48">
        <f t="shared" si="4"/>
        <v>1600</v>
      </c>
      <c r="K118" s="49">
        <f t="shared" si="5"/>
        <v>0.7156798959</v>
      </c>
      <c r="L118" s="49">
        <f t="shared" si="6"/>
        <v>0.2582953806</v>
      </c>
      <c r="M118" s="49">
        <f t="shared" si="7"/>
        <v>0.02602472349</v>
      </c>
      <c r="N118" s="32" t="str">
        <f t="shared" si="8"/>
        <v>Jânio</v>
      </c>
      <c r="O118" s="50" t="s">
        <v>77</v>
      </c>
      <c r="P118" s="38">
        <v>399.0</v>
      </c>
      <c r="Q118" s="38">
        <v>1052.0</v>
      </c>
      <c r="R118" s="38">
        <v>61.0</v>
      </c>
      <c r="S118" s="38">
        <v>61.0</v>
      </c>
      <c r="T118" s="38">
        <v>27.0</v>
      </c>
      <c r="U118" s="48">
        <f t="shared" si="9"/>
        <v>1512</v>
      </c>
      <c r="V118" s="48">
        <f t="shared" si="10"/>
        <v>1600</v>
      </c>
      <c r="W118" s="49">
        <f t="shared" si="11"/>
        <v>0.2638888889</v>
      </c>
      <c r="X118" s="49">
        <f t="shared" si="12"/>
        <v>0.6957671958</v>
      </c>
      <c r="Y118" s="49">
        <f t="shared" si="13"/>
        <v>0.04034391534</v>
      </c>
      <c r="Z118" s="32" t="str">
        <f t="shared" si="14"/>
        <v>Milton</v>
      </c>
      <c r="AA118" s="50" t="s">
        <v>77</v>
      </c>
      <c r="AB118" s="38">
        <v>2214.0</v>
      </c>
      <c r="AC118" s="48">
        <f t="shared" si="15"/>
        <v>614</v>
      </c>
      <c r="AD118" s="51">
        <f t="shared" si="16"/>
        <v>0.7226738934</v>
      </c>
    </row>
    <row r="119">
      <c r="A119" s="45" t="s">
        <v>888</v>
      </c>
      <c r="B119" s="46" t="s">
        <v>889</v>
      </c>
      <c r="C119" s="47"/>
      <c r="D119" s="38">
        <v>479.0</v>
      </c>
      <c r="E119" s="38">
        <v>533.0</v>
      </c>
      <c r="F119" s="38">
        <v>16.0</v>
      </c>
      <c r="G119" s="38">
        <v>17.0</v>
      </c>
      <c r="H119" s="38">
        <v>19.0</v>
      </c>
      <c r="I119" s="48">
        <f t="shared" si="3"/>
        <v>1028</v>
      </c>
      <c r="J119" s="48">
        <f t="shared" si="4"/>
        <v>1064</v>
      </c>
      <c r="K119" s="49">
        <f t="shared" si="5"/>
        <v>0.4659533074</v>
      </c>
      <c r="L119" s="49">
        <f t="shared" si="6"/>
        <v>0.5184824903</v>
      </c>
      <c r="M119" s="49">
        <f t="shared" si="7"/>
        <v>0.01556420233</v>
      </c>
      <c r="N119" s="32" t="str">
        <f t="shared" si="8"/>
        <v>Mal. Lott</v>
      </c>
      <c r="O119" s="50" t="s">
        <v>77</v>
      </c>
      <c r="P119" s="38">
        <v>521.0</v>
      </c>
      <c r="Q119" s="38">
        <v>481.0</v>
      </c>
      <c r="R119" s="38">
        <v>19.0</v>
      </c>
      <c r="S119" s="38">
        <v>24.0</v>
      </c>
      <c r="T119" s="38">
        <v>19.0</v>
      </c>
      <c r="U119" s="48">
        <f t="shared" si="9"/>
        <v>1021</v>
      </c>
      <c r="V119" s="48">
        <f t="shared" si="10"/>
        <v>1064</v>
      </c>
      <c r="W119" s="49">
        <f t="shared" si="11"/>
        <v>0.5102840353</v>
      </c>
      <c r="X119" s="49">
        <f t="shared" si="12"/>
        <v>0.4711067581</v>
      </c>
      <c r="Y119" s="49">
        <f t="shared" si="13"/>
        <v>0.01860920666</v>
      </c>
      <c r="Z119" s="32" t="str">
        <f t="shared" si="14"/>
        <v>Jango</v>
      </c>
      <c r="AA119" s="50" t="s">
        <v>77</v>
      </c>
      <c r="AB119" s="38">
        <v>1315.0</v>
      </c>
      <c r="AC119" s="48">
        <f t="shared" si="15"/>
        <v>251</v>
      </c>
      <c r="AD119" s="51">
        <f t="shared" si="16"/>
        <v>0.8091254753</v>
      </c>
    </row>
    <row r="120">
      <c r="A120" s="45" t="s">
        <v>890</v>
      </c>
      <c r="B120" s="46" t="s">
        <v>891</v>
      </c>
      <c r="C120" s="47"/>
      <c r="D120" s="38">
        <v>574.0</v>
      </c>
      <c r="E120" s="38">
        <v>581.0</v>
      </c>
      <c r="F120" s="38">
        <v>36.0</v>
      </c>
      <c r="G120" s="38">
        <v>23.0</v>
      </c>
      <c r="H120" s="38">
        <v>43.0</v>
      </c>
      <c r="I120" s="48">
        <f t="shared" si="3"/>
        <v>1191</v>
      </c>
      <c r="J120" s="48">
        <f t="shared" si="4"/>
        <v>1257</v>
      </c>
      <c r="K120" s="49">
        <f t="shared" si="5"/>
        <v>0.4819479429</v>
      </c>
      <c r="L120" s="49">
        <f t="shared" si="6"/>
        <v>0.4878253568</v>
      </c>
      <c r="M120" s="49">
        <f t="shared" si="7"/>
        <v>0.03022670025</v>
      </c>
      <c r="N120" s="32" t="str">
        <f t="shared" si="8"/>
        <v>Mal. Lott</v>
      </c>
      <c r="O120" s="50" t="s">
        <v>77</v>
      </c>
      <c r="P120" s="38">
        <v>576.0</v>
      </c>
      <c r="Q120" s="38">
        <v>542.0</v>
      </c>
      <c r="R120" s="38">
        <v>52.0</v>
      </c>
      <c r="S120" s="38">
        <v>77.0</v>
      </c>
      <c r="T120" s="38">
        <v>10.0</v>
      </c>
      <c r="U120" s="48">
        <f t="shared" si="9"/>
        <v>1170</v>
      </c>
      <c r="V120" s="48">
        <f t="shared" si="10"/>
        <v>1257</v>
      </c>
      <c r="W120" s="49">
        <f t="shared" si="11"/>
        <v>0.4923076923</v>
      </c>
      <c r="X120" s="49">
        <f t="shared" si="12"/>
        <v>0.4632478632</v>
      </c>
      <c r="Y120" s="49">
        <f t="shared" si="13"/>
        <v>0.04444444444</v>
      </c>
      <c r="Z120" s="32" t="str">
        <f t="shared" si="14"/>
        <v>Jango</v>
      </c>
      <c r="AA120" s="50" t="s">
        <v>77</v>
      </c>
      <c r="AB120" s="38">
        <v>1591.0</v>
      </c>
      <c r="AC120" s="48">
        <f t="shared" si="15"/>
        <v>334</v>
      </c>
      <c r="AD120" s="51">
        <f t="shared" si="16"/>
        <v>0.7900691389</v>
      </c>
    </row>
    <row r="121">
      <c r="A121" s="45" t="s">
        <v>892</v>
      </c>
      <c r="B121" s="46" t="s">
        <v>893</v>
      </c>
      <c r="C121" s="47"/>
      <c r="D121" s="38">
        <v>813.0</v>
      </c>
      <c r="E121" s="38">
        <v>625.0</v>
      </c>
      <c r="F121" s="38">
        <v>167.0</v>
      </c>
      <c r="G121" s="38">
        <v>31.0</v>
      </c>
      <c r="H121" s="38">
        <v>63.0</v>
      </c>
      <c r="I121" s="48">
        <f t="shared" si="3"/>
        <v>1605</v>
      </c>
      <c r="J121" s="48">
        <f t="shared" si="4"/>
        <v>1699</v>
      </c>
      <c r="K121" s="49">
        <f t="shared" si="5"/>
        <v>0.5065420561</v>
      </c>
      <c r="L121" s="49">
        <f t="shared" si="6"/>
        <v>0.3894080997</v>
      </c>
      <c r="M121" s="49">
        <f t="shared" si="7"/>
        <v>0.1040498442</v>
      </c>
      <c r="N121" s="32" t="str">
        <f t="shared" si="8"/>
        <v>Jânio</v>
      </c>
      <c r="O121" s="50" t="s">
        <v>77</v>
      </c>
      <c r="P121" s="38">
        <v>634.0</v>
      </c>
      <c r="Q121" s="38">
        <v>803.0</v>
      </c>
      <c r="R121" s="38">
        <v>98.0</v>
      </c>
      <c r="S121" s="38">
        <v>121.0</v>
      </c>
      <c r="T121" s="38">
        <v>43.0</v>
      </c>
      <c r="U121" s="48">
        <f t="shared" si="9"/>
        <v>1535</v>
      </c>
      <c r="V121" s="48">
        <f t="shared" si="10"/>
        <v>1699</v>
      </c>
      <c r="W121" s="49">
        <f t="shared" si="11"/>
        <v>0.413029316</v>
      </c>
      <c r="X121" s="49">
        <f t="shared" si="12"/>
        <v>0.5231270358</v>
      </c>
      <c r="Y121" s="49">
        <f t="shared" si="13"/>
        <v>0.06384364821</v>
      </c>
      <c r="Z121" s="32" t="str">
        <f t="shared" si="14"/>
        <v>Milton</v>
      </c>
      <c r="AA121" s="50" t="s">
        <v>77</v>
      </c>
      <c r="AB121" s="38">
        <v>2530.0</v>
      </c>
      <c r="AC121" s="48">
        <f t="shared" si="15"/>
        <v>831</v>
      </c>
      <c r="AD121" s="51">
        <f t="shared" si="16"/>
        <v>0.671541502</v>
      </c>
    </row>
    <row r="122">
      <c r="A122" s="45" t="s">
        <v>894</v>
      </c>
      <c r="B122" s="46" t="s">
        <v>895</v>
      </c>
      <c r="C122" s="47"/>
      <c r="D122" s="38">
        <v>637.0</v>
      </c>
      <c r="E122" s="38">
        <v>787.0</v>
      </c>
      <c r="F122" s="38">
        <v>57.0</v>
      </c>
      <c r="G122" s="38">
        <v>39.0</v>
      </c>
      <c r="H122" s="38">
        <v>69.0</v>
      </c>
      <c r="I122" s="48">
        <f t="shared" si="3"/>
        <v>1481</v>
      </c>
      <c r="J122" s="48">
        <f t="shared" si="4"/>
        <v>1589</v>
      </c>
      <c r="K122" s="49">
        <f t="shared" si="5"/>
        <v>0.4301147873</v>
      </c>
      <c r="L122" s="49">
        <f t="shared" si="6"/>
        <v>0.5313977043</v>
      </c>
      <c r="M122" s="49">
        <f t="shared" si="7"/>
        <v>0.03848750844</v>
      </c>
      <c r="N122" s="32" t="str">
        <f t="shared" si="8"/>
        <v>Mal. Lott</v>
      </c>
      <c r="O122" s="50" t="s">
        <v>77</v>
      </c>
      <c r="P122" s="38">
        <v>845.0</v>
      </c>
      <c r="Q122" s="38">
        <v>571.0</v>
      </c>
      <c r="R122" s="38">
        <v>54.0</v>
      </c>
      <c r="S122" s="38">
        <v>85.0</v>
      </c>
      <c r="T122" s="38">
        <v>34.0</v>
      </c>
      <c r="U122" s="48">
        <f t="shared" si="9"/>
        <v>1470</v>
      </c>
      <c r="V122" s="48">
        <f t="shared" si="10"/>
        <v>1589</v>
      </c>
      <c r="W122" s="49">
        <f t="shared" si="11"/>
        <v>0.574829932</v>
      </c>
      <c r="X122" s="49">
        <f t="shared" si="12"/>
        <v>0.3884353741</v>
      </c>
      <c r="Y122" s="49">
        <f t="shared" si="13"/>
        <v>0.03673469388</v>
      </c>
      <c r="Z122" s="32" t="str">
        <f t="shared" si="14"/>
        <v>Jango</v>
      </c>
      <c r="AA122" s="50" t="s">
        <v>77</v>
      </c>
      <c r="AB122" s="38">
        <v>2167.0</v>
      </c>
      <c r="AC122" s="48">
        <f t="shared" si="15"/>
        <v>578</v>
      </c>
      <c r="AD122" s="51">
        <f t="shared" si="16"/>
        <v>0.7332718043</v>
      </c>
    </row>
    <row r="123">
      <c r="A123" s="45" t="s">
        <v>896</v>
      </c>
      <c r="B123" s="46" t="s">
        <v>897</v>
      </c>
      <c r="C123" s="47"/>
      <c r="D123" s="38">
        <v>1028.0</v>
      </c>
      <c r="E123" s="38">
        <v>1308.0</v>
      </c>
      <c r="F123" s="38">
        <v>142.0</v>
      </c>
      <c r="G123" s="38">
        <v>73.0</v>
      </c>
      <c r="H123" s="38">
        <v>132.0</v>
      </c>
      <c r="I123" s="48">
        <f t="shared" si="3"/>
        <v>2478</v>
      </c>
      <c r="J123" s="48">
        <f t="shared" si="4"/>
        <v>2683</v>
      </c>
      <c r="K123" s="49">
        <f t="shared" si="5"/>
        <v>0.414850686</v>
      </c>
      <c r="L123" s="49">
        <f t="shared" si="6"/>
        <v>0.5278450363</v>
      </c>
      <c r="M123" s="49">
        <f t="shared" si="7"/>
        <v>0.05730427764</v>
      </c>
      <c r="N123" s="32" t="str">
        <f t="shared" si="8"/>
        <v>Mal. Lott</v>
      </c>
      <c r="O123" s="50" t="s">
        <v>77</v>
      </c>
      <c r="P123" s="38">
        <v>1292.0</v>
      </c>
      <c r="Q123" s="38">
        <v>995.0</v>
      </c>
      <c r="R123" s="38">
        <v>74.0</v>
      </c>
      <c r="S123" s="38">
        <v>246.0</v>
      </c>
      <c r="T123" s="38">
        <v>76.0</v>
      </c>
      <c r="U123" s="48">
        <f t="shared" si="9"/>
        <v>2361</v>
      </c>
      <c r="V123" s="48">
        <f t="shared" si="10"/>
        <v>2683</v>
      </c>
      <c r="W123" s="49">
        <f t="shared" si="11"/>
        <v>0.5472257518</v>
      </c>
      <c r="X123" s="49">
        <f t="shared" si="12"/>
        <v>0.4214315968</v>
      </c>
      <c r="Y123" s="49">
        <f t="shared" si="13"/>
        <v>0.03134265142</v>
      </c>
      <c r="Z123" s="32" t="str">
        <f t="shared" si="14"/>
        <v>Jango</v>
      </c>
      <c r="AA123" s="50" t="s">
        <v>77</v>
      </c>
      <c r="AB123" s="38">
        <v>3980.0</v>
      </c>
      <c r="AC123" s="48">
        <f t="shared" si="15"/>
        <v>1297</v>
      </c>
      <c r="AD123" s="51">
        <f t="shared" si="16"/>
        <v>0.674120603</v>
      </c>
    </row>
    <row r="124">
      <c r="A124" s="45" t="s">
        <v>898</v>
      </c>
      <c r="B124" s="46" t="s">
        <v>899</v>
      </c>
      <c r="C124" s="47"/>
      <c r="D124" s="38">
        <v>1236.0</v>
      </c>
      <c r="E124" s="38">
        <v>69.0</v>
      </c>
      <c r="F124" s="38">
        <v>61.0</v>
      </c>
      <c r="G124" s="38">
        <v>48.0</v>
      </c>
      <c r="H124" s="38">
        <v>101.0</v>
      </c>
      <c r="I124" s="48">
        <f t="shared" si="3"/>
        <v>1366</v>
      </c>
      <c r="J124" s="48">
        <f t="shared" si="4"/>
        <v>1515</v>
      </c>
      <c r="K124" s="49">
        <f t="shared" si="5"/>
        <v>0.9048316252</v>
      </c>
      <c r="L124" s="49">
        <f t="shared" si="6"/>
        <v>0.0505124451</v>
      </c>
      <c r="M124" s="49">
        <f t="shared" si="7"/>
        <v>0.04465592972</v>
      </c>
      <c r="N124" s="32" t="str">
        <f t="shared" si="8"/>
        <v>Jânio</v>
      </c>
      <c r="O124" s="50" t="s">
        <v>77</v>
      </c>
      <c r="P124" s="38">
        <v>83.0</v>
      </c>
      <c r="Q124" s="38">
        <v>1140.0</v>
      </c>
      <c r="R124" s="38">
        <v>81.0</v>
      </c>
      <c r="S124" s="38">
        <v>156.0</v>
      </c>
      <c r="T124" s="38">
        <v>55.0</v>
      </c>
      <c r="U124" s="48">
        <f t="shared" si="9"/>
        <v>1304</v>
      </c>
      <c r="V124" s="48">
        <f t="shared" si="10"/>
        <v>1515</v>
      </c>
      <c r="W124" s="49">
        <f t="shared" si="11"/>
        <v>0.06365030675</v>
      </c>
      <c r="X124" s="49">
        <f t="shared" si="12"/>
        <v>0.8742331288</v>
      </c>
      <c r="Y124" s="49">
        <f t="shared" si="13"/>
        <v>0.06211656442</v>
      </c>
      <c r="Z124" s="32" t="str">
        <f t="shared" si="14"/>
        <v>Milton</v>
      </c>
      <c r="AA124" s="50" t="s">
        <v>77</v>
      </c>
      <c r="AB124" s="38">
        <v>1677.0</v>
      </c>
      <c r="AC124" s="48">
        <f t="shared" si="15"/>
        <v>162</v>
      </c>
      <c r="AD124" s="51">
        <f t="shared" si="16"/>
        <v>0.9033989267</v>
      </c>
    </row>
    <row r="125">
      <c r="A125" s="69" t="s">
        <v>54</v>
      </c>
      <c r="B125" s="13"/>
      <c r="C125" s="47"/>
      <c r="D125" s="38">
        <f t="shared" ref="D125:H125" si="17">SUM(D70:D124,D21:D67)</f>
        <v>226211</v>
      </c>
      <c r="E125" s="38">
        <f t="shared" si="17"/>
        <v>185136</v>
      </c>
      <c r="F125" s="38">
        <f t="shared" si="17"/>
        <v>34626</v>
      </c>
      <c r="G125" s="38">
        <f t="shared" si="17"/>
        <v>13027</v>
      </c>
      <c r="H125" s="38">
        <f t="shared" si="17"/>
        <v>24606</v>
      </c>
      <c r="I125" s="48">
        <f t="shared" si="3"/>
        <v>445973</v>
      </c>
      <c r="J125" s="48">
        <f t="shared" si="4"/>
        <v>483606</v>
      </c>
      <c r="K125" s="49">
        <f t="shared" si="5"/>
        <v>0.5072302583</v>
      </c>
      <c r="L125" s="49">
        <f t="shared" si="6"/>
        <v>0.4151282701</v>
      </c>
      <c r="M125" s="49">
        <f t="shared" si="7"/>
        <v>0.07764147157</v>
      </c>
      <c r="N125" s="32" t="str">
        <f t="shared" si="8"/>
        <v>Jânio</v>
      </c>
      <c r="O125" s="50"/>
      <c r="P125" s="38">
        <f t="shared" ref="P125:T125" si="18">SUM(P70:P124,P21:P67)</f>
        <v>182496</v>
      </c>
      <c r="Q125" s="38">
        <f t="shared" si="18"/>
        <v>184450</v>
      </c>
      <c r="R125" s="38">
        <f t="shared" si="18"/>
        <v>67307</v>
      </c>
      <c r="S125" s="38">
        <f t="shared" si="18"/>
        <v>31324</v>
      </c>
      <c r="T125" s="38">
        <f t="shared" si="18"/>
        <v>18029</v>
      </c>
      <c r="U125" s="48">
        <f t="shared" si="9"/>
        <v>434253</v>
      </c>
      <c r="V125" s="48">
        <f t="shared" si="10"/>
        <v>483606</v>
      </c>
      <c r="W125" s="49">
        <f t="shared" si="11"/>
        <v>0.4202527098</v>
      </c>
      <c r="X125" s="49">
        <f t="shared" si="12"/>
        <v>0.4247523909</v>
      </c>
      <c r="Y125" s="49">
        <f t="shared" si="13"/>
        <v>0.1549948993</v>
      </c>
      <c r="Z125" s="32" t="str">
        <f t="shared" si="14"/>
        <v>Milton</v>
      </c>
      <c r="AA125" s="50"/>
      <c r="AB125" s="119">
        <v>676133.0</v>
      </c>
      <c r="AC125" s="48">
        <f t="shared" si="15"/>
        <v>192527</v>
      </c>
      <c r="AD125" s="51">
        <f t="shared" si="16"/>
        <v>0.7152527683</v>
      </c>
    </row>
    <row r="126">
      <c r="O126" s="73"/>
    </row>
    <row r="127">
      <c r="B127" s="74" t="s">
        <v>138</v>
      </c>
      <c r="D127" s="75"/>
      <c r="E127" s="75"/>
      <c r="F127" s="75"/>
      <c r="G127" s="75"/>
    </row>
    <row r="128">
      <c r="B128" s="76" t="s">
        <v>139</v>
      </c>
      <c r="C128" s="33"/>
      <c r="D128" s="29"/>
      <c r="E128" s="29"/>
      <c r="F128" s="77"/>
      <c r="G128" s="77"/>
    </row>
    <row r="129">
      <c r="B129" s="76" t="s">
        <v>139</v>
      </c>
      <c r="D129" s="29"/>
      <c r="E129" s="29"/>
      <c r="F129" s="77"/>
      <c r="G129" s="77"/>
    </row>
    <row r="130">
      <c r="D130" s="29"/>
      <c r="E130" s="29"/>
      <c r="F130" s="77"/>
      <c r="G130" s="77"/>
    </row>
  </sheetData>
  <mergeCells count="6">
    <mergeCell ref="D2:G2"/>
    <mergeCell ref="A10:C10"/>
    <mergeCell ref="D10:N10"/>
    <mergeCell ref="P10:Z10"/>
    <mergeCell ref="AA10:AD10"/>
    <mergeCell ref="A125:B125"/>
  </mergeCells>
  <conditionalFormatting sqref="K12:M125 N12:N126 Z12:Z125">
    <cfRule type="colorScale" priority="1">
      <colorScale>
        <cfvo type="percent" val="0"/>
        <cfvo type="percent" val="50"/>
        <cfvo type="percent" val="100"/>
        <color rgb="FFFFFFFF"/>
        <color rgb="FFABDDC5"/>
        <color rgb="FF57BB8A"/>
      </colorScale>
    </cfRule>
  </conditionalFormatting>
  <conditionalFormatting sqref="W12:Y125">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1" width="14.75"/>
  </cols>
  <sheetData>
    <row r="1">
      <c r="D1" s="30"/>
      <c r="E1" s="30"/>
      <c r="F1" s="30"/>
      <c r="G1" s="30"/>
    </row>
    <row r="2">
      <c r="D2" s="31" t="s">
        <v>45</v>
      </c>
      <c r="E2" s="12"/>
      <c r="F2" s="12"/>
      <c r="G2" s="13"/>
    </row>
    <row r="3">
      <c r="D3" s="32" t="s">
        <v>46</v>
      </c>
      <c r="E3" s="22">
        <f t="shared" ref="E3:E6" si="1">IF(COUNTIF($N$15:$N$81,D3)=0,"-",COUNTIF($N$15:$N$81,D3))</f>
        <v>48</v>
      </c>
      <c r="F3" s="32" t="s">
        <v>47</v>
      </c>
      <c r="G3" s="22">
        <f t="shared" ref="G3:G6" si="2">IF(COUNTIF($Z$15:$Z$81,F3)=0,"-",COUNTIF($Z$15:$Z$81,F3))</f>
        <v>38</v>
      </c>
    </row>
    <row r="4">
      <c r="D4" s="32" t="s">
        <v>48</v>
      </c>
      <c r="E4" s="22">
        <f t="shared" si="1"/>
        <v>8</v>
      </c>
      <c r="F4" s="32" t="s">
        <v>49</v>
      </c>
      <c r="G4" s="22">
        <f t="shared" si="2"/>
        <v>28</v>
      </c>
    </row>
    <row r="5">
      <c r="D5" s="32" t="s">
        <v>50</v>
      </c>
      <c r="E5" s="22">
        <f t="shared" si="1"/>
        <v>11</v>
      </c>
      <c r="F5" s="32" t="s">
        <v>51</v>
      </c>
      <c r="G5" s="22">
        <f t="shared" si="2"/>
        <v>1</v>
      </c>
    </row>
    <row r="6">
      <c r="D6" s="32" t="s">
        <v>52</v>
      </c>
      <c r="E6" s="22" t="str">
        <f t="shared" si="1"/>
        <v>-</v>
      </c>
      <c r="F6" s="32" t="s">
        <v>52</v>
      </c>
      <c r="G6" s="22" t="str">
        <f t="shared" si="2"/>
        <v>-</v>
      </c>
    </row>
    <row r="7">
      <c r="D7" s="32" t="s">
        <v>54</v>
      </c>
      <c r="E7" s="32">
        <f>SUM(E3:E6)</f>
        <v>67</v>
      </c>
      <c r="F7" s="32" t="s">
        <v>54</v>
      </c>
      <c r="G7" s="32">
        <f>SUM(G3:G6)</f>
        <v>67</v>
      </c>
    </row>
    <row r="9">
      <c r="A9" s="111"/>
      <c r="B9" s="111"/>
      <c r="C9" s="111"/>
      <c r="D9" s="111"/>
      <c r="E9" s="111"/>
      <c r="F9" s="111"/>
      <c r="G9" s="111"/>
      <c r="H9" s="111"/>
      <c r="I9" s="111"/>
      <c r="J9" s="111"/>
      <c r="K9" s="111"/>
      <c r="L9" s="111"/>
      <c r="M9" s="111"/>
      <c r="N9" s="111"/>
      <c r="O9" s="112"/>
      <c r="P9" s="111"/>
      <c r="Q9" s="111"/>
      <c r="R9" s="111"/>
      <c r="S9" s="111"/>
      <c r="T9" s="111"/>
      <c r="U9" s="111"/>
      <c r="V9" s="111"/>
      <c r="W9" s="111"/>
      <c r="X9" s="111"/>
      <c r="Y9" s="111"/>
      <c r="Z9" s="111"/>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900</v>
      </c>
      <c r="AC11" s="41" t="s">
        <v>71</v>
      </c>
      <c r="AD11" s="41" t="s">
        <v>72</v>
      </c>
      <c r="AE11" s="120"/>
    </row>
    <row r="12">
      <c r="A12" s="45" t="s">
        <v>73</v>
      </c>
      <c r="B12" s="46" t="s">
        <v>901</v>
      </c>
      <c r="C12" s="47"/>
      <c r="D12" s="38">
        <v>4481.0</v>
      </c>
      <c r="E12" s="38">
        <v>2955.0</v>
      </c>
      <c r="F12" s="38">
        <v>844.0</v>
      </c>
      <c r="G12" s="38">
        <v>212.0</v>
      </c>
      <c r="H12" s="38">
        <v>128.0</v>
      </c>
      <c r="I12" s="48">
        <f t="shared" ref="I12:I82" si="3">SUM(D12:F12)</f>
        <v>8280</v>
      </c>
      <c r="J12" s="48">
        <f t="shared" ref="J12:J82" si="4">SUM(G12:I12)</f>
        <v>8620</v>
      </c>
      <c r="K12" s="49">
        <f t="shared" ref="K12:K82" si="5">D12/I12</f>
        <v>0.5411835749</v>
      </c>
      <c r="L12" s="49">
        <f t="shared" ref="L12:L82" si="6">E12/I12</f>
        <v>0.356884058</v>
      </c>
      <c r="M12" s="49">
        <f t="shared" ref="M12:M82" si="7">F12/I12</f>
        <v>0.1019323671</v>
      </c>
      <c r="N12" s="32" t="str">
        <f t="shared" ref="N12:N82" si="8">IF(LARGE(D12:F12,1)=0,#REF!,IF(LARGE(D12:F12,1)=LARGE(D12:F12,2),$D$6,IF(LARGE(D12:F12,1)=D12,$D$3,IF(LARGE(D12:F12,1)=E12,$D$4,IF(LARGE(D12:F12,1)=F12,$D$5)))))</f>
        <v>Jânio</v>
      </c>
      <c r="O12" s="50"/>
      <c r="P12" s="38">
        <v>2568.0</v>
      </c>
      <c r="Q12" s="38">
        <v>3300.0</v>
      </c>
      <c r="R12" s="38">
        <v>2101.0</v>
      </c>
      <c r="S12" s="38">
        <v>525.0</v>
      </c>
      <c r="T12" s="38">
        <v>126.0</v>
      </c>
      <c r="U12" s="48">
        <f t="shared" ref="U12:U82" si="9">SUM(P12:R12)</f>
        <v>7969</v>
      </c>
      <c r="V12" s="48">
        <f t="shared" ref="V12:V82" si="10">SUM(S12:U12)</f>
        <v>8620</v>
      </c>
      <c r="W12" s="49">
        <f t="shared" ref="W12:W82" si="11">P12/U12</f>
        <v>0.3222487138</v>
      </c>
      <c r="X12" s="49">
        <f t="shared" ref="X12:X82" si="12">Q12/U12</f>
        <v>0.4141046555</v>
      </c>
      <c r="Y12" s="49">
        <f t="shared" ref="Y12:Y82" si="13">R12/U12</f>
        <v>0.2636466307</v>
      </c>
      <c r="Z12" s="32" t="str">
        <f t="shared" ref="Z12:Z82" si="14">IF(LARGE(P12:R12,1)=0,#REF!,IF(LARGE(P12:R12,1)=LARGE(P12:R12,2),$F$6,IF(LARGE(P12:R12,1)=P12,$F$3,IF(LARGE(P12:R12,1)=Q12,$F$4,IF(LARGE(P12:R12,1)=R12,$F$5)))))</f>
        <v>Milton</v>
      </c>
      <c r="AA12" s="44"/>
      <c r="AB12" s="38">
        <v>10190.0</v>
      </c>
      <c r="AC12" s="48">
        <f t="shared" ref="AC12:AC16" si="15">AB12-V12</f>
        <v>1570</v>
      </c>
      <c r="AD12" s="51">
        <f t="shared" ref="AD12:AD16" si="16">V12/AB12</f>
        <v>0.8459273798</v>
      </c>
      <c r="AE12" s="121"/>
    </row>
    <row r="13">
      <c r="A13" s="45" t="s">
        <v>75</v>
      </c>
      <c r="B13" s="46" t="s">
        <v>902</v>
      </c>
      <c r="C13" s="47"/>
      <c r="D13" s="38">
        <v>2821.0</v>
      </c>
      <c r="E13" s="38">
        <v>3170.0</v>
      </c>
      <c r="F13" s="38">
        <v>813.0</v>
      </c>
      <c r="G13" s="38">
        <v>281.0</v>
      </c>
      <c r="H13" s="38">
        <v>189.0</v>
      </c>
      <c r="I13" s="48">
        <f t="shared" si="3"/>
        <v>6804</v>
      </c>
      <c r="J13" s="48">
        <f t="shared" si="4"/>
        <v>7274</v>
      </c>
      <c r="K13" s="49">
        <f t="shared" si="5"/>
        <v>0.4146090535</v>
      </c>
      <c r="L13" s="49">
        <f t="shared" si="6"/>
        <v>0.4659024103</v>
      </c>
      <c r="M13" s="49">
        <f t="shared" si="7"/>
        <v>0.1194885362</v>
      </c>
      <c r="N13" s="32" t="str">
        <f t="shared" si="8"/>
        <v>Mal. Lott</v>
      </c>
      <c r="O13" s="50"/>
      <c r="P13" s="38">
        <v>3412.0</v>
      </c>
      <c r="Q13" s="38">
        <v>1858.0</v>
      </c>
      <c r="R13" s="38">
        <v>1211.0</v>
      </c>
      <c r="S13" s="38">
        <v>637.0</v>
      </c>
      <c r="T13" s="38">
        <v>156.0</v>
      </c>
      <c r="U13" s="48">
        <f t="shared" si="9"/>
        <v>6481</v>
      </c>
      <c r="V13" s="48">
        <f t="shared" si="10"/>
        <v>7274</v>
      </c>
      <c r="W13" s="49">
        <f t="shared" si="11"/>
        <v>0.5264619657</v>
      </c>
      <c r="X13" s="49">
        <f t="shared" si="12"/>
        <v>0.2866841537</v>
      </c>
      <c r="Y13" s="49">
        <f t="shared" si="13"/>
        <v>0.1868538806</v>
      </c>
      <c r="Z13" s="32" t="str">
        <f t="shared" si="14"/>
        <v>Jango</v>
      </c>
      <c r="AA13" s="44"/>
      <c r="AB13" s="38">
        <v>9821.0</v>
      </c>
      <c r="AC13" s="48">
        <f t="shared" si="15"/>
        <v>2547</v>
      </c>
      <c r="AD13" s="51">
        <f t="shared" si="16"/>
        <v>0.7406577742</v>
      </c>
      <c r="AE13" s="121"/>
    </row>
    <row r="14">
      <c r="A14" s="45" t="s">
        <v>79</v>
      </c>
      <c r="B14" s="46" t="s">
        <v>903</v>
      </c>
      <c r="C14" s="47"/>
      <c r="D14" s="38">
        <v>3978.0</v>
      </c>
      <c r="E14" s="38">
        <v>4698.0</v>
      </c>
      <c r="F14" s="38">
        <v>1585.0</v>
      </c>
      <c r="G14" s="38">
        <v>426.0</v>
      </c>
      <c r="H14" s="38">
        <v>275.0</v>
      </c>
      <c r="I14" s="48">
        <f t="shared" si="3"/>
        <v>10261</v>
      </c>
      <c r="J14" s="48">
        <f t="shared" si="4"/>
        <v>10962</v>
      </c>
      <c r="K14" s="49">
        <f t="shared" si="5"/>
        <v>0.3876815125</v>
      </c>
      <c r="L14" s="49">
        <f t="shared" si="6"/>
        <v>0.4578501121</v>
      </c>
      <c r="M14" s="49">
        <f t="shared" si="7"/>
        <v>0.1544683754</v>
      </c>
      <c r="N14" s="32" t="str">
        <f t="shared" si="8"/>
        <v>Mal. Lott</v>
      </c>
      <c r="O14" s="50"/>
      <c r="P14" s="38">
        <v>5080.0</v>
      </c>
      <c r="Q14" s="38">
        <v>2400.0</v>
      </c>
      <c r="R14" s="38">
        <v>2184.0</v>
      </c>
      <c r="S14" s="38">
        <v>1090.0</v>
      </c>
      <c r="T14" s="38">
        <v>208.0</v>
      </c>
      <c r="U14" s="48">
        <f t="shared" si="9"/>
        <v>9664</v>
      </c>
      <c r="V14" s="48">
        <f t="shared" si="10"/>
        <v>10962</v>
      </c>
      <c r="W14" s="49">
        <f t="shared" si="11"/>
        <v>0.5256622517</v>
      </c>
      <c r="X14" s="49">
        <f t="shared" si="12"/>
        <v>0.2483443709</v>
      </c>
      <c r="Y14" s="49">
        <f t="shared" si="13"/>
        <v>0.2259933775</v>
      </c>
      <c r="Z14" s="32" t="str">
        <f t="shared" si="14"/>
        <v>Jango</v>
      </c>
      <c r="AA14" s="44"/>
      <c r="AB14" s="38">
        <v>13992.0</v>
      </c>
      <c r="AC14" s="48">
        <f t="shared" si="15"/>
        <v>3030</v>
      </c>
      <c r="AD14" s="51">
        <f t="shared" si="16"/>
        <v>0.7834476844</v>
      </c>
      <c r="AE14" s="121"/>
    </row>
    <row r="15">
      <c r="A15" s="45" t="s">
        <v>77</v>
      </c>
      <c r="B15" s="46" t="s">
        <v>904</v>
      </c>
      <c r="C15" s="47"/>
      <c r="D15" s="38">
        <v>11280.0</v>
      </c>
      <c r="E15" s="38">
        <v>10823.0</v>
      </c>
      <c r="F15" s="38">
        <v>3242.0</v>
      </c>
      <c r="G15" s="38">
        <v>919.0</v>
      </c>
      <c r="H15" s="38">
        <v>592.0</v>
      </c>
      <c r="I15" s="48">
        <f t="shared" si="3"/>
        <v>25345</v>
      </c>
      <c r="J15" s="48">
        <f t="shared" si="4"/>
        <v>26856</v>
      </c>
      <c r="K15" s="49">
        <f t="shared" si="5"/>
        <v>0.4450581969</v>
      </c>
      <c r="L15" s="49">
        <f t="shared" si="6"/>
        <v>0.427027027</v>
      </c>
      <c r="M15" s="49">
        <f t="shared" si="7"/>
        <v>0.1279147761</v>
      </c>
      <c r="N15" s="32" t="str">
        <f t="shared" si="8"/>
        <v>Jânio</v>
      </c>
      <c r="O15" s="50" t="s">
        <v>77</v>
      </c>
      <c r="P15" s="38">
        <v>11060.0</v>
      </c>
      <c r="Q15" s="38">
        <v>7558.0</v>
      </c>
      <c r="R15" s="38">
        <v>5496.0</v>
      </c>
      <c r="S15" s="38">
        <v>2252.0</v>
      </c>
      <c r="T15" s="38">
        <v>490.0</v>
      </c>
      <c r="U15" s="48">
        <f t="shared" si="9"/>
        <v>24114</v>
      </c>
      <c r="V15" s="48">
        <f t="shared" si="10"/>
        <v>26856</v>
      </c>
      <c r="W15" s="49">
        <f t="shared" si="11"/>
        <v>0.4586547234</v>
      </c>
      <c r="X15" s="49">
        <f t="shared" si="12"/>
        <v>0.3134278842</v>
      </c>
      <c r="Y15" s="49">
        <f t="shared" si="13"/>
        <v>0.2279173924</v>
      </c>
      <c r="Z15" s="32" t="str">
        <f t="shared" si="14"/>
        <v>Jango</v>
      </c>
      <c r="AA15" s="50" t="s">
        <v>77</v>
      </c>
      <c r="AB15" s="38">
        <v>34003.0</v>
      </c>
      <c r="AC15" s="48">
        <f t="shared" si="15"/>
        <v>7147</v>
      </c>
      <c r="AD15" s="51">
        <f t="shared" si="16"/>
        <v>0.7898126636</v>
      </c>
      <c r="AE15" s="121"/>
    </row>
    <row r="16">
      <c r="A16" s="45" t="s">
        <v>85</v>
      </c>
      <c r="B16" s="46" t="s">
        <v>905</v>
      </c>
      <c r="C16" s="47"/>
      <c r="D16" s="38">
        <v>1537.0</v>
      </c>
      <c r="E16" s="38">
        <v>861.0</v>
      </c>
      <c r="F16" s="38">
        <v>447.0</v>
      </c>
      <c r="G16" s="38">
        <v>221.0</v>
      </c>
      <c r="H16" s="38">
        <v>71.0</v>
      </c>
      <c r="I16" s="48">
        <f t="shared" si="3"/>
        <v>2845</v>
      </c>
      <c r="J16" s="48">
        <f t="shared" si="4"/>
        <v>3137</v>
      </c>
      <c r="K16" s="49">
        <f t="shared" si="5"/>
        <v>0.5402460457</v>
      </c>
      <c r="L16" s="49">
        <f t="shared" si="6"/>
        <v>0.3026362039</v>
      </c>
      <c r="M16" s="49">
        <f t="shared" si="7"/>
        <v>0.1571177504</v>
      </c>
      <c r="N16" s="32" t="str">
        <f t="shared" si="8"/>
        <v>Jânio</v>
      </c>
      <c r="O16" s="50" t="s">
        <v>77</v>
      </c>
      <c r="P16" s="38">
        <v>690.0</v>
      </c>
      <c r="Q16" s="38">
        <v>872.0</v>
      </c>
      <c r="R16" s="38">
        <v>975.0</v>
      </c>
      <c r="S16" s="38">
        <v>540.0</v>
      </c>
      <c r="T16" s="38">
        <v>60.0</v>
      </c>
      <c r="U16" s="48">
        <f t="shared" si="9"/>
        <v>2537</v>
      </c>
      <c r="V16" s="48">
        <f t="shared" si="10"/>
        <v>3137</v>
      </c>
      <c r="W16" s="49">
        <f t="shared" si="11"/>
        <v>0.2719747734</v>
      </c>
      <c r="X16" s="49">
        <f t="shared" si="12"/>
        <v>0.3437130469</v>
      </c>
      <c r="Y16" s="49">
        <f t="shared" si="13"/>
        <v>0.3843121797</v>
      </c>
      <c r="Z16" s="32" t="str">
        <f t="shared" si="14"/>
        <v>Ferrari</v>
      </c>
      <c r="AA16" s="50" t="s">
        <v>77</v>
      </c>
      <c r="AB16" s="38">
        <v>4070.0</v>
      </c>
      <c r="AC16" s="48">
        <f t="shared" si="15"/>
        <v>933</v>
      </c>
      <c r="AD16" s="51">
        <f t="shared" si="16"/>
        <v>0.7707616708</v>
      </c>
      <c r="AE16" s="121"/>
    </row>
    <row r="17">
      <c r="A17" s="61" t="s">
        <v>90</v>
      </c>
      <c r="B17" s="46" t="s">
        <v>906</v>
      </c>
      <c r="C17" s="47"/>
      <c r="D17" s="38">
        <v>1910.0</v>
      </c>
      <c r="E17" s="38">
        <v>438.0</v>
      </c>
      <c r="F17" s="38">
        <v>466.0</v>
      </c>
      <c r="G17" s="38">
        <v>201.0</v>
      </c>
      <c r="H17" s="38">
        <v>81.0</v>
      </c>
      <c r="I17" s="48">
        <f t="shared" si="3"/>
        <v>2814</v>
      </c>
      <c r="J17" s="48">
        <f t="shared" si="4"/>
        <v>3096</v>
      </c>
      <c r="K17" s="49">
        <f t="shared" si="5"/>
        <v>0.6787491116</v>
      </c>
      <c r="L17" s="49">
        <f t="shared" si="6"/>
        <v>0.1556503198</v>
      </c>
      <c r="M17" s="49">
        <f t="shared" si="7"/>
        <v>0.1656005686</v>
      </c>
      <c r="N17" s="32" t="str">
        <f t="shared" si="8"/>
        <v>Jânio</v>
      </c>
      <c r="O17" s="50" t="s">
        <v>77</v>
      </c>
      <c r="P17" s="38">
        <v>699.0</v>
      </c>
      <c r="Q17" s="38">
        <v>1247.0</v>
      </c>
      <c r="R17" s="38">
        <v>641.0</v>
      </c>
      <c r="S17" s="38">
        <v>448.0</v>
      </c>
      <c r="T17" s="38">
        <v>61.0</v>
      </c>
      <c r="U17" s="48">
        <f t="shared" si="9"/>
        <v>2587</v>
      </c>
      <c r="V17" s="48">
        <f t="shared" si="10"/>
        <v>3096</v>
      </c>
      <c r="W17" s="49">
        <f t="shared" si="11"/>
        <v>0.2701971395</v>
      </c>
      <c r="X17" s="49">
        <f t="shared" si="12"/>
        <v>0.4820255122</v>
      </c>
      <c r="Y17" s="49">
        <f t="shared" si="13"/>
        <v>0.2477773483</v>
      </c>
      <c r="Z17" s="32" t="str">
        <f t="shared" si="14"/>
        <v>Milton</v>
      </c>
      <c r="AA17" s="50" t="s">
        <v>77</v>
      </c>
      <c r="AB17" s="88">
        <v>5078.0</v>
      </c>
      <c r="AC17" s="89">
        <f>AB17-(V17+V18)</f>
        <v>1143</v>
      </c>
      <c r="AD17" s="94">
        <f>(V17+V18)/AB17</f>
        <v>0.7749113824</v>
      </c>
      <c r="AE17" s="122"/>
    </row>
    <row r="18">
      <c r="A18" s="24"/>
      <c r="B18" s="46" t="s">
        <v>907</v>
      </c>
      <c r="C18" s="47"/>
      <c r="D18" s="38">
        <v>317.0</v>
      </c>
      <c r="E18" s="38">
        <v>98.0</v>
      </c>
      <c r="F18" s="38">
        <v>290.0</v>
      </c>
      <c r="G18" s="38">
        <v>99.0</v>
      </c>
      <c r="H18" s="38">
        <v>35.0</v>
      </c>
      <c r="I18" s="48">
        <f t="shared" si="3"/>
        <v>705</v>
      </c>
      <c r="J18" s="48">
        <f t="shared" si="4"/>
        <v>839</v>
      </c>
      <c r="K18" s="49">
        <f t="shared" si="5"/>
        <v>0.4496453901</v>
      </c>
      <c r="L18" s="49">
        <f t="shared" si="6"/>
        <v>0.1390070922</v>
      </c>
      <c r="M18" s="49">
        <f t="shared" si="7"/>
        <v>0.4113475177</v>
      </c>
      <c r="N18" s="32" t="str">
        <f t="shared" si="8"/>
        <v>Jânio</v>
      </c>
      <c r="O18" s="50" t="s">
        <v>77</v>
      </c>
      <c r="P18" s="38">
        <v>211.0</v>
      </c>
      <c r="Q18" s="38">
        <v>227.0</v>
      </c>
      <c r="R18" s="38">
        <v>159.0</v>
      </c>
      <c r="S18" s="38">
        <v>232.0</v>
      </c>
      <c r="T18" s="38">
        <v>10.0</v>
      </c>
      <c r="U18" s="48">
        <f t="shared" si="9"/>
        <v>597</v>
      </c>
      <c r="V18" s="48">
        <f t="shared" si="10"/>
        <v>839</v>
      </c>
      <c r="W18" s="49">
        <f t="shared" si="11"/>
        <v>0.3534338358</v>
      </c>
      <c r="X18" s="49">
        <f t="shared" si="12"/>
        <v>0.3802345059</v>
      </c>
      <c r="Y18" s="49">
        <f t="shared" si="13"/>
        <v>0.2663316583</v>
      </c>
      <c r="Z18" s="32" t="str">
        <f t="shared" si="14"/>
        <v>Milton</v>
      </c>
      <c r="AA18" s="50" t="s">
        <v>77</v>
      </c>
      <c r="AB18" s="24"/>
      <c r="AC18" s="24"/>
      <c r="AD18" s="24"/>
      <c r="AE18" s="122"/>
    </row>
    <row r="19">
      <c r="A19" s="45" t="s">
        <v>92</v>
      </c>
      <c r="B19" s="46" t="s">
        <v>908</v>
      </c>
      <c r="C19" s="47"/>
      <c r="D19" s="38">
        <v>799.0</v>
      </c>
      <c r="E19" s="38">
        <v>608.0</v>
      </c>
      <c r="F19" s="38">
        <v>568.0</v>
      </c>
      <c r="G19" s="38">
        <v>185.0</v>
      </c>
      <c r="H19" s="38">
        <v>97.0</v>
      </c>
      <c r="I19" s="48">
        <f t="shared" si="3"/>
        <v>1975</v>
      </c>
      <c r="J19" s="48">
        <f t="shared" si="4"/>
        <v>2257</v>
      </c>
      <c r="K19" s="49">
        <f t="shared" si="5"/>
        <v>0.404556962</v>
      </c>
      <c r="L19" s="49">
        <f t="shared" si="6"/>
        <v>0.3078481013</v>
      </c>
      <c r="M19" s="49">
        <f t="shared" si="7"/>
        <v>0.2875949367</v>
      </c>
      <c r="N19" s="32" t="str">
        <f t="shared" si="8"/>
        <v>Jânio</v>
      </c>
      <c r="O19" s="50" t="s">
        <v>77</v>
      </c>
      <c r="P19" s="38">
        <v>1164.0</v>
      </c>
      <c r="Q19" s="38">
        <v>449.0</v>
      </c>
      <c r="R19" s="38">
        <v>277.0</v>
      </c>
      <c r="S19" s="38">
        <v>314.0</v>
      </c>
      <c r="T19" s="38">
        <v>53.0</v>
      </c>
      <c r="U19" s="48">
        <f t="shared" si="9"/>
        <v>1890</v>
      </c>
      <c r="V19" s="48">
        <f t="shared" si="10"/>
        <v>2257</v>
      </c>
      <c r="W19" s="49">
        <f t="shared" si="11"/>
        <v>0.6158730159</v>
      </c>
      <c r="X19" s="49">
        <f t="shared" si="12"/>
        <v>0.2375661376</v>
      </c>
      <c r="Y19" s="49">
        <f t="shared" si="13"/>
        <v>0.1465608466</v>
      </c>
      <c r="Z19" s="32" t="str">
        <f t="shared" si="14"/>
        <v>Jango</v>
      </c>
      <c r="AA19" s="50" t="s">
        <v>77</v>
      </c>
      <c r="AB19" s="38">
        <v>2970.0</v>
      </c>
      <c r="AC19" s="48">
        <f t="shared" ref="AC19:AC22" si="17">AB19-V19</f>
        <v>713</v>
      </c>
      <c r="AD19" s="51">
        <f t="shared" ref="AD19:AD22" si="18">V19/AB19</f>
        <v>0.7599326599</v>
      </c>
      <c r="AE19" s="121"/>
    </row>
    <row r="20">
      <c r="A20" s="45" t="s">
        <v>94</v>
      </c>
      <c r="B20" s="46" t="s">
        <v>909</v>
      </c>
      <c r="C20" s="47"/>
      <c r="D20" s="38">
        <v>797.0</v>
      </c>
      <c r="E20" s="38">
        <v>177.0</v>
      </c>
      <c r="F20" s="38">
        <v>452.0</v>
      </c>
      <c r="G20" s="38">
        <v>120.0</v>
      </c>
      <c r="H20" s="38">
        <v>79.0</v>
      </c>
      <c r="I20" s="48">
        <f t="shared" si="3"/>
        <v>1426</v>
      </c>
      <c r="J20" s="48">
        <f t="shared" si="4"/>
        <v>1625</v>
      </c>
      <c r="K20" s="49">
        <f t="shared" si="5"/>
        <v>0.5589060309</v>
      </c>
      <c r="L20" s="49">
        <f t="shared" si="6"/>
        <v>0.1241234222</v>
      </c>
      <c r="M20" s="49">
        <f t="shared" si="7"/>
        <v>0.316970547</v>
      </c>
      <c r="N20" s="32" t="str">
        <f t="shared" si="8"/>
        <v>Jânio</v>
      </c>
      <c r="O20" s="50" t="s">
        <v>77</v>
      </c>
      <c r="P20" s="38">
        <v>296.0</v>
      </c>
      <c r="Q20" s="38">
        <v>610.0</v>
      </c>
      <c r="R20" s="38">
        <v>440.0</v>
      </c>
      <c r="S20" s="38">
        <v>230.0</v>
      </c>
      <c r="T20" s="38">
        <v>49.0</v>
      </c>
      <c r="U20" s="48">
        <f t="shared" si="9"/>
        <v>1346</v>
      </c>
      <c r="V20" s="48">
        <f t="shared" si="10"/>
        <v>1625</v>
      </c>
      <c r="W20" s="49">
        <f t="shared" si="11"/>
        <v>0.219910847</v>
      </c>
      <c r="X20" s="49">
        <f t="shared" si="12"/>
        <v>0.4531946508</v>
      </c>
      <c r="Y20" s="49">
        <f t="shared" si="13"/>
        <v>0.3268945022</v>
      </c>
      <c r="Z20" s="32" t="str">
        <f t="shared" si="14"/>
        <v>Milton</v>
      </c>
      <c r="AA20" s="50" t="s">
        <v>77</v>
      </c>
      <c r="AB20" s="38">
        <v>2068.0</v>
      </c>
      <c r="AC20" s="48">
        <f t="shared" si="17"/>
        <v>443</v>
      </c>
      <c r="AD20" s="51">
        <f t="shared" si="18"/>
        <v>0.7857833656</v>
      </c>
      <c r="AE20" s="121"/>
    </row>
    <row r="21">
      <c r="A21" s="45" t="s">
        <v>97</v>
      </c>
      <c r="B21" s="46" t="s">
        <v>680</v>
      </c>
      <c r="C21" s="47"/>
      <c r="D21" s="38">
        <v>799.0</v>
      </c>
      <c r="E21" s="38">
        <v>329.0</v>
      </c>
      <c r="F21" s="38">
        <v>146.0</v>
      </c>
      <c r="G21" s="38">
        <v>27.0</v>
      </c>
      <c r="H21" s="38">
        <v>25.0</v>
      </c>
      <c r="I21" s="48">
        <f t="shared" si="3"/>
        <v>1274</v>
      </c>
      <c r="J21" s="48">
        <f t="shared" si="4"/>
        <v>1326</v>
      </c>
      <c r="K21" s="49">
        <f t="shared" si="5"/>
        <v>0.6271585557</v>
      </c>
      <c r="L21" s="49">
        <f t="shared" si="6"/>
        <v>0.2582417582</v>
      </c>
      <c r="M21" s="49">
        <f t="shared" si="7"/>
        <v>0.114599686</v>
      </c>
      <c r="N21" s="32" t="str">
        <f t="shared" si="8"/>
        <v>Jânio</v>
      </c>
      <c r="O21" s="50" t="s">
        <v>77</v>
      </c>
      <c r="P21" s="38">
        <v>476.0</v>
      </c>
      <c r="Q21" s="38">
        <v>667.0</v>
      </c>
      <c r="R21" s="38">
        <v>88.0</v>
      </c>
      <c r="S21" s="38">
        <v>84.0</v>
      </c>
      <c r="T21" s="38">
        <v>11.0</v>
      </c>
      <c r="U21" s="48">
        <f t="shared" si="9"/>
        <v>1231</v>
      </c>
      <c r="V21" s="48">
        <f t="shared" si="10"/>
        <v>1326</v>
      </c>
      <c r="W21" s="49">
        <f t="shared" si="11"/>
        <v>0.386677498</v>
      </c>
      <c r="X21" s="49">
        <f t="shared" si="12"/>
        <v>0.5418359058</v>
      </c>
      <c r="Y21" s="49">
        <f t="shared" si="13"/>
        <v>0.07148659626</v>
      </c>
      <c r="Z21" s="32" t="str">
        <f t="shared" si="14"/>
        <v>Milton</v>
      </c>
      <c r="AA21" s="50" t="s">
        <v>77</v>
      </c>
      <c r="AB21" s="38">
        <v>1641.0</v>
      </c>
      <c r="AC21" s="48">
        <f t="shared" si="17"/>
        <v>315</v>
      </c>
      <c r="AD21" s="51">
        <f t="shared" si="18"/>
        <v>0.8080438757</v>
      </c>
      <c r="AE21" s="121"/>
    </row>
    <row r="22">
      <c r="A22" s="45" t="s">
        <v>99</v>
      </c>
      <c r="B22" s="46" t="s">
        <v>910</v>
      </c>
      <c r="C22" s="47"/>
      <c r="D22" s="38">
        <v>1334.0</v>
      </c>
      <c r="E22" s="38">
        <v>478.0</v>
      </c>
      <c r="F22" s="38">
        <v>600.0</v>
      </c>
      <c r="G22" s="38">
        <v>194.0</v>
      </c>
      <c r="H22" s="38">
        <v>108.0</v>
      </c>
      <c r="I22" s="48">
        <f t="shared" si="3"/>
        <v>2412</v>
      </c>
      <c r="J22" s="48">
        <f t="shared" si="4"/>
        <v>2714</v>
      </c>
      <c r="K22" s="49">
        <f t="shared" si="5"/>
        <v>0.5530679934</v>
      </c>
      <c r="L22" s="49">
        <f t="shared" si="6"/>
        <v>0.1981757877</v>
      </c>
      <c r="M22" s="49">
        <f t="shared" si="7"/>
        <v>0.2487562189</v>
      </c>
      <c r="N22" s="32" t="str">
        <f t="shared" si="8"/>
        <v>Jânio</v>
      </c>
      <c r="O22" s="50" t="s">
        <v>77</v>
      </c>
      <c r="P22" s="38">
        <v>870.0</v>
      </c>
      <c r="Q22" s="38">
        <v>1000.0</v>
      </c>
      <c r="R22" s="38">
        <v>403.0</v>
      </c>
      <c r="S22" s="38">
        <v>364.0</v>
      </c>
      <c r="T22" s="38">
        <v>77.0</v>
      </c>
      <c r="U22" s="48">
        <f t="shared" si="9"/>
        <v>2273</v>
      </c>
      <c r="V22" s="48">
        <f t="shared" si="10"/>
        <v>2714</v>
      </c>
      <c r="W22" s="49">
        <f t="shared" si="11"/>
        <v>0.3827540695</v>
      </c>
      <c r="X22" s="49">
        <f t="shared" si="12"/>
        <v>0.4399472063</v>
      </c>
      <c r="Y22" s="49">
        <f t="shared" si="13"/>
        <v>0.1772987242</v>
      </c>
      <c r="Z22" s="32" t="str">
        <f t="shared" si="14"/>
        <v>Milton</v>
      </c>
      <c r="AA22" s="50" t="s">
        <v>77</v>
      </c>
      <c r="AB22" s="38">
        <v>3550.0</v>
      </c>
      <c r="AC22" s="48">
        <f t="shared" si="17"/>
        <v>836</v>
      </c>
      <c r="AD22" s="51">
        <f t="shared" si="18"/>
        <v>0.7645070423</v>
      </c>
      <c r="AE22" s="121"/>
    </row>
    <row r="23">
      <c r="A23" s="61" t="s">
        <v>104</v>
      </c>
      <c r="B23" s="46" t="s">
        <v>911</v>
      </c>
      <c r="C23" s="47"/>
      <c r="D23" s="38">
        <v>2302.0</v>
      </c>
      <c r="E23" s="38">
        <v>546.0</v>
      </c>
      <c r="F23" s="38">
        <v>784.0</v>
      </c>
      <c r="G23" s="38">
        <v>117.0</v>
      </c>
      <c r="H23" s="38">
        <v>116.0</v>
      </c>
      <c r="I23" s="48">
        <f t="shared" si="3"/>
        <v>3632</v>
      </c>
      <c r="J23" s="48">
        <f t="shared" si="4"/>
        <v>3865</v>
      </c>
      <c r="K23" s="49">
        <f t="shared" si="5"/>
        <v>0.6338105727</v>
      </c>
      <c r="L23" s="49">
        <f t="shared" si="6"/>
        <v>0.1503303965</v>
      </c>
      <c r="M23" s="49">
        <f t="shared" si="7"/>
        <v>0.2158590308</v>
      </c>
      <c r="N23" s="32" t="str">
        <f t="shared" si="8"/>
        <v>Jânio</v>
      </c>
      <c r="O23" s="50" t="s">
        <v>77</v>
      </c>
      <c r="P23" s="38">
        <v>1069.0</v>
      </c>
      <c r="Q23" s="38">
        <v>1774.0</v>
      </c>
      <c r="R23" s="38">
        <v>560.0</v>
      </c>
      <c r="S23" s="38">
        <v>395.0</v>
      </c>
      <c r="T23" s="38">
        <v>67.0</v>
      </c>
      <c r="U23" s="48">
        <f t="shared" si="9"/>
        <v>3403</v>
      </c>
      <c r="V23" s="48">
        <f t="shared" si="10"/>
        <v>3865</v>
      </c>
      <c r="W23" s="49">
        <f t="shared" si="11"/>
        <v>0.3141345871</v>
      </c>
      <c r="X23" s="49">
        <f t="shared" si="12"/>
        <v>0.5213047311</v>
      </c>
      <c r="Y23" s="49">
        <f t="shared" si="13"/>
        <v>0.1645606818</v>
      </c>
      <c r="Z23" s="32" t="str">
        <f t="shared" si="14"/>
        <v>Milton</v>
      </c>
      <c r="AA23" s="50" t="s">
        <v>77</v>
      </c>
      <c r="AB23" s="88">
        <v>6881.0</v>
      </c>
      <c r="AC23" s="89">
        <f>AB23-(V23+V24+V25)</f>
        <v>1412</v>
      </c>
      <c r="AD23" s="94">
        <f>(V23+V24+V25)/AB23</f>
        <v>0.7947972678</v>
      </c>
      <c r="AE23" s="122"/>
    </row>
    <row r="24">
      <c r="A24" s="23"/>
      <c r="B24" s="46" t="s">
        <v>912</v>
      </c>
      <c r="C24" s="47"/>
      <c r="D24" s="38">
        <v>322.0</v>
      </c>
      <c r="E24" s="38">
        <v>40.0</v>
      </c>
      <c r="F24" s="38">
        <v>166.0</v>
      </c>
      <c r="G24" s="38">
        <v>18.0</v>
      </c>
      <c r="H24" s="38">
        <v>11.0</v>
      </c>
      <c r="I24" s="48">
        <f t="shared" si="3"/>
        <v>528</v>
      </c>
      <c r="J24" s="48">
        <f t="shared" si="4"/>
        <v>557</v>
      </c>
      <c r="K24" s="49">
        <f t="shared" si="5"/>
        <v>0.6098484848</v>
      </c>
      <c r="L24" s="49">
        <f t="shared" si="6"/>
        <v>0.07575757576</v>
      </c>
      <c r="M24" s="49">
        <f t="shared" si="7"/>
        <v>0.3143939394</v>
      </c>
      <c r="N24" s="32" t="str">
        <f t="shared" si="8"/>
        <v>Jânio</v>
      </c>
      <c r="O24" s="50" t="s">
        <v>77</v>
      </c>
      <c r="P24" s="38">
        <v>190.0</v>
      </c>
      <c r="Q24" s="38">
        <v>239.0</v>
      </c>
      <c r="R24" s="38">
        <v>60.0</v>
      </c>
      <c r="S24" s="38">
        <v>62.0</v>
      </c>
      <c r="T24" s="38">
        <v>6.0</v>
      </c>
      <c r="U24" s="48">
        <f t="shared" si="9"/>
        <v>489</v>
      </c>
      <c r="V24" s="48">
        <f t="shared" si="10"/>
        <v>557</v>
      </c>
      <c r="W24" s="49">
        <f t="shared" si="11"/>
        <v>0.3885480573</v>
      </c>
      <c r="X24" s="49">
        <f t="shared" si="12"/>
        <v>0.4887525562</v>
      </c>
      <c r="Y24" s="49">
        <f t="shared" si="13"/>
        <v>0.1226993865</v>
      </c>
      <c r="Z24" s="32" t="str">
        <f t="shared" si="14"/>
        <v>Milton</v>
      </c>
      <c r="AA24" s="50" t="s">
        <v>77</v>
      </c>
      <c r="AB24" s="23"/>
      <c r="AC24" s="23"/>
      <c r="AD24" s="23"/>
      <c r="AE24" s="122"/>
    </row>
    <row r="25">
      <c r="A25" s="24"/>
      <c r="B25" s="46" t="s">
        <v>913</v>
      </c>
      <c r="C25" s="47"/>
      <c r="D25" s="38">
        <v>666.0</v>
      </c>
      <c r="E25" s="38">
        <v>104.0</v>
      </c>
      <c r="F25" s="38">
        <v>169.0</v>
      </c>
      <c r="G25" s="38">
        <v>53.0</v>
      </c>
      <c r="H25" s="38">
        <v>55.0</v>
      </c>
      <c r="I25" s="48">
        <f t="shared" si="3"/>
        <v>939</v>
      </c>
      <c r="J25" s="48">
        <f t="shared" si="4"/>
        <v>1047</v>
      </c>
      <c r="K25" s="49">
        <f t="shared" si="5"/>
        <v>0.7092651757</v>
      </c>
      <c r="L25" s="49">
        <f t="shared" si="6"/>
        <v>0.1107561235</v>
      </c>
      <c r="M25" s="49">
        <f t="shared" si="7"/>
        <v>0.1799787007</v>
      </c>
      <c r="N25" s="32" t="str">
        <f t="shared" si="8"/>
        <v>Jânio</v>
      </c>
      <c r="O25" s="50" t="s">
        <v>77</v>
      </c>
      <c r="P25" s="38">
        <v>217.0</v>
      </c>
      <c r="Q25" s="38">
        <v>549.0</v>
      </c>
      <c r="R25" s="38">
        <v>133.0</v>
      </c>
      <c r="S25" s="38">
        <v>131.0</v>
      </c>
      <c r="T25" s="38">
        <v>17.0</v>
      </c>
      <c r="U25" s="48">
        <f t="shared" si="9"/>
        <v>899</v>
      </c>
      <c r="V25" s="48">
        <f t="shared" si="10"/>
        <v>1047</v>
      </c>
      <c r="W25" s="49">
        <f t="shared" si="11"/>
        <v>0.2413793103</v>
      </c>
      <c r="X25" s="49">
        <f t="shared" si="12"/>
        <v>0.6106785317</v>
      </c>
      <c r="Y25" s="49">
        <f t="shared" si="13"/>
        <v>0.147942158</v>
      </c>
      <c r="Z25" s="32" t="str">
        <f t="shared" si="14"/>
        <v>Milton</v>
      </c>
      <c r="AA25" s="50" t="s">
        <v>77</v>
      </c>
      <c r="AB25" s="24"/>
      <c r="AC25" s="24"/>
      <c r="AD25" s="24"/>
      <c r="AE25" s="122"/>
    </row>
    <row r="26">
      <c r="A26" s="61" t="s">
        <v>107</v>
      </c>
      <c r="B26" s="46" t="s">
        <v>914</v>
      </c>
      <c r="C26" s="47"/>
      <c r="D26" s="38">
        <v>307.0</v>
      </c>
      <c r="E26" s="38">
        <v>385.0</v>
      </c>
      <c r="F26" s="38">
        <v>350.0</v>
      </c>
      <c r="G26" s="38">
        <v>70.0</v>
      </c>
      <c r="H26" s="38">
        <v>32.0</v>
      </c>
      <c r="I26" s="48">
        <f t="shared" si="3"/>
        <v>1042</v>
      </c>
      <c r="J26" s="48">
        <f t="shared" si="4"/>
        <v>1144</v>
      </c>
      <c r="K26" s="49">
        <f t="shared" si="5"/>
        <v>0.2946257198</v>
      </c>
      <c r="L26" s="49">
        <f t="shared" si="6"/>
        <v>0.3694817658</v>
      </c>
      <c r="M26" s="49">
        <f t="shared" si="7"/>
        <v>0.3358925144</v>
      </c>
      <c r="N26" s="32" t="str">
        <f t="shared" si="8"/>
        <v>Mal. Lott</v>
      </c>
      <c r="O26" s="50" t="s">
        <v>77</v>
      </c>
      <c r="P26" s="38">
        <v>578.0</v>
      </c>
      <c r="Q26" s="38">
        <v>291.0</v>
      </c>
      <c r="R26" s="38">
        <v>116.0</v>
      </c>
      <c r="S26" s="38">
        <v>130.0</v>
      </c>
      <c r="T26" s="38">
        <v>29.0</v>
      </c>
      <c r="U26" s="48">
        <f t="shared" si="9"/>
        <v>985</v>
      </c>
      <c r="V26" s="48">
        <f t="shared" si="10"/>
        <v>1144</v>
      </c>
      <c r="W26" s="49">
        <f t="shared" si="11"/>
        <v>0.5868020305</v>
      </c>
      <c r="X26" s="49">
        <f t="shared" si="12"/>
        <v>0.2954314721</v>
      </c>
      <c r="Y26" s="49">
        <f t="shared" si="13"/>
        <v>0.1177664975</v>
      </c>
      <c r="Z26" s="32" t="str">
        <f t="shared" si="14"/>
        <v>Jango</v>
      </c>
      <c r="AA26" s="50" t="s">
        <v>77</v>
      </c>
      <c r="AB26" s="88">
        <v>2184.0</v>
      </c>
      <c r="AC26" s="89">
        <f>AB26-(V26+V27+V28)</f>
        <v>412</v>
      </c>
      <c r="AD26" s="94">
        <f>(V26+V27+V28)/AB26</f>
        <v>0.8113553114</v>
      </c>
      <c r="AE26" s="122"/>
    </row>
    <row r="27">
      <c r="A27" s="23"/>
      <c r="B27" s="46" t="s">
        <v>915</v>
      </c>
      <c r="C27" s="47"/>
      <c r="D27" s="38">
        <v>109.0</v>
      </c>
      <c r="E27" s="38">
        <v>15.0</v>
      </c>
      <c r="F27" s="38">
        <v>61.0</v>
      </c>
      <c r="G27" s="38">
        <v>18.0</v>
      </c>
      <c r="H27" s="38">
        <v>8.0</v>
      </c>
      <c r="I27" s="48">
        <f t="shared" si="3"/>
        <v>185</v>
      </c>
      <c r="J27" s="48">
        <f t="shared" si="4"/>
        <v>211</v>
      </c>
      <c r="K27" s="49">
        <f t="shared" si="5"/>
        <v>0.5891891892</v>
      </c>
      <c r="L27" s="49">
        <f t="shared" si="6"/>
        <v>0.08108108108</v>
      </c>
      <c r="M27" s="49">
        <f t="shared" si="7"/>
        <v>0.3297297297</v>
      </c>
      <c r="N27" s="32" t="str">
        <f t="shared" si="8"/>
        <v>Jânio</v>
      </c>
      <c r="O27" s="50" t="s">
        <v>77</v>
      </c>
      <c r="P27" s="38">
        <v>60.0</v>
      </c>
      <c r="Q27" s="38">
        <v>58.0</v>
      </c>
      <c r="R27" s="38">
        <v>40.0</v>
      </c>
      <c r="S27" s="38">
        <v>49.0</v>
      </c>
      <c r="T27" s="38">
        <v>4.0</v>
      </c>
      <c r="U27" s="48">
        <f t="shared" si="9"/>
        <v>158</v>
      </c>
      <c r="V27" s="48">
        <f t="shared" si="10"/>
        <v>211</v>
      </c>
      <c r="W27" s="49">
        <f t="shared" si="11"/>
        <v>0.3797468354</v>
      </c>
      <c r="X27" s="49">
        <f t="shared" si="12"/>
        <v>0.3670886076</v>
      </c>
      <c r="Y27" s="49">
        <f t="shared" si="13"/>
        <v>0.253164557</v>
      </c>
      <c r="Z27" s="32" t="str">
        <f t="shared" si="14"/>
        <v>Jango</v>
      </c>
      <c r="AA27" s="50" t="s">
        <v>77</v>
      </c>
      <c r="AB27" s="23"/>
      <c r="AC27" s="23"/>
      <c r="AD27" s="23"/>
      <c r="AE27" s="122"/>
    </row>
    <row r="28">
      <c r="A28" s="24"/>
      <c r="B28" s="46" t="s">
        <v>916</v>
      </c>
      <c r="C28" s="47"/>
      <c r="D28" s="38">
        <v>147.0</v>
      </c>
      <c r="E28" s="38">
        <v>70.0</v>
      </c>
      <c r="F28" s="38">
        <v>143.0</v>
      </c>
      <c r="G28" s="38">
        <v>38.0</v>
      </c>
      <c r="H28" s="38">
        <v>19.0</v>
      </c>
      <c r="I28" s="48">
        <f t="shared" si="3"/>
        <v>360</v>
      </c>
      <c r="J28" s="48">
        <f t="shared" si="4"/>
        <v>417</v>
      </c>
      <c r="K28" s="49">
        <f t="shared" si="5"/>
        <v>0.4083333333</v>
      </c>
      <c r="L28" s="49">
        <f t="shared" si="6"/>
        <v>0.1944444444</v>
      </c>
      <c r="M28" s="49">
        <f t="shared" si="7"/>
        <v>0.3972222222</v>
      </c>
      <c r="N28" s="32" t="str">
        <f t="shared" si="8"/>
        <v>Jânio</v>
      </c>
      <c r="O28" s="50" t="s">
        <v>77</v>
      </c>
      <c r="P28" s="38">
        <v>175.0</v>
      </c>
      <c r="Q28" s="38">
        <v>132.0</v>
      </c>
      <c r="R28" s="38">
        <v>30.0</v>
      </c>
      <c r="S28" s="38">
        <v>66.0</v>
      </c>
      <c r="T28" s="38">
        <v>14.0</v>
      </c>
      <c r="U28" s="48">
        <f t="shared" si="9"/>
        <v>337</v>
      </c>
      <c r="V28" s="48">
        <f t="shared" si="10"/>
        <v>417</v>
      </c>
      <c r="W28" s="49">
        <f t="shared" si="11"/>
        <v>0.5192878338</v>
      </c>
      <c r="X28" s="49">
        <f t="shared" si="12"/>
        <v>0.3916913947</v>
      </c>
      <c r="Y28" s="49">
        <f t="shared" si="13"/>
        <v>0.08902077151</v>
      </c>
      <c r="Z28" s="32" t="str">
        <f t="shared" si="14"/>
        <v>Jango</v>
      </c>
      <c r="AA28" s="50" t="s">
        <v>77</v>
      </c>
      <c r="AB28" s="24"/>
      <c r="AC28" s="24"/>
      <c r="AD28" s="24"/>
      <c r="AE28" s="122"/>
    </row>
    <row r="29">
      <c r="A29" s="61" t="s">
        <v>111</v>
      </c>
      <c r="B29" s="46" t="s">
        <v>917</v>
      </c>
      <c r="C29" s="47"/>
      <c r="D29" s="38">
        <v>732.0</v>
      </c>
      <c r="E29" s="38">
        <v>236.0</v>
      </c>
      <c r="F29" s="38">
        <v>196.0</v>
      </c>
      <c r="G29" s="38">
        <v>86.0</v>
      </c>
      <c r="H29" s="38">
        <v>82.0</v>
      </c>
      <c r="I29" s="48">
        <f t="shared" si="3"/>
        <v>1164</v>
      </c>
      <c r="J29" s="48">
        <f t="shared" si="4"/>
        <v>1332</v>
      </c>
      <c r="K29" s="49">
        <f t="shared" si="5"/>
        <v>0.6288659794</v>
      </c>
      <c r="L29" s="49">
        <f t="shared" si="6"/>
        <v>0.2027491409</v>
      </c>
      <c r="M29" s="49">
        <f t="shared" si="7"/>
        <v>0.1683848797</v>
      </c>
      <c r="N29" s="32" t="str">
        <f t="shared" si="8"/>
        <v>Jânio</v>
      </c>
      <c r="O29" s="50" t="s">
        <v>77</v>
      </c>
      <c r="P29" s="38">
        <v>295.0</v>
      </c>
      <c r="Q29" s="38">
        <v>552.0</v>
      </c>
      <c r="R29" s="38">
        <v>212.0</v>
      </c>
      <c r="S29" s="38">
        <v>207.0</v>
      </c>
      <c r="T29" s="38">
        <v>66.0</v>
      </c>
      <c r="U29" s="48">
        <f t="shared" si="9"/>
        <v>1059</v>
      </c>
      <c r="V29" s="48">
        <f t="shared" si="10"/>
        <v>1332</v>
      </c>
      <c r="W29" s="49">
        <f t="shared" si="11"/>
        <v>0.2785646837</v>
      </c>
      <c r="X29" s="49">
        <f t="shared" si="12"/>
        <v>0.5212464589</v>
      </c>
      <c r="Y29" s="49">
        <f t="shared" si="13"/>
        <v>0.2001888574</v>
      </c>
      <c r="Z29" s="32" t="str">
        <f t="shared" si="14"/>
        <v>Milton</v>
      </c>
      <c r="AA29" s="50" t="s">
        <v>77</v>
      </c>
      <c r="AB29" s="88">
        <v>2966.0</v>
      </c>
      <c r="AC29" s="89">
        <f>AB29-(V29+V30)</f>
        <v>511</v>
      </c>
      <c r="AD29" s="94">
        <f>(V29+V30)/AB29</f>
        <v>0.8277140931</v>
      </c>
      <c r="AE29" s="122"/>
    </row>
    <row r="30">
      <c r="A30" s="24"/>
      <c r="B30" s="46" t="s">
        <v>918</v>
      </c>
      <c r="C30" s="47"/>
      <c r="D30" s="38">
        <v>282.0</v>
      </c>
      <c r="E30" s="38">
        <v>280.0</v>
      </c>
      <c r="F30" s="38">
        <v>355.0</v>
      </c>
      <c r="G30" s="38">
        <v>154.0</v>
      </c>
      <c r="H30" s="38">
        <v>52.0</v>
      </c>
      <c r="I30" s="48">
        <f t="shared" si="3"/>
        <v>917</v>
      </c>
      <c r="J30" s="48">
        <f t="shared" si="4"/>
        <v>1123</v>
      </c>
      <c r="K30" s="49">
        <f t="shared" si="5"/>
        <v>0.3075245365</v>
      </c>
      <c r="L30" s="49">
        <f t="shared" si="6"/>
        <v>0.3053435115</v>
      </c>
      <c r="M30" s="49">
        <f t="shared" si="7"/>
        <v>0.387131952</v>
      </c>
      <c r="N30" s="32" t="str">
        <f t="shared" si="8"/>
        <v>Adhemar</v>
      </c>
      <c r="O30" s="50" t="s">
        <v>77</v>
      </c>
      <c r="P30" s="38">
        <v>434.0</v>
      </c>
      <c r="Q30" s="38">
        <v>168.0</v>
      </c>
      <c r="R30" s="38">
        <v>180.0</v>
      </c>
      <c r="S30" s="38">
        <v>317.0</v>
      </c>
      <c r="T30" s="38">
        <v>24.0</v>
      </c>
      <c r="U30" s="48">
        <f t="shared" si="9"/>
        <v>782</v>
      </c>
      <c r="V30" s="48">
        <f t="shared" si="10"/>
        <v>1123</v>
      </c>
      <c r="W30" s="49">
        <f t="shared" si="11"/>
        <v>0.5549872123</v>
      </c>
      <c r="X30" s="49">
        <f t="shared" si="12"/>
        <v>0.2148337596</v>
      </c>
      <c r="Y30" s="49">
        <f t="shared" si="13"/>
        <v>0.2301790281</v>
      </c>
      <c r="Z30" s="32" t="str">
        <f t="shared" si="14"/>
        <v>Jango</v>
      </c>
      <c r="AA30" s="50" t="s">
        <v>77</v>
      </c>
      <c r="AB30" s="24"/>
      <c r="AC30" s="24"/>
      <c r="AD30" s="24"/>
      <c r="AE30" s="122"/>
    </row>
    <row r="31">
      <c r="A31" s="45" t="s">
        <v>114</v>
      </c>
      <c r="B31" s="46" t="s">
        <v>919</v>
      </c>
      <c r="C31" s="47"/>
      <c r="D31" s="38">
        <v>1194.0</v>
      </c>
      <c r="E31" s="38">
        <v>1478.0</v>
      </c>
      <c r="F31" s="38">
        <v>350.0</v>
      </c>
      <c r="G31" s="38">
        <v>154.0</v>
      </c>
      <c r="H31" s="38">
        <v>44.0</v>
      </c>
      <c r="I31" s="48">
        <f t="shared" si="3"/>
        <v>3022</v>
      </c>
      <c r="J31" s="48">
        <f t="shared" si="4"/>
        <v>3220</v>
      </c>
      <c r="K31" s="49">
        <f t="shared" si="5"/>
        <v>0.3951025811</v>
      </c>
      <c r="L31" s="49">
        <f t="shared" si="6"/>
        <v>0.4890800794</v>
      </c>
      <c r="M31" s="49">
        <f t="shared" si="7"/>
        <v>0.1158173395</v>
      </c>
      <c r="N31" s="32" t="str">
        <f t="shared" si="8"/>
        <v>Mal. Lott</v>
      </c>
      <c r="O31" s="50" t="s">
        <v>77</v>
      </c>
      <c r="P31" s="38">
        <v>1584.0</v>
      </c>
      <c r="Q31" s="38">
        <v>1039.0</v>
      </c>
      <c r="R31" s="38">
        <v>254.0</v>
      </c>
      <c r="S31" s="38">
        <v>308.0</v>
      </c>
      <c r="T31" s="38">
        <v>35.0</v>
      </c>
      <c r="U31" s="48">
        <f t="shared" si="9"/>
        <v>2877</v>
      </c>
      <c r="V31" s="48">
        <f t="shared" si="10"/>
        <v>3220</v>
      </c>
      <c r="W31" s="49">
        <f t="shared" si="11"/>
        <v>0.5505735141</v>
      </c>
      <c r="X31" s="49">
        <f t="shared" si="12"/>
        <v>0.3611400765</v>
      </c>
      <c r="Y31" s="49">
        <f t="shared" si="13"/>
        <v>0.08828640945</v>
      </c>
      <c r="Z31" s="32" t="str">
        <f t="shared" si="14"/>
        <v>Jango</v>
      </c>
      <c r="AA31" s="50" t="s">
        <v>77</v>
      </c>
      <c r="AB31" s="38">
        <v>3972.0</v>
      </c>
      <c r="AC31" s="48">
        <f>AB31-V31</f>
        <v>752</v>
      </c>
      <c r="AD31" s="51">
        <f>V31/AB31</f>
        <v>0.8106747231</v>
      </c>
      <c r="AE31" s="121"/>
    </row>
    <row r="32">
      <c r="A32" s="61" t="s">
        <v>117</v>
      </c>
      <c r="B32" s="46" t="s">
        <v>920</v>
      </c>
      <c r="C32" s="47"/>
      <c r="D32" s="38">
        <v>453.0</v>
      </c>
      <c r="E32" s="38">
        <v>412.0</v>
      </c>
      <c r="F32" s="38">
        <v>565.0</v>
      </c>
      <c r="G32" s="38">
        <v>151.0</v>
      </c>
      <c r="H32" s="38">
        <v>47.0</v>
      </c>
      <c r="I32" s="48">
        <f t="shared" si="3"/>
        <v>1430</v>
      </c>
      <c r="J32" s="48">
        <f t="shared" si="4"/>
        <v>1628</v>
      </c>
      <c r="K32" s="49">
        <f t="shared" si="5"/>
        <v>0.3167832168</v>
      </c>
      <c r="L32" s="49">
        <f t="shared" si="6"/>
        <v>0.2881118881</v>
      </c>
      <c r="M32" s="49">
        <f t="shared" si="7"/>
        <v>0.3951048951</v>
      </c>
      <c r="N32" s="32" t="str">
        <f t="shared" si="8"/>
        <v>Adhemar</v>
      </c>
      <c r="O32" s="50" t="s">
        <v>77</v>
      </c>
      <c r="P32" s="38">
        <v>798.0</v>
      </c>
      <c r="Q32" s="38">
        <v>332.0</v>
      </c>
      <c r="R32" s="38">
        <v>155.0</v>
      </c>
      <c r="S32" s="38">
        <v>315.0</v>
      </c>
      <c r="T32" s="38">
        <v>28.0</v>
      </c>
      <c r="U32" s="48">
        <f t="shared" si="9"/>
        <v>1285</v>
      </c>
      <c r="V32" s="48">
        <f t="shared" si="10"/>
        <v>1628</v>
      </c>
      <c r="W32" s="49">
        <f t="shared" si="11"/>
        <v>0.6210116732</v>
      </c>
      <c r="X32" s="49">
        <f t="shared" si="12"/>
        <v>0.2583657588</v>
      </c>
      <c r="Y32" s="49">
        <f t="shared" si="13"/>
        <v>0.1206225681</v>
      </c>
      <c r="Z32" s="32" t="str">
        <f t="shared" si="14"/>
        <v>Jango</v>
      </c>
      <c r="AA32" s="50" t="s">
        <v>77</v>
      </c>
      <c r="AB32" s="88">
        <v>2620.0</v>
      </c>
      <c r="AC32" s="89">
        <f>AB32-(V32+V33)</f>
        <v>551</v>
      </c>
      <c r="AD32" s="94">
        <f>(V32+V33)/AB32</f>
        <v>0.7896946565</v>
      </c>
      <c r="AE32" s="122"/>
    </row>
    <row r="33">
      <c r="A33" s="24"/>
      <c r="B33" s="46" t="s">
        <v>921</v>
      </c>
      <c r="C33" s="47"/>
      <c r="D33" s="38">
        <v>156.0</v>
      </c>
      <c r="E33" s="38">
        <v>55.0</v>
      </c>
      <c r="F33" s="38">
        <v>194.0</v>
      </c>
      <c r="G33" s="38">
        <v>15.0</v>
      </c>
      <c r="H33" s="38">
        <v>21.0</v>
      </c>
      <c r="I33" s="48">
        <f t="shared" si="3"/>
        <v>405</v>
      </c>
      <c r="J33" s="48">
        <f t="shared" si="4"/>
        <v>441</v>
      </c>
      <c r="K33" s="49">
        <f t="shared" si="5"/>
        <v>0.3851851852</v>
      </c>
      <c r="L33" s="49">
        <f t="shared" si="6"/>
        <v>0.1358024691</v>
      </c>
      <c r="M33" s="49">
        <f t="shared" si="7"/>
        <v>0.4790123457</v>
      </c>
      <c r="N33" s="32" t="str">
        <f t="shared" si="8"/>
        <v>Adhemar</v>
      </c>
      <c r="O33" s="50" t="s">
        <v>77</v>
      </c>
      <c r="P33" s="38">
        <v>206.0</v>
      </c>
      <c r="Q33" s="38">
        <v>115.0</v>
      </c>
      <c r="R33" s="38">
        <v>60.0</v>
      </c>
      <c r="S33" s="38">
        <v>40.0</v>
      </c>
      <c r="T33" s="38">
        <v>20.0</v>
      </c>
      <c r="U33" s="48">
        <f t="shared" si="9"/>
        <v>381</v>
      </c>
      <c r="V33" s="48">
        <f t="shared" si="10"/>
        <v>441</v>
      </c>
      <c r="W33" s="49">
        <f t="shared" si="11"/>
        <v>0.5406824147</v>
      </c>
      <c r="X33" s="49">
        <f t="shared" si="12"/>
        <v>0.3018372703</v>
      </c>
      <c r="Y33" s="49">
        <f t="shared" si="13"/>
        <v>0.157480315</v>
      </c>
      <c r="Z33" s="32" t="str">
        <f t="shared" si="14"/>
        <v>Jango</v>
      </c>
      <c r="AA33" s="50" t="s">
        <v>77</v>
      </c>
      <c r="AB33" s="24"/>
      <c r="AC33" s="24"/>
      <c r="AD33" s="24"/>
      <c r="AE33" s="122"/>
    </row>
    <row r="34">
      <c r="A34" s="61" t="s">
        <v>119</v>
      </c>
      <c r="B34" s="46" t="s">
        <v>922</v>
      </c>
      <c r="C34" s="47"/>
      <c r="D34" s="38">
        <v>1314.0</v>
      </c>
      <c r="E34" s="38">
        <v>1596.0</v>
      </c>
      <c r="F34" s="38">
        <v>625.0</v>
      </c>
      <c r="G34" s="38">
        <v>158.0</v>
      </c>
      <c r="H34" s="38">
        <v>137.0</v>
      </c>
      <c r="I34" s="48">
        <f t="shared" si="3"/>
        <v>3535</v>
      </c>
      <c r="J34" s="48">
        <f t="shared" si="4"/>
        <v>3830</v>
      </c>
      <c r="K34" s="49">
        <f t="shared" si="5"/>
        <v>0.3717114569</v>
      </c>
      <c r="L34" s="49">
        <f t="shared" si="6"/>
        <v>0.4514851485</v>
      </c>
      <c r="M34" s="49">
        <f t="shared" si="7"/>
        <v>0.1768033946</v>
      </c>
      <c r="N34" s="32" t="str">
        <f t="shared" si="8"/>
        <v>Mal. Lott</v>
      </c>
      <c r="O34" s="50" t="s">
        <v>77</v>
      </c>
      <c r="P34" s="38">
        <v>1921.0</v>
      </c>
      <c r="Q34" s="38">
        <v>597.0</v>
      </c>
      <c r="R34" s="38">
        <v>849.0</v>
      </c>
      <c r="S34" s="38">
        <v>344.0</v>
      </c>
      <c r="T34" s="38">
        <v>119.0</v>
      </c>
      <c r="U34" s="48">
        <f t="shared" si="9"/>
        <v>3367</v>
      </c>
      <c r="V34" s="48">
        <f t="shared" si="10"/>
        <v>3830</v>
      </c>
      <c r="W34" s="49">
        <f t="shared" si="11"/>
        <v>0.5705375705</v>
      </c>
      <c r="X34" s="49">
        <f t="shared" si="12"/>
        <v>0.1773091773</v>
      </c>
      <c r="Y34" s="49">
        <f t="shared" si="13"/>
        <v>0.2521532522</v>
      </c>
      <c r="Z34" s="32" t="str">
        <f t="shared" si="14"/>
        <v>Jango</v>
      </c>
      <c r="AA34" s="50" t="s">
        <v>77</v>
      </c>
      <c r="AB34" s="88">
        <v>6080.0</v>
      </c>
      <c r="AC34" s="89">
        <f>AB34-(V34+V35)</f>
        <v>1392</v>
      </c>
      <c r="AD34" s="94">
        <f>(V34+V35)/AB34</f>
        <v>0.7710526316</v>
      </c>
      <c r="AE34" s="122"/>
    </row>
    <row r="35">
      <c r="A35" s="24"/>
      <c r="B35" s="46" t="s">
        <v>923</v>
      </c>
      <c r="C35" s="47"/>
      <c r="D35" s="38">
        <v>414.0</v>
      </c>
      <c r="E35" s="38">
        <v>117.0</v>
      </c>
      <c r="F35" s="38">
        <v>251.0</v>
      </c>
      <c r="G35" s="38">
        <v>46.0</v>
      </c>
      <c r="H35" s="38">
        <v>30.0</v>
      </c>
      <c r="I35" s="48">
        <f t="shared" si="3"/>
        <v>782</v>
      </c>
      <c r="J35" s="48">
        <f t="shared" si="4"/>
        <v>858</v>
      </c>
      <c r="K35" s="49">
        <f t="shared" si="5"/>
        <v>0.5294117647</v>
      </c>
      <c r="L35" s="49">
        <f t="shared" si="6"/>
        <v>0.1496163683</v>
      </c>
      <c r="M35" s="49">
        <f t="shared" si="7"/>
        <v>0.320971867</v>
      </c>
      <c r="N35" s="32" t="str">
        <f t="shared" si="8"/>
        <v>Jânio</v>
      </c>
      <c r="O35" s="50" t="s">
        <v>77</v>
      </c>
      <c r="P35" s="38">
        <v>253.0</v>
      </c>
      <c r="Q35" s="38">
        <v>251.0</v>
      </c>
      <c r="R35" s="38">
        <v>223.0</v>
      </c>
      <c r="S35" s="38">
        <v>113.0</v>
      </c>
      <c r="T35" s="38">
        <v>18.0</v>
      </c>
      <c r="U35" s="48">
        <f t="shared" si="9"/>
        <v>727</v>
      </c>
      <c r="V35" s="48">
        <f t="shared" si="10"/>
        <v>858</v>
      </c>
      <c r="W35" s="49">
        <f t="shared" si="11"/>
        <v>0.3480055021</v>
      </c>
      <c r="X35" s="49">
        <f t="shared" si="12"/>
        <v>0.3452544704</v>
      </c>
      <c r="Y35" s="49">
        <f t="shared" si="13"/>
        <v>0.3067400275</v>
      </c>
      <c r="Z35" s="32" t="str">
        <f t="shared" si="14"/>
        <v>Jango</v>
      </c>
      <c r="AA35" s="50" t="s">
        <v>77</v>
      </c>
      <c r="AB35" s="24"/>
      <c r="AC35" s="24"/>
      <c r="AD35" s="24"/>
      <c r="AE35" s="122"/>
    </row>
    <row r="36">
      <c r="A36" s="61" t="s">
        <v>123</v>
      </c>
      <c r="B36" s="46" t="s">
        <v>924</v>
      </c>
      <c r="C36" s="47"/>
      <c r="D36" s="38">
        <v>904.0</v>
      </c>
      <c r="E36" s="38">
        <v>427.0</v>
      </c>
      <c r="F36" s="38">
        <v>559.0</v>
      </c>
      <c r="G36" s="38">
        <v>141.0</v>
      </c>
      <c r="H36" s="38">
        <v>93.0</v>
      </c>
      <c r="I36" s="48">
        <f t="shared" si="3"/>
        <v>1890</v>
      </c>
      <c r="J36" s="48">
        <f t="shared" si="4"/>
        <v>2124</v>
      </c>
      <c r="K36" s="49">
        <f t="shared" si="5"/>
        <v>0.4783068783</v>
      </c>
      <c r="L36" s="49">
        <f t="shared" si="6"/>
        <v>0.2259259259</v>
      </c>
      <c r="M36" s="49">
        <f t="shared" si="7"/>
        <v>0.2957671958</v>
      </c>
      <c r="N36" s="32" t="str">
        <f t="shared" si="8"/>
        <v>Jânio</v>
      </c>
      <c r="O36" s="50" t="s">
        <v>77</v>
      </c>
      <c r="P36" s="38">
        <v>804.0</v>
      </c>
      <c r="Q36" s="38">
        <v>656.0</v>
      </c>
      <c r="R36" s="38">
        <v>280.0</v>
      </c>
      <c r="S36" s="38">
        <v>308.0</v>
      </c>
      <c r="T36" s="38">
        <v>76.0</v>
      </c>
      <c r="U36" s="48">
        <f t="shared" si="9"/>
        <v>1740</v>
      </c>
      <c r="V36" s="48">
        <f t="shared" si="10"/>
        <v>2124</v>
      </c>
      <c r="W36" s="49">
        <f t="shared" si="11"/>
        <v>0.4620689655</v>
      </c>
      <c r="X36" s="49">
        <f t="shared" si="12"/>
        <v>0.3770114943</v>
      </c>
      <c r="Y36" s="49">
        <f t="shared" si="13"/>
        <v>0.1609195402</v>
      </c>
      <c r="Z36" s="32" t="str">
        <f t="shared" si="14"/>
        <v>Jango</v>
      </c>
      <c r="AA36" s="50" t="s">
        <v>77</v>
      </c>
      <c r="AB36" s="88">
        <v>4017.0</v>
      </c>
      <c r="AC36" s="89">
        <f>AB36-(V36+V37)</f>
        <v>829</v>
      </c>
      <c r="AD36" s="94">
        <f>(V36+V37)/AB36</f>
        <v>0.7936270849</v>
      </c>
      <c r="AE36" s="122"/>
    </row>
    <row r="37">
      <c r="A37" s="24"/>
      <c r="B37" s="46" t="s">
        <v>925</v>
      </c>
      <c r="C37" s="47"/>
      <c r="D37" s="38">
        <v>559.0</v>
      </c>
      <c r="E37" s="38">
        <v>105.0</v>
      </c>
      <c r="F37" s="38">
        <v>262.0</v>
      </c>
      <c r="G37" s="38">
        <v>99.0</v>
      </c>
      <c r="H37" s="38">
        <v>39.0</v>
      </c>
      <c r="I37" s="48">
        <f t="shared" si="3"/>
        <v>926</v>
      </c>
      <c r="J37" s="48">
        <f t="shared" si="4"/>
        <v>1064</v>
      </c>
      <c r="K37" s="49">
        <f t="shared" si="5"/>
        <v>0.6036717063</v>
      </c>
      <c r="L37" s="49">
        <f t="shared" si="6"/>
        <v>0.1133909287</v>
      </c>
      <c r="M37" s="49">
        <f t="shared" si="7"/>
        <v>0.282937365</v>
      </c>
      <c r="N37" s="32" t="str">
        <f t="shared" si="8"/>
        <v>Jânio</v>
      </c>
      <c r="O37" s="50" t="s">
        <v>77</v>
      </c>
      <c r="P37" s="38">
        <v>221.0</v>
      </c>
      <c r="Q37" s="38">
        <v>498.0</v>
      </c>
      <c r="R37" s="38">
        <v>96.0</v>
      </c>
      <c r="S37" s="38">
        <v>209.0</v>
      </c>
      <c r="T37" s="38">
        <v>40.0</v>
      </c>
      <c r="U37" s="48">
        <f t="shared" si="9"/>
        <v>815</v>
      </c>
      <c r="V37" s="48">
        <f t="shared" si="10"/>
        <v>1064</v>
      </c>
      <c r="W37" s="49">
        <f t="shared" si="11"/>
        <v>0.2711656442</v>
      </c>
      <c r="X37" s="49">
        <f t="shared" si="12"/>
        <v>0.6110429448</v>
      </c>
      <c r="Y37" s="49">
        <f t="shared" si="13"/>
        <v>0.117791411</v>
      </c>
      <c r="Z37" s="32" t="str">
        <f t="shared" si="14"/>
        <v>Milton</v>
      </c>
      <c r="AA37" s="50" t="s">
        <v>77</v>
      </c>
      <c r="AB37" s="24"/>
      <c r="AC37" s="24"/>
      <c r="AD37" s="24"/>
      <c r="AE37" s="122"/>
    </row>
    <row r="38">
      <c r="A38" s="61" t="s">
        <v>125</v>
      </c>
      <c r="B38" s="46" t="s">
        <v>926</v>
      </c>
      <c r="C38" s="47"/>
      <c r="D38" s="38">
        <v>257.0</v>
      </c>
      <c r="E38" s="38">
        <v>645.0</v>
      </c>
      <c r="F38" s="38">
        <v>268.0</v>
      </c>
      <c r="G38" s="38">
        <v>93.0</v>
      </c>
      <c r="H38" s="38">
        <v>52.0</v>
      </c>
      <c r="I38" s="48">
        <f t="shared" si="3"/>
        <v>1170</v>
      </c>
      <c r="J38" s="48">
        <f t="shared" si="4"/>
        <v>1315</v>
      </c>
      <c r="K38" s="49">
        <f t="shared" si="5"/>
        <v>0.2196581197</v>
      </c>
      <c r="L38" s="49">
        <f t="shared" si="6"/>
        <v>0.5512820513</v>
      </c>
      <c r="M38" s="49">
        <f t="shared" si="7"/>
        <v>0.2290598291</v>
      </c>
      <c r="N38" s="32" t="str">
        <f t="shared" si="8"/>
        <v>Mal. Lott</v>
      </c>
      <c r="O38" s="50" t="s">
        <v>77</v>
      </c>
      <c r="P38" s="38">
        <v>720.0</v>
      </c>
      <c r="Q38" s="38">
        <v>154.0</v>
      </c>
      <c r="R38" s="38">
        <v>135.0</v>
      </c>
      <c r="S38" s="38">
        <v>255.0</v>
      </c>
      <c r="T38" s="38">
        <v>51.0</v>
      </c>
      <c r="U38" s="48">
        <f t="shared" si="9"/>
        <v>1009</v>
      </c>
      <c r="V38" s="48">
        <f t="shared" si="10"/>
        <v>1315</v>
      </c>
      <c r="W38" s="49">
        <f t="shared" si="11"/>
        <v>0.7135777998</v>
      </c>
      <c r="X38" s="49">
        <f t="shared" si="12"/>
        <v>0.1526263627</v>
      </c>
      <c r="Y38" s="49">
        <f t="shared" si="13"/>
        <v>0.1337958375</v>
      </c>
      <c r="Z38" s="32" t="str">
        <f t="shared" si="14"/>
        <v>Jango</v>
      </c>
      <c r="AA38" s="50" t="s">
        <v>77</v>
      </c>
      <c r="AB38" s="88">
        <v>4265.0</v>
      </c>
      <c r="AC38" s="89">
        <f>AB38-(V38+V39+V40)</f>
        <v>1038</v>
      </c>
      <c r="AD38" s="94">
        <f>(V38+V39+V40)/AB38</f>
        <v>0.7566236811</v>
      </c>
      <c r="AE38" s="122"/>
    </row>
    <row r="39">
      <c r="A39" s="23"/>
      <c r="B39" s="46" t="s">
        <v>927</v>
      </c>
      <c r="C39" s="47"/>
      <c r="D39" s="38">
        <v>416.0</v>
      </c>
      <c r="E39" s="38">
        <v>333.0</v>
      </c>
      <c r="F39" s="38">
        <v>290.0</v>
      </c>
      <c r="G39" s="38">
        <v>152.0</v>
      </c>
      <c r="H39" s="38">
        <v>95.0</v>
      </c>
      <c r="I39" s="48">
        <f t="shared" si="3"/>
        <v>1039</v>
      </c>
      <c r="J39" s="48">
        <f t="shared" si="4"/>
        <v>1286</v>
      </c>
      <c r="K39" s="49">
        <f t="shared" si="5"/>
        <v>0.4003849856</v>
      </c>
      <c r="L39" s="49">
        <f t="shared" si="6"/>
        <v>0.3205004812</v>
      </c>
      <c r="M39" s="49">
        <f t="shared" si="7"/>
        <v>0.2791145332</v>
      </c>
      <c r="N39" s="32" t="str">
        <f t="shared" si="8"/>
        <v>Jânio</v>
      </c>
      <c r="O39" s="50" t="s">
        <v>77</v>
      </c>
      <c r="P39" s="38">
        <v>533.0</v>
      </c>
      <c r="Q39" s="38">
        <v>263.0</v>
      </c>
      <c r="R39" s="38">
        <v>133.0</v>
      </c>
      <c r="S39" s="38">
        <v>252.0</v>
      </c>
      <c r="T39" s="38">
        <v>105.0</v>
      </c>
      <c r="U39" s="48">
        <f t="shared" si="9"/>
        <v>929</v>
      </c>
      <c r="V39" s="48">
        <f t="shared" si="10"/>
        <v>1286</v>
      </c>
      <c r="W39" s="49">
        <f t="shared" si="11"/>
        <v>0.5737351991</v>
      </c>
      <c r="X39" s="49">
        <f t="shared" si="12"/>
        <v>0.2831001076</v>
      </c>
      <c r="Y39" s="49">
        <f t="shared" si="13"/>
        <v>0.1431646932</v>
      </c>
      <c r="Z39" s="32" t="str">
        <f t="shared" si="14"/>
        <v>Jango</v>
      </c>
      <c r="AA39" s="50" t="s">
        <v>77</v>
      </c>
      <c r="AB39" s="23"/>
      <c r="AC39" s="23"/>
      <c r="AD39" s="23"/>
      <c r="AE39" s="122"/>
    </row>
    <row r="40">
      <c r="A40" s="24"/>
      <c r="B40" s="46" t="s">
        <v>928</v>
      </c>
      <c r="C40" s="47"/>
      <c r="D40" s="38">
        <v>130.0</v>
      </c>
      <c r="E40" s="38">
        <v>259.0</v>
      </c>
      <c r="F40" s="38">
        <v>187.0</v>
      </c>
      <c r="G40" s="38">
        <v>46.0</v>
      </c>
      <c r="H40" s="38">
        <v>4.0</v>
      </c>
      <c r="I40" s="48">
        <f t="shared" si="3"/>
        <v>576</v>
      </c>
      <c r="J40" s="48">
        <f t="shared" si="4"/>
        <v>626</v>
      </c>
      <c r="K40" s="49">
        <f t="shared" si="5"/>
        <v>0.2256944444</v>
      </c>
      <c r="L40" s="49">
        <f t="shared" si="6"/>
        <v>0.4496527778</v>
      </c>
      <c r="M40" s="49">
        <f t="shared" si="7"/>
        <v>0.3246527778</v>
      </c>
      <c r="N40" s="32" t="str">
        <f t="shared" si="8"/>
        <v>Mal. Lott</v>
      </c>
      <c r="O40" s="50" t="s">
        <v>77</v>
      </c>
      <c r="P40" s="38">
        <v>360.0</v>
      </c>
      <c r="Q40" s="38">
        <v>122.0</v>
      </c>
      <c r="R40" s="38">
        <v>52.0</v>
      </c>
      <c r="S40" s="38">
        <v>78.0</v>
      </c>
      <c r="T40" s="38">
        <v>14.0</v>
      </c>
      <c r="U40" s="48">
        <f t="shared" si="9"/>
        <v>534</v>
      </c>
      <c r="V40" s="48">
        <f t="shared" si="10"/>
        <v>626</v>
      </c>
      <c r="W40" s="49">
        <f t="shared" si="11"/>
        <v>0.6741573034</v>
      </c>
      <c r="X40" s="49">
        <f t="shared" si="12"/>
        <v>0.2284644195</v>
      </c>
      <c r="Y40" s="49">
        <f t="shared" si="13"/>
        <v>0.09737827715</v>
      </c>
      <c r="Z40" s="32" t="str">
        <f t="shared" si="14"/>
        <v>Jango</v>
      </c>
      <c r="AA40" s="50" t="s">
        <v>77</v>
      </c>
      <c r="AB40" s="24"/>
      <c r="AC40" s="24"/>
      <c r="AD40" s="24"/>
      <c r="AE40" s="122"/>
    </row>
    <row r="41">
      <c r="A41" s="61" t="s">
        <v>127</v>
      </c>
      <c r="B41" s="46" t="s">
        <v>929</v>
      </c>
      <c r="C41" s="47"/>
      <c r="D41" s="38">
        <v>908.0</v>
      </c>
      <c r="E41" s="38">
        <v>1514.0</v>
      </c>
      <c r="F41" s="38">
        <v>339.0</v>
      </c>
      <c r="G41" s="38">
        <v>189.0</v>
      </c>
      <c r="H41" s="38">
        <v>100.0</v>
      </c>
      <c r="I41" s="48">
        <f t="shared" si="3"/>
        <v>2761</v>
      </c>
      <c r="J41" s="48">
        <f t="shared" si="4"/>
        <v>3050</v>
      </c>
      <c r="K41" s="49">
        <f t="shared" si="5"/>
        <v>0.3288663528</v>
      </c>
      <c r="L41" s="49">
        <f t="shared" si="6"/>
        <v>0.5483520464</v>
      </c>
      <c r="M41" s="49">
        <f t="shared" si="7"/>
        <v>0.1227816009</v>
      </c>
      <c r="N41" s="32" t="str">
        <f t="shared" si="8"/>
        <v>Mal. Lott</v>
      </c>
      <c r="O41" s="50" t="s">
        <v>77</v>
      </c>
      <c r="P41" s="38">
        <v>1809.0</v>
      </c>
      <c r="Q41" s="38">
        <v>591.0</v>
      </c>
      <c r="R41" s="38">
        <v>279.0</v>
      </c>
      <c r="S41" s="38">
        <v>319.0</v>
      </c>
      <c r="T41" s="38">
        <v>52.0</v>
      </c>
      <c r="U41" s="48">
        <f t="shared" si="9"/>
        <v>2679</v>
      </c>
      <c r="V41" s="48">
        <f t="shared" si="10"/>
        <v>3050</v>
      </c>
      <c r="W41" s="49">
        <f t="shared" si="11"/>
        <v>0.6752519597</v>
      </c>
      <c r="X41" s="49">
        <f t="shared" si="12"/>
        <v>0.2206047032</v>
      </c>
      <c r="Y41" s="49">
        <f t="shared" si="13"/>
        <v>0.1041433371</v>
      </c>
      <c r="Z41" s="32" t="str">
        <f t="shared" si="14"/>
        <v>Jango</v>
      </c>
      <c r="AA41" s="50" t="s">
        <v>77</v>
      </c>
      <c r="AB41" s="88">
        <v>5162.0</v>
      </c>
      <c r="AC41" s="89">
        <f>AB41-(V41+V42+V43)</f>
        <v>829</v>
      </c>
      <c r="AD41" s="94">
        <f>(V41+V42+V43)/AB41</f>
        <v>0.839403332</v>
      </c>
      <c r="AE41" s="122"/>
    </row>
    <row r="42">
      <c r="A42" s="23"/>
      <c r="B42" s="46" t="s">
        <v>930</v>
      </c>
      <c r="C42" s="47"/>
      <c r="D42" s="38">
        <v>472.0</v>
      </c>
      <c r="E42" s="38">
        <v>61.0</v>
      </c>
      <c r="F42" s="38">
        <v>181.0</v>
      </c>
      <c r="G42" s="38">
        <v>60.0</v>
      </c>
      <c r="H42" s="38">
        <v>25.0</v>
      </c>
      <c r="I42" s="48">
        <f t="shared" si="3"/>
        <v>714</v>
      </c>
      <c r="J42" s="48">
        <f t="shared" si="4"/>
        <v>799</v>
      </c>
      <c r="K42" s="49">
        <f t="shared" si="5"/>
        <v>0.6610644258</v>
      </c>
      <c r="L42" s="49">
        <f t="shared" si="6"/>
        <v>0.08543417367</v>
      </c>
      <c r="M42" s="49">
        <f t="shared" si="7"/>
        <v>0.2535014006</v>
      </c>
      <c r="N42" s="32" t="str">
        <f t="shared" si="8"/>
        <v>Jânio</v>
      </c>
      <c r="O42" s="50" t="s">
        <v>77</v>
      </c>
      <c r="P42" s="38">
        <v>168.0</v>
      </c>
      <c r="Q42" s="38">
        <v>332.0</v>
      </c>
      <c r="R42" s="38">
        <v>101.0</v>
      </c>
      <c r="S42" s="38">
        <v>182.0</v>
      </c>
      <c r="T42" s="38">
        <v>16.0</v>
      </c>
      <c r="U42" s="48">
        <f t="shared" si="9"/>
        <v>601</v>
      </c>
      <c r="V42" s="48">
        <f t="shared" si="10"/>
        <v>799</v>
      </c>
      <c r="W42" s="49">
        <f t="shared" si="11"/>
        <v>0.2795341098</v>
      </c>
      <c r="X42" s="49">
        <f t="shared" si="12"/>
        <v>0.5524126456</v>
      </c>
      <c r="Y42" s="49">
        <f t="shared" si="13"/>
        <v>0.1680532446</v>
      </c>
      <c r="Z42" s="32" t="str">
        <f t="shared" si="14"/>
        <v>Milton</v>
      </c>
      <c r="AA42" s="50" t="s">
        <v>77</v>
      </c>
      <c r="AB42" s="23"/>
      <c r="AC42" s="23"/>
      <c r="AD42" s="23"/>
      <c r="AE42" s="122"/>
    </row>
    <row r="43">
      <c r="A43" s="24"/>
      <c r="B43" s="46" t="s">
        <v>931</v>
      </c>
      <c r="C43" s="47"/>
      <c r="D43" s="38">
        <v>139.0</v>
      </c>
      <c r="E43" s="38">
        <v>128.0</v>
      </c>
      <c r="F43" s="38">
        <v>165.0</v>
      </c>
      <c r="G43" s="38">
        <v>39.0</v>
      </c>
      <c r="H43" s="38">
        <v>13.0</v>
      </c>
      <c r="I43" s="48">
        <f t="shared" si="3"/>
        <v>432</v>
      </c>
      <c r="J43" s="48">
        <f t="shared" si="4"/>
        <v>484</v>
      </c>
      <c r="K43" s="49">
        <f t="shared" si="5"/>
        <v>0.3217592593</v>
      </c>
      <c r="L43" s="49">
        <f t="shared" si="6"/>
        <v>0.2962962963</v>
      </c>
      <c r="M43" s="49">
        <f t="shared" si="7"/>
        <v>0.3819444444</v>
      </c>
      <c r="N43" s="32" t="str">
        <f t="shared" si="8"/>
        <v>Adhemar</v>
      </c>
      <c r="O43" s="50" t="s">
        <v>77</v>
      </c>
      <c r="P43" s="38">
        <v>218.0</v>
      </c>
      <c r="Q43" s="38">
        <v>104.0</v>
      </c>
      <c r="R43" s="38">
        <v>61.0</v>
      </c>
      <c r="S43" s="38">
        <v>90.0</v>
      </c>
      <c r="T43" s="38">
        <v>11.0</v>
      </c>
      <c r="U43" s="48">
        <f t="shared" si="9"/>
        <v>383</v>
      </c>
      <c r="V43" s="48">
        <f t="shared" si="10"/>
        <v>484</v>
      </c>
      <c r="W43" s="49">
        <f t="shared" si="11"/>
        <v>0.5691906005</v>
      </c>
      <c r="X43" s="49">
        <f t="shared" si="12"/>
        <v>0.27154047</v>
      </c>
      <c r="Y43" s="49">
        <f t="shared" si="13"/>
        <v>0.1592689295</v>
      </c>
      <c r="Z43" s="32" t="str">
        <f t="shared" si="14"/>
        <v>Jango</v>
      </c>
      <c r="AA43" s="50" t="s">
        <v>77</v>
      </c>
      <c r="AB43" s="24"/>
      <c r="AC43" s="24"/>
      <c r="AD43" s="24"/>
      <c r="AE43" s="122"/>
    </row>
    <row r="44">
      <c r="A44" s="61" t="s">
        <v>129</v>
      </c>
      <c r="B44" s="46" t="s">
        <v>932</v>
      </c>
      <c r="C44" s="47"/>
      <c r="D44" s="38">
        <v>1543.0</v>
      </c>
      <c r="E44" s="38">
        <v>570.0</v>
      </c>
      <c r="F44" s="38">
        <v>533.0</v>
      </c>
      <c r="G44" s="38">
        <v>136.0</v>
      </c>
      <c r="H44" s="38">
        <v>194.0</v>
      </c>
      <c r="I44" s="48">
        <f t="shared" si="3"/>
        <v>2646</v>
      </c>
      <c r="J44" s="48">
        <f t="shared" si="4"/>
        <v>2976</v>
      </c>
      <c r="K44" s="49">
        <f t="shared" si="5"/>
        <v>0.5831443689</v>
      </c>
      <c r="L44" s="49">
        <f t="shared" si="6"/>
        <v>0.2154195011</v>
      </c>
      <c r="M44" s="49">
        <f t="shared" si="7"/>
        <v>0.20143613</v>
      </c>
      <c r="N44" s="32" t="str">
        <f t="shared" si="8"/>
        <v>Jânio</v>
      </c>
      <c r="O44" s="50" t="s">
        <v>77</v>
      </c>
      <c r="P44" s="38">
        <v>963.0</v>
      </c>
      <c r="Q44" s="38">
        <v>1021.0</v>
      </c>
      <c r="R44" s="38">
        <v>372.0</v>
      </c>
      <c r="S44" s="38">
        <v>285.0</v>
      </c>
      <c r="T44" s="38">
        <v>335.0</v>
      </c>
      <c r="U44" s="48">
        <f t="shared" si="9"/>
        <v>2356</v>
      </c>
      <c r="V44" s="48">
        <f t="shared" si="10"/>
        <v>2976</v>
      </c>
      <c r="W44" s="49">
        <f t="shared" si="11"/>
        <v>0.4087436333</v>
      </c>
      <c r="X44" s="49">
        <f t="shared" si="12"/>
        <v>0.4333616299</v>
      </c>
      <c r="Y44" s="49">
        <f t="shared" si="13"/>
        <v>0.1578947368</v>
      </c>
      <c r="Z44" s="32" t="str">
        <f t="shared" si="14"/>
        <v>Milton</v>
      </c>
      <c r="AA44" s="50" t="s">
        <v>77</v>
      </c>
      <c r="AB44" s="88">
        <v>7381.0</v>
      </c>
      <c r="AC44" s="89">
        <f>AB44-(V44+V45+V46+V47+V48)</f>
        <v>1327</v>
      </c>
      <c r="AD44" s="94">
        <f>(V44+V45+V46+V47+V48)/AB44</f>
        <v>0.8202140631</v>
      </c>
      <c r="AE44" s="122"/>
    </row>
    <row r="45">
      <c r="A45" s="23"/>
      <c r="B45" s="46" t="s">
        <v>933</v>
      </c>
      <c r="C45" s="47"/>
      <c r="D45" s="38">
        <v>853.0</v>
      </c>
      <c r="E45" s="38">
        <v>130.0</v>
      </c>
      <c r="F45" s="38">
        <v>291.0</v>
      </c>
      <c r="G45" s="38">
        <v>51.0</v>
      </c>
      <c r="H45" s="38">
        <v>112.0</v>
      </c>
      <c r="I45" s="48">
        <f t="shared" si="3"/>
        <v>1274</v>
      </c>
      <c r="J45" s="48">
        <f t="shared" si="4"/>
        <v>1437</v>
      </c>
      <c r="K45" s="49">
        <f t="shared" si="5"/>
        <v>0.669544741</v>
      </c>
      <c r="L45" s="49">
        <f t="shared" si="6"/>
        <v>0.1020408163</v>
      </c>
      <c r="M45" s="49">
        <f t="shared" si="7"/>
        <v>0.2284144427</v>
      </c>
      <c r="N45" s="32" t="str">
        <f t="shared" si="8"/>
        <v>Jânio</v>
      </c>
      <c r="O45" s="50" t="s">
        <v>77</v>
      </c>
      <c r="P45" s="38">
        <v>344.0</v>
      </c>
      <c r="Q45" s="38">
        <v>718.0</v>
      </c>
      <c r="R45" s="38">
        <v>124.0</v>
      </c>
      <c r="S45" s="38">
        <v>99.0</v>
      </c>
      <c r="T45" s="38">
        <v>152.0</v>
      </c>
      <c r="U45" s="48">
        <f t="shared" si="9"/>
        <v>1186</v>
      </c>
      <c r="V45" s="48">
        <f t="shared" si="10"/>
        <v>1437</v>
      </c>
      <c r="W45" s="49">
        <f t="shared" si="11"/>
        <v>0.2900505902</v>
      </c>
      <c r="X45" s="49">
        <f t="shared" si="12"/>
        <v>0.6053962901</v>
      </c>
      <c r="Y45" s="49">
        <f t="shared" si="13"/>
        <v>0.1045531197</v>
      </c>
      <c r="Z45" s="32" t="str">
        <f t="shared" si="14"/>
        <v>Milton</v>
      </c>
      <c r="AA45" s="50" t="s">
        <v>77</v>
      </c>
      <c r="AB45" s="23"/>
      <c r="AC45" s="23"/>
      <c r="AD45" s="23"/>
      <c r="AE45" s="122"/>
    </row>
    <row r="46">
      <c r="A46" s="23"/>
      <c r="B46" s="46" t="s">
        <v>934</v>
      </c>
      <c r="C46" s="47"/>
      <c r="D46" s="38">
        <v>268.0</v>
      </c>
      <c r="E46" s="38">
        <v>103.0</v>
      </c>
      <c r="F46" s="38">
        <v>136.0</v>
      </c>
      <c r="G46" s="38">
        <v>37.0</v>
      </c>
      <c r="H46" s="38">
        <v>52.0</v>
      </c>
      <c r="I46" s="48">
        <f t="shared" si="3"/>
        <v>507</v>
      </c>
      <c r="J46" s="48">
        <f t="shared" si="4"/>
        <v>596</v>
      </c>
      <c r="K46" s="49">
        <f t="shared" si="5"/>
        <v>0.5285996055</v>
      </c>
      <c r="L46" s="49">
        <f t="shared" si="6"/>
        <v>0.2031558185</v>
      </c>
      <c r="M46" s="49">
        <f t="shared" si="7"/>
        <v>0.2682445759</v>
      </c>
      <c r="N46" s="32" t="str">
        <f t="shared" si="8"/>
        <v>Jânio</v>
      </c>
      <c r="O46" s="50" t="s">
        <v>77</v>
      </c>
      <c r="P46" s="38">
        <v>186.0</v>
      </c>
      <c r="Q46" s="38">
        <v>162.0</v>
      </c>
      <c r="R46" s="38">
        <v>65.0</v>
      </c>
      <c r="S46" s="38">
        <v>77.0</v>
      </c>
      <c r="T46" s="38">
        <v>106.0</v>
      </c>
      <c r="U46" s="48">
        <f t="shared" si="9"/>
        <v>413</v>
      </c>
      <c r="V46" s="48">
        <f t="shared" si="10"/>
        <v>596</v>
      </c>
      <c r="W46" s="49">
        <f t="shared" si="11"/>
        <v>0.4503631961</v>
      </c>
      <c r="X46" s="49">
        <f t="shared" si="12"/>
        <v>0.392251816</v>
      </c>
      <c r="Y46" s="49">
        <f t="shared" si="13"/>
        <v>0.1573849879</v>
      </c>
      <c r="Z46" s="32" t="str">
        <f t="shared" si="14"/>
        <v>Jango</v>
      </c>
      <c r="AA46" s="50" t="s">
        <v>77</v>
      </c>
      <c r="AB46" s="23"/>
      <c r="AC46" s="23"/>
      <c r="AD46" s="23"/>
      <c r="AE46" s="122"/>
    </row>
    <row r="47">
      <c r="A47" s="23"/>
      <c r="B47" s="46" t="s">
        <v>935</v>
      </c>
      <c r="C47" s="47"/>
      <c r="D47" s="38">
        <v>396.0</v>
      </c>
      <c r="E47" s="38">
        <v>60.0</v>
      </c>
      <c r="F47" s="38">
        <v>119.0</v>
      </c>
      <c r="G47" s="38">
        <v>15.0</v>
      </c>
      <c r="H47" s="38">
        <v>62.0</v>
      </c>
      <c r="I47" s="48">
        <f t="shared" si="3"/>
        <v>575</v>
      </c>
      <c r="J47" s="48">
        <f t="shared" si="4"/>
        <v>652</v>
      </c>
      <c r="K47" s="49">
        <f t="shared" si="5"/>
        <v>0.6886956522</v>
      </c>
      <c r="L47" s="49">
        <f t="shared" si="6"/>
        <v>0.1043478261</v>
      </c>
      <c r="M47" s="49">
        <f t="shared" si="7"/>
        <v>0.2069565217</v>
      </c>
      <c r="N47" s="32" t="str">
        <f t="shared" si="8"/>
        <v>Jânio</v>
      </c>
      <c r="O47" s="50" t="s">
        <v>77</v>
      </c>
      <c r="P47" s="38">
        <v>137.0</v>
      </c>
      <c r="Q47" s="38">
        <v>277.0</v>
      </c>
      <c r="R47" s="38">
        <v>80.0</v>
      </c>
      <c r="S47" s="38">
        <v>24.0</v>
      </c>
      <c r="T47" s="38">
        <v>134.0</v>
      </c>
      <c r="U47" s="48">
        <f t="shared" si="9"/>
        <v>494</v>
      </c>
      <c r="V47" s="48">
        <f t="shared" si="10"/>
        <v>652</v>
      </c>
      <c r="W47" s="49">
        <f t="shared" si="11"/>
        <v>0.2773279352</v>
      </c>
      <c r="X47" s="49">
        <f t="shared" si="12"/>
        <v>0.5607287449</v>
      </c>
      <c r="Y47" s="49">
        <f t="shared" si="13"/>
        <v>0.1619433198</v>
      </c>
      <c r="Z47" s="32" t="str">
        <f t="shared" si="14"/>
        <v>Milton</v>
      </c>
      <c r="AA47" s="50" t="s">
        <v>77</v>
      </c>
      <c r="AB47" s="23"/>
      <c r="AC47" s="23"/>
      <c r="AD47" s="23"/>
      <c r="AE47" s="122"/>
    </row>
    <row r="48">
      <c r="A48" s="24"/>
      <c r="B48" s="46" t="s">
        <v>936</v>
      </c>
      <c r="C48" s="47"/>
      <c r="D48" s="38">
        <v>193.0</v>
      </c>
      <c r="E48" s="38">
        <v>23.0</v>
      </c>
      <c r="F48" s="38">
        <v>129.0</v>
      </c>
      <c r="G48" s="38">
        <v>20.0</v>
      </c>
      <c r="H48" s="38">
        <v>28.0</v>
      </c>
      <c r="I48" s="48">
        <f t="shared" si="3"/>
        <v>345</v>
      </c>
      <c r="J48" s="48">
        <f t="shared" si="4"/>
        <v>393</v>
      </c>
      <c r="K48" s="49">
        <f t="shared" si="5"/>
        <v>0.5594202899</v>
      </c>
      <c r="L48" s="49">
        <f t="shared" si="6"/>
        <v>0.06666666667</v>
      </c>
      <c r="M48" s="49">
        <f t="shared" si="7"/>
        <v>0.3739130435</v>
      </c>
      <c r="N48" s="32" t="str">
        <f t="shared" si="8"/>
        <v>Jânio</v>
      </c>
      <c r="O48" s="50" t="s">
        <v>77</v>
      </c>
      <c r="P48" s="38">
        <v>99.0</v>
      </c>
      <c r="Q48" s="38">
        <v>134.0</v>
      </c>
      <c r="R48" s="38">
        <v>52.0</v>
      </c>
      <c r="S48" s="38">
        <v>40.0</v>
      </c>
      <c r="T48" s="38">
        <v>68.0</v>
      </c>
      <c r="U48" s="48">
        <f t="shared" si="9"/>
        <v>285</v>
      </c>
      <c r="V48" s="48">
        <f t="shared" si="10"/>
        <v>393</v>
      </c>
      <c r="W48" s="49">
        <f t="shared" si="11"/>
        <v>0.3473684211</v>
      </c>
      <c r="X48" s="49">
        <f t="shared" si="12"/>
        <v>0.4701754386</v>
      </c>
      <c r="Y48" s="49">
        <f t="shared" si="13"/>
        <v>0.1824561404</v>
      </c>
      <c r="Z48" s="32" t="str">
        <f t="shared" si="14"/>
        <v>Milton</v>
      </c>
      <c r="AA48" s="50" t="s">
        <v>77</v>
      </c>
      <c r="AB48" s="24"/>
      <c r="AC48" s="24"/>
      <c r="AD48" s="24"/>
      <c r="AE48" s="122"/>
    </row>
    <row r="49">
      <c r="A49" s="61" t="s">
        <v>131</v>
      </c>
      <c r="B49" s="46" t="s">
        <v>937</v>
      </c>
      <c r="C49" s="47"/>
      <c r="D49" s="38">
        <v>423.0</v>
      </c>
      <c r="E49" s="38">
        <v>355.0</v>
      </c>
      <c r="F49" s="38">
        <v>611.0</v>
      </c>
      <c r="G49" s="38">
        <v>157.0</v>
      </c>
      <c r="H49" s="38">
        <v>108.0</v>
      </c>
      <c r="I49" s="48">
        <f t="shared" si="3"/>
        <v>1389</v>
      </c>
      <c r="J49" s="48">
        <f t="shared" si="4"/>
        <v>1654</v>
      </c>
      <c r="K49" s="49">
        <f t="shared" si="5"/>
        <v>0.3045356371</v>
      </c>
      <c r="L49" s="49">
        <f t="shared" si="6"/>
        <v>0.2555795536</v>
      </c>
      <c r="M49" s="49">
        <f t="shared" si="7"/>
        <v>0.4398848092</v>
      </c>
      <c r="N49" s="32" t="str">
        <f t="shared" si="8"/>
        <v>Adhemar</v>
      </c>
      <c r="O49" s="50" t="s">
        <v>77</v>
      </c>
      <c r="P49" s="38">
        <v>821.0</v>
      </c>
      <c r="Q49" s="38">
        <v>256.0</v>
      </c>
      <c r="R49" s="38">
        <v>166.0</v>
      </c>
      <c r="S49" s="38">
        <v>302.0</v>
      </c>
      <c r="T49" s="38">
        <v>109.0</v>
      </c>
      <c r="U49" s="48">
        <f t="shared" si="9"/>
        <v>1243</v>
      </c>
      <c r="V49" s="48">
        <f t="shared" si="10"/>
        <v>1654</v>
      </c>
      <c r="W49" s="49">
        <f t="shared" si="11"/>
        <v>0.6604987932</v>
      </c>
      <c r="X49" s="49">
        <f t="shared" si="12"/>
        <v>0.2059533387</v>
      </c>
      <c r="Y49" s="49">
        <f t="shared" si="13"/>
        <v>0.1335478681</v>
      </c>
      <c r="Z49" s="32" t="str">
        <f t="shared" si="14"/>
        <v>Jango</v>
      </c>
      <c r="AA49" s="50" t="s">
        <v>77</v>
      </c>
      <c r="AB49" s="88">
        <v>2893.0</v>
      </c>
      <c r="AC49" s="89">
        <f>AB49-(V49+V50)</f>
        <v>489</v>
      </c>
      <c r="AD49" s="94">
        <f>(V49+V50)/AB49</f>
        <v>0.8309713101</v>
      </c>
      <c r="AE49" s="122"/>
    </row>
    <row r="50">
      <c r="A50" s="24"/>
      <c r="B50" s="46" t="s">
        <v>938</v>
      </c>
      <c r="C50" s="47"/>
      <c r="D50" s="38">
        <v>431.0</v>
      </c>
      <c r="E50" s="38">
        <v>59.0</v>
      </c>
      <c r="F50" s="38">
        <v>153.0</v>
      </c>
      <c r="G50" s="38">
        <v>65.0</v>
      </c>
      <c r="H50" s="38">
        <v>42.0</v>
      </c>
      <c r="I50" s="48">
        <f t="shared" si="3"/>
        <v>643</v>
      </c>
      <c r="J50" s="48">
        <f t="shared" si="4"/>
        <v>750</v>
      </c>
      <c r="K50" s="49">
        <f t="shared" si="5"/>
        <v>0.6702954899</v>
      </c>
      <c r="L50" s="49">
        <f t="shared" si="6"/>
        <v>0.09175738725</v>
      </c>
      <c r="M50" s="49">
        <f t="shared" si="7"/>
        <v>0.2379471229</v>
      </c>
      <c r="N50" s="32" t="str">
        <f t="shared" si="8"/>
        <v>Jânio</v>
      </c>
      <c r="O50" s="50" t="s">
        <v>77</v>
      </c>
      <c r="P50" s="38">
        <v>176.0</v>
      </c>
      <c r="Q50" s="38">
        <v>352.0</v>
      </c>
      <c r="R50" s="38">
        <v>81.0</v>
      </c>
      <c r="S50" s="38">
        <v>118.0</v>
      </c>
      <c r="T50" s="38">
        <v>23.0</v>
      </c>
      <c r="U50" s="48">
        <f t="shared" si="9"/>
        <v>609</v>
      </c>
      <c r="V50" s="48">
        <f t="shared" si="10"/>
        <v>750</v>
      </c>
      <c r="W50" s="49">
        <f t="shared" si="11"/>
        <v>0.288998358</v>
      </c>
      <c r="X50" s="49">
        <f t="shared" si="12"/>
        <v>0.5779967159</v>
      </c>
      <c r="Y50" s="49">
        <f t="shared" si="13"/>
        <v>0.1330049261</v>
      </c>
      <c r="Z50" s="32" t="str">
        <f t="shared" si="14"/>
        <v>Milton</v>
      </c>
      <c r="AA50" s="50" t="s">
        <v>77</v>
      </c>
      <c r="AB50" s="24"/>
      <c r="AC50" s="24"/>
      <c r="AD50" s="24"/>
      <c r="AE50" s="122"/>
    </row>
    <row r="51">
      <c r="A51" s="45" t="s">
        <v>133</v>
      </c>
      <c r="B51" s="46" t="s">
        <v>939</v>
      </c>
      <c r="C51" s="47"/>
      <c r="D51" s="38">
        <v>1682.0</v>
      </c>
      <c r="E51" s="38">
        <v>664.0</v>
      </c>
      <c r="F51" s="38">
        <v>578.0</v>
      </c>
      <c r="G51" s="38">
        <v>283.0</v>
      </c>
      <c r="H51" s="38">
        <v>109.0</v>
      </c>
      <c r="I51" s="48">
        <f t="shared" si="3"/>
        <v>2924</v>
      </c>
      <c r="J51" s="48">
        <f t="shared" si="4"/>
        <v>3316</v>
      </c>
      <c r="K51" s="49">
        <f t="shared" si="5"/>
        <v>0.5752393981</v>
      </c>
      <c r="L51" s="49">
        <f t="shared" si="6"/>
        <v>0.2270861833</v>
      </c>
      <c r="M51" s="49">
        <f t="shared" si="7"/>
        <v>0.1976744186</v>
      </c>
      <c r="N51" s="32" t="str">
        <f t="shared" si="8"/>
        <v>Jânio</v>
      </c>
      <c r="O51" s="50" t="s">
        <v>77</v>
      </c>
      <c r="P51" s="38">
        <v>840.0</v>
      </c>
      <c r="Q51" s="38">
        <v>1291.0</v>
      </c>
      <c r="R51" s="38">
        <v>398.0</v>
      </c>
      <c r="S51" s="38">
        <v>705.0</v>
      </c>
      <c r="T51" s="38">
        <v>82.0</v>
      </c>
      <c r="U51" s="48">
        <f t="shared" si="9"/>
        <v>2529</v>
      </c>
      <c r="V51" s="48">
        <f t="shared" si="10"/>
        <v>3316</v>
      </c>
      <c r="W51" s="49">
        <f t="shared" si="11"/>
        <v>0.3321470937</v>
      </c>
      <c r="X51" s="49">
        <f t="shared" si="12"/>
        <v>0.51047845</v>
      </c>
      <c r="Y51" s="49">
        <f t="shared" si="13"/>
        <v>0.1573744563</v>
      </c>
      <c r="Z51" s="32" t="str">
        <f t="shared" si="14"/>
        <v>Milton</v>
      </c>
      <c r="AA51" s="50" t="s">
        <v>77</v>
      </c>
      <c r="AB51" s="38">
        <v>4284.0</v>
      </c>
      <c r="AC51" s="48">
        <f t="shared" ref="AC51:AC52" si="19">AB51-V51</f>
        <v>968</v>
      </c>
      <c r="AD51" s="51">
        <f t="shared" ref="AD51:AD52" si="20">V51/AB51</f>
        <v>0.7740429505</v>
      </c>
      <c r="AE51" s="121"/>
    </row>
    <row r="52">
      <c r="A52" s="45" t="s">
        <v>135</v>
      </c>
      <c r="B52" s="46" t="s">
        <v>940</v>
      </c>
      <c r="C52" s="47"/>
      <c r="D52" s="38">
        <v>2975.0</v>
      </c>
      <c r="E52" s="38">
        <v>1352.0</v>
      </c>
      <c r="F52" s="38">
        <v>998.0</v>
      </c>
      <c r="G52" s="38">
        <v>211.0</v>
      </c>
      <c r="H52" s="38">
        <v>146.0</v>
      </c>
      <c r="I52" s="48">
        <f t="shared" si="3"/>
        <v>5325</v>
      </c>
      <c r="J52" s="48">
        <f t="shared" si="4"/>
        <v>5682</v>
      </c>
      <c r="K52" s="49">
        <f t="shared" si="5"/>
        <v>0.558685446</v>
      </c>
      <c r="L52" s="49">
        <f t="shared" si="6"/>
        <v>0.2538967136</v>
      </c>
      <c r="M52" s="49">
        <f t="shared" si="7"/>
        <v>0.1874178404</v>
      </c>
      <c r="N52" s="32" t="str">
        <f t="shared" si="8"/>
        <v>Jânio</v>
      </c>
      <c r="O52" s="50" t="s">
        <v>77</v>
      </c>
      <c r="P52" s="38">
        <v>2125.0</v>
      </c>
      <c r="Q52" s="38">
        <v>2593.0</v>
      </c>
      <c r="R52" s="38">
        <v>412.0</v>
      </c>
      <c r="S52" s="38">
        <v>448.0</v>
      </c>
      <c r="T52" s="38">
        <v>104.0</v>
      </c>
      <c r="U52" s="48">
        <f t="shared" si="9"/>
        <v>5130</v>
      </c>
      <c r="V52" s="48">
        <f t="shared" si="10"/>
        <v>5682</v>
      </c>
      <c r="W52" s="49">
        <f t="shared" si="11"/>
        <v>0.4142300195</v>
      </c>
      <c r="X52" s="49">
        <f t="shared" si="12"/>
        <v>0.5054580897</v>
      </c>
      <c r="Y52" s="49">
        <f t="shared" si="13"/>
        <v>0.08031189084</v>
      </c>
      <c r="Z52" s="32" t="str">
        <f t="shared" si="14"/>
        <v>Milton</v>
      </c>
      <c r="AA52" s="50" t="s">
        <v>77</v>
      </c>
      <c r="AB52" s="38">
        <v>7723.0</v>
      </c>
      <c r="AC52" s="48">
        <f t="shared" si="19"/>
        <v>2041</v>
      </c>
      <c r="AD52" s="51">
        <f t="shared" si="20"/>
        <v>0.7357244594</v>
      </c>
      <c r="AE52" s="121"/>
    </row>
    <row r="53">
      <c r="A53" s="61" t="s">
        <v>193</v>
      </c>
      <c r="B53" s="46" t="s">
        <v>941</v>
      </c>
      <c r="C53" s="47"/>
      <c r="D53" s="38">
        <v>940.0</v>
      </c>
      <c r="E53" s="38">
        <v>314.0</v>
      </c>
      <c r="F53" s="38">
        <v>340.0</v>
      </c>
      <c r="G53" s="38">
        <v>165.0</v>
      </c>
      <c r="H53" s="38">
        <v>55.0</v>
      </c>
      <c r="I53" s="48">
        <f t="shared" si="3"/>
        <v>1594</v>
      </c>
      <c r="J53" s="48">
        <f t="shared" si="4"/>
        <v>1814</v>
      </c>
      <c r="K53" s="49">
        <f t="shared" si="5"/>
        <v>0.5897114178</v>
      </c>
      <c r="L53" s="49">
        <f t="shared" si="6"/>
        <v>0.1969887077</v>
      </c>
      <c r="M53" s="49">
        <f t="shared" si="7"/>
        <v>0.2132998745</v>
      </c>
      <c r="N53" s="32" t="str">
        <f t="shared" si="8"/>
        <v>Jânio</v>
      </c>
      <c r="O53" s="50" t="s">
        <v>77</v>
      </c>
      <c r="P53" s="38">
        <v>525.0</v>
      </c>
      <c r="Q53" s="38">
        <v>717.0</v>
      </c>
      <c r="R53" s="38">
        <v>223.0</v>
      </c>
      <c r="S53" s="38">
        <v>303.0</v>
      </c>
      <c r="T53" s="38">
        <v>46.0</v>
      </c>
      <c r="U53" s="48">
        <f t="shared" si="9"/>
        <v>1465</v>
      </c>
      <c r="V53" s="48">
        <f t="shared" si="10"/>
        <v>1814</v>
      </c>
      <c r="W53" s="49">
        <f t="shared" si="11"/>
        <v>0.3583617747</v>
      </c>
      <c r="X53" s="49">
        <f t="shared" si="12"/>
        <v>0.4894197952</v>
      </c>
      <c r="Y53" s="49">
        <f t="shared" si="13"/>
        <v>0.15221843</v>
      </c>
      <c r="Z53" s="32" t="str">
        <f t="shared" si="14"/>
        <v>Milton</v>
      </c>
      <c r="AA53" s="50" t="s">
        <v>77</v>
      </c>
      <c r="AB53" s="88">
        <v>3546.0</v>
      </c>
      <c r="AC53" s="89">
        <f>AB53-(V53+V54)</f>
        <v>764</v>
      </c>
      <c r="AD53" s="94">
        <f>(V53+V54)/AB53</f>
        <v>0.7845459673</v>
      </c>
      <c r="AE53" s="122"/>
    </row>
    <row r="54">
      <c r="A54" s="24"/>
      <c r="B54" s="46" t="s">
        <v>942</v>
      </c>
      <c r="C54" s="47"/>
      <c r="D54" s="38">
        <v>468.0</v>
      </c>
      <c r="E54" s="38">
        <v>139.0</v>
      </c>
      <c r="F54" s="38">
        <v>207.0</v>
      </c>
      <c r="G54" s="38">
        <v>102.0</v>
      </c>
      <c r="H54" s="38">
        <v>52.0</v>
      </c>
      <c r="I54" s="48">
        <f t="shared" si="3"/>
        <v>814</v>
      </c>
      <c r="J54" s="48">
        <f t="shared" si="4"/>
        <v>968</v>
      </c>
      <c r="K54" s="49">
        <f t="shared" si="5"/>
        <v>0.5749385749</v>
      </c>
      <c r="L54" s="49">
        <f t="shared" si="6"/>
        <v>0.1707616708</v>
      </c>
      <c r="M54" s="49">
        <f t="shared" si="7"/>
        <v>0.2542997543</v>
      </c>
      <c r="N54" s="32" t="str">
        <f t="shared" si="8"/>
        <v>Jânio</v>
      </c>
      <c r="O54" s="50" t="s">
        <v>77</v>
      </c>
      <c r="P54" s="38">
        <v>281.0</v>
      </c>
      <c r="Q54" s="38">
        <v>323.0</v>
      </c>
      <c r="R54" s="38">
        <v>97.0</v>
      </c>
      <c r="S54" s="38">
        <v>256.0</v>
      </c>
      <c r="T54" s="38">
        <v>11.0</v>
      </c>
      <c r="U54" s="48">
        <f t="shared" si="9"/>
        <v>701</v>
      </c>
      <c r="V54" s="48">
        <f t="shared" si="10"/>
        <v>968</v>
      </c>
      <c r="W54" s="49">
        <f t="shared" si="11"/>
        <v>0.4008559201</v>
      </c>
      <c r="X54" s="49">
        <f t="shared" si="12"/>
        <v>0.4607703281</v>
      </c>
      <c r="Y54" s="49">
        <f t="shared" si="13"/>
        <v>0.1383737518</v>
      </c>
      <c r="Z54" s="32" t="str">
        <f t="shared" si="14"/>
        <v>Milton</v>
      </c>
      <c r="AA54" s="50" t="s">
        <v>77</v>
      </c>
      <c r="AB54" s="24"/>
      <c r="AC54" s="24"/>
      <c r="AD54" s="24"/>
      <c r="AE54" s="122"/>
    </row>
    <row r="55">
      <c r="A55" s="45" t="s">
        <v>196</v>
      </c>
      <c r="B55" s="46" t="s">
        <v>943</v>
      </c>
      <c r="C55" s="47"/>
      <c r="D55" s="38">
        <v>630.0</v>
      </c>
      <c r="E55" s="38">
        <v>440.0</v>
      </c>
      <c r="F55" s="38">
        <v>665.0</v>
      </c>
      <c r="G55" s="38">
        <v>118.0</v>
      </c>
      <c r="H55" s="38">
        <v>110.0</v>
      </c>
      <c r="I55" s="48">
        <f t="shared" si="3"/>
        <v>1735</v>
      </c>
      <c r="J55" s="48">
        <f t="shared" si="4"/>
        <v>1963</v>
      </c>
      <c r="K55" s="49">
        <f t="shared" si="5"/>
        <v>0.3631123919</v>
      </c>
      <c r="L55" s="49">
        <f t="shared" si="6"/>
        <v>0.2536023055</v>
      </c>
      <c r="M55" s="49">
        <f t="shared" si="7"/>
        <v>0.3832853026</v>
      </c>
      <c r="N55" s="32" t="str">
        <f t="shared" si="8"/>
        <v>Adhemar</v>
      </c>
      <c r="O55" s="50" t="s">
        <v>77</v>
      </c>
      <c r="P55" s="38">
        <v>823.0</v>
      </c>
      <c r="Q55" s="38">
        <v>559.0</v>
      </c>
      <c r="R55" s="38">
        <v>212.0</v>
      </c>
      <c r="S55" s="38">
        <v>311.0</v>
      </c>
      <c r="T55" s="38">
        <v>58.0</v>
      </c>
      <c r="U55" s="48">
        <f t="shared" si="9"/>
        <v>1594</v>
      </c>
      <c r="V55" s="48">
        <f t="shared" si="10"/>
        <v>1963</v>
      </c>
      <c r="W55" s="49">
        <f t="shared" si="11"/>
        <v>0.5163111669</v>
      </c>
      <c r="X55" s="49">
        <f t="shared" si="12"/>
        <v>0.3506900878</v>
      </c>
      <c r="Y55" s="49">
        <f t="shared" si="13"/>
        <v>0.1329987453</v>
      </c>
      <c r="Z55" s="32" t="str">
        <f t="shared" si="14"/>
        <v>Jango</v>
      </c>
      <c r="AA55" s="50" t="s">
        <v>77</v>
      </c>
      <c r="AB55" s="38">
        <v>2537.0</v>
      </c>
      <c r="AC55" s="48">
        <f>AB55-V55</f>
        <v>574</v>
      </c>
      <c r="AD55" s="51">
        <f>V55/AB55</f>
        <v>0.7737485219</v>
      </c>
      <c r="AE55" s="121"/>
    </row>
    <row r="56">
      <c r="A56" s="61" t="s">
        <v>198</v>
      </c>
      <c r="B56" s="46" t="s">
        <v>944</v>
      </c>
      <c r="C56" s="47"/>
      <c r="D56" s="38">
        <v>321.0</v>
      </c>
      <c r="E56" s="38">
        <v>281.0</v>
      </c>
      <c r="F56" s="38">
        <v>405.0</v>
      </c>
      <c r="G56" s="38">
        <v>57.0</v>
      </c>
      <c r="H56" s="38">
        <v>31.0</v>
      </c>
      <c r="I56" s="48">
        <f t="shared" si="3"/>
        <v>1007</v>
      </c>
      <c r="J56" s="48">
        <f t="shared" si="4"/>
        <v>1095</v>
      </c>
      <c r="K56" s="49">
        <f t="shared" si="5"/>
        <v>0.3187686197</v>
      </c>
      <c r="L56" s="49">
        <f t="shared" si="6"/>
        <v>0.2790466733</v>
      </c>
      <c r="M56" s="49">
        <f t="shared" si="7"/>
        <v>0.4021847071</v>
      </c>
      <c r="N56" s="32" t="str">
        <f t="shared" si="8"/>
        <v>Adhemar</v>
      </c>
      <c r="O56" s="50" t="s">
        <v>77</v>
      </c>
      <c r="P56" s="38">
        <v>486.0</v>
      </c>
      <c r="Q56" s="38">
        <v>270.0</v>
      </c>
      <c r="R56" s="38">
        <v>169.0</v>
      </c>
      <c r="S56" s="38">
        <v>159.0</v>
      </c>
      <c r="T56" s="38">
        <v>11.0</v>
      </c>
      <c r="U56" s="48">
        <f t="shared" si="9"/>
        <v>925</v>
      </c>
      <c r="V56" s="48">
        <f t="shared" si="10"/>
        <v>1095</v>
      </c>
      <c r="W56" s="49">
        <f t="shared" si="11"/>
        <v>0.5254054054</v>
      </c>
      <c r="X56" s="49">
        <f t="shared" si="12"/>
        <v>0.2918918919</v>
      </c>
      <c r="Y56" s="49">
        <f t="shared" si="13"/>
        <v>0.1827027027</v>
      </c>
      <c r="Z56" s="32" t="str">
        <f t="shared" si="14"/>
        <v>Jango</v>
      </c>
      <c r="AA56" s="50" t="s">
        <v>77</v>
      </c>
      <c r="AB56" s="88">
        <v>1591.0</v>
      </c>
      <c r="AC56" s="89">
        <f>AB56-(V56+V57)</f>
        <v>227</v>
      </c>
      <c r="AD56" s="94">
        <f>(V56+V57)/AB56</f>
        <v>0.8573224387</v>
      </c>
      <c r="AE56" s="122"/>
    </row>
    <row r="57">
      <c r="A57" s="24"/>
      <c r="B57" s="46" t="s">
        <v>945</v>
      </c>
      <c r="C57" s="47"/>
      <c r="D57" s="38">
        <v>67.0</v>
      </c>
      <c r="E57" s="38">
        <v>102.0</v>
      </c>
      <c r="F57" s="38">
        <v>79.0</v>
      </c>
      <c r="G57" s="38">
        <v>14.0</v>
      </c>
      <c r="H57" s="38">
        <v>7.0</v>
      </c>
      <c r="I57" s="48">
        <f t="shared" si="3"/>
        <v>248</v>
      </c>
      <c r="J57" s="48">
        <f t="shared" si="4"/>
        <v>269</v>
      </c>
      <c r="K57" s="49">
        <f t="shared" si="5"/>
        <v>0.2701612903</v>
      </c>
      <c r="L57" s="49">
        <f t="shared" si="6"/>
        <v>0.4112903226</v>
      </c>
      <c r="M57" s="49">
        <f t="shared" si="7"/>
        <v>0.3185483871</v>
      </c>
      <c r="N57" s="32" t="str">
        <f t="shared" si="8"/>
        <v>Mal. Lott</v>
      </c>
      <c r="O57" s="50" t="s">
        <v>77</v>
      </c>
      <c r="P57" s="38">
        <v>149.0</v>
      </c>
      <c r="Q57" s="38">
        <v>48.0</v>
      </c>
      <c r="R57" s="38">
        <v>32.0</v>
      </c>
      <c r="S57" s="38">
        <v>37.0</v>
      </c>
      <c r="T57" s="38">
        <v>3.0</v>
      </c>
      <c r="U57" s="48">
        <f t="shared" si="9"/>
        <v>229</v>
      </c>
      <c r="V57" s="48">
        <f t="shared" si="10"/>
        <v>269</v>
      </c>
      <c r="W57" s="49">
        <f t="shared" si="11"/>
        <v>0.6506550218</v>
      </c>
      <c r="X57" s="49">
        <f t="shared" si="12"/>
        <v>0.2096069869</v>
      </c>
      <c r="Y57" s="49">
        <f t="shared" si="13"/>
        <v>0.1397379913</v>
      </c>
      <c r="Z57" s="32" t="str">
        <f t="shared" si="14"/>
        <v>Jango</v>
      </c>
      <c r="AA57" s="50" t="s">
        <v>77</v>
      </c>
      <c r="AB57" s="24"/>
      <c r="AC57" s="24"/>
      <c r="AD57" s="24"/>
      <c r="AE57" s="122"/>
    </row>
    <row r="58">
      <c r="A58" s="45" t="s">
        <v>202</v>
      </c>
      <c r="B58" s="46" t="s">
        <v>946</v>
      </c>
      <c r="C58" s="47"/>
      <c r="D58" s="38">
        <v>819.0</v>
      </c>
      <c r="E58" s="38">
        <v>306.0</v>
      </c>
      <c r="F58" s="48">
        <v>199.0</v>
      </c>
      <c r="G58" s="38">
        <v>84.0</v>
      </c>
      <c r="H58" s="38">
        <v>30.0</v>
      </c>
      <c r="I58" s="48">
        <f t="shared" si="3"/>
        <v>1324</v>
      </c>
      <c r="J58" s="48">
        <f t="shared" si="4"/>
        <v>1438</v>
      </c>
      <c r="K58" s="49">
        <f t="shared" si="5"/>
        <v>0.6185800604</v>
      </c>
      <c r="L58" s="49">
        <f t="shared" si="6"/>
        <v>0.2311178248</v>
      </c>
      <c r="M58" s="49">
        <f t="shared" si="7"/>
        <v>0.1503021148</v>
      </c>
      <c r="N58" s="32" t="str">
        <f t="shared" si="8"/>
        <v>Jânio</v>
      </c>
      <c r="O58" s="50" t="s">
        <v>77</v>
      </c>
      <c r="P58" s="38">
        <v>562.0</v>
      </c>
      <c r="Q58" s="38">
        <v>545.0</v>
      </c>
      <c r="R58" s="38">
        <v>140.0</v>
      </c>
      <c r="S58" s="38">
        <v>160.0</v>
      </c>
      <c r="T58" s="38">
        <v>31.0</v>
      </c>
      <c r="U58" s="48">
        <f t="shared" si="9"/>
        <v>1247</v>
      </c>
      <c r="V58" s="48">
        <f t="shared" si="10"/>
        <v>1438</v>
      </c>
      <c r="W58" s="49">
        <f t="shared" si="11"/>
        <v>0.4506816359</v>
      </c>
      <c r="X58" s="49">
        <f t="shared" si="12"/>
        <v>0.4370489174</v>
      </c>
      <c r="Y58" s="49">
        <f t="shared" si="13"/>
        <v>0.1122694467</v>
      </c>
      <c r="Z58" s="32" t="str">
        <f t="shared" si="14"/>
        <v>Jango</v>
      </c>
      <c r="AA58" s="50" t="s">
        <v>77</v>
      </c>
      <c r="AB58" s="38">
        <v>1831.0</v>
      </c>
      <c r="AC58" s="48">
        <f t="shared" ref="AC58:AC59" si="21">AB58-V58</f>
        <v>393</v>
      </c>
      <c r="AD58" s="51">
        <f t="shared" ref="AD58:AD59" si="22">V58/AB58</f>
        <v>0.7853631895</v>
      </c>
      <c r="AE58" s="121"/>
    </row>
    <row r="59">
      <c r="A59" s="45" t="s">
        <v>205</v>
      </c>
      <c r="B59" s="46" t="s">
        <v>947</v>
      </c>
      <c r="C59" s="47"/>
      <c r="D59" s="38">
        <v>784.0</v>
      </c>
      <c r="E59" s="38">
        <v>478.0</v>
      </c>
      <c r="F59" s="48">
        <v>1040.0</v>
      </c>
      <c r="G59" s="38">
        <v>121.0</v>
      </c>
      <c r="H59" s="38">
        <v>85.0</v>
      </c>
      <c r="I59" s="48">
        <f t="shared" si="3"/>
        <v>2302</v>
      </c>
      <c r="J59" s="48">
        <f t="shared" si="4"/>
        <v>2508</v>
      </c>
      <c r="K59" s="49">
        <f t="shared" si="5"/>
        <v>0.3405734144</v>
      </c>
      <c r="L59" s="49">
        <f t="shared" si="6"/>
        <v>0.2076455256</v>
      </c>
      <c r="M59" s="49">
        <f t="shared" si="7"/>
        <v>0.4517810599</v>
      </c>
      <c r="N59" s="32" t="str">
        <f t="shared" si="8"/>
        <v>Adhemar</v>
      </c>
      <c r="O59" s="50" t="s">
        <v>77</v>
      </c>
      <c r="P59" s="38">
        <v>738.0</v>
      </c>
      <c r="Q59" s="38">
        <v>774.0</v>
      </c>
      <c r="R59" s="38">
        <v>661.0</v>
      </c>
      <c r="S59" s="38">
        <v>286.0</v>
      </c>
      <c r="T59" s="38">
        <v>49.0</v>
      </c>
      <c r="U59" s="48">
        <f t="shared" si="9"/>
        <v>2173</v>
      </c>
      <c r="V59" s="48">
        <f t="shared" si="10"/>
        <v>2508</v>
      </c>
      <c r="W59" s="49">
        <f t="shared" si="11"/>
        <v>0.3396226415</v>
      </c>
      <c r="X59" s="49">
        <f t="shared" si="12"/>
        <v>0.3561895996</v>
      </c>
      <c r="Y59" s="49">
        <f t="shared" si="13"/>
        <v>0.3041877589</v>
      </c>
      <c r="Z59" s="32" t="str">
        <f t="shared" si="14"/>
        <v>Milton</v>
      </c>
      <c r="AA59" s="50" t="s">
        <v>77</v>
      </c>
      <c r="AB59" s="38">
        <v>3370.0</v>
      </c>
      <c r="AC59" s="48">
        <f t="shared" si="21"/>
        <v>862</v>
      </c>
      <c r="AD59" s="51">
        <f t="shared" si="22"/>
        <v>0.7442136499</v>
      </c>
      <c r="AE59" s="121"/>
    </row>
    <row r="60">
      <c r="A60" s="61" t="s">
        <v>141</v>
      </c>
      <c r="B60" s="46" t="s">
        <v>948</v>
      </c>
      <c r="C60" s="47"/>
      <c r="D60" s="38">
        <v>1003.0</v>
      </c>
      <c r="E60" s="38">
        <v>294.0</v>
      </c>
      <c r="F60" s="48">
        <v>459.0</v>
      </c>
      <c r="G60" s="38">
        <v>543.0</v>
      </c>
      <c r="H60" s="38">
        <v>52.0</v>
      </c>
      <c r="I60" s="48">
        <f t="shared" si="3"/>
        <v>1756</v>
      </c>
      <c r="J60" s="48">
        <f t="shared" si="4"/>
        <v>2351</v>
      </c>
      <c r="K60" s="49">
        <f t="shared" si="5"/>
        <v>0.5711845103</v>
      </c>
      <c r="L60" s="49">
        <f t="shared" si="6"/>
        <v>0.1674259681</v>
      </c>
      <c r="M60" s="49">
        <f t="shared" si="7"/>
        <v>0.2613895216</v>
      </c>
      <c r="N60" s="32" t="str">
        <f t="shared" si="8"/>
        <v>Jânio</v>
      </c>
      <c r="O60" s="50" t="s">
        <v>77</v>
      </c>
      <c r="P60" s="38">
        <v>493.0</v>
      </c>
      <c r="Q60" s="38">
        <v>628.0</v>
      </c>
      <c r="R60" s="38">
        <v>396.0</v>
      </c>
      <c r="S60" s="38">
        <v>800.0</v>
      </c>
      <c r="T60" s="38">
        <v>34.0</v>
      </c>
      <c r="U60" s="48">
        <f t="shared" si="9"/>
        <v>1517</v>
      </c>
      <c r="V60" s="48">
        <f t="shared" si="10"/>
        <v>2351</v>
      </c>
      <c r="W60" s="49">
        <f t="shared" si="11"/>
        <v>0.3249835201</v>
      </c>
      <c r="X60" s="49">
        <f t="shared" si="12"/>
        <v>0.4139749506</v>
      </c>
      <c r="Y60" s="49">
        <f t="shared" si="13"/>
        <v>0.2610415293</v>
      </c>
      <c r="Z60" s="32" t="str">
        <f t="shared" si="14"/>
        <v>Milton</v>
      </c>
      <c r="AA60" s="50" t="s">
        <v>77</v>
      </c>
      <c r="AB60" s="88">
        <v>4032.0</v>
      </c>
      <c r="AC60" s="89">
        <f>AB60-(V60+V61)</f>
        <v>598</v>
      </c>
      <c r="AD60" s="94">
        <f>(V60+V61)/AB60</f>
        <v>0.8516865079</v>
      </c>
      <c r="AE60" s="122"/>
    </row>
    <row r="61">
      <c r="A61" s="24"/>
      <c r="B61" s="46" t="s">
        <v>949</v>
      </c>
      <c r="C61" s="47"/>
      <c r="D61" s="38">
        <v>436.0</v>
      </c>
      <c r="E61" s="38">
        <v>207.0</v>
      </c>
      <c r="F61" s="48">
        <v>218.0</v>
      </c>
      <c r="G61" s="38">
        <v>201.0</v>
      </c>
      <c r="H61" s="38">
        <v>21.0</v>
      </c>
      <c r="I61" s="48">
        <f t="shared" si="3"/>
        <v>861</v>
      </c>
      <c r="J61" s="48">
        <f t="shared" si="4"/>
        <v>1083</v>
      </c>
      <c r="K61" s="49">
        <f t="shared" si="5"/>
        <v>0.506387921</v>
      </c>
      <c r="L61" s="49">
        <f t="shared" si="6"/>
        <v>0.2404181185</v>
      </c>
      <c r="M61" s="49">
        <f t="shared" si="7"/>
        <v>0.2531939605</v>
      </c>
      <c r="N61" s="32" t="str">
        <f t="shared" si="8"/>
        <v>Jânio</v>
      </c>
      <c r="O61" s="50" t="s">
        <v>77</v>
      </c>
      <c r="P61" s="38">
        <v>394.0</v>
      </c>
      <c r="Q61" s="38">
        <v>251.0</v>
      </c>
      <c r="R61" s="38">
        <v>121.0</v>
      </c>
      <c r="S61" s="38">
        <v>303.0</v>
      </c>
      <c r="T61" s="38">
        <v>14.0</v>
      </c>
      <c r="U61" s="48">
        <f t="shared" si="9"/>
        <v>766</v>
      </c>
      <c r="V61" s="48">
        <f t="shared" si="10"/>
        <v>1083</v>
      </c>
      <c r="W61" s="49">
        <f t="shared" si="11"/>
        <v>0.5143603133</v>
      </c>
      <c r="X61" s="49">
        <f t="shared" si="12"/>
        <v>0.3276762402</v>
      </c>
      <c r="Y61" s="49">
        <f t="shared" si="13"/>
        <v>0.1579634465</v>
      </c>
      <c r="Z61" s="32" t="str">
        <f t="shared" si="14"/>
        <v>Jango</v>
      </c>
      <c r="AA61" s="50" t="s">
        <v>77</v>
      </c>
      <c r="AB61" s="24"/>
      <c r="AC61" s="24"/>
      <c r="AD61" s="24"/>
      <c r="AE61" s="122"/>
    </row>
    <row r="62">
      <c r="A62" s="61" t="s">
        <v>143</v>
      </c>
      <c r="B62" s="46" t="s">
        <v>405</v>
      </c>
      <c r="C62" s="47"/>
      <c r="D62" s="38">
        <v>405.0</v>
      </c>
      <c r="E62" s="38">
        <v>113.0</v>
      </c>
      <c r="F62" s="48">
        <v>116.0</v>
      </c>
      <c r="G62" s="38">
        <v>76.0</v>
      </c>
      <c r="H62" s="38">
        <v>29.0</v>
      </c>
      <c r="I62" s="48">
        <f t="shared" si="3"/>
        <v>634</v>
      </c>
      <c r="J62" s="48">
        <f t="shared" si="4"/>
        <v>739</v>
      </c>
      <c r="K62" s="49">
        <f t="shared" si="5"/>
        <v>0.6388012618</v>
      </c>
      <c r="L62" s="49">
        <f t="shared" si="6"/>
        <v>0.1782334385</v>
      </c>
      <c r="M62" s="49">
        <f t="shared" si="7"/>
        <v>0.1829652997</v>
      </c>
      <c r="N62" s="32" t="str">
        <f t="shared" si="8"/>
        <v>Jânio</v>
      </c>
      <c r="O62" s="50" t="s">
        <v>77</v>
      </c>
      <c r="P62" s="38">
        <v>214.0</v>
      </c>
      <c r="Q62" s="38">
        <v>187.0</v>
      </c>
      <c r="R62" s="38">
        <v>170.0</v>
      </c>
      <c r="S62" s="38">
        <v>152.0</v>
      </c>
      <c r="T62" s="38">
        <v>16.0</v>
      </c>
      <c r="U62" s="48">
        <f t="shared" si="9"/>
        <v>571</v>
      </c>
      <c r="V62" s="48">
        <f t="shared" si="10"/>
        <v>739</v>
      </c>
      <c r="W62" s="49">
        <f t="shared" si="11"/>
        <v>0.3747810858</v>
      </c>
      <c r="X62" s="49">
        <f t="shared" si="12"/>
        <v>0.3274956217</v>
      </c>
      <c r="Y62" s="49">
        <f t="shared" si="13"/>
        <v>0.2977232925</v>
      </c>
      <c r="Z62" s="32" t="str">
        <f t="shared" si="14"/>
        <v>Jango</v>
      </c>
      <c r="AA62" s="50" t="s">
        <v>77</v>
      </c>
      <c r="AB62" s="88">
        <v>1808.0</v>
      </c>
      <c r="AC62" s="89">
        <f>AB62-(V62+V63+V64)</f>
        <v>148</v>
      </c>
      <c r="AD62" s="94">
        <f>(V62+V63+V64)/AB62</f>
        <v>0.9181415929</v>
      </c>
      <c r="AE62" s="122"/>
    </row>
    <row r="63">
      <c r="A63" s="23"/>
      <c r="B63" s="46" t="s">
        <v>950</v>
      </c>
      <c r="C63" s="47"/>
      <c r="D63" s="38">
        <v>95.0</v>
      </c>
      <c r="E63" s="38">
        <v>97.0</v>
      </c>
      <c r="F63" s="48">
        <v>124.0</v>
      </c>
      <c r="G63" s="38">
        <v>43.0</v>
      </c>
      <c r="H63" s="38">
        <v>25.0</v>
      </c>
      <c r="I63" s="48">
        <f t="shared" si="3"/>
        <v>316</v>
      </c>
      <c r="J63" s="48">
        <f t="shared" si="4"/>
        <v>384</v>
      </c>
      <c r="K63" s="49">
        <f t="shared" si="5"/>
        <v>0.3006329114</v>
      </c>
      <c r="L63" s="49">
        <f t="shared" si="6"/>
        <v>0.3069620253</v>
      </c>
      <c r="M63" s="49">
        <f t="shared" si="7"/>
        <v>0.3924050633</v>
      </c>
      <c r="N63" s="32" t="str">
        <f t="shared" si="8"/>
        <v>Adhemar</v>
      </c>
      <c r="O63" s="50" t="s">
        <v>77</v>
      </c>
      <c r="P63" s="38">
        <v>173.0</v>
      </c>
      <c r="Q63" s="38">
        <v>73.0</v>
      </c>
      <c r="R63" s="38">
        <v>36.0</v>
      </c>
      <c r="S63" s="38">
        <v>80.0</v>
      </c>
      <c r="T63" s="38">
        <v>22.0</v>
      </c>
      <c r="U63" s="48">
        <f t="shared" si="9"/>
        <v>282</v>
      </c>
      <c r="V63" s="48">
        <f t="shared" si="10"/>
        <v>384</v>
      </c>
      <c r="W63" s="49">
        <f t="shared" si="11"/>
        <v>0.6134751773</v>
      </c>
      <c r="X63" s="49">
        <f t="shared" si="12"/>
        <v>0.2588652482</v>
      </c>
      <c r="Y63" s="49">
        <f t="shared" si="13"/>
        <v>0.1276595745</v>
      </c>
      <c r="Z63" s="32" t="str">
        <f t="shared" si="14"/>
        <v>Jango</v>
      </c>
      <c r="AA63" s="50" t="s">
        <v>77</v>
      </c>
      <c r="AB63" s="23"/>
      <c r="AC63" s="23"/>
      <c r="AD63" s="23"/>
      <c r="AE63" s="122"/>
    </row>
    <row r="64">
      <c r="A64" s="24"/>
      <c r="B64" s="46" t="s">
        <v>951</v>
      </c>
      <c r="C64" s="47"/>
      <c r="D64" s="38">
        <v>162.0</v>
      </c>
      <c r="E64" s="38">
        <v>125.0</v>
      </c>
      <c r="F64" s="48">
        <v>153.0</v>
      </c>
      <c r="G64" s="38">
        <v>77.0</v>
      </c>
      <c r="H64" s="38">
        <v>20.0</v>
      </c>
      <c r="I64" s="48">
        <f t="shared" si="3"/>
        <v>440</v>
      </c>
      <c r="J64" s="48">
        <f t="shared" si="4"/>
        <v>537</v>
      </c>
      <c r="K64" s="49">
        <f t="shared" si="5"/>
        <v>0.3681818182</v>
      </c>
      <c r="L64" s="49">
        <f t="shared" si="6"/>
        <v>0.2840909091</v>
      </c>
      <c r="M64" s="49">
        <f t="shared" si="7"/>
        <v>0.3477272727</v>
      </c>
      <c r="N64" s="32" t="str">
        <f t="shared" si="8"/>
        <v>Jânio</v>
      </c>
      <c r="O64" s="50" t="s">
        <v>77</v>
      </c>
      <c r="P64" s="38">
        <v>178.0</v>
      </c>
      <c r="Q64" s="38">
        <v>202.0</v>
      </c>
      <c r="R64" s="38">
        <v>40.0</v>
      </c>
      <c r="S64" s="38">
        <v>99.0</v>
      </c>
      <c r="T64" s="38">
        <v>18.0</v>
      </c>
      <c r="U64" s="48">
        <f t="shared" si="9"/>
        <v>420</v>
      </c>
      <c r="V64" s="48">
        <f t="shared" si="10"/>
        <v>537</v>
      </c>
      <c r="W64" s="49">
        <f t="shared" si="11"/>
        <v>0.4238095238</v>
      </c>
      <c r="X64" s="49">
        <f t="shared" si="12"/>
        <v>0.480952381</v>
      </c>
      <c r="Y64" s="49">
        <f t="shared" si="13"/>
        <v>0.09523809524</v>
      </c>
      <c r="Z64" s="32" t="str">
        <f t="shared" si="14"/>
        <v>Milton</v>
      </c>
      <c r="AA64" s="50" t="s">
        <v>77</v>
      </c>
      <c r="AB64" s="24"/>
      <c r="AC64" s="24"/>
      <c r="AD64" s="24"/>
      <c r="AE64" s="122"/>
    </row>
    <row r="65">
      <c r="A65" s="61" t="s">
        <v>145</v>
      </c>
      <c r="B65" s="46" t="s">
        <v>952</v>
      </c>
      <c r="C65" s="47"/>
      <c r="D65" s="38">
        <v>713.0</v>
      </c>
      <c r="E65" s="38">
        <v>246.0</v>
      </c>
      <c r="F65" s="48">
        <v>435.0</v>
      </c>
      <c r="G65" s="38">
        <v>134.0</v>
      </c>
      <c r="H65" s="38">
        <v>53.0</v>
      </c>
      <c r="I65" s="48">
        <f t="shared" si="3"/>
        <v>1394</v>
      </c>
      <c r="J65" s="48">
        <f t="shared" si="4"/>
        <v>1581</v>
      </c>
      <c r="K65" s="49">
        <f t="shared" si="5"/>
        <v>0.5114777618</v>
      </c>
      <c r="L65" s="49">
        <f t="shared" si="6"/>
        <v>0.1764705882</v>
      </c>
      <c r="M65" s="49">
        <f t="shared" si="7"/>
        <v>0.3120516499</v>
      </c>
      <c r="N65" s="32" t="str">
        <f t="shared" si="8"/>
        <v>Jânio</v>
      </c>
      <c r="O65" s="50" t="s">
        <v>77</v>
      </c>
      <c r="P65" s="38">
        <v>544.0</v>
      </c>
      <c r="Q65" s="38">
        <v>534.0</v>
      </c>
      <c r="R65" s="38">
        <v>149.0</v>
      </c>
      <c r="S65" s="38">
        <v>321.0</v>
      </c>
      <c r="T65" s="38">
        <v>33.0</v>
      </c>
      <c r="U65" s="48">
        <f t="shared" si="9"/>
        <v>1227</v>
      </c>
      <c r="V65" s="48">
        <f t="shared" si="10"/>
        <v>1581</v>
      </c>
      <c r="W65" s="49">
        <f t="shared" si="11"/>
        <v>0.4433577832</v>
      </c>
      <c r="X65" s="49">
        <f t="shared" si="12"/>
        <v>0.435207824</v>
      </c>
      <c r="Y65" s="49">
        <f t="shared" si="13"/>
        <v>0.1214343928</v>
      </c>
      <c r="Z65" s="32" t="str">
        <f t="shared" si="14"/>
        <v>Jango</v>
      </c>
      <c r="AA65" s="50" t="s">
        <v>77</v>
      </c>
      <c r="AB65" s="88">
        <v>2130.0</v>
      </c>
      <c r="AC65" s="89">
        <f>AB65-(V65+V66)</f>
        <v>277</v>
      </c>
      <c r="AD65" s="94">
        <f>(V65+V66)/AB65</f>
        <v>0.8699530516</v>
      </c>
      <c r="AE65" s="122"/>
    </row>
    <row r="66">
      <c r="A66" s="24"/>
      <c r="B66" s="46" t="s">
        <v>953</v>
      </c>
      <c r="C66" s="47"/>
      <c r="D66" s="38">
        <v>85.0</v>
      </c>
      <c r="E66" s="38">
        <v>26.0</v>
      </c>
      <c r="F66" s="48">
        <v>129.0</v>
      </c>
      <c r="G66" s="38">
        <v>26.0</v>
      </c>
      <c r="H66" s="38">
        <v>6.0</v>
      </c>
      <c r="I66" s="48">
        <f t="shared" si="3"/>
        <v>240</v>
      </c>
      <c r="J66" s="48">
        <f t="shared" si="4"/>
        <v>272</v>
      </c>
      <c r="K66" s="49">
        <f t="shared" si="5"/>
        <v>0.3541666667</v>
      </c>
      <c r="L66" s="49">
        <f t="shared" si="6"/>
        <v>0.1083333333</v>
      </c>
      <c r="M66" s="49">
        <f t="shared" si="7"/>
        <v>0.5375</v>
      </c>
      <c r="N66" s="32" t="str">
        <f t="shared" si="8"/>
        <v>Adhemar</v>
      </c>
      <c r="O66" s="50" t="s">
        <v>77</v>
      </c>
      <c r="P66" s="38">
        <v>115.0</v>
      </c>
      <c r="Q66" s="38">
        <v>64.0</v>
      </c>
      <c r="R66" s="38">
        <v>15.0</v>
      </c>
      <c r="S66" s="38">
        <v>74.0</v>
      </c>
      <c r="T66" s="38">
        <v>4.0</v>
      </c>
      <c r="U66" s="48">
        <f t="shared" si="9"/>
        <v>194</v>
      </c>
      <c r="V66" s="48">
        <f t="shared" si="10"/>
        <v>272</v>
      </c>
      <c r="W66" s="49">
        <f t="shared" si="11"/>
        <v>0.5927835052</v>
      </c>
      <c r="X66" s="49">
        <f t="shared" si="12"/>
        <v>0.3298969072</v>
      </c>
      <c r="Y66" s="49">
        <f t="shared" si="13"/>
        <v>0.07731958763</v>
      </c>
      <c r="Z66" s="32" t="str">
        <f t="shared" si="14"/>
        <v>Jango</v>
      </c>
      <c r="AA66" s="50" t="s">
        <v>77</v>
      </c>
      <c r="AB66" s="24"/>
      <c r="AC66" s="24"/>
      <c r="AD66" s="24"/>
      <c r="AE66" s="122"/>
    </row>
    <row r="67">
      <c r="A67" s="61" t="s">
        <v>207</v>
      </c>
      <c r="B67" s="46" t="s">
        <v>954</v>
      </c>
      <c r="C67" s="47"/>
      <c r="D67" s="38">
        <v>505.0</v>
      </c>
      <c r="E67" s="38">
        <v>130.0</v>
      </c>
      <c r="F67" s="48">
        <v>415.0</v>
      </c>
      <c r="G67" s="38">
        <v>78.0</v>
      </c>
      <c r="H67" s="38">
        <v>42.0</v>
      </c>
      <c r="I67" s="48">
        <f t="shared" si="3"/>
        <v>1050</v>
      </c>
      <c r="J67" s="48">
        <f t="shared" si="4"/>
        <v>1170</v>
      </c>
      <c r="K67" s="49">
        <f t="shared" si="5"/>
        <v>0.480952381</v>
      </c>
      <c r="L67" s="49">
        <f t="shared" si="6"/>
        <v>0.1238095238</v>
      </c>
      <c r="M67" s="49">
        <f t="shared" si="7"/>
        <v>0.3952380952</v>
      </c>
      <c r="N67" s="32" t="str">
        <f t="shared" si="8"/>
        <v>Jânio</v>
      </c>
      <c r="O67" s="50" t="s">
        <v>77</v>
      </c>
      <c r="P67" s="38">
        <v>427.0</v>
      </c>
      <c r="Q67" s="38">
        <v>379.0</v>
      </c>
      <c r="R67" s="38">
        <v>135.0</v>
      </c>
      <c r="S67" s="38">
        <v>205.0</v>
      </c>
      <c r="T67" s="38">
        <v>24.0</v>
      </c>
      <c r="U67" s="48">
        <f t="shared" si="9"/>
        <v>941</v>
      </c>
      <c r="V67" s="48">
        <f t="shared" si="10"/>
        <v>1170</v>
      </c>
      <c r="W67" s="49">
        <f t="shared" si="11"/>
        <v>0.4537725824</v>
      </c>
      <c r="X67" s="49">
        <f t="shared" si="12"/>
        <v>0.4027630181</v>
      </c>
      <c r="Y67" s="49">
        <f t="shared" si="13"/>
        <v>0.1434643996</v>
      </c>
      <c r="Z67" s="32" t="str">
        <f t="shared" si="14"/>
        <v>Jango</v>
      </c>
      <c r="AA67" s="50" t="s">
        <v>77</v>
      </c>
      <c r="AB67" s="88">
        <v>1922.0</v>
      </c>
      <c r="AC67" s="89">
        <f>AB67-(V67+V68)</f>
        <v>294</v>
      </c>
      <c r="AD67" s="94">
        <f>(V67+V68)/AB67</f>
        <v>0.8470343392</v>
      </c>
      <c r="AE67" s="122"/>
    </row>
    <row r="68">
      <c r="A68" s="24"/>
      <c r="B68" s="46" t="s">
        <v>955</v>
      </c>
      <c r="C68" s="47"/>
      <c r="D68" s="38">
        <v>220.0</v>
      </c>
      <c r="E68" s="38">
        <v>59.0</v>
      </c>
      <c r="F68" s="48">
        <v>89.0</v>
      </c>
      <c r="G68" s="38">
        <v>74.0</v>
      </c>
      <c r="H68" s="38">
        <v>16.0</v>
      </c>
      <c r="I68" s="48">
        <f t="shared" si="3"/>
        <v>368</v>
      </c>
      <c r="J68" s="48">
        <f t="shared" si="4"/>
        <v>458</v>
      </c>
      <c r="K68" s="49">
        <f t="shared" si="5"/>
        <v>0.597826087</v>
      </c>
      <c r="L68" s="49">
        <f t="shared" si="6"/>
        <v>0.160326087</v>
      </c>
      <c r="M68" s="49">
        <f t="shared" si="7"/>
        <v>0.2418478261</v>
      </c>
      <c r="N68" s="32" t="str">
        <f t="shared" si="8"/>
        <v>Jânio</v>
      </c>
      <c r="O68" s="50" t="s">
        <v>77</v>
      </c>
      <c r="P68" s="38">
        <v>105.0</v>
      </c>
      <c r="Q68" s="38">
        <v>140.0</v>
      </c>
      <c r="R68" s="38">
        <v>78.0</v>
      </c>
      <c r="S68" s="38">
        <v>123.0</v>
      </c>
      <c r="T68" s="38">
        <v>12.0</v>
      </c>
      <c r="U68" s="48">
        <f t="shared" si="9"/>
        <v>323</v>
      </c>
      <c r="V68" s="48">
        <f t="shared" si="10"/>
        <v>458</v>
      </c>
      <c r="W68" s="49">
        <f t="shared" si="11"/>
        <v>0.3250773994</v>
      </c>
      <c r="X68" s="49">
        <f t="shared" si="12"/>
        <v>0.4334365325</v>
      </c>
      <c r="Y68" s="49">
        <f t="shared" si="13"/>
        <v>0.2414860681</v>
      </c>
      <c r="Z68" s="32" t="str">
        <f t="shared" si="14"/>
        <v>Milton</v>
      </c>
      <c r="AA68" s="50" t="s">
        <v>77</v>
      </c>
      <c r="AB68" s="24"/>
      <c r="AC68" s="24"/>
      <c r="AD68" s="24"/>
      <c r="AE68" s="122"/>
    </row>
    <row r="69">
      <c r="A69" s="45" t="s">
        <v>209</v>
      </c>
      <c r="B69" s="46" t="s">
        <v>956</v>
      </c>
      <c r="C69" s="47"/>
      <c r="D69" s="38">
        <v>229.0</v>
      </c>
      <c r="E69" s="38">
        <v>350.0</v>
      </c>
      <c r="F69" s="48">
        <v>68.0</v>
      </c>
      <c r="G69" s="38">
        <v>24.0</v>
      </c>
      <c r="H69" s="38">
        <v>19.0</v>
      </c>
      <c r="I69" s="48">
        <f t="shared" si="3"/>
        <v>647</v>
      </c>
      <c r="J69" s="48">
        <f t="shared" si="4"/>
        <v>690</v>
      </c>
      <c r="K69" s="49">
        <f t="shared" si="5"/>
        <v>0.3539412674</v>
      </c>
      <c r="L69" s="49">
        <f t="shared" si="6"/>
        <v>0.5409582689</v>
      </c>
      <c r="M69" s="49">
        <f t="shared" si="7"/>
        <v>0.1051004637</v>
      </c>
      <c r="N69" s="32" t="str">
        <f t="shared" si="8"/>
        <v>Mal. Lott</v>
      </c>
      <c r="O69" s="50" t="s">
        <v>77</v>
      </c>
      <c r="P69" s="38">
        <v>399.0</v>
      </c>
      <c r="Q69" s="38">
        <v>209.0</v>
      </c>
      <c r="R69" s="38">
        <v>35.0</v>
      </c>
      <c r="S69" s="38">
        <v>44.0</v>
      </c>
      <c r="T69" s="38">
        <v>3.0</v>
      </c>
      <c r="U69" s="48">
        <f t="shared" si="9"/>
        <v>643</v>
      </c>
      <c r="V69" s="48">
        <f t="shared" si="10"/>
        <v>690</v>
      </c>
      <c r="W69" s="49">
        <f t="shared" si="11"/>
        <v>0.6205287714</v>
      </c>
      <c r="X69" s="49">
        <f t="shared" si="12"/>
        <v>0.3250388802</v>
      </c>
      <c r="Y69" s="49">
        <f t="shared" si="13"/>
        <v>0.05443234837</v>
      </c>
      <c r="Z69" s="32" t="str">
        <f t="shared" si="14"/>
        <v>Jango</v>
      </c>
      <c r="AA69" s="50" t="s">
        <v>77</v>
      </c>
      <c r="AB69" s="38">
        <v>841.0</v>
      </c>
      <c r="AC69" s="48">
        <f>AB69-V69</f>
        <v>151</v>
      </c>
      <c r="AD69" s="51">
        <f>V69/AB69</f>
        <v>0.820451843</v>
      </c>
      <c r="AE69" s="121"/>
    </row>
    <row r="70">
      <c r="A70" s="61" t="s">
        <v>211</v>
      </c>
      <c r="B70" s="46" t="s">
        <v>957</v>
      </c>
      <c r="C70" s="47"/>
      <c r="D70" s="38">
        <v>248.0</v>
      </c>
      <c r="E70" s="38">
        <v>146.0</v>
      </c>
      <c r="F70" s="38">
        <v>183.0</v>
      </c>
      <c r="G70" s="38">
        <v>68.0</v>
      </c>
      <c r="H70" s="38">
        <v>26.0</v>
      </c>
      <c r="I70" s="48">
        <f t="shared" si="3"/>
        <v>577</v>
      </c>
      <c r="J70" s="48">
        <f t="shared" si="4"/>
        <v>671</v>
      </c>
      <c r="K70" s="49">
        <f t="shared" si="5"/>
        <v>0.4298093588</v>
      </c>
      <c r="L70" s="49">
        <f t="shared" si="6"/>
        <v>0.2530329289</v>
      </c>
      <c r="M70" s="49">
        <f t="shared" si="7"/>
        <v>0.3171577123</v>
      </c>
      <c r="N70" s="32" t="str">
        <f t="shared" si="8"/>
        <v>Jânio</v>
      </c>
      <c r="O70" s="50" t="s">
        <v>77</v>
      </c>
      <c r="P70" s="38">
        <v>263.0</v>
      </c>
      <c r="Q70" s="38">
        <v>183.0</v>
      </c>
      <c r="R70" s="38">
        <v>76.0</v>
      </c>
      <c r="S70" s="38">
        <v>126.0</v>
      </c>
      <c r="T70" s="38">
        <v>23.0</v>
      </c>
      <c r="U70" s="48">
        <f t="shared" si="9"/>
        <v>522</v>
      </c>
      <c r="V70" s="48">
        <f t="shared" si="10"/>
        <v>671</v>
      </c>
      <c r="W70" s="49">
        <f t="shared" si="11"/>
        <v>0.5038314176</v>
      </c>
      <c r="X70" s="49">
        <f t="shared" si="12"/>
        <v>0.3505747126</v>
      </c>
      <c r="Y70" s="49">
        <f t="shared" si="13"/>
        <v>0.1455938697</v>
      </c>
      <c r="Z70" s="32" t="str">
        <f t="shared" si="14"/>
        <v>Jango</v>
      </c>
      <c r="AA70" s="50" t="s">
        <v>77</v>
      </c>
      <c r="AB70" s="88">
        <v>1491.0</v>
      </c>
      <c r="AC70" s="89">
        <f>AB70-(V70+V71)</f>
        <v>282</v>
      </c>
      <c r="AD70" s="94">
        <f>(V70+V71)/AB70</f>
        <v>0.8108651911</v>
      </c>
      <c r="AE70" s="122"/>
    </row>
    <row r="71">
      <c r="A71" s="24"/>
      <c r="B71" s="46" t="s">
        <v>958</v>
      </c>
      <c r="C71" s="47"/>
      <c r="D71" s="38">
        <v>246.0</v>
      </c>
      <c r="E71" s="38">
        <v>56.0</v>
      </c>
      <c r="F71" s="38">
        <v>160.0</v>
      </c>
      <c r="G71" s="38">
        <v>69.0</v>
      </c>
      <c r="H71" s="38">
        <v>7.0</v>
      </c>
      <c r="I71" s="48">
        <f t="shared" si="3"/>
        <v>462</v>
      </c>
      <c r="J71" s="48">
        <f t="shared" si="4"/>
        <v>538</v>
      </c>
      <c r="K71" s="49">
        <f t="shared" si="5"/>
        <v>0.5324675325</v>
      </c>
      <c r="L71" s="49">
        <f t="shared" si="6"/>
        <v>0.1212121212</v>
      </c>
      <c r="M71" s="49">
        <f t="shared" si="7"/>
        <v>0.3463203463</v>
      </c>
      <c r="N71" s="32" t="str">
        <f t="shared" si="8"/>
        <v>Jânio</v>
      </c>
      <c r="O71" s="50" t="s">
        <v>77</v>
      </c>
      <c r="P71" s="38">
        <v>127.0</v>
      </c>
      <c r="Q71" s="38">
        <v>190.0</v>
      </c>
      <c r="R71" s="38">
        <v>45.0</v>
      </c>
      <c r="S71" s="38">
        <v>170.0</v>
      </c>
      <c r="T71" s="38">
        <v>6.0</v>
      </c>
      <c r="U71" s="48">
        <f t="shared" si="9"/>
        <v>362</v>
      </c>
      <c r="V71" s="48">
        <f t="shared" si="10"/>
        <v>538</v>
      </c>
      <c r="W71" s="49">
        <f t="shared" si="11"/>
        <v>0.3508287293</v>
      </c>
      <c r="X71" s="49">
        <f t="shared" si="12"/>
        <v>0.5248618785</v>
      </c>
      <c r="Y71" s="49">
        <f t="shared" si="13"/>
        <v>0.1243093923</v>
      </c>
      <c r="Z71" s="32" t="str">
        <f t="shared" si="14"/>
        <v>Milton</v>
      </c>
      <c r="AA71" s="50" t="s">
        <v>77</v>
      </c>
      <c r="AB71" s="24"/>
      <c r="AC71" s="24"/>
      <c r="AD71" s="24"/>
      <c r="AE71" s="122"/>
    </row>
    <row r="72">
      <c r="A72" s="61" t="s">
        <v>213</v>
      </c>
      <c r="B72" s="46" t="s">
        <v>959</v>
      </c>
      <c r="C72" s="47"/>
      <c r="D72" s="38">
        <v>326.0</v>
      </c>
      <c r="E72" s="38">
        <v>88.0</v>
      </c>
      <c r="F72" s="38">
        <v>234.0</v>
      </c>
      <c r="G72" s="38">
        <v>108.0</v>
      </c>
      <c r="H72" s="38">
        <v>49.0</v>
      </c>
      <c r="I72" s="48">
        <f t="shared" si="3"/>
        <v>648</v>
      </c>
      <c r="J72" s="48">
        <f t="shared" si="4"/>
        <v>805</v>
      </c>
      <c r="K72" s="49">
        <f t="shared" si="5"/>
        <v>0.5030864198</v>
      </c>
      <c r="L72" s="49">
        <f t="shared" si="6"/>
        <v>0.1358024691</v>
      </c>
      <c r="M72" s="49">
        <f t="shared" si="7"/>
        <v>0.3611111111</v>
      </c>
      <c r="N72" s="32" t="str">
        <f t="shared" si="8"/>
        <v>Jânio</v>
      </c>
      <c r="O72" s="50" t="s">
        <v>77</v>
      </c>
      <c r="P72" s="38">
        <v>212.0</v>
      </c>
      <c r="Q72" s="38">
        <v>190.0</v>
      </c>
      <c r="R72" s="38">
        <v>89.0</v>
      </c>
      <c r="S72" s="38">
        <v>290.0</v>
      </c>
      <c r="T72" s="38">
        <v>24.0</v>
      </c>
      <c r="U72" s="48">
        <f t="shared" si="9"/>
        <v>491</v>
      </c>
      <c r="V72" s="48">
        <f t="shared" si="10"/>
        <v>805</v>
      </c>
      <c r="W72" s="49">
        <f t="shared" si="11"/>
        <v>0.4317718941</v>
      </c>
      <c r="X72" s="49">
        <f t="shared" si="12"/>
        <v>0.3869653768</v>
      </c>
      <c r="Y72" s="49">
        <f t="shared" si="13"/>
        <v>0.1812627291</v>
      </c>
      <c r="Z72" s="32" t="str">
        <f t="shared" si="14"/>
        <v>Jango</v>
      </c>
      <c r="AA72" s="50" t="s">
        <v>77</v>
      </c>
      <c r="AB72" s="88">
        <v>2234.0</v>
      </c>
      <c r="AC72" s="89">
        <f>AB72-(V72+V73+V74)</f>
        <v>243</v>
      </c>
      <c r="AD72" s="94">
        <f>(V72+V73+V74)/AB72</f>
        <v>0.8912264996</v>
      </c>
      <c r="AE72" s="122"/>
    </row>
    <row r="73">
      <c r="A73" s="23"/>
      <c r="B73" s="46" t="s">
        <v>960</v>
      </c>
      <c r="C73" s="47"/>
      <c r="D73" s="38">
        <v>212.0</v>
      </c>
      <c r="E73" s="38">
        <v>48.0</v>
      </c>
      <c r="F73" s="38">
        <v>171.0</v>
      </c>
      <c r="G73" s="38">
        <v>45.0</v>
      </c>
      <c r="H73" s="38">
        <v>20.0</v>
      </c>
      <c r="I73" s="48">
        <f t="shared" si="3"/>
        <v>431</v>
      </c>
      <c r="J73" s="48">
        <f t="shared" si="4"/>
        <v>496</v>
      </c>
      <c r="K73" s="49">
        <f t="shared" si="5"/>
        <v>0.4918793503</v>
      </c>
      <c r="L73" s="49">
        <f t="shared" si="6"/>
        <v>0.1113689095</v>
      </c>
      <c r="M73" s="49">
        <f t="shared" si="7"/>
        <v>0.3967517401</v>
      </c>
      <c r="N73" s="32" t="str">
        <f t="shared" si="8"/>
        <v>Jânio</v>
      </c>
      <c r="O73" s="50" t="s">
        <v>77</v>
      </c>
      <c r="P73" s="38">
        <v>129.0</v>
      </c>
      <c r="Q73" s="38">
        <v>121.0</v>
      </c>
      <c r="R73" s="38">
        <v>123.0</v>
      </c>
      <c r="S73" s="38">
        <v>117.0</v>
      </c>
      <c r="T73" s="38">
        <v>6.0</v>
      </c>
      <c r="U73" s="48">
        <f t="shared" si="9"/>
        <v>373</v>
      </c>
      <c r="V73" s="48">
        <f t="shared" si="10"/>
        <v>496</v>
      </c>
      <c r="W73" s="49">
        <f t="shared" si="11"/>
        <v>0.345844504</v>
      </c>
      <c r="X73" s="49">
        <f t="shared" si="12"/>
        <v>0.3243967828</v>
      </c>
      <c r="Y73" s="49">
        <f t="shared" si="13"/>
        <v>0.3297587131</v>
      </c>
      <c r="Z73" s="32" t="str">
        <f t="shared" si="14"/>
        <v>Jango</v>
      </c>
      <c r="AA73" s="50" t="s">
        <v>77</v>
      </c>
      <c r="AB73" s="23"/>
      <c r="AC73" s="23"/>
      <c r="AD73" s="23"/>
      <c r="AE73" s="122"/>
    </row>
    <row r="74">
      <c r="A74" s="24"/>
      <c r="B74" s="46" t="s">
        <v>961</v>
      </c>
      <c r="C74" s="47"/>
      <c r="D74" s="38">
        <v>345.0</v>
      </c>
      <c r="E74" s="38">
        <v>220.0</v>
      </c>
      <c r="F74" s="38">
        <v>58.0</v>
      </c>
      <c r="G74" s="38">
        <v>56.0</v>
      </c>
      <c r="H74" s="38">
        <v>11.0</v>
      </c>
      <c r="I74" s="48">
        <f t="shared" si="3"/>
        <v>623</v>
      </c>
      <c r="J74" s="48">
        <f t="shared" si="4"/>
        <v>690</v>
      </c>
      <c r="K74" s="49">
        <f t="shared" si="5"/>
        <v>0.5537720706</v>
      </c>
      <c r="L74" s="49">
        <f t="shared" si="6"/>
        <v>0.3531300161</v>
      </c>
      <c r="M74" s="49">
        <f t="shared" si="7"/>
        <v>0.09309791332</v>
      </c>
      <c r="N74" s="32" t="str">
        <f t="shared" si="8"/>
        <v>Jânio</v>
      </c>
      <c r="O74" s="50" t="s">
        <v>77</v>
      </c>
      <c r="P74" s="38">
        <v>291.0</v>
      </c>
      <c r="Q74" s="38">
        <v>231.0</v>
      </c>
      <c r="R74" s="38">
        <v>55.0</v>
      </c>
      <c r="S74" s="38">
        <v>106.0</v>
      </c>
      <c r="T74" s="38">
        <v>7.0</v>
      </c>
      <c r="U74" s="48">
        <f t="shared" si="9"/>
        <v>577</v>
      </c>
      <c r="V74" s="48">
        <f t="shared" si="10"/>
        <v>690</v>
      </c>
      <c r="W74" s="49">
        <f t="shared" si="11"/>
        <v>0.5043327556</v>
      </c>
      <c r="X74" s="49">
        <f t="shared" si="12"/>
        <v>0.4003466205</v>
      </c>
      <c r="Y74" s="49">
        <f t="shared" si="13"/>
        <v>0.09532062392</v>
      </c>
      <c r="Z74" s="32" t="str">
        <f t="shared" si="14"/>
        <v>Jango</v>
      </c>
      <c r="AA74" s="50" t="s">
        <v>77</v>
      </c>
      <c r="AB74" s="24"/>
      <c r="AC74" s="24"/>
      <c r="AD74" s="24"/>
      <c r="AE74" s="122"/>
    </row>
    <row r="75">
      <c r="A75" s="45" t="s">
        <v>215</v>
      </c>
      <c r="B75" s="46" t="s">
        <v>962</v>
      </c>
      <c r="C75" s="47"/>
      <c r="D75" s="38">
        <v>832.0</v>
      </c>
      <c r="E75" s="38">
        <v>161.0</v>
      </c>
      <c r="F75" s="38">
        <v>525.0</v>
      </c>
      <c r="G75" s="38">
        <v>106.0</v>
      </c>
      <c r="H75" s="38">
        <v>48.0</v>
      </c>
      <c r="I75" s="48">
        <f t="shared" si="3"/>
        <v>1518</v>
      </c>
      <c r="J75" s="48">
        <f t="shared" si="4"/>
        <v>1672</v>
      </c>
      <c r="K75" s="49">
        <f t="shared" si="5"/>
        <v>0.5480895916</v>
      </c>
      <c r="L75" s="49">
        <f t="shared" si="6"/>
        <v>0.1060606061</v>
      </c>
      <c r="M75" s="49">
        <f t="shared" si="7"/>
        <v>0.3458498024</v>
      </c>
      <c r="N75" s="32" t="str">
        <f t="shared" si="8"/>
        <v>Jânio</v>
      </c>
      <c r="O75" s="50" t="s">
        <v>77</v>
      </c>
      <c r="P75" s="38">
        <v>539.0</v>
      </c>
      <c r="Q75" s="38">
        <v>455.0</v>
      </c>
      <c r="R75" s="38">
        <v>368.0</v>
      </c>
      <c r="S75" s="38">
        <v>289.0</v>
      </c>
      <c r="T75" s="38">
        <v>21.0</v>
      </c>
      <c r="U75" s="48">
        <f t="shared" si="9"/>
        <v>1362</v>
      </c>
      <c r="V75" s="48">
        <f t="shared" si="10"/>
        <v>1672</v>
      </c>
      <c r="W75" s="49">
        <f t="shared" si="11"/>
        <v>0.3957415565</v>
      </c>
      <c r="X75" s="49">
        <f t="shared" si="12"/>
        <v>0.3340675477</v>
      </c>
      <c r="Y75" s="49">
        <f t="shared" si="13"/>
        <v>0.2701908957</v>
      </c>
      <c r="Z75" s="32" t="str">
        <f t="shared" si="14"/>
        <v>Jango</v>
      </c>
      <c r="AA75" s="50" t="s">
        <v>77</v>
      </c>
      <c r="AB75" s="38">
        <v>1949.0</v>
      </c>
      <c r="AC75" s="48">
        <f t="shared" ref="AC75:AC77" si="23">AB75-V75</f>
        <v>277</v>
      </c>
      <c r="AD75" s="51">
        <f t="shared" ref="AD75:AD77" si="24">V75/AB75</f>
        <v>0.8578758338</v>
      </c>
      <c r="AE75" s="121"/>
    </row>
    <row r="76">
      <c r="A76" s="45" t="s">
        <v>218</v>
      </c>
      <c r="B76" s="46" t="s">
        <v>963</v>
      </c>
      <c r="C76" s="47"/>
      <c r="D76" s="38">
        <v>853.0</v>
      </c>
      <c r="E76" s="38">
        <v>214.0</v>
      </c>
      <c r="F76" s="38">
        <v>609.0</v>
      </c>
      <c r="G76" s="38">
        <v>86.0</v>
      </c>
      <c r="H76" s="38">
        <v>57.0</v>
      </c>
      <c r="I76" s="48">
        <f t="shared" si="3"/>
        <v>1676</v>
      </c>
      <c r="J76" s="48">
        <f t="shared" si="4"/>
        <v>1819</v>
      </c>
      <c r="K76" s="49">
        <f t="shared" si="5"/>
        <v>0.5089498807</v>
      </c>
      <c r="L76" s="49">
        <f t="shared" si="6"/>
        <v>0.1276849642</v>
      </c>
      <c r="M76" s="49">
        <f t="shared" si="7"/>
        <v>0.3633651551</v>
      </c>
      <c r="N76" s="32" t="str">
        <f t="shared" si="8"/>
        <v>Jânio</v>
      </c>
      <c r="O76" s="50" t="s">
        <v>77</v>
      </c>
      <c r="P76" s="38">
        <v>604.0</v>
      </c>
      <c r="Q76" s="38">
        <v>704.0</v>
      </c>
      <c r="R76" s="38">
        <v>232.0</v>
      </c>
      <c r="S76" s="38">
        <v>244.0</v>
      </c>
      <c r="T76" s="38">
        <v>35.0</v>
      </c>
      <c r="U76" s="48">
        <f t="shared" si="9"/>
        <v>1540</v>
      </c>
      <c r="V76" s="48">
        <f t="shared" si="10"/>
        <v>1819</v>
      </c>
      <c r="W76" s="49">
        <f t="shared" si="11"/>
        <v>0.3922077922</v>
      </c>
      <c r="X76" s="49">
        <f t="shared" si="12"/>
        <v>0.4571428571</v>
      </c>
      <c r="Y76" s="49">
        <f t="shared" si="13"/>
        <v>0.1506493506</v>
      </c>
      <c r="Z76" s="32" t="str">
        <f t="shared" si="14"/>
        <v>Milton</v>
      </c>
      <c r="AA76" s="50" t="s">
        <v>77</v>
      </c>
      <c r="AB76" s="38">
        <v>2060.0</v>
      </c>
      <c r="AC76" s="48">
        <f t="shared" si="23"/>
        <v>241</v>
      </c>
      <c r="AD76" s="51">
        <f t="shared" si="24"/>
        <v>0.8830097087</v>
      </c>
      <c r="AE76" s="121"/>
    </row>
    <row r="77">
      <c r="A77" s="45" t="s">
        <v>220</v>
      </c>
      <c r="B77" s="46" t="s">
        <v>964</v>
      </c>
      <c r="C77" s="47"/>
      <c r="D77" s="38">
        <v>837.0</v>
      </c>
      <c r="E77" s="38">
        <v>630.0</v>
      </c>
      <c r="F77" s="38">
        <v>651.0</v>
      </c>
      <c r="G77" s="38">
        <v>236.0</v>
      </c>
      <c r="H77" s="38">
        <v>121.0</v>
      </c>
      <c r="I77" s="48">
        <f t="shared" si="3"/>
        <v>2118</v>
      </c>
      <c r="J77" s="48">
        <f t="shared" si="4"/>
        <v>2475</v>
      </c>
      <c r="K77" s="49">
        <f t="shared" si="5"/>
        <v>0.395184136</v>
      </c>
      <c r="L77" s="49">
        <f t="shared" si="6"/>
        <v>0.2974504249</v>
      </c>
      <c r="M77" s="49">
        <f t="shared" si="7"/>
        <v>0.3073654391</v>
      </c>
      <c r="N77" s="32" t="str">
        <f t="shared" si="8"/>
        <v>Jânio</v>
      </c>
      <c r="O77" s="50" t="s">
        <v>77</v>
      </c>
      <c r="P77" s="38">
        <v>1052.0</v>
      </c>
      <c r="Q77" s="38">
        <v>522.0</v>
      </c>
      <c r="R77" s="38">
        <v>340.0</v>
      </c>
      <c r="S77" s="38">
        <v>500.0</v>
      </c>
      <c r="T77" s="38">
        <v>61.0</v>
      </c>
      <c r="U77" s="48">
        <f t="shared" si="9"/>
        <v>1914</v>
      </c>
      <c r="V77" s="48">
        <f t="shared" si="10"/>
        <v>2475</v>
      </c>
      <c r="W77" s="49">
        <f t="shared" si="11"/>
        <v>0.5496342738</v>
      </c>
      <c r="X77" s="49">
        <f t="shared" si="12"/>
        <v>0.2727272727</v>
      </c>
      <c r="Y77" s="49">
        <f t="shared" si="13"/>
        <v>0.1776384535</v>
      </c>
      <c r="Z77" s="32" t="str">
        <f t="shared" si="14"/>
        <v>Jango</v>
      </c>
      <c r="AA77" s="50" t="s">
        <v>77</v>
      </c>
      <c r="AB77" s="38">
        <v>2746.0</v>
      </c>
      <c r="AC77" s="48">
        <f t="shared" si="23"/>
        <v>271</v>
      </c>
      <c r="AD77" s="51">
        <f t="shared" si="24"/>
        <v>0.9013109978</v>
      </c>
      <c r="AE77" s="121"/>
    </row>
    <row r="78">
      <c r="A78" s="61" t="s">
        <v>295</v>
      </c>
      <c r="B78" s="46" t="s">
        <v>965</v>
      </c>
      <c r="C78" s="47"/>
      <c r="D78" s="38">
        <v>851.0</v>
      </c>
      <c r="E78" s="38">
        <v>386.0</v>
      </c>
      <c r="F78" s="38">
        <v>516.0</v>
      </c>
      <c r="G78" s="38">
        <v>151.0</v>
      </c>
      <c r="H78" s="38">
        <v>64.0</v>
      </c>
      <c r="I78" s="48">
        <f t="shared" si="3"/>
        <v>1753</v>
      </c>
      <c r="J78" s="48">
        <f t="shared" si="4"/>
        <v>1968</v>
      </c>
      <c r="K78" s="49">
        <f t="shared" si="5"/>
        <v>0.4854535083</v>
      </c>
      <c r="L78" s="49">
        <f t="shared" si="6"/>
        <v>0.2201939532</v>
      </c>
      <c r="M78" s="49">
        <f t="shared" si="7"/>
        <v>0.2943525385</v>
      </c>
      <c r="N78" s="32" t="str">
        <f t="shared" si="8"/>
        <v>Jânio</v>
      </c>
      <c r="O78" s="50" t="s">
        <v>77</v>
      </c>
      <c r="P78" s="38">
        <v>796.0</v>
      </c>
      <c r="Q78" s="38">
        <v>784.0</v>
      </c>
      <c r="R78" s="38">
        <v>109.0</v>
      </c>
      <c r="S78" s="38">
        <v>245.0</v>
      </c>
      <c r="T78" s="38">
        <v>34.0</v>
      </c>
      <c r="U78" s="48">
        <f t="shared" si="9"/>
        <v>1689</v>
      </c>
      <c r="V78" s="48">
        <f t="shared" si="10"/>
        <v>1968</v>
      </c>
      <c r="W78" s="49">
        <f t="shared" si="11"/>
        <v>0.4712847839</v>
      </c>
      <c r="X78" s="49">
        <f t="shared" si="12"/>
        <v>0.4641799882</v>
      </c>
      <c r="Y78" s="49">
        <f t="shared" si="13"/>
        <v>0.06453522795</v>
      </c>
      <c r="Z78" s="32" t="str">
        <f t="shared" si="14"/>
        <v>Jango</v>
      </c>
      <c r="AA78" s="50" t="s">
        <v>77</v>
      </c>
      <c r="AB78" s="88">
        <v>2465.0</v>
      </c>
      <c r="AC78" s="89">
        <f>AB78-(V78+V79)</f>
        <v>285</v>
      </c>
      <c r="AD78" s="94">
        <f>(V78+V79)/AB78</f>
        <v>0.8843813387</v>
      </c>
      <c r="AE78" s="122"/>
    </row>
    <row r="79">
      <c r="A79" s="24"/>
      <c r="B79" s="46" t="s">
        <v>966</v>
      </c>
      <c r="C79" s="47"/>
      <c r="D79" s="38">
        <v>104.0</v>
      </c>
      <c r="E79" s="38">
        <v>5.0</v>
      </c>
      <c r="F79" s="38">
        <v>95.0</v>
      </c>
      <c r="G79" s="38">
        <v>6.0</v>
      </c>
      <c r="H79" s="38">
        <v>2.0</v>
      </c>
      <c r="I79" s="48">
        <f t="shared" si="3"/>
        <v>204</v>
      </c>
      <c r="J79" s="48">
        <f t="shared" si="4"/>
        <v>212</v>
      </c>
      <c r="K79" s="49">
        <f t="shared" si="5"/>
        <v>0.5098039216</v>
      </c>
      <c r="L79" s="49">
        <f t="shared" si="6"/>
        <v>0.02450980392</v>
      </c>
      <c r="M79" s="49">
        <f t="shared" si="7"/>
        <v>0.4656862745</v>
      </c>
      <c r="N79" s="32" t="str">
        <f t="shared" si="8"/>
        <v>Jânio</v>
      </c>
      <c r="O79" s="50" t="s">
        <v>77</v>
      </c>
      <c r="P79" s="38">
        <v>88.0</v>
      </c>
      <c r="Q79" s="38">
        <v>95.0</v>
      </c>
      <c r="R79" s="38">
        <v>14.0</v>
      </c>
      <c r="S79" s="38">
        <v>14.0</v>
      </c>
      <c r="T79" s="38">
        <v>1.0</v>
      </c>
      <c r="U79" s="48">
        <f t="shared" si="9"/>
        <v>197</v>
      </c>
      <c r="V79" s="48">
        <f t="shared" si="10"/>
        <v>212</v>
      </c>
      <c r="W79" s="49">
        <f t="shared" si="11"/>
        <v>0.4467005076</v>
      </c>
      <c r="X79" s="49">
        <f t="shared" si="12"/>
        <v>0.4822335025</v>
      </c>
      <c r="Y79" s="49">
        <f t="shared" si="13"/>
        <v>0.07106598985</v>
      </c>
      <c r="Z79" s="32" t="str">
        <f t="shared" si="14"/>
        <v>Milton</v>
      </c>
      <c r="AA79" s="50" t="s">
        <v>77</v>
      </c>
      <c r="AB79" s="24"/>
      <c r="AC79" s="24"/>
      <c r="AD79" s="24"/>
      <c r="AE79" s="122"/>
    </row>
    <row r="80">
      <c r="A80" s="61" t="s">
        <v>299</v>
      </c>
      <c r="B80" s="46" t="s">
        <v>387</v>
      </c>
      <c r="C80" s="47"/>
      <c r="D80" s="38">
        <v>154.0</v>
      </c>
      <c r="E80" s="38">
        <v>220.0</v>
      </c>
      <c r="F80" s="38">
        <v>940.0</v>
      </c>
      <c r="G80" s="38">
        <v>48.0</v>
      </c>
      <c r="H80" s="38">
        <v>29.0</v>
      </c>
      <c r="I80" s="48">
        <f t="shared" si="3"/>
        <v>1314</v>
      </c>
      <c r="J80" s="48">
        <f t="shared" si="4"/>
        <v>1391</v>
      </c>
      <c r="K80" s="49">
        <f t="shared" si="5"/>
        <v>0.1171993912</v>
      </c>
      <c r="L80" s="49">
        <f t="shared" si="6"/>
        <v>0.1674277017</v>
      </c>
      <c r="M80" s="49">
        <f t="shared" si="7"/>
        <v>0.7153729072</v>
      </c>
      <c r="N80" s="32" t="str">
        <f t="shared" si="8"/>
        <v>Adhemar</v>
      </c>
      <c r="O80" s="50" t="s">
        <v>77</v>
      </c>
      <c r="P80" s="38">
        <v>1018.0</v>
      </c>
      <c r="Q80" s="38">
        <v>185.0</v>
      </c>
      <c r="R80" s="38">
        <v>53.0</v>
      </c>
      <c r="S80" s="38">
        <v>115.0</v>
      </c>
      <c r="T80" s="38">
        <v>20.0</v>
      </c>
      <c r="U80" s="48">
        <f t="shared" si="9"/>
        <v>1256</v>
      </c>
      <c r="V80" s="48">
        <f t="shared" si="10"/>
        <v>1391</v>
      </c>
      <c r="W80" s="49">
        <f t="shared" si="11"/>
        <v>0.8105095541</v>
      </c>
      <c r="X80" s="49">
        <f t="shared" si="12"/>
        <v>0.1472929936</v>
      </c>
      <c r="Y80" s="49">
        <f t="shared" si="13"/>
        <v>0.04219745223</v>
      </c>
      <c r="Z80" s="32" t="str">
        <f t="shared" si="14"/>
        <v>Jango</v>
      </c>
      <c r="AA80" s="50" t="s">
        <v>77</v>
      </c>
      <c r="AB80" s="88">
        <v>4260.0</v>
      </c>
      <c r="AC80" s="89">
        <f>AB80-(V80+V81)</f>
        <v>677</v>
      </c>
      <c r="AD80" s="94">
        <f>(V80+V81)/AB80</f>
        <v>0.8410798122</v>
      </c>
      <c r="AE80" s="122"/>
    </row>
    <row r="81">
      <c r="A81" s="24"/>
      <c r="B81" s="46" t="s">
        <v>967</v>
      </c>
      <c r="C81" s="47"/>
      <c r="D81" s="38">
        <v>1225.0</v>
      </c>
      <c r="E81" s="38">
        <v>438.0</v>
      </c>
      <c r="F81" s="38">
        <v>424.0</v>
      </c>
      <c r="G81" s="38">
        <v>65.0</v>
      </c>
      <c r="H81" s="38">
        <v>40.0</v>
      </c>
      <c r="I81" s="48">
        <f t="shared" si="3"/>
        <v>2087</v>
      </c>
      <c r="J81" s="48">
        <f t="shared" si="4"/>
        <v>2192</v>
      </c>
      <c r="K81" s="49">
        <f t="shared" si="5"/>
        <v>0.5869669382</v>
      </c>
      <c r="L81" s="49">
        <f t="shared" si="6"/>
        <v>0.2098706277</v>
      </c>
      <c r="M81" s="49">
        <f t="shared" si="7"/>
        <v>0.2031624341</v>
      </c>
      <c r="N81" s="32" t="str">
        <f t="shared" si="8"/>
        <v>Jânio</v>
      </c>
      <c r="O81" s="50" t="s">
        <v>77</v>
      </c>
      <c r="P81" s="38">
        <v>780.0</v>
      </c>
      <c r="Q81" s="38">
        <v>1195.0</v>
      </c>
      <c r="R81" s="38">
        <v>71.0</v>
      </c>
      <c r="S81" s="38">
        <v>118.0</v>
      </c>
      <c r="T81" s="38">
        <v>28.0</v>
      </c>
      <c r="U81" s="48">
        <f t="shared" si="9"/>
        <v>2046</v>
      </c>
      <c r="V81" s="48">
        <f t="shared" si="10"/>
        <v>2192</v>
      </c>
      <c r="W81" s="49">
        <f t="shared" si="11"/>
        <v>0.3812316716</v>
      </c>
      <c r="X81" s="49">
        <f t="shared" si="12"/>
        <v>0.5840664712</v>
      </c>
      <c r="Y81" s="49">
        <f t="shared" si="13"/>
        <v>0.03470185728</v>
      </c>
      <c r="Z81" s="32" t="str">
        <f t="shared" si="14"/>
        <v>Milton</v>
      </c>
      <c r="AA81" s="50" t="s">
        <v>77</v>
      </c>
      <c r="AB81" s="24"/>
      <c r="AC81" s="24"/>
      <c r="AD81" s="24"/>
      <c r="AE81" s="122"/>
    </row>
    <row r="82">
      <c r="A82" s="69" t="s">
        <v>54</v>
      </c>
      <c r="B82" s="13"/>
      <c r="C82" s="47"/>
      <c r="D82" s="38">
        <f t="shared" ref="D82:H82" si="25">SUM(D15:D81)</f>
        <v>53835</v>
      </c>
      <c r="E82" s="38">
        <f t="shared" si="25"/>
        <v>32253</v>
      </c>
      <c r="F82" s="38">
        <f t="shared" si="25"/>
        <v>25926</v>
      </c>
      <c r="G82" s="38">
        <f t="shared" si="25"/>
        <v>7819</v>
      </c>
      <c r="H82" s="38">
        <f t="shared" si="25"/>
        <v>4143</v>
      </c>
      <c r="I82" s="48">
        <f t="shared" si="3"/>
        <v>112014</v>
      </c>
      <c r="J82" s="48">
        <f t="shared" si="4"/>
        <v>123976</v>
      </c>
      <c r="K82" s="49">
        <f t="shared" si="5"/>
        <v>0.4806095667</v>
      </c>
      <c r="L82" s="49">
        <f t="shared" si="6"/>
        <v>0.2879372221</v>
      </c>
      <c r="M82" s="49">
        <f t="shared" si="7"/>
        <v>0.2314532112</v>
      </c>
      <c r="N82" s="32" t="str">
        <f t="shared" si="8"/>
        <v>Jânio</v>
      </c>
      <c r="O82" s="50"/>
      <c r="P82" s="38">
        <f t="shared" ref="P82:T82" si="26">SUM(P15:P81)</f>
        <v>46275</v>
      </c>
      <c r="Q82" s="38">
        <f t="shared" si="26"/>
        <v>39009</v>
      </c>
      <c r="R82" s="38">
        <f t="shared" si="26"/>
        <v>18522</v>
      </c>
      <c r="S82" s="38">
        <f t="shared" si="26"/>
        <v>16779</v>
      </c>
      <c r="T82" s="38">
        <f t="shared" si="26"/>
        <v>3391</v>
      </c>
      <c r="U82" s="48">
        <f t="shared" si="9"/>
        <v>103806</v>
      </c>
      <c r="V82" s="48">
        <f t="shared" si="10"/>
        <v>123976</v>
      </c>
      <c r="W82" s="49">
        <f t="shared" si="11"/>
        <v>0.4457834807</v>
      </c>
      <c r="X82" s="49">
        <f t="shared" si="12"/>
        <v>0.3757875267</v>
      </c>
      <c r="Y82" s="49">
        <f t="shared" si="13"/>
        <v>0.1784289925</v>
      </c>
      <c r="Z82" s="32" t="str">
        <f t="shared" si="14"/>
        <v>Jango</v>
      </c>
      <c r="AA82" s="44"/>
      <c r="AB82" s="48">
        <f>SUM(AB15:AB81)</f>
        <v>154621</v>
      </c>
      <c r="AC82" s="48">
        <f>AB82-V82</f>
        <v>30645</v>
      </c>
      <c r="AD82" s="51">
        <f>V82/AB82</f>
        <v>0.8018057056</v>
      </c>
      <c r="AE82" s="121"/>
    </row>
    <row r="83">
      <c r="O83" s="73"/>
    </row>
    <row r="84">
      <c r="B84" s="74" t="s">
        <v>138</v>
      </c>
      <c r="D84" s="75"/>
      <c r="E84" s="75"/>
      <c r="F84" s="75"/>
      <c r="G84" s="75"/>
    </row>
    <row r="85">
      <c r="B85" s="76" t="s">
        <v>139</v>
      </c>
      <c r="C85" s="33"/>
      <c r="D85" s="29"/>
      <c r="E85" s="29"/>
      <c r="F85" s="77"/>
      <c r="G85" s="77"/>
    </row>
    <row r="86">
      <c r="B86" s="76" t="s">
        <v>222</v>
      </c>
      <c r="D86" s="29"/>
      <c r="E86" s="29"/>
      <c r="F86" s="77"/>
      <c r="G86" s="77"/>
    </row>
    <row r="87">
      <c r="D87" s="29"/>
      <c r="E87" s="29"/>
      <c r="F87" s="77"/>
      <c r="G87" s="77"/>
    </row>
  </sheetData>
  <mergeCells count="90">
    <mergeCell ref="AB41:AB43"/>
    <mergeCell ref="AB44:AB48"/>
    <mergeCell ref="AB17:AB18"/>
    <mergeCell ref="AB23:AB25"/>
    <mergeCell ref="AB29:AB30"/>
    <mergeCell ref="AB32:AB33"/>
    <mergeCell ref="AB34:AB35"/>
    <mergeCell ref="AB36:AB37"/>
    <mergeCell ref="AB38:AB40"/>
    <mergeCell ref="AB53:AB54"/>
    <mergeCell ref="AC53:AC54"/>
    <mergeCell ref="AD53:AD54"/>
    <mergeCell ref="AC41:AC43"/>
    <mergeCell ref="AD41:AD43"/>
    <mergeCell ref="AC44:AC48"/>
    <mergeCell ref="AD44:AD48"/>
    <mergeCell ref="AB49:AB50"/>
    <mergeCell ref="AC49:AC50"/>
    <mergeCell ref="AD49:AD50"/>
    <mergeCell ref="AC62:AC64"/>
    <mergeCell ref="AD62:AD64"/>
    <mergeCell ref="AB56:AB57"/>
    <mergeCell ref="AC56:AC57"/>
    <mergeCell ref="AD56:AD57"/>
    <mergeCell ref="AB60:AB61"/>
    <mergeCell ref="AC60:AC61"/>
    <mergeCell ref="AD60:AD61"/>
    <mergeCell ref="AB62:AB64"/>
    <mergeCell ref="AC70:AC71"/>
    <mergeCell ref="AD70:AD71"/>
    <mergeCell ref="AB65:AB66"/>
    <mergeCell ref="AC65:AC66"/>
    <mergeCell ref="AD65:AD66"/>
    <mergeCell ref="AB67:AB68"/>
    <mergeCell ref="AC67:AC68"/>
    <mergeCell ref="AD67:AD68"/>
    <mergeCell ref="AB70:AB71"/>
    <mergeCell ref="AA10:AD10"/>
    <mergeCell ref="AB26:AB28"/>
    <mergeCell ref="AC26:AC28"/>
    <mergeCell ref="AD26:AD28"/>
    <mergeCell ref="AC29:AC30"/>
    <mergeCell ref="AD29:AD30"/>
    <mergeCell ref="AD32:AD33"/>
    <mergeCell ref="AC32:AC33"/>
    <mergeCell ref="AC34:AC35"/>
    <mergeCell ref="AD34:AD35"/>
    <mergeCell ref="AC36:AC37"/>
    <mergeCell ref="AD36:AD37"/>
    <mergeCell ref="AC38:AC40"/>
    <mergeCell ref="AD38:AD40"/>
    <mergeCell ref="AC17:AC18"/>
    <mergeCell ref="AD17:AD18"/>
    <mergeCell ref="AC23:AC25"/>
    <mergeCell ref="AD23:AD25"/>
    <mergeCell ref="D2:G2"/>
    <mergeCell ref="A10:C10"/>
    <mergeCell ref="D10:N10"/>
    <mergeCell ref="P10:Z10"/>
    <mergeCell ref="A17:A18"/>
    <mergeCell ref="A23:A25"/>
    <mergeCell ref="A26:A28"/>
    <mergeCell ref="A29:A30"/>
    <mergeCell ref="A32:A33"/>
    <mergeCell ref="A34:A35"/>
    <mergeCell ref="A36:A37"/>
    <mergeCell ref="A38:A40"/>
    <mergeCell ref="A41:A43"/>
    <mergeCell ref="A44:A48"/>
    <mergeCell ref="A70:A71"/>
    <mergeCell ref="A72:A74"/>
    <mergeCell ref="A78:A79"/>
    <mergeCell ref="A80:A81"/>
    <mergeCell ref="A82:B82"/>
    <mergeCell ref="A49:A50"/>
    <mergeCell ref="A53:A54"/>
    <mergeCell ref="A56:A57"/>
    <mergeCell ref="A60:A61"/>
    <mergeCell ref="A62:A64"/>
    <mergeCell ref="A65:A66"/>
    <mergeCell ref="A67:A68"/>
    <mergeCell ref="AC80:AC81"/>
    <mergeCell ref="AD80:AD81"/>
    <mergeCell ref="AB72:AB74"/>
    <mergeCell ref="AC72:AC74"/>
    <mergeCell ref="AD72:AD74"/>
    <mergeCell ref="AB78:AB79"/>
    <mergeCell ref="AC78:AC79"/>
    <mergeCell ref="AD78:AD79"/>
    <mergeCell ref="AB80:AB81"/>
  </mergeCells>
  <conditionalFormatting sqref="K12:M82 N12:N83 Z12:Z82">
    <cfRule type="colorScale" priority="1">
      <colorScale>
        <cfvo type="percent" val="0"/>
        <cfvo type="percent" val="50"/>
        <cfvo type="percent" val="100"/>
        <color rgb="FFFFFFFF"/>
        <color rgb="FFABDDC5"/>
        <color rgb="FF57BB8A"/>
      </colorScale>
    </cfRule>
  </conditionalFormatting>
  <conditionalFormatting sqref="W12:Y82">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IF(COUNTIF($N$14:$N$75,D3)=0,"-",COUNTIF($N$14:$N$75,D3))</f>
        <v>40</v>
      </c>
      <c r="F3" s="32" t="s">
        <v>47</v>
      </c>
      <c r="G3" s="22">
        <f t="shared" ref="G3:G6" si="2">IF(COUNTIF($Z$14:$Z$75,F3)=0,"-",COUNTIF($Z$14:$Z$75,F3))</f>
        <v>24</v>
      </c>
    </row>
    <row r="4">
      <c r="D4" s="32" t="s">
        <v>48</v>
      </c>
      <c r="E4" s="22">
        <f t="shared" si="1"/>
        <v>22</v>
      </c>
      <c r="F4" s="32" t="s">
        <v>49</v>
      </c>
      <c r="G4" s="22">
        <f t="shared" si="2"/>
        <v>38</v>
      </c>
    </row>
    <row r="5">
      <c r="D5" s="32" t="s">
        <v>50</v>
      </c>
      <c r="E5" s="22" t="str">
        <f t="shared" si="1"/>
        <v>-</v>
      </c>
      <c r="F5" s="32" t="s">
        <v>51</v>
      </c>
      <c r="G5" s="22" t="str">
        <f t="shared" si="2"/>
        <v>-</v>
      </c>
    </row>
    <row r="6">
      <c r="D6" s="32" t="s">
        <v>52</v>
      </c>
      <c r="E6" s="22" t="str">
        <f t="shared" si="1"/>
        <v>-</v>
      </c>
      <c r="F6" s="32" t="s">
        <v>52</v>
      </c>
      <c r="G6" s="22" t="str">
        <f t="shared" si="2"/>
        <v>-</v>
      </c>
    </row>
    <row r="7">
      <c r="D7" s="32" t="s">
        <v>54</v>
      </c>
      <c r="E7" s="32">
        <f>SUM(E3:E6)</f>
        <v>62</v>
      </c>
      <c r="F7" s="32" t="s">
        <v>54</v>
      </c>
      <c r="G7" s="32">
        <f>SUM(G3:G6)</f>
        <v>62</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45" t="s">
        <v>73</v>
      </c>
      <c r="B12" s="46" t="s">
        <v>968</v>
      </c>
      <c r="C12" s="47"/>
      <c r="D12" s="38">
        <v>3825.0</v>
      </c>
      <c r="E12" s="38">
        <v>9243.0</v>
      </c>
      <c r="F12" s="38">
        <v>464.0</v>
      </c>
      <c r="G12" s="38">
        <v>252.0</v>
      </c>
      <c r="H12" s="38">
        <v>330.0</v>
      </c>
      <c r="I12" s="48">
        <f t="shared" ref="I12:I76" si="3">SUM(D12:F12)</f>
        <v>13532</v>
      </c>
      <c r="J12" s="48">
        <f t="shared" ref="J12:J76" si="4">SUM(G12:I12)</f>
        <v>14114</v>
      </c>
      <c r="K12" s="49">
        <f t="shared" ref="K12:K76" si="5">D12/I12</f>
        <v>0.2826633166</v>
      </c>
      <c r="L12" s="49">
        <f t="shared" ref="L12:L76" si="6">E12/I12</f>
        <v>0.6830475909</v>
      </c>
      <c r="M12" s="49">
        <f t="shared" ref="M12:M76" si="7">F12/I12</f>
        <v>0.03428909252</v>
      </c>
      <c r="N12" s="32" t="str">
        <f t="shared" ref="N12:N76" si="8">IF(LARGE(D12:F12,1)=0,#REF!,IF(LARGE(D12:F12,1)=LARGE(D12:F12,2),$D$6,IF(LARGE(D12:F12,1)=D12,$D$3,IF(LARGE(D12:F12,1)=E12,$D$4,IF(LARGE(D12:F12,1)=F12,$D$5)))))</f>
        <v>Mal. Lott</v>
      </c>
      <c r="O12" s="50"/>
      <c r="P12" s="38">
        <v>9250.0</v>
      </c>
      <c r="Q12" s="38">
        <v>3566.0</v>
      </c>
      <c r="R12" s="38">
        <v>557.0</v>
      </c>
      <c r="S12" s="38">
        <v>503.0</v>
      </c>
      <c r="T12" s="38">
        <v>238.0</v>
      </c>
      <c r="U12" s="48">
        <f t="shared" ref="U12:U76" si="9">SUM(P12:R12)</f>
        <v>13373</v>
      </c>
      <c r="V12" s="48">
        <f t="shared" ref="V12:V76" si="10">SUM(S12:U12)</f>
        <v>14114</v>
      </c>
      <c r="W12" s="49">
        <f t="shared" ref="W12:W76" si="11">P12/U12</f>
        <v>0.6916922157</v>
      </c>
      <c r="X12" s="49">
        <f t="shared" ref="X12:X76" si="12">Q12/U12</f>
        <v>0.2666566963</v>
      </c>
      <c r="Y12" s="49">
        <f t="shared" ref="Y12:Y76" si="13">R12/U12</f>
        <v>0.04165108801</v>
      </c>
      <c r="Z12" s="32" t="str">
        <f t="shared" ref="Z12:Z76" si="14">IF(LARGE(P12:R12,1)=0,#REF!,IF(LARGE(P12:R12,1)=LARGE(P12:R12,2),$F$6,IF(LARGE(P12:R12,1)=P12,$F$3,IF(LARGE(P12:R12,1)=Q12,$F$4,IF(LARGE(P12:R12,1)=R12,$F$5)))))</f>
        <v>Jango</v>
      </c>
      <c r="AA12" s="44"/>
      <c r="AB12" s="38">
        <v>21406.0</v>
      </c>
      <c r="AC12" s="48">
        <f t="shared" ref="AC12:AC69" si="15">AB12-V12</f>
        <v>7292</v>
      </c>
      <c r="AD12" s="51">
        <f t="shared" ref="AD12:AD69" si="16">V12/AB12</f>
        <v>0.6593478464</v>
      </c>
    </row>
    <row r="13">
      <c r="A13" s="45" t="s">
        <v>75</v>
      </c>
      <c r="B13" s="46" t="s">
        <v>969</v>
      </c>
      <c r="C13" s="47"/>
      <c r="D13" s="38">
        <v>4506.0</v>
      </c>
      <c r="E13" s="38">
        <v>6701.0</v>
      </c>
      <c r="F13" s="38">
        <v>395.0</v>
      </c>
      <c r="G13" s="38">
        <v>200.0</v>
      </c>
      <c r="H13" s="38">
        <v>174.0</v>
      </c>
      <c r="I13" s="48">
        <f t="shared" si="3"/>
        <v>11602</v>
      </c>
      <c r="J13" s="48">
        <f t="shared" si="4"/>
        <v>11976</v>
      </c>
      <c r="K13" s="49">
        <f t="shared" si="5"/>
        <v>0.3883813136</v>
      </c>
      <c r="L13" s="49">
        <f t="shared" si="6"/>
        <v>0.5775728323</v>
      </c>
      <c r="M13" s="49">
        <f t="shared" si="7"/>
        <v>0.03404585416</v>
      </c>
      <c r="N13" s="32" t="str">
        <f t="shared" si="8"/>
        <v>Mal. Lott</v>
      </c>
      <c r="O13" s="50"/>
      <c r="P13" s="38">
        <v>6432.0</v>
      </c>
      <c r="Q13" s="38">
        <v>4296.0</v>
      </c>
      <c r="R13" s="38">
        <v>702.0</v>
      </c>
      <c r="S13" s="38">
        <v>384.0</v>
      </c>
      <c r="T13" s="38">
        <v>162.0</v>
      </c>
      <c r="U13" s="48">
        <f t="shared" si="9"/>
        <v>11430</v>
      </c>
      <c r="V13" s="48">
        <f t="shared" si="10"/>
        <v>11976</v>
      </c>
      <c r="W13" s="49">
        <f t="shared" si="11"/>
        <v>0.5627296588</v>
      </c>
      <c r="X13" s="49">
        <f t="shared" si="12"/>
        <v>0.3758530184</v>
      </c>
      <c r="Y13" s="49">
        <f t="shared" si="13"/>
        <v>0.06141732283</v>
      </c>
      <c r="Z13" s="32" t="str">
        <f t="shared" si="14"/>
        <v>Jango</v>
      </c>
      <c r="AA13" s="44"/>
      <c r="AB13" s="38">
        <v>18975.0</v>
      </c>
      <c r="AC13" s="48">
        <f t="shared" si="15"/>
        <v>6999</v>
      </c>
      <c r="AD13" s="51">
        <f t="shared" si="16"/>
        <v>0.6311462451</v>
      </c>
    </row>
    <row r="14">
      <c r="A14" s="45" t="s">
        <v>77</v>
      </c>
      <c r="B14" s="46" t="s">
        <v>970</v>
      </c>
      <c r="C14" s="47"/>
      <c r="D14" s="38">
        <v>8331.0</v>
      </c>
      <c r="E14" s="38">
        <v>15944.0</v>
      </c>
      <c r="F14" s="38">
        <v>859.0</v>
      </c>
      <c r="G14" s="38">
        <v>452.0</v>
      </c>
      <c r="H14" s="38">
        <v>504.0</v>
      </c>
      <c r="I14" s="48">
        <f t="shared" si="3"/>
        <v>25134</v>
      </c>
      <c r="J14" s="48">
        <f t="shared" si="4"/>
        <v>26090</v>
      </c>
      <c r="K14" s="49">
        <f t="shared" si="5"/>
        <v>0.3314633564</v>
      </c>
      <c r="L14" s="49">
        <f t="shared" si="6"/>
        <v>0.6343598313</v>
      </c>
      <c r="M14" s="49">
        <f t="shared" si="7"/>
        <v>0.03417681229</v>
      </c>
      <c r="N14" s="32" t="str">
        <f t="shared" si="8"/>
        <v>Mal. Lott</v>
      </c>
      <c r="O14" s="50" t="s">
        <v>77</v>
      </c>
      <c r="P14" s="38">
        <v>15682.0</v>
      </c>
      <c r="Q14" s="38">
        <v>7862.0</v>
      </c>
      <c r="R14" s="38">
        <v>1259.0</v>
      </c>
      <c r="S14" s="38">
        <v>887.0</v>
      </c>
      <c r="T14" s="38">
        <v>400.0</v>
      </c>
      <c r="U14" s="48">
        <f t="shared" si="9"/>
        <v>24803</v>
      </c>
      <c r="V14" s="48">
        <f t="shared" si="10"/>
        <v>26090</v>
      </c>
      <c r="W14" s="49">
        <f t="shared" si="11"/>
        <v>0.6322622263</v>
      </c>
      <c r="X14" s="49">
        <f t="shared" si="12"/>
        <v>0.3169777849</v>
      </c>
      <c r="Y14" s="49">
        <f t="shared" si="13"/>
        <v>0.05075998871</v>
      </c>
      <c r="Z14" s="32" t="str">
        <f t="shared" si="14"/>
        <v>Jango</v>
      </c>
      <c r="AA14" s="50" t="s">
        <v>77</v>
      </c>
      <c r="AB14" s="38">
        <v>40381.0</v>
      </c>
      <c r="AC14" s="48">
        <f t="shared" si="15"/>
        <v>14291</v>
      </c>
      <c r="AD14" s="51">
        <f t="shared" si="16"/>
        <v>0.6460959362</v>
      </c>
    </row>
    <row r="15">
      <c r="A15" s="45" t="s">
        <v>75</v>
      </c>
      <c r="B15" s="46" t="s">
        <v>971</v>
      </c>
      <c r="C15" s="47"/>
      <c r="D15" s="38">
        <v>259.0</v>
      </c>
      <c r="E15" s="38">
        <v>453.0</v>
      </c>
      <c r="F15" s="38">
        <v>19.0</v>
      </c>
      <c r="G15" s="38">
        <v>16.0</v>
      </c>
      <c r="H15" s="38">
        <v>17.0</v>
      </c>
      <c r="I15" s="48">
        <f t="shared" si="3"/>
        <v>731</v>
      </c>
      <c r="J15" s="48">
        <f t="shared" si="4"/>
        <v>764</v>
      </c>
      <c r="K15" s="49">
        <f t="shared" si="5"/>
        <v>0.3543091655</v>
      </c>
      <c r="L15" s="49">
        <f t="shared" si="6"/>
        <v>0.6196990424</v>
      </c>
      <c r="M15" s="49">
        <f t="shared" si="7"/>
        <v>0.02599179207</v>
      </c>
      <c r="N15" s="32" t="str">
        <f t="shared" si="8"/>
        <v>Mal. Lott</v>
      </c>
      <c r="O15" s="50" t="s">
        <v>77</v>
      </c>
      <c r="P15" s="38">
        <v>458.0</v>
      </c>
      <c r="Q15" s="38">
        <v>249.0</v>
      </c>
      <c r="R15" s="38">
        <v>15.0</v>
      </c>
      <c r="S15" s="38">
        <v>26.0</v>
      </c>
      <c r="T15" s="38">
        <v>16.0</v>
      </c>
      <c r="U15" s="48">
        <f t="shared" si="9"/>
        <v>722</v>
      </c>
      <c r="V15" s="48">
        <f t="shared" si="10"/>
        <v>764</v>
      </c>
      <c r="W15" s="49">
        <f t="shared" si="11"/>
        <v>0.6343490305</v>
      </c>
      <c r="X15" s="49">
        <f t="shared" si="12"/>
        <v>0.3448753463</v>
      </c>
      <c r="Y15" s="49">
        <f t="shared" si="13"/>
        <v>0.02077562327</v>
      </c>
      <c r="Z15" s="32" t="str">
        <f t="shared" si="14"/>
        <v>Jango</v>
      </c>
      <c r="AA15" s="50" t="s">
        <v>77</v>
      </c>
      <c r="AB15" s="38">
        <v>1204.0</v>
      </c>
      <c r="AC15" s="48">
        <f t="shared" si="15"/>
        <v>440</v>
      </c>
      <c r="AD15" s="51">
        <f t="shared" si="16"/>
        <v>0.634551495</v>
      </c>
    </row>
    <row r="16">
      <c r="A16" s="61" t="s">
        <v>79</v>
      </c>
      <c r="B16" s="46" t="s">
        <v>941</v>
      </c>
      <c r="C16" s="47"/>
      <c r="D16" s="38">
        <v>804.0</v>
      </c>
      <c r="E16" s="38">
        <v>1023.0</v>
      </c>
      <c r="F16" s="38">
        <v>68.0</v>
      </c>
      <c r="G16" s="38">
        <v>40.0</v>
      </c>
      <c r="H16" s="38">
        <v>59.0</v>
      </c>
      <c r="I16" s="48">
        <f t="shared" si="3"/>
        <v>1895</v>
      </c>
      <c r="J16" s="48">
        <f t="shared" si="4"/>
        <v>1994</v>
      </c>
      <c r="K16" s="49">
        <f t="shared" si="5"/>
        <v>0.4242744063</v>
      </c>
      <c r="L16" s="49">
        <f t="shared" si="6"/>
        <v>0.5398416887</v>
      </c>
      <c r="M16" s="49">
        <f t="shared" si="7"/>
        <v>0.03588390501</v>
      </c>
      <c r="N16" s="32" t="str">
        <f t="shared" si="8"/>
        <v>Mal. Lott</v>
      </c>
      <c r="O16" s="50" t="s">
        <v>77</v>
      </c>
      <c r="P16" s="38">
        <v>970.0</v>
      </c>
      <c r="Q16" s="38">
        <v>799.0</v>
      </c>
      <c r="R16" s="38">
        <v>79.0</v>
      </c>
      <c r="S16" s="38">
        <v>99.0</v>
      </c>
      <c r="T16" s="38">
        <v>47.0</v>
      </c>
      <c r="U16" s="48">
        <f t="shared" si="9"/>
        <v>1848</v>
      </c>
      <c r="V16" s="48">
        <f t="shared" si="10"/>
        <v>1994</v>
      </c>
      <c r="W16" s="49">
        <f t="shared" si="11"/>
        <v>0.5248917749</v>
      </c>
      <c r="X16" s="49">
        <f t="shared" si="12"/>
        <v>0.4323593074</v>
      </c>
      <c r="Y16" s="49">
        <f t="shared" si="13"/>
        <v>0.04274891775</v>
      </c>
      <c r="Z16" s="32" t="str">
        <f t="shared" si="14"/>
        <v>Jango</v>
      </c>
      <c r="AA16" s="50" t="s">
        <v>77</v>
      </c>
      <c r="AB16" s="38">
        <v>3416.0</v>
      </c>
      <c r="AC16" s="48">
        <f t="shared" si="15"/>
        <v>1422</v>
      </c>
      <c r="AD16" s="51">
        <f t="shared" si="16"/>
        <v>0.5837236534</v>
      </c>
    </row>
    <row r="17">
      <c r="A17" s="23"/>
      <c r="B17" s="46" t="s">
        <v>972</v>
      </c>
      <c r="C17" s="47"/>
      <c r="D17" s="38">
        <v>160.0</v>
      </c>
      <c r="E17" s="38">
        <v>253.0</v>
      </c>
      <c r="F17" s="38">
        <v>15.0</v>
      </c>
      <c r="G17" s="38">
        <v>7.0</v>
      </c>
      <c r="H17" s="38">
        <v>3.0</v>
      </c>
      <c r="I17" s="48">
        <f t="shared" si="3"/>
        <v>428</v>
      </c>
      <c r="J17" s="48">
        <f t="shared" si="4"/>
        <v>438</v>
      </c>
      <c r="K17" s="49">
        <f t="shared" si="5"/>
        <v>0.3738317757</v>
      </c>
      <c r="L17" s="49">
        <f t="shared" si="6"/>
        <v>0.5911214953</v>
      </c>
      <c r="M17" s="49">
        <f t="shared" si="7"/>
        <v>0.03504672897</v>
      </c>
      <c r="N17" s="32" t="str">
        <f t="shared" si="8"/>
        <v>Mal. Lott</v>
      </c>
      <c r="O17" s="50" t="s">
        <v>77</v>
      </c>
      <c r="P17" s="38">
        <v>246.0</v>
      </c>
      <c r="Q17" s="38">
        <v>149.0</v>
      </c>
      <c r="R17" s="38">
        <v>14.0</v>
      </c>
      <c r="S17" s="38">
        <v>23.0</v>
      </c>
      <c r="T17" s="38">
        <v>6.0</v>
      </c>
      <c r="U17" s="48">
        <f t="shared" si="9"/>
        <v>409</v>
      </c>
      <c r="V17" s="48">
        <f t="shared" si="10"/>
        <v>438</v>
      </c>
      <c r="W17" s="49">
        <f t="shared" si="11"/>
        <v>0.6014669927</v>
      </c>
      <c r="X17" s="49">
        <f t="shared" si="12"/>
        <v>0.3643031785</v>
      </c>
      <c r="Y17" s="49">
        <f t="shared" si="13"/>
        <v>0.03422982885</v>
      </c>
      <c r="Z17" s="32" t="str">
        <f t="shared" si="14"/>
        <v>Jango</v>
      </c>
      <c r="AA17" s="50" t="s">
        <v>77</v>
      </c>
      <c r="AB17" s="38">
        <v>592.0</v>
      </c>
      <c r="AC17" s="48">
        <f t="shared" si="15"/>
        <v>154</v>
      </c>
      <c r="AD17" s="51">
        <f t="shared" si="16"/>
        <v>0.7398648649</v>
      </c>
    </row>
    <row r="18">
      <c r="A18" s="24"/>
      <c r="B18" s="46" t="s">
        <v>973</v>
      </c>
      <c r="C18" s="47"/>
      <c r="D18" s="38">
        <v>473.0</v>
      </c>
      <c r="E18" s="38">
        <v>511.0</v>
      </c>
      <c r="F18" s="38">
        <v>61.0</v>
      </c>
      <c r="G18" s="38">
        <v>50.0</v>
      </c>
      <c r="H18" s="38">
        <v>39.0</v>
      </c>
      <c r="I18" s="48">
        <f t="shared" si="3"/>
        <v>1045</v>
      </c>
      <c r="J18" s="48">
        <f t="shared" si="4"/>
        <v>1134</v>
      </c>
      <c r="K18" s="49">
        <f t="shared" si="5"/>
        <v>0.4526315789</v>
      </c>
      <c r="L18" s="49">
        <f t="shared" si="6"/>
        <v>0.4889952153</v>
      </c>
      <c r="M18" s="49">
        <f t="shared" si="7"/>
        <v>0.05837320574</v>
      </c>
      <c r="N18" s="32" t="str">
        <f t="shared" si="8"/>
        <v>Mal. Lott</v>
      </c>
      <c r="O18" s="50" t="s">
        <v>77</v>
      </c>
      <c r="P18" s="38">
        <v>538.0</v>
      </c>
      <c r="Q18" s="38">
        <v>458.0</v>
      </c>
      <c r="R18" s="38">
        <v>30.0</v>
      </c>
      <c r="S18" s="38">
        <v>66.0</v>
      </c>
      <c r="T18" s="38">
        <v>42.0</v>
      </c>
      <c r="U18" s="48">
        <f t="shared" si="9"/>
        <v>1026</v>
      </c>
      <c r="V18" s="48">
        <f t="shared" si="10"/>
        <v>1134</v>
      </c>
      <c r="W18" s="49">
        <f t="shared" si="11"/>
        <v>0.5243664717</v>
      </c>
      <c r="X18" s="49">
        <f t="shared" si="12"/>
        <v>0.4463937622</v>
      </c>
      <c r="Y18" s="49">
        <f t="shared" si="13"/>
        <v>0.02923976608</v>
      </c>
      <c r="Z18" s="32" t="str">
        <f t="shared" si="14"/>
        <v>Jango</v>
      </c>
      <c r="AA18" s="50" t="s">
        <v>77</v>
      </c>
      <c r="AB18" s="38">
        <v>2477.0</v>
      </c>
      <c r="AC18" s="48">
        <f t="shared" si="15"/>
        <v>1343</v>
      </c>
      <c r="AD18" s="51">
        <f t="shared" si="16"/>
        <v>0.4578118692</v>
      </c>
    </row>
    <row r="19">
      <c r="A19" s="61" t="s">
        <v>85</v>
      </c>
      <c r="B19" s="46" t="s">
        <v>974</v>
      </c>
      <c r="C19" s="47"/>
      <c r="D19" s="38">
        <v>839.0</v>
      </c>
      <c r="E19" s="38">
        <v>1741.0</v>
      </c>
      <c r="F19" s="38">
        <v>163.0</v>
      </c>
      <c r="G19" s="38">
        <v>100.0</v>
      </c>
      <c r="H19" s="38">
        <v>99.0</v>
      </c>
      <c r="I19" s="48">
        <f t="shared" si="3"/>
        <v>2743</v>
      </c>
      <c r="J19" s="48">
        <f t="shared" si="4"/>
        <v>2942</v>
      </c>
      <c r="K19" s="49">
        <f t="shared" si="5"/>
        <v>0.305869486</v>
      </c>
      <c r="L19" s="49">
        <f t="shared" si="6"/>
        <v>0.6347065257</v>
      </c>
      <c r="M19" s="49">
        <f t="shared" si="7"/>
        <v>0.05942398833</v>
      </c>
      <c r="N19" s="32" t="str">
        <f t="shared" si="8"/>
        <v>Mal. Lott</v>
      </c>
      <c r="O19" s="50" t="s">
        <v>77</v>
      </c>
      <c r="P19" s="38">
        <v>1943.0</v>
      </c>
      <c r="Q19" s="38">
        <v>673.0</v>
      </c>
      <c r="R19" s="38">
        <v>106.0</v>
      </c>
      <c r="S19" s="38">
        <v>154.0</v>
      </c>
      <c r="T19" s="38">
        <v>66.0</v>
      </c>
      <c r="U19" s="48">
        <f t="shared" si="9"/>
        <v>2722</v>
      </c>
      <c r="V19" s="48">
        <f t="shared" si="10"/>
        <v>2942</v>
      </c>
      <c r="W19" s="49">
        <f t="shared" si="11"/>
        <v>0.7138133725</v>
      </c>
      <c r="X19" s="49">
        <f t="shared" si="12"/>
        <v>0.247244673</v>
      </c>
      <c r="Y19" s="49">
        <f t="shared" si="13"/>
        <v>0.03894195445</v>
      </c>
      <c r="Z19" s="32" t="str">
        <f t="shared" si="14"/>
        <v>Jango</v>
      </c>
      <c r="AA19" s="50" t="s">
        <v>77</v>
      </c>
      <c r="AB19" s="38">
        <v>4189.0</v>
      </c>
      <c r="AC19" s="48">
        <f t="shared" si="15"/>
        <v>1247</v>
      </c>
      <c r="AD19" s="51">
        <f t="shared" si="16"/>
        <v>0.7023155884</v>
      </c>
    </row>
    <row r="20">
      <c r="A20" s="23"/>
      <c r="B20" s="46" t="s">
        <v>975</v>
      </c>
      <c r="C20" s="47"/>
      <c r="D20" s="38">
        <v>143.0</v>
      </c>
      <c r="E20" s="38">
        <v>359.0</v>
      </c>
      <c r="F20" s="38">
        <v>38.0</v>
      </c>
      <c r="G20" s="38">
        <v>21.0</v>
      </c>
      <c r="H20" s="38">
        <v>15.0</v>
      </c>
      <c r="I20" s="48">
        <f t="shared" si="3"/>
        <v>540</v>
      </c>
      <c r="J20" s="48">
        <f t="shared" si="4"/>
        <v>576</v>
      </c>
      <c r="K20" s="49">
        <f t="shared" si="5"/>
        <v>0.2648148148</v>
      </c>
      <c r="L20" s="49">
        <f t="shared" si="6"/>
        <v>0.6648148148</v>
      </c>
      <c r="M20" s="49">
        <f t="shared" si="7"/>
        <v>0.07037037037</v>
      </c>
      <c r="N20" s="32" t="str">
        <f t="shared" si="8"/>
        <v>Mal. Lott</v>
      </c>
      <c r="O20" s="50" t="s">
        <v>77</v>
      </c>
      <c r="P20" s="38">
        <v>363.0</v>
      </c>
      <c r="Q20" s="38">
        <v>145.0</v>
      </c>
      <c r="R20" s="38">
        <v>24.0</v>
      </c>
      <c r="S20" s="38">
        <v>33.0</v>
      </c>
      <c r="T20" s="38">
        <v>11.0</v>
      </c>
      <c r="U20" s="48">
        <f t="shared" si="9"/>
        <v>532</v>
      </c>
      <c r="V20" s="48">
        <f t="shared" si="10"/>
        <v>576</v>
      </c>
      <c r="W20" s="49">
        <f t="shared" si="11"/>
        <v>0.6823308271</v>
      </c>
      <c r="X20" s="49">
        <f t="shared" si="12"/>
        <v>0.272556391</v>
      </c>
      <c r="Y20" s="49">
        <f t="shared" si="13"/>
        <v>0.04511278195</v>
      </c>
      <c r="Z20" s="32" t="str">
        <f t="shared" si="14"/>
        <v>Jango</v>
      </c>
      <c r="AA20" s="50" t="s">
        <v>77</v>
      </c>
      <c r="AB20" s="38">
        <v>898.0</v>
      </c>
      <c r="AC20" s="48">
        <f t="shared" si="15"/>
        <v>322</v>
      </c>
      <c r="AD20" s="51">
        <f t="shared" si="16"/>
        <v>0.6414253898</v>
      </c>
    </row>
    <row r="21">
      <c r="A21" s="24"/>
      <c r="B21" s="46" t="s">
        <v>976</v>
      </c>
      <c r="C21" s="47"/>
      <c r="D21" s="38">
        <v>342.0</v>
      </c>
      <c r="E21" s="38">
        <v>401.0</v>
      </c>
      <c r="F21" s="38">
        <v>32.0</v>
      </c>
      <c r="G21" s="38">
        <v>25.0</v>
      </c>
      <c r="H21" s="38">
        <v>20.0</v>
      </c>
      <c r="I21" s="48">
        <f t="shared" si="3"/>
        <v>775</v>
      </c>
      <c r="J21" s="48">
        <f t="shared" si="4"/>
        <v>820</v>
      </c>
      <c r="K21" s="49">
        <f t="shared" si="5"/>
        <v>0.4412903226</v>
      </c>
      <c r="L21" s="49">
        <f t="shared" si="6"/>
        <v>0.5174193548</v>
      </c>
      <c r="M21" s="49">
        <f t="shared" si="7"/>
        <v>0.04129032258</v>
      </c>
      <c r="N21" s="32" t="str">
        <f t="shared" si="8"/>
        <v>Mal. Lott</v>
      </c>
      <c r="O21" s="50" t="s">
        <v>77</v>
      </c>
      <c r="P21" s="38">
        <v>386.0</v>
      </c>
      <c r="Q21" s="38">
        <v>342.0</v>
      </c>
      <c r="R21" s="38">
        <v>49.0</v>
      </c>
      <c r="S21" s="38">
        <v>31.0</v>
      </c>
      <c r="T21" s="38">
        <v>12.0</v>
      </c>
      <c r="U21" s="48">
        <f t="shared" si="9"/>
        <v>777</v>
      </c>
      <c r="V21" s="48">
        <f t="shared" si="10"/>
        <v>820</v>
      </c>
      <c r="W21" s="49">
        <f t="shared" si="11"/>
        <v>0.4967824968</v>
      </c>
      <c r="X21" s="49">
        <f t="shared" si="12"/>
        <v>0.4401544402</v>
      </c>
      <c r="Y21" s="49">
        <f t="shared" si="13"/>
        <v>0.06306306306</v>
      </c>
      <c r="Z21" s="32" t="str">
        <f t="shared" si="14"/>
        <v>Jango</v>
      </c>
      <c r="AA21" s="50" t="s">
        <v>77</v>
      </c>
      <c r="AB21" s="38">
        <v>1280.0</v>
      </c>
      <c r="AC21" s="48">
        <f t="shared" si="15"/>
        <v>460</v>
      </c>
      <c r="AD21" s="51">
        <f t="shared" si="16"/>
        <v>0.640625</v>
      </c>
    </row>
    <row r="22">
      <c r="A22" s="61" t="s">
        <v>90</v>
      </c>
      <c r="B22" s="46" t="s">
        <v>977</v>
      </c>
      <c r="C22" s="47"/>
      <c r="D22" s="38">
        <v>382.0</v>
      </c>
      <c r="E22" s="38">
        <v>757.0</v>
      </c>
      <c r="F22" s="48">
        <v>19.0</v>
      </c>
      <c r="G22" s="38">
        <v>47.0</v>
      </c>
      <c r="H22" s="38">
        <v>31.0</v>
      </c>
      <c r="I22" s="48">
        <f t="shared" si="3"/>
        <v>1158</v>
      </c>
      <c r="J22" s="48">
        <f t="shared" si="4"/>
        <v>1236</v>
      </c>
      <c r="K22" s="49">
        <f t="shared" si="5"/>
        <v>0.3298791019</v>
      </c>
      <c r="L22" s="49">
        <f t="shared" si="6"/>
        <v>0.6537132988</v>
      </c>
      <c r="M22" s="49">
        <f t="shared" si="7"/>
        <v>0.01640759931</v>
      </c>
      <c r="N22" s="32" t="str">
        <f t="shared" si="8"/>
        <v>Mal. Lott</v>
      </c>
      <c r="O22" s="50" t="s">
        <v>77</v>
      </c>
      <c r="P22" s="38">
        <v>741.0</v>
      </c>
      <c r="Q22" s="38">
        <v>378.0</v>
      </c>
      <c r="R22" s="38">
        <v>26.0</v>
      </c>
      <c r="S22" s="38">
        <v>70.0</v>
      </c>
      <c r="T22" s="38">
        <v>21.0</v>
      </c>
      <c r="U22" s="48">
        <f t="shared" si="9"/>
        <v>1145</v>
      </c>
      <c r="V22" s="48">
        <f t="shared" si="10"/>
        <v>1236</v>
      </c>
      <c r="W22" s="49">
        <f t="shared" si="11"/>
        <v>0.6471615721</v>
      </c>
      <c r="X22" s="49">
        <f t="shared" si="12"/>
        <v>0.3301310044</v>
      </c>
      <c r="Y22" s="49">
        <f t="shared" si="13"/>
        <v>0.02270742358</v>
      </c>
      <c r="Z22" s="32" t="str">
        <f t="shared" si="14"/>
        <v>Jango</v>
      </c>
      <c r="AA22" s="50" t="s">
        <v>77</v>
      </c>
      <c r="AB22" s="38">
        <v>2022.0</v>
      </c>
      <c r="AC22" s="48">
        <f t="shared" si="15"/>
        <v>786</v>
      </c>
      <c r="AD22" s="51">
        <f t="shared" si="16"/>
        <v>0.6112759644</v>
      </c>
    </row>
    <row r="23">
      <c r="A23" s="23"/>
      <c r="B23" s="46" t="s">
        <v>978</v>
      </c>
      <c r="C23" s="47"/>
      <c r="D23" s="38">
        <v>229.0</v>
      </c>
      <c r="E23" s="38">
        <v>138.0</v>
      </c>
      <c r="F23" s="108">
        <v>21.0</v>
      </c>
      <c r="G23" s="38">
        <v>8.0</v>
      </c>
      <c r="H23" s="38">
        <v>98.0</v>
      </c>
      <c r="I23" s="48">
        <f t="shared" si="3"/>
        <v>388</v>
      </c>
      <c r="J23" s="48">
        <f t="shared" si="4"/>
        <v>494</v>
      </c>
      <c r="K23" s="49">
        <f t="shared" si="5"/>
        <v>0.5902061856</v>
      </c>
      <c r="L23" s="49">
        <f t="shared" si="6"/>
        <v>0.3556701031</v>
      </c>
      <c r="M23" s="49">
        <f t="shared" si="7"/>
        <v>0.05412371134</v>
      </c>
      <c r="N23" s="32" t="str">
        <f t="shared" si="8"/>
        <v>Jânio</v>
      </c>
      <c r="O23" s="50" t="s">
        <v>77</v>
      </c>
      <c r="P23" s="38">
        <v>153.0</v>
      </c>
      <c r="Q23" s="38">
        <v>218.0</v>
      </c>
      <c r="R23" s="38">
        <v>6.0</v>
      </c>
      <c r="S23" s="38">
        <v>17.0</v>
      </c>
      <c r="T23" s="38">
        <v>100.0</v>
      </c>
      <c r="U23" s="48">
        <f t="shared" si="9"/>
        <v>377</v>
      </c>
      <c r="V23" s="48">
        <f t="shared" si="10"/>
        <v>494</v>
      </c>
      <c r="W23" s="49">
        <f t="shared" si="11"/>
        <v>0.4058355438</v>
      </c>
      <c r="X23" s="49">
        <f t="shared" si="12"/>
        <v>0.5782493369</v>
      </c>
      <c r="Y23" s="49">
        <f t="shared" si="13"/>
        <v>0.01591511936</v>
      </c>
      <c r="Z23" s="32" t="str">
        <f t="shared" si="14"/>
        <v>Milton</v>
      </c>
      <c r="AA23" s="50" t="s">
        <v>77</v>
      </c>
      <c r="AB23" s="38">
        <v>1924.0</v>
      </c>
      <c r="AC23" s="48">
        <f t="shared" si="15"/>
        <v>1430</v>
      </c>
      <c r="AD23" s="51">
        <f t="shared" si="16"/>
        <v>0.2567567568</v>
      </c>
    </row>
    <row r="24">
      <c r="A24" s="23"/>
      <c r="B24" s="46" t="s">
        <v>979</v>
      </c>
      <c r="C24" s="47"/>
      <c r="D24" s="38">
        <v>514.0</v>
      </c>
      <c r="E24" s="38">
        <v>106.0</v>
      </c>
      <c r="F24" s="108">
        <v>14.0</v>
      </c>
      <c r="G24" s="38">
        <v>29.0</v>
      </c>
      <c r="H24" s="38">
        <v>41.0</v>
      </c>
      <c r="I24" s="48">
        <f t="shared" si="3"/>
        <v>634</v>
      </c>
      <c r="J24" s="48">
        <f t="shared" si="4"/>
        <v>704</v>
      </c>
      <c r="K24" s="49">
        <f t="shared" si="5"/>
        <v>0.8107255521</v>
      </c>
      <c r="L24" s="49">
        <f t="shared" si="6"/>
        <v>0.167192429</v>
      </c>
      <c r="M24" s="49">
        <f t="shared" si="7"/>
        <v>0.02208201893</v>
      </c>
      <c r="N24" s="32" t="str">
        <f t="shared" si="8"/>
        <v>Jânio</v>
      </c>
      <c r="O24" s="50" t="s">
        <v>77</v>
      </c>
      <c r="P24" s="38">
        <v>102.0</v>
      </c>
      <c r="Q24" s="38">
        <v>493.0</v>
      </c>
      <c r="R24" s="38">
        <v>9.0</v>
      </c>
      <c r="S24" s="38">
        <v>61.0</v>
      </c>
      <c r="T24" s="38">
        <v>39.0</v>
      </c>
      <c r="U24" s="48">
        <f t="shared" si="9"/>
        <v>604</v>
      </c>
      <c r="V24" s="48">
        <f t="shared" si="10"/>
        <v>704</v>
      </c>
      <c r="W24" s="49">
        <f t="shared" si="11"/>
        <v>0.1688741722</v>
      </c>
      <c r="X24" s="49">
        <f t="shared" si="12"/>
        <v>0.8162251656</v>
      </c>
      <c r="Y24" s="49">
        <f t="shared" si="13"/>
        <v>0.01490066225</v>
      </c>
      <c r="Z24" s="32" t="str">
        <f t="shared" si="14"/>
        <v>Milton</v>
      </c>
      <c r="AA24" s="50" t="s">
        <v>77</v>
      </c>
      <c r="AB24" s="38">
        <v>1765.0</v>
      </c>
      <c r="AC24" s="48">
        <f t="shared" si="15"/>
        <v>1061</v>
      </c>
      <c r="AD24" s="51">
        <f t="shared" si="16"/>
        <v>0.3988668555</v>
      </c>
    </row>
    <row r="25">
      <c r="A25" s="24"/>
      <c r="B25" s="46" t="s">
        <v>980</v>
      </c>
      <c r="C25" s="47"/>
      <c r="D25" s="38">
        <v>885.0</v>
      </c>
      <c r="E25" s="38">
        <v>251.0</v>
      </c>
      <c r="F25" s="108">
        <v>2.0</v>
      </c>
      <c r="G25" s="38">
        <v>14.0</v>
      </c>
      <c r="H25" s="38">
        <v>38.0</v>
      </c>
      <c r="I25" s="48">
        <f t="shared" si="3"/>
        <v>1138</v>
      </c>
      <c r="J25" s="48">
        <f t="shared" si="4"/>
        <v>1190</v>
      </c>
      <c r="K25" s="49">
        <f t="shared" si="5"/>
        <v>0.7776801406</v>
      </c>
      <c r="L25" s="49">
        <f t="shared" si="6"/>
        <v>0.2205623902</v>
      </c>
      <c r="M25" s="49">
        <f t="shared" si="7"/>
        <v>0.001757469244</v>
      </c>
      <c r="N25" s="32" t="str">
        <f t="shared" si="8"/>
        <v>Jânio</v>
      </c>
      <c r="O25" s="50" t="s">
        <v>77</v>
      </c>
      <c r="P25" s="38">
        <v>255.0</v>
      </c>
      <c r="Q25" s="38">
        <v>873.0</v>
      </c>
      <c r="R25" s="38">
        <v>7.0</v>
      </c>
      <c r="S25" s="38">
        <v>23.0</v>
      </c>
      <c r="T25" s="38">
        <v>32.0</v>
      </c>
      <c r="U25" s="48">
        <f t="shared" si="9"/>
        <v>1135</v>
      </c>
      <c r="V25" s="48">
        <f t="shared" si="10"/>
        <v>1190</v>
      </c>
      <c r="W25" s="49">
        <f t="shared" si="11"/>
        <v>0.2246696035</v>
      </c>
      <c r="X25" s="49">
        <f t="shared" si="12"/>
        <v>0.7691629956</v>
      </c>
      <c r="Y25" s="49">
        <f t="shared" si="13"/>
        <v>0.006167400881</v>
      </c>
      <c r="Z25" s="32" t="str">
        <f t="shared" si="14"/>
        <v>Milton</v>
      </c>
      <c r="AA25" s="50" t="s">
        <v>77</v>
      </c>
      <c r="AB25" s="38">
        <v>1899.0</v>
      </c>
      <c r="AC25" s="48">
        <f t="shared" si="15"/>
        <v>709</v>
      </c>
      <c r="AD25" s="51">
        <f t="shared" si="16"/>
        <v>0.6266456029</v>
      </c>
    </row>
    <row r="26">
      <c r="A26" s="61" t="s">
        <v>92</v>
      </c>
      <c r="B26" s="46" t="s">
        <v>981</v>
      </c>
      <c r="C26" s="47"/>
      <c r="D26" s="38">
        <v>391.0</v>
      </c>
      <c r="E26" s="38">
        <v>389.0</v>
      </c>
      <c r="F26" s="108">
        <v>8.0</v>
      </c>
      <c r="G26" s="38">
        <v>15.0</v>
      </c>
      <c r="H26" s="38">
        <v>21.0</v>
      </c>
      <c r="I26" s="48">
        <f t="shared" si="3"/>
        <v>788</v>
      </c>
      <c r="J26" s="48">
        <f t="shared" si="4"/>
        <v>824</v>
      </c>
      <c r="K26" s="49">
        <f t="shared" si="5"/>
        <v>0.4961928934</v>
      </c>
      <c r="L26" s="49">
        <f t="shared" si="6"/>
        <v>0.4936548223</v>
      </c>
      <c r="M26" s="49">
        <f t="shared" si="7"/>
        <v>0.01015228426</v>
      </c>
      <c r="N26" s="32" t="str">
        <f t="shared" si="8"/>
        <v>Jânio</v>
      </c>
      <c r="O26" s="50" t="s">
        <v>77</v>
      </c>
      <c r="P26" s="38">
        <v>380.0</v>
      </c>
      <c r="Q26" s="38">
        <v>379.0</v>
      </c>
      <c r="R26" s="38">
        <v>9.0</v>
      </c>
      <c r="S26" s="38">
        <v>36.0</v>
      </c>
      <c r="T26" s="38">
        <v>20.0</v>
      </c>
      <c r="U26" s="48">
        <f t="shared" si="9"/>
        <v>768</v>
      </c>
      <c r="V26" s="48">
        <f t="shared" si="10"/>
        <v>824</v>
      </c>
      <c r="W26" s="49">
        <f t="shared" si="11"/>
        <v>0.4947916667</v>
      </c>
      <c r="X26" s="49">
        <f t="shared" si="12"/>
        <v>0.4934895833</v>
      </c>
      <c r="Y26" s="49">
        <f t="shared" si="13"/>
        <v>0.01171875</v>
      </c>
      <c r="Z26" s="32" t="str">
        <f t="shared" si="14"/>
        <v>Jango</v>
      </c>
      <c r="AA26" s="50" t="s">
        <v>77</v>
      </c>
      <c r="AB26" s="38">
        <v>1042.0</v>
      </c>
      <c r="AC26" s="48">
        <f t="shared" si="15"/>
        <v>218</v>
      </c>
      <c r="AD26" s="51">
        <f t="shared" si="16"/>
        <v>0.7907869482</v>
      </c>
    </row>
    <row r="27">
      <c r="A27" s="24"/>
      <c r="B27" s="46" t="s">
        <v>982</v>
      </c>
      <c r="C27" s="47"/>
      <c r="D27" s="38">
        <v>220.0</v>
      </c>
      <c r="E27" s="38">
        <v>307.0</v>
      </c>
      <c r="F27" s="108">
        <v>10.0</v>
      </c>
      <c r="G27" s="38">
        <v>15.0</v>
      </c>
      <c r="H27" s="38">
        <v>27.0</v>
      </c>
      <c r="I27" s="48">
        <f t="shared" si="3"/>
        <v>537</v>
      </c>
      <c r="J27" s="48">
        <f t="shared" si="4"/>
        <v>579</v>
      </c>
      <c r="K27" s="49">
        <f t="shared" si="5"/>
        <v>0.4096834264</v>
      </c>
      <c r="L27" s="49">
        <f t="shared" si="6"/>
        <v>0.5716945996</v>
      </c>
      <c r="M27" s="49">
        <f t="shared" si="7"/>
        <v>0.01862197393</v>
      </c>
      <c r="N27" s="32" t="str">
        <f t="shared" si="8"/>
        <v>Mal. Lott</v>
      </c>
      <c r="O27" s="50" t="s">
        <v>77</v>
      </c>
      <c r="P27" s="38">
        <v>307.0</v>
      </c>
      <c r="Q27" s="38">
        <v>218.0</v>
      </c>
      <c r="R27" s="38">
        <v>5.0</v>
      </c>
      <c r="S27" s="38">
        <v>25.0</v>
      </c>
      <c r="T27" s="38">
        <v>24.0</v>
      </c>
      <c r="U27" s="48">
        <f t="shared" si="9"/>
        <v>530</v>
      </c>
      <c r="V27" s="48">
        <f t="shared" si="10"/>
        <v>579</v>
      </c>
      <c r="W27" s="49">
        <f t="shared" si="11"/>
        <v>0.579245283</v>
      </c>
      <c r="X27" s="49">
        <f t="shared" si="12"/>
        <v>0.4113207547</v>
      </c>
      <c r="Y27" s="49">
        <f t="shared" si="13"/>
        <v>0.009433962264</v>
      </c>
      <c r="Z27" s="32" t="str">
        <f t="shared" si="14"/>
        <v>Jango</v>
      </c>
      <c r="AA27" s="50" t="s">
        <v>77</v>
      </c>
      <c r="AB27" s="38">
        <v>686.0</v>
      </c>
      <c r="AC27" s="48">
        <f t="shared" si="15"/>
        <v>107</v>
      </c>
      <c r="AD27" s="51">
        <f t="shared" si="16"/>
        <v>0.8440233236</v>
      </c>
    </row>
    <row r="28">
      <c r="A28" s="45" t="s">
        <v>94</v>
      </c>
      <c r="B28" s="46" t="s">
        <v>682</v>
      </c>
      <c r="C28" s="47"/>
      <c r="D28" s="38">
        <v>3189.0</v>
      </c>
      <c r="E28" s="38">
        <v>1010.0</v>
      </c>
      <c r="F28" s="108">
        <v>44.0</v>
      </c>
      <c r="G28" s="38">
        <v>64.0</v>
      </c>
      <c r="H28" s="38">
        <v>280.0</v>
      </c>
      <c r="I28" s="48">
        <f t="shared" si="3"/>
        <v>4243</v>
      </c>
      <c r="J28" s="48">
        <f t="shared" si="4"/>
        <v>4587</v>
      </c>
      <c r="K28" s="49">
        <f t="shared" si="5"/>
        <v>0.7515908555</v>
      </c>
      <c r="L28" s="49">
        <f t="shared" si="6"/>
        <v>0.2380391233</v>
      </c>
      <c r="M28" s="49">
        <f t="shared" si="7"/>
        <v>0.01037002121</v>
      </c>
      <c r="N28" s="32" t="str">
        <f t="shared" si="8"/>
        <v>Jânio</v>
      </c>
      <c r="O28" s="50" t="s">
        <v>77</v>
      </c>
      <c r="P28" s="38">
        <v>1060.0</v>
      </c>
      <c r="Q28" s="38">
        <v>3103.0</v>
      </c>
      <c r="R28" s="38">
        <v>66.0</v>
      </c>
      <c r="S28" s="38">
        <v>149.0</v>
      </c>
      <c r="T28" s="38">
        <v>209.0</v>
      </c>
      <c r="U28" s="48">
        <f t="shared" si="9"/>
        <v>4229</v>
      </c>
      <c r="V28" s="48">
        <f t="shared" si="10"/>
        <v>4587</v>
      </c>
      <c r="W28" s="49">
        <f t="shared" si="11"/>
        <v>0.2506502719</v>
      </c>
      <c r="X28" s="49">
        <f t="shared" si="12"/>
        <v>0.7337432017</v>
      </c>
      <c r="Y28" s="49">
        <f t="shared" si="13"/>
        <v>0.01560652637</v>
      </c>
      <c r="Z28" s="32" t="str">
        <f t="shared" si="14"/>
        <v>Milton</v>
      </c>
      <c r="AA28" s="50" t="s">
        <v>77</v>
      </c>
      <c r="AB28" s="38">
        <v>7149.0</v>
      </c>
      <c r="AC28" s="48">
        <f t="shared" si="15"/>
        <v>2562</v>
      </c>
      <c r="AD28" s="51">
        <f t="shared" si="16"/>
        <v>0.6416281997</v>
      </c>
    </row>
    <row r="29">
      <c r="A29" s="61" t="s">
        <v>97</v>
      </c>
      <c r="B29" s="46" t="s">
        <v>983</v>
      </c>
      <c r="C29" s="47"/>
      <c r="D29" s="38">
        <v>1224.0</v>
      </c>
      <c r="E29" s="38">
        <v>611.0</v>
      </c>
      <c r="F29" s="108">
        <v>82.0</v>
      </c>
      <c r="G29" s="38">
        <v>40.0</v>
      </c>
      <c r="H29" s="38">
        <v>59.0</v>
      </c>
      <c r="I29" s="48">
        <f t="shared" si="3"/>
        <v>1917</v>
      </c>
      <c r="J29" s="48">
        <f t="shared" si="4"/>
        <v>2016</v>
      </c>
      <c r="K29" s="49">
        <f t="shared" si="5"/>
        <v>0.6384976526</v>
      </c>
      <c r="L29" s="49">
        <f t="shared" si="6"/>
        <v>0.3187271779</v>
      </c>
      <c r="M29" s="49">
        <f t="shared" si="7"/>
        <v>0.04277516954</v>
      </c>
      <c r="N29" s="32" t="str">
        <f t="shared" si="8"/>
        <v>Jânio</v>
      </c>
      <c r="O29" s="50" t="s">
        <v>77</v>
      </c>
      <c r="P29" s="38">
        <v>634.0</v>
      </c>
      <c r="Q29" s="38">
        <v>1187.0</v>
      </c>
      <c r="R29" s="38">
        <v>67.0</v>
      </c>
      <c r="S29" s="38">
        <v>98.0</v>
      </c>
      <c r="T29" s="38">
        <v>30.0</v>
      </c>
      <c r="U29" s="48">
        <f t="shared" si="9"/>
        <v>1888</v>
      </c>
      <c r="V29" s="48">
        <f t="shared" si="10"/>
        <v>2016</v>
      </c>
      <c r="W29" s="49">
        <f t="shared" si="11"/>
        <v>0.3358050847</v>
      </c>
      <c r="X29" s="49">
        <f t="shared" si="12"/>
        <v>0.6287076271</v>
      </c>
      <c r="Y29" s="49">
        <f t="shared" si="13"/>
        <v>0.03548728814</v>
      </c>
      <c r="Z29" s="32" t="str">
        <f t="shared" si="14"/>
        <v>Milton</v>
      </c>
      <c r="AA29" s="50" t="s">
        <v>77</v>
      </c>
      <c r="AB29" s="38">
        <v>3140.0</v>
      </c>
      <c r="AC29" s="48">
        <f t="shared" si="15"/>
        <v>1124</v>
      </c>
      <c r="AD29" s="51">
        <f t="shared" si="16"/>
        <v>0.6420382166</v>
      </c>
    </row>
    <row r="30">
      <c r="A30" s="24"/>
      <c r="B30" s="46" t="s">
        <v>984</v>
      </c>
      <c r="C30" s="47"/>
      <c r="D30" s="38">
        <v>378.0</v>
      </c>
      <c r="E30" s="38">
        <v>322.0</v>
      </c>
      <c r="F30" s="108">
        <v>28.0</v>
      </c>
      <c r="G30" s="38">
        <v>20.0</v>
      </c>
      <c r="H30" s="38">
        <v>13.0</v>
      </c>
      <c r="I30" s="48">
        <f t="shared" si="3"/>
        <v>728</v>
      </c>
      <c r="J30" s="48">
        <f t="shared" si="4"/>
        <v>761</v>
      </c>
      <c r="K30" s="49">
        <f t="shared" si="5"/>
        <v>0.5192307692</v>
      </c>
      <c r="L30" s="49">
        <f t="shared" si="6"/>
        <v>0.4423076923</v>
      </c>
      <c r="M30" s="49">
        <f t="shared" si="7"/>
        <v>0.03846153846</v>
      </c>
      <c r="N30" s="32" t="str">
        <f t="shared" si="8"/>
        <v>Jânio</v>
      </c>
      <c r="O30" s="50" t="s">
        <v>77</v>
      </c>
      <c r="P30" s="38">
        <v>302.0</v>
      </c>
      <c r="Q30" s="38">
        <v>362.0</v>
      </c>
      <c r="R30" s="38">
        <v>22.0</v>
      </c>
      <c r="S30" s="38">
        <v>66.0</v>
      </c>
      <c r="T30" s="38">
        <v>9.0</v>
      </c>
      <c r="U30" s="48">
        <f t="shared" si="9"/>
        <v>686</v>
      </c>
      <c r="V30" s="48">
        <f t="shared" si="10"/>
        <v>761</v>
      </c>
      <c r="W30" s="49">
        <f t="shared" si="11"/>
        <v>0.4402332362</v>
      </c>
      <c r="X30" s="49">
        <f t="shared" si="12"/>
        <v>0.527696793</v>
      </c>
      <c r="Y30" s="49">
        <f t="shared" si="13"/>
        <v>0.03206997085</v>
      </c>
      <c r="Z30" s="32" t="str">
        <f t="shared" si="14"/>
        <v>Milton</v>
      </c>
      <c r="AA30" s="50" t="s">
        <v>77</v>
      </c>
      <c r="AB30" s="38">
        <v>1079.0</v>
      </c>
      <c r="AC30" s="48">
        <f t="shared" si="15"/>
        <v>318</v>
      </c>
      <c r="AD30" s="51">
        <f t="shared" si="16"/>
        <v>0.7052826691</v>
      </c>
    </row>
    <row r="31">
      <c r="A31" s="61" t="s">
        <v>99</v>
      </c>
      <c r="B31" s="46" t="s">
        <v>985</v>
      </c>
      <c r="C31" s="47"/>
      <c r="D31" s="38">
        <v>369.0</v>
      </c>
      <c r="E31" s="38">
        <v>423.0</v>
      </c>
      <c r="F31" s="108">
        <v>61.0</v>
      </c>
      <c r="G31" s="38">
        <v>32.0</v>
      </c>
      <c r="H31" s="38">
        <v>21.0</v>
      </c>
      <c r="I31" s="48">
        <f t="shared" si="3"/>
        <v>853</v>
      </c>
      <c r="J31" s="48">
        <f t="shared" si="4"/>
        <v>906</v>
      </c>
      <c r="K31" s="49">
        <f t="shared" si="5"/>
        <v>0.4325908558</v>
      </c>
      <c r="L31" s="49">
        <f t="shared" si="6"/>
        <v>0.4958968347</v>
      </c>
      <c r="M31" s="49">
        <f t="shared" si="7"/>
        <v>0.0715123095</v>
      </c>
      <c r="N31" s="32" t="str">
        <f t="shared" si="8"/>
        <v>Mal. Lott</v>
      </c>
      <c r="O31" s="50" t="s">
        <v>77</v>
      </c>
      <c r="P31" s="38">
        <v>438.0</v>
      </c>
      <c r="Q31" s="38">
        <v>358.0</v>
      </c>
      <c r="R31" s="38">
        <v>33.0</v>
      </c>
      <c r="S31" s="38">
        <v>62.0</v>
      </c>
      <c r="T31" s="38">
        <v>15.0</v>
      </c>
      <c r="U31" s="48">
        <f t="shared" si="9"/>
        <v>829</v>
      </c>
      <c r="V31" s="48">
        <f t="shared" si="10"/>
        <v>906</v>
      </c>
      <c r="W31" s="49">
        <f t="shared" si="11"/>
        <v>0.5283474065</v>
      </c>
      <c r="X31" s="49">
        <f t="shared" si="12"/>
        <v>0.4318455971</v>
      </c>
      <c r="Y31" s="49">
        <f t="shared" si="13"/>
        <v>0.03980699638</v>
      </c>
      <c r="Z31" s="32" t="str">
        <f t="shared" si="14"/>
        <v>Jango</v>
      </c>
      <c r="AA31" s="50" t="s">
        <v>77</v>
      </c>
      <c r="AB31" s="38">
        <v>1426.0</v>
      </c>
      <c r="AC31" s="48">
        <f t="shared" si="15"/>
        <v>520</v>
      </c>
      <c r="AD31" s="51">
        <f t="shared" si="16"/>
        <v>0.6353436185</v>
      </c>
    </row>
    <row r="32">
      <c r="A32" s="23"/>
      <c r="B32" s="46" t="s">
        <v>986</v>
      </c>
      <c r="C32" s="47"/>
      <c r="D32" s="38">
        <v>159.0</v>
      </c>
      <c r="E32" s="38">
        <v>212.0</v>
      </c>
      <c r="F32" s="108">
        <v>12.0</v>
      </c>
      <c r="G32" s="38">
        <v>20.0</v>
      </c>
      <c r="H32" s="38">
        <v>14.0</v>
      </c>
      <c r="I32" s="48">
        <f t="shared" si="3"/>
        <v>383</v>
      </c>
      <c r="J32" s="48">
        <f t="shared" si="4"/>
        <v>417</v>
      </c>
      <c r="K32" s="49">
        <f t="shared" si="5"/>
        <v>0.4151436031</v>
      </c>
      <c r="L32" s="49">
        <f t="shared" si="6"/>
        <v>0.5535248042</v>
      </c>
      <c r="M32" s="49">
        <f t="shared" si="7"/>
        <v>0.03133159269</v>
      </c>
      <c r="N32" s="32" t="str">
        <f t="shared" si="8"/>
        <v>Mal. Lott</v>
      </c>
      <c r="O32" s="50" t="s">
        <v>77</v>
      </c>
      <c r="P32" s="38">
        <v>210.0</v>
      </c>
      <c r="Q32" s="38">
        <v>153.0</v>
      </c>
      <c r="R32" s="38">
        <v>13.0</v>
      </c>
      <c r="S32" s="38">
        <v>23.0</v>
      </c>
      <c r="T32" s="38">
        <v>18.0</v>
      </c>
      <c r="U32" s="48">
        <f t="shared" si="9"/>
        <v>376</v>
      </c>
      <c r="V32" s="48">
        <f t="shared" si="10"/>
        <v>417</v>
      </c>
      <c r="W32" s="49">
        <f t="shared" si="11"/>
        <v>0.5585106383</v>
      </c>
      <c r="X32" s="49">
        <f t="shared" si="12"/>
        <v>0.4069148936</v>
      </c>
      <c r="Y32" s="49">
        <f t="shared" si="13"/>
        <v>0.03457446809</v>
      </c>
      <c r="Z32" s="32" t="str">
        <f t="shared" si="14"/>
        <v>Jango</v>
      </c>
      <c r="AA32" s="50" t="s">
        <v>77</v>
      </c>
      <c r="AB32" s="38">
        <v>644.0</v>
      </c>
      <c r="AC32" s="48">
        <f t="shared" si="15"/>
        <v>227</v>
      </c>
      <c r="AD32" s="51">
        <f t="shared" si="16"/>
        <v>0.647515528</v>
      </c>
    </row>
    <row r="33">
      <c r="A33" s="24"/>
      <c r="B33" s="46" t="s">
        <v>987</v>
      </c>
      <c r="C33" s="47"/>
      <c r="D33" s="38">
        <v>299.0</v>
      </c>
      <c r="E33" s="38">
        <v>158.0</v>
      </c>
      <c r="F33" s="108">
        <v>8.0</v>
      </c>
      <c r="G33" s="38">
        <v>11.0</v>
      </c>
      <c r="H33" s="38">
        <v>19.0</v>
      </c>
      <c r="I33" s="48">
        <f t="shared" si="3"/>
        <v>465</v>
      </c>
      <c r="J33" s="48">
        <f t="shared" si="4"/>
        <v>495</v>
      </c>
      <c r="K33" s="49">
        <f t="shared" si="5"/>
        <v>0.6430107527</v>
      </c>
      <c r="L33" s="49">
        <f t="shared" si="6"/>
        <v>0.3397849462</v>
      </c>
      <c r="M33" s="49">
        <f t="shared" si="7"/>
        <v>0.01720430108</v>
      </c>
      <c r="N33" s="32" t="str">
        <f t="shared" si="8"/>
        <v>Jânio</v>
      </c>
      <c r="O33" s="50" t="s">
        <v>77</v>
      </c>
      <c r="P33" s="38">
        <v>156.0</v>
      </c>
      <c r="Q33" s="38">
        <v>293.0</v>
      </c>
      <c r="R33" s="38">
        <v>12.0</v>
      </c>
      <c r="S33" s="38">
        <v>24.0</v>
      </c>
      <c r="T33" s="38">
        <v>10.0</v>
      </c>
      <c r="U33" s="48">
        <f t="shared" si="9"/>
        <v>461</v>
      </c>
      <c r="V33" s="48">
        <f t="shared" si="10"/>
        <v>495</v>
      </c>
      <c r="W33" s="49">
        <f t="shared" si="11"/>
        <v>0.3383947939</v>
      </c>
      <c r="X33" s="49">
        <f t="shared" si="12"/>
        <v>0.6355748373</v>
      </c>
      <c r="Y33" s="49">
        <f t="shared" si="13"/>
        <v>0.02603036876</v>
      </c>
      <c r="Z33" s="32" t="str">
        <f t="shared" si="14"/>
        <v>Milton</v>
      </c>
      <c r="AA33" s="50" t="s">
        <v>77</v>
      </c>
      <c r="AB33" s="38">
        <v>683.0</v>
      </c>
      <c r="AC33" s="48">
        <f t="shared" si="15"/>
        <v>188</v>
      </c>
      <c r="AD33" s="51">
        <f t="shared" si="16"/>
        <v>0.7247437775</v>
      </c>
    </row>
    <row r="34">
      <c r="A34" s="45" t="s">
        <v>104</v>
      </c>
      <c r="B34" s="46" t="s">
        <v>988</v>
      </c>
      <c r="C34" s="47"/>
      <c r="D34" s="38">
        <v>2515.0</v>
      </c>
      <c r="E34" s="38">
        <v>1647.0</v>
      </c>
      <c r="F34" s="48">
        <v>143.0</v>
      </c>
      <c r="G34" s="38">
        <v>75.0</v>
      </c>
      <c r="H34" s="38">
        <v>147.0</v>
      </c>
      <c r="I34" s="48">
        <f t="shared" si="3"/>
        <v>4305</v>
      </c>
      <c r="J34" s="48">
        <f t="shared" si="4"/>
        <v>4527</v>
      </c>
      <c r="K34" s="49">
        <f t="shared" si="5"/>
        <v>0.5842044135</v>
      </c>
      <c r="L34" s="49">
        <f t="shared" si="6"/>
        <v>0.3825783972</v>
      </c>
      <c r="M34" s="49">
        <f t="shared" si="7"/>
        <v>0.03321718931</v>
      </c>
      <c r="N34" s="32" t="str">
        <f t="shared" si="8"/>
        <v>Jânio</v>
      </c>
      <c r="O34" s="50" t="s">
        <v>77</v>
      </c>
      <c r="P34" s="38">
        <v>1717.0</v>
      </c>
      <c r="Q34" s="38">
        <v>2431.0</v>
      </c>
      <c r="R34" s="38">
        <v>101.0</v>
      </c>
      <c r="S34" s="38">
        <v>165.0</v>
      </c>
      <c r="T34" s="38">
        <v>113.0</v>
      </c>
      <c r="U34" s="48">
        <f t="shared" si="9"/>
        <v>4249</v>
      </c>
      <c r="V34" s="48">
        <f t="shared" si="10"/>
        <v>4527</v>
      </c>
      <c r="W34" s="49">
        <f t="shared" si="11"/>
        <v>0.4040950812</v>
      </c>
      <c r="X34" s="49">
        <f t="shared" si="12"/>
        <v>0.5721346199</v>
      </c>
      <c r="Y34" s="49">
        <f t="shared" si="13"/>
        <v>0.02377029889</v>
      </c>
      <c r="Z34" s="32" t="str">
        <f t="shared" si="14"/>
        <v>Milton</v>
      </c>
      <c r="AA34" s="50" t="s">
        <v>77</v>
      </c>
      <c r="AB34" s="38">
        <v>6921.0</v>
      </c>
      <c r="AC34" s="48">
        <f t="shared" si="15"/>
        <v>2394</v>
      </c>
      <c r="AD34" s="51">
        <f t="shared" si="16"/>
        <v>0.6540962289</v>
      </c>
    </row>
    <row r="35">
      <c r="A35" s="61" t="s">
        <v>107</v>
      </c>
      <c r="B35" s="46" t="s">
        <v>989</v>
      </c>
      <c r="C35" s="47"/>
      <c r="D35" s="38">
        <v>734.0</v>
      </c>
      <c r="E35" s="38">
        <v>706.0</v>
      </c>
      <c r="F35" s="108">
        <v>53.0</v>
      </c>
      <c r="G35" s="38">
        <v>68.0</v>
      </c>
      <c r="H35" s="38">
        <v>73.0</v>
      </c>
      <c r="I35" s="48">
        <f t="shared" si="3"/>
        <v>1493</v>
      </c>
      <c r="J35" s="48">
        <f t="shared" si="4"/>
        <v>1634</v>
      </c>
      <c r="K35" s="49">
        <f t="shared" si="5"/>
        <v>0.4916275954</v>
      </c>
      <c r="L35" s="49">
        <f t="shared" si="6"/>
        <v>0.4728734092</v>
      </c>
      <c r="M35" s="49">
        <f t="shared" si="7"/>
        <v>0.03549899531</v>
      </c>
      <c r="N35" s="32" t="str">
        <f t="shared" si="8"/>
        <v>Jânio</v>
      </c>
      <c r="O35" s="50" t="s">
        <v>77</v>
      </c>
      <c r="P35" s="38">
        <v>782.0</v>
      </c>
      <c r="Q35" s="38">
        <v>662.0</v>
      </c>
      <c r="R35" s="38">
        <v>45.0</v>
      </c>
      <c r="S35" s="38">
        <v>101.0</v>
      </c>
      <c r="T35" s="38">
        <v>44.0</v>
      </c>
      <c r="U35" s="48">
        <f t="shared" si="9"/>
        <v>1489</v>
      </c>
      <c r="V35" s="48">
        <f t="shared" si="10"/>
        <v>1634</v>
      </c>
      <c r="W35" s="49">
        <f t="shared" si="11"/>
        <v>0.5251846877</v>
      </c>
      <c r="X35" s="49">
        <f t="shared" si="12"/>
        <v>0.444593687</v>
      </c>
      <c r="Y35" s="49">
        <f t="shared" si="13"/>
        <v>0.03022162525</v>
      </c>
      <c r="Z35" s="32" t="str">
        <f t="shared" si="14"/>
        <v>Jango</v>
      </c>
      <c r="AA35" s="50" t="s">
        <v>77</v>
      </c>
      <c r="AB35" s="38">
        <v>2533.0</v>
      </c>
      <c r="AC35" s="48">
        <f t="shared" si="15"/>
        <v>899</v>
      </c>
      <c r="AD35" s="51">
        <f t="shared" si="16"/>
        <v>0.6450848796</v>
      </c>
    </row>
    <row r="36">
      <c r="A36" s="24"/>
      <c r="B36" s="46" t="s">
        <v>990</v>
      </c>
      <c r="C36" s="47"/>
      <c r="D36" s="38">
        <v>285.0</v>
      </c>
      <c r="E36" s="38">
        <v>488.0</v>
      </c>
      <c r="F36" s="108">
        <v>21.0</v>
      </c>
      <c r="G36" s="38">
        <v>27.0</v>
      </c>
      <c r="H36" s="38">
        <v>33.0</v>
      </c>
      <c r="I36" s="48">
        <f t="shared" si="3"/>
        <v>794</v>
      </c>
      <c r="J36" s="48">
        <f t="shared" si="4"/>
        <v>854</v>
      </c>
      <c r="K36" s="49">
        <f t="shared" si="5"/>
        <v>0.3589420655</v>
      </c>
      <c r="L36" s="49">
        <f t="shared" si="6"/>
        <v>0.6146095718</v>
      </c>
      <c r="M36" s="49">
        <f t="shared" si="7"/>
        <v>0.02644836272</v>
      </c>
      <c r="N36" s="32" t="str">
        <f t="shared" si="8"/>
        <v>Mal. Lott</v>
      </c>
      <c r="O36" s="50" t="s">
        <v>77</v>
      </c>
      <c r="P36" s="38">
        <v>488.0</v>
      </c>
      <c r="Q36" s="38">
        <v>258.0</v>
      </c>
      <c r="R36" s="38">
        <v>31.0</v>
      </c>
      <c r="S36" s="38">
        <v>45.0</v>
      </c>
      <c r="T36" s="38">
        <v>32.0</v>
      </c>
      <c r="U36" s="48">
        <f t="shared" si="9"/>
        <v>777</v>
      </c>
      <c r="V36" s="48">
        <f t="shared" si="10"/>
        <v>854</v>
      </c>
      <c r="W36" s="49">
        <f t="shared" si="11"/>
        <v>0.6280566281</v>
      </c>
      <c r="X36" s="49">
        <f t="shared" si="12"/>
        <v>0.332046332</v>
      </c>
      <c r="Y36" s="49">
        <f t="shared" si="13"/>
        <v>0.0398970399</v>
      </c>
      <c r="Z36" s="32" t="str">
        <f t="shared" si="14"/>
        <v>Jango</v>
      </c>
      <c r="AA36" s="50" t="s">
        <v>77</v>
      </c>
      <c r="AB36" s="38">
        <v>1424.0</v>
      </c>
      <c r="AC36" s="48">
        <f t="shared" si="15"/>
        <v>570</v>
      </c>
      <c r="AD36" s="51">
        <f t="shared" si="16"/>
        <v>0.5997191011</v>
      </c>
    </row>
    <row r="37">
      <c r="A37" s="61" t="s">
        <v>111</v>
      </c>
      <c r="B37" s="46" t="s">
        <v>991</v>
      </c>
      <c r="C37" s="47"/>
      <c r="D37" s="38">
        <v>235.0</v>
      </c>
      <c r="E37" s="38">
        <v>1171.0</v>
      </c>
      <c r="F37" s="108">
        <v>31.0</v>
      </c>
      <c r="G37" s="38">
        <v>30.0</v>
      </c>
      <c r="H37" s="38">
        <v>24.0</v>
      </c>
      <c r="I37" s="48">
        <f t="shared" si="3"/>
        <v>1437</v>
      </c>
      <c r="J37" s="48">
        <f t="shared" si="4"/>
        <v>1491</v>
      </c>
      <c r="K37" s="49">
        <f t="shared" si="5"/>
        <v>0.1635351427</v>
      </c>
      <c r="L37" s="49">
        <f t="shared" si="6"/>
        <v>0.8148921364</v>
      </c>
      <c r="M37" s="49">
        <f t="shared" si="7"/>
        <v>0.02157272095</v>
      </c>
      <c r="N37" s="32" t="str">
        <f t="shared" si="8"/>
        <v>Mal. Lott</v>
      </c>
      <c r="O37" s="50" t="s">
        <v>77</v>
      </c>
      <c r="P37" s="38">
        <v>1174.0</v>
      </c>
      <c r="Q37" s="38">
        <v>223.0</v>
      </c>
      <c r="R37" s="38">
        <v>24.0</v>
      </c>
      <c r="S37" s="38">
        <v>56.0</v>
      </c>
      <c r="T37" s="38">
        <v>14.0</v>
      </c>
      <c r="U37" s="48">
        <f t="shared" si="9"/>
        <v>1421</v>
      </c>
      <c r="V37" s="48">
        <f t="shared" si="10"/>
        <v>1491</v>
      </c>
      <c r="W37" s="49">
        <f t="shared" si="11"/>
        <v>0.8261787474</v>
      </c>
      <c r="X37" s="49">
        <f t="shared" si="12"/>
        <v>0.1569317382</v>
      </c>
      <c r="Y37" s="49">
        <f t="shared" si="13"/>
        <v>0.01688951443</v>
      </c>
      <c r="Z37" s="32" t="str">
        <f t="shared" si="14"/>
        <v>Jango</v>
      </c>
      <c r="AA37" s="50" t="s">
        <v>77</v>
      </c>
      <c r="AB37" s="38">
        <v>2123.0</v>
      </c>
      <c r="AC37" s="48">
        <f t="shared" si="15"/>
        <v>632</v>
      </c>
      <c r="AD37" s="51">
        <f t="shared" si="16"/>
        <v>0.7023080546</v>
      </c>
    </row>
    <row r="38">
      <c r="A38" s="23"/>
      <c r="B38" s="46" t="s">
        <v>992</v>
      </c>
      <c r="C38" s="47"/>
      <c r="D38" s="38">
        <v>451.0</v>
      </c>
      <c r="E38" s="38">
        <v>411.0</v>
      </c>
      <c r="F38" s="108">
        <v>31.0</v>
      </c>
      <c r="G38" s="38">
        <v>31.0</v>
      </c>
      <c r="H38" s="38">
        <v>23.0</v>
      </c>
      <c r="I38" s="48">
        <f t="shared" si="3"/>
        <v>893</v>
      </c>
      <c r="J38" s="48">
        <f t="shared" si="4"/>
        <v>947</v>
      </c>
      <c r="K38" s="49">
        <f t="shared" si="5"/>
        <v>0.5050391937</v>
      </c>
      <c r="L38" s="49">
        <f t="shared" si="6"/>
        <v>0.4602463606</v>
      </c>
      <c r="M38" s="49">
        <f t="shared" si="7"/>
        <v>0.03471444569</v>
      </c>
      <c r="N38" s="32" t="str">
        <f t="shared" si="8"/>
        <v>Jânio</v>
      </c>
      <c r="O38" s="50" t="s">
        <v>77</v>
      </c>
      <c r="P38" s="38">
        <v>421.0</v>
      </c>
      <c r="Q38" s="38">
        <v>438.0</v>
      </c>
      <c r="R38" s="38">
        <v>19.0</v>
      </c>
      <c r="S38" s="38">
        <v>50.0</v>
      </c>
      <c r="T38" s="38">
        <v>19.0</v>
      </c>
      <c r="U38" s="48">
        <f t="shared" si="9"/>
        <v>878</v>
      </c>
      <c r="V38" s="48">
        <f t="shared" si="10"/>
        <v>947</v>
      </c>
      <c r="W38" s="49">
        <f t="shared" si="11"/>
        <v>0.479498861</v>
      </c>
      <c r="X38" s="49">
        <f t="shared" si="12"/>
        <v>0.4988610478</v>
      </c>
      <c r="Y38" s="49">
        <f t="shared" si="13"/>
        <v>0.02164009112</v>
      </c>
      <c r="Z38" s="32" t="str">
        <f t="shared" si="14"/>
        <v>Milton</v>
      </c>
      <c r="AA38" s="50" t="s">
        <v>77</v>
      </c>
      <c r="AB38" s="38">
        <v>1415.0</v>
      </c>
      <c r="AC38" s="48">
        <f t="shared" si="15"/>
        <v>468</v>
      </c>
      <c r="AD38" s="51">
        <f t="shared" si="16"/>
        <v>0.6692579505</v>
      </c>
    </row>
    <row r="39">
      <c r="A39" s="24"/>
      <c r="B39" s="46" t="s">
        <v>993</v>
      </c>
      <c r="C39" s="47"/>
      <c r="D39" s="38">
        <v>445.0</v>
      </c>
      <c r="E39" s="38">
        <v>347.0</v>
      </c>
      <c r="F39" s="108">
        <v>25.0</v>
      </c>
      <c r="G39" s="38">
        <v>25.0</v>
      </c>
      <c r="H39" s="38">
        <v>26.0</v>
      </c>
      <c r="I39" s="48">
        <f t="shared" si="3"/>
        <v>817</v>
      </c>
      <c r="J39" s="48">
        <f t="shared" si="4"/>
        <v>868</v>
      </c>
      <c r="K39" s="49">
        <f t="shared" si="5"/>
        <v>0.5446756426</v>
      </c>
      <c r="L39" s="49">
        <f t="shared" si="6"/>
        <v>0.4247246022</v>
      </c>
      <c r="M39" s="49">
        <f t="shared" si="7"/>
        <v>0.0305997552</v>
      </c>
      <c r="N39" s="32" t="str">
        <f t="shared" si="8"/>
        <v>Jânio</v>
      </c>
      <c r="O39" s="50" t="s">
        <v>77</v>
      </c>
      <c r="P39" s="38">
        <v>375.0</v>
      </c>
      <c r="Q39" s="38">
        <v>399.0</v>
      </c>
      <c r="R39" s="38">
        <v>20.0</v>
      </c>
      <c r="S39" s="38">
        <v>51.0</v>
      </c>
      <c r="T39" s="38">
        <v>23.0</v>
      </c>
      <c r="U39" s="48">
        <f t="shared" si="9"/>
        <v>794</v>
      </c>
      <c r="V39" s="48">
        <f t="shared" si="10"/>
        <v>868</v>
      </c>
      <c r="W39" s="49">
        <f t="shared" si="11"/>
        <v>0.4722921914</v>
      </c>
      <c r="X39" s="49">
        <f t="shared" si="12"/>
        <v>0.5025188917</v>
      </c>
      <c r="Y39" s="49">
        <f t="shared" si="13"/>
        <v>0.02518891688</v>
      </c>
      <c r="Z39" s="32" t="str">
        <f t="shared" si="14"/>
        <v>Milton</v>
      </c>
      <c r="AA39" s="50" t="s">
        <v>77</v>
      </c>
      <c r="AB39" s="38">
        <v>1694.0</v>
      </c>
      <c r="AC39" s="48">
        <f t="shared" si="15"/>
        <v>826</v>
      </c>
      <c r="AD39" s="51">
        <f t="shared" si="16"/>
        <v>0.5123966942</v>
      </c>
    </row>
    <row r="40">
      <c r="A40" s="61" t="s">
        <v>114</v>
      </c>
      <c r="B40" s="46" t="s">
        <v>994</v>
      </c>
      <c r="C40" s="47"/>
      <c r="D40" s="38">
        <v>725.0</v>
      </c>
      <c r="E40" s="38">
        <v>1011.0</v>
      </c>
      <c r="F40" s="108">
        <v>68.0</v>
      </c>
      <c r="G40" s="38">
        <v>80.0</v>
      </c>
      <c r="H40" s="38">
        <v>57.0</v>
      </c>
      <c r="I40" s="48">
        <f t="shared" si="3"/>
        <v>1804</v>
      </c>
      <c r="J40" s="48">
        <f t="shared" si="4"/>
        <v>1941</v>
      </c>
      <c r="K40" s="49">
        <f t="shared" si="5"/>
        <v>0.4018847007</v>
      </c>
      <c r="L40" s="49">
        <f t="shared" si="6"/>
        <v>0.560421286</v>
      </c>
      <c r="M40" s="49">
        <f t="shared" si="7"/>
        <v>0.0376940133</v>
      </c>
      <c r="N40" s="32" t="str">
        <f t="shared" si="8"/>
        <v>Mal. Lott</v>
      </c>
      <c r="O40" s="50" t="s">
        <v>77</v>
      </c>
      <c r="P40" s="38">
        <v>1139.0</v>
      </c>
      <c r="Q40" s="38">
        <v>553.0</v>
      </c>
      <c r="R40" s="38">
        <v>62.0</v>
      </c>
      <c r="S40" s="38">
        <v>134.0</v>
      </c>
      <c r="T40" s="38">
        <v>53.0</v>
      </c>
      <c r="U40" s="48">
        <f t="shared" si="9"/>
        <v>1754</v>
      </c>
      <c r="V40" s="48">
        <f t="shared" si="10"/>
        <v>1941</v>
      </c>
      <c r="W40" s="49">
        <f t="shared" si="11"/>
        <v>0.649372862</v>
      </c>
      <c r="X40" s="49">
        <f t="shared" si="12"/>
        <v>0.3152793615</v>
      </c>
      <c r="Y40" s="49">
        <f t="shared" si="13"/>
        <v>0.03534777651</v>
      </c>
      <c r="Z40" s="32" t="str">
        <f t="shared" si="14"/>
        <v>Jango</v>
      </c>
      <c r="AA40" s="50" t="s">
        <v>77</v>
      </c>
      <c r="AB40" s="38">
        <v>2659.0</v>
      </c>
      <c r="AC40" s="48">
        <f t="shared" si="15"/>
        <v>718</v>
      </c>
      <c r="AD40" s="51">
        <f t="shared" si="16"/>
        <v>0.7299736743</v>
      </c>
    </row>
    <row r="41">
      <c r="A41" s="23"/>
      <c r="B41" s="46" t="s">
        <v>995</v>
      </c>
      <c r="C41" s="47"/>
      <c r="D41" s="38">
        <v>251.0</v>
      </c>
      <c r="E41" s="38">
        <v>151.0</v>
      </c>
      <c r="F41" s="108">
        <v>18.0</v>
      </c>
      <c r="G41" s="38">
        <v>19.0</v>
      </c>
      <c r="H41" s="38">
        <v>24.0</v>
      </c>
      <c r="I41" s="48">
        <f t="shared" si="3"/>
        <v>420</v>
      </c>
      <c r="J41" s="48">
        <f t="shared" si="4"/>
        <v>463</v>
      </c>
      <c r="K41" s="49">
        <f t="shared" si="5"/>
        <v>0.5976190476</v>
      </c>
      <c r="L41" s="49">
        <f t="shared" si="6"/>
        <v>0.3595238095</v>
      </c>
      <c r="M41" s="49">
        <f t="shared" si="7"/>
        <v>0.04285714286</v>
      </c>
      <c r="N41" s="32" t="str">
        <f t="shared" si="8"/>
        <v>Jânio</v>
      </c>
      <c r="O41" s="50" t="s">
        <v>77</v>
      </c>
      <c r="P41" s="38">
        <v>137.0</v>
      </c>
      <c r="Q41" s="38">
        <v>251.0</v>
      </c>
      <c r="R41" s="38">
        <v>20.0</v>
      </c>
      <c r="S41" s="38">
        <v>33.0</v>
      </c>
      <c r="T41" s="38">
        <v>22.0</v>
      </c>
      <c r="U41" s="48">
        <f t="shared" si="9"/>
        <v>408</v>
      </c>
      <c r="V41" s="48">
        <f t="shared" si="10"/>
        <v>463</v>
      </c>
      <c r="W41" s="49">
        <f t="shared" si="11"/>
        <v>0.3357843137</v>
      </c>
      <c r="X41" s="49">
        <f t="shared" si="12"/>
        <v>0.6151960784</v>
      </c>
      <c r="Y41" s="49">
        <f t="shared" si="13"/>
        <v>0.04901960784</v>
      </c>
      <c r="Z41" s="32" t="str">
        <f t="shared" si="14"/>
        <v>Milton</v>
      </c>
      <c r="AA41" s="50" t="s">
        <v>77</v>
      </c>
      <c r="AB41" s="38">
        <v>710.0</v>
      </c>
      <c r="AC41" s="48">
        <f t="shared" si="15"/>
        <v>247</v>
      </c>
      <c r="AD41" s="51">
        <f t="shared" si="16"/>
        <v>0.6521126761</v>
      </c>
    </row>
    <row r="42">
      <c r="A42" s="23"/>
      <c r="B42" s="46" t="s">
        <v>517</v>
      </c>
      <c r="C42" s="47"/>
      <c r="D42" s="38">
        <v>390.0</v>
      </c>
      <c r="E42" s="38">
        <v>229.0</v>
      </c>
      <c r="F42" s="108">
        <v>39.0</v>
      </c>
      <c r="G42" s="38">
        <v>21.0</v>
      </c>
      <c r="H42" s="38">
        <v>28.0</v>
      </c>
      <c r="I42" s="48">
        <f t="shared" si="3"/>
        <v>658</v>
      </c>
      <c r="J42" s="48">
        <f t="shared" si="4"/>
        <v>707</v>
      </c>
      <c r="K42" s="49">
        <f t="shared" si="5"/>
        <v>0.5927051672</v>
      </c>
      <c r="L42" s="49">
        <f t="shared" si="6"/>
        <v>0.3480243161</v>
      </c>
      <c r="M42" s="49">
        <f t="shared" si="7"/>
        <v>0.05927051672</v>
      </c>
      <c r="N42" s="32" t="str">
        <f t="shared" si="8"/>
        <v>Jânio</v>
      </c>
      <c r="O42" s="50" t="s">
        <v>77</v>
      </c>
      <c r="P42" s="38">
        <v>241.0</v>
      </c>
      <c r="Q42" s="38">
        <v>371.0</v>
      </c>
      <c r="R42" s="38">
        <v>21.0</v>
      </c>
      <c r="S42" s="38">
        <v>58.0</v>
      </c>
      <c r="T42" s="38">
        <v>16.0</v>
      </c>
      <c r="U42" s="48">
        <f t="shared" si="9"/>
        <v>633</v>
      </c>
      <c r="V42" s="48">
        <f t="shared" si="10"/>
        <v>707</v>
      </c>
      <c r="W42" s="49">
        <f t="shared" si="11"/>
        <v>0.3807266983</v>
      </c>
      <c r="X42" s="49">
        <f t="shared" si="12"/>
        <v>0.5860979463</v>
      </c>
      <c r="Y42" s="49">
        <f t="shared" si="13"/>
        <v>0.03317535545</v>
      </c>
      <c r="Z42" s="32" t="str">
        <f t="shared" si="14"/>
        <v>Milton</v>
      </c>
      <c r="AA42" s="50" t="s">
        <v>77</v>
      </c>
      <c r="AB42" s="38">
        <v>1160.0</v>
      </c>
      <c r="AC42" s="48">
        <f t="shared" si="15"/>
        <v>453</v>
      </c>
      <c r="AD42" s="51">
        <f t="shared" si="16"/>
        <v>0.6094827586</v>
      </c>
    </row>
    <row r="43">
      <c r="A43" s="24"/>
      <c r="B43" s="46" t="s">
        <v>996</v>
      </c>
      <c r="C43" s="47"/>
      <c r="D43" s="38">
        <v>428.0</v>
      </c>
      <c r="E43" s="38">
        <v>178.0</v>
      </c>
      <c r="F43" s="108">
        <v>16.0</v>
      </c>
      <c r="G43" s="38">
        <v>15.0</v>
      </c>
      <c r="H43" s="38">
        <v>13.0</v>
      </c>
      <c r="I43" s="48">
        <f t="shared" si="3"/>
        <v>622</v>
      </c>
      <c r="J43" s="48">
        <f t="shared" si="4"/>
        <v>650</v>
      </c>
      <c r="K43" s="49">
        <f t="shared" si="5"/>
        <v>0.6881028939</v>
      </c>
      <c r="L43" s="49">
        <f t="shared" si="6"/>
        <v>0.2861736334</v>
      </c>
      <c r="M43" s="49">
        <f t="shared" si="7"/>
        <v>0.02572347267</v>
      </c>
      <c r="N43" s="32" t="str">
        <f t="shared" si="8"/>
        <v>Jânio</v>
      </c>
      <c r="O43" s="50" t="s">
        <v>77</v>
      </c>
      <c r="P43" s="38">
        <v>171.0</v>
      </c>
      <c r="Q43" s="38">
        <v>408.0</v>
      </c>
      <c r="R43" s="38">
        <v>19.0</v>
      </c>
      <c r="S43" s="38">
        <v>46.0</v>
      </c>
      <c r="T43" s="38">
        <v>6.0</v>
      </c>
      <c r="U43" s="48">
        <f t="shared" si="9"/>
        <v>598</v>
      </c>
      <c r="V43" s="48">
        <f t="shared" si="10"/>
        <v>650</v>
      </c>
      <c r="W43" s="49">
        <f t="shared" si="11"/>
        <v>0.2859531773</v>
      </c>
      <c r="X43" s="49">
        <f t="shared" si="12"/>
        <v>0.6822742475</v>
      </c>
      <c r="Y43" s="49">
        <f t="shared" si="13"/>
        <v>0.03177257525</v>
      </c>
      <c r="Z43" s="32" t="str">
        <f t="shared" si="14"/>
        <v>Milton</v>
      </c>
      <c r="AA43" s="50" t="s">
        <v>77</v>
      </c>
      <c r="AB43" s="38">
        <v>849.0</v>
      </c>
      <c r="AC43" s="48">
        <f t="shared" si="15"/>
        <v>199</v>
      </c>
      <c r="AD43" s="51">
        <f t="shared" si="16"/>
        <v>0.765606596</v>
      </c>
    </row>
    <row r="44">
      <c r="A44" s="61" t="s">
        <v>117</v>
      </c>
      <c r="B44" s="46" t="s">
        <v>997</v>
      </c>
      <c r="C44" s="47"/>
      <c r="D44" s="38">
        <v>898.0</v>
      </c>
      <c r="E44" s="38">
        <v>574.0</v>
      </c>
      <c r="F44" s="108">
        <v>29.0</v>
      </c>
      <c r="G44" s="38">
        <v>26.0</v>
      </c>
      <c r="H44" s="38">
        <v>53.0</v>
      </c>
      <c r="I44" s="48">
        <f t="shared" si="3"/>
        <v>1501</v>
      </c>
      <c r="J44" s="48">
        <f t="shared" si="4"/>
        <v>1580</v>
      </c>
      <c r="K44" s="49">
        <f t="shared" si="5"/>
        <v>0.5982678215</v>
      </c>
      <c r="L44" s="49">
        <f t="shared" si="6"/>
        <v>0.3824117255</v>
      </c>
      <c r="M44" s="49">
        <f t="shared" si="7"/>
        <v>0.01932045303</v>
      </c>
      <c r="N44" s="32" t="str">
        <f t="shared" si="8"/>
        <v>Jânio</v>
      </c>
      <c r="O44" s="50" t="s">
        <v>77</v>
      </c>
      <c r="P44" s="38">
        <v>587.0</v>
      </c>
      <c r="Q44" s="38">
        <v>803.0</v>
      </c>
      <c r="R44" s="38">
        <v>32.0</v>
      </c>
      <c r="S44" s="38">
        <v>126.0</v>
      </c>
      <c r="T44" s="38">
        <v>32.0</v>
      </c>
      <c r="U44" s="48">
        <f t="shared" si="9"/>
        <v>1422</v>
      </c>
      <c r="V44" s="48">
        <f t="shared" si="10"/>
        <v>1580</v>
      </c>
      <c r="W44" s="49">
        <f t="shared" si="11"/>
        <v>0.4127988748</v>
      </c>
      <c r="X44" s="49">
        <f t="shared" si="12"/>
        <v>0.564697609</v>
      </c>
      <c r="Y44" s="49">
        <f t="shared" si="13"/>
        <v>0.02250351617</v>
      </c>
      <c r="Z44" s="32" t="str">
        <f t="shared" si="14"/>
        <v>Milton</v>
      </c>
      <c r="AA44" s="50" t="s">
        <v>77</v>
      </c>
      <c r="AB44" s="38">
        <v>2610.0</v>
      </c>
      <c r="AC44" s="48">
        <f t="shared" si="15"/>
        <v>1030</v>
      </c>
      <c r="AD44" s="51">
        <f t="shared" si="16"/>
        <v>0.6053639847</v>
      </c>
    </row>
    <row r="45">
      <c r="A45" s="23"/>
      <c r="B45" s="46" t="s">
        <v>998</v>
      </c>
      <c r="C45" s="47"/>
      <c r="D45" s="38">
        <v>244.0</v>
      </c>
      <c r="E45" s="38">
        <v>72.0</v>
      </c>
      <c r="F45" s="108">
        <v>13.0</v>
      </c>
      <c r="G45" s="38">
        <v>13.0</v>
      </c>
      <c r="H45" s="38">
        <v>11.0</v>
      </c>
      <c r="I45" s="48">
        <f t="shared" si="3"/>
        <v>329</v>
      </c>
      <c r="J45" s="48">
        <f t="shared" si="4"/>
        <v>353</v>
      </c>
      <c r="K45" s="49">
        <f t="shared" si="5"/>
        <v>0.7416413374</v>
      </c>
      <c r="L45" s="49">
        <f t="shared" si="6"/>
        <v>0.2188449848</v>
      </c>
      <c r="M45" s="49">
        <f t="shared" si="7"/>
        <v>0.03951367781</v>
      </c>
      <c r="N45" s="32" t="str">
        <f t="shared" si="8"/>
        <v>Jânio</v>
      </c>
      <c r="O45" s="50" t="s">
        <v>77</v>
      </c>
      <c r="P45" s="38">
        <v>85.0</v>
      </c>
      <c r="Q45" s="38">
        <v>240.0</v>
      </c>
      <c r="R45" s="38">
        <v>3.0</v>
      </c>
      <c r="S45" s="38">
        <v>19.0</v>
      </c>
      <c r="T45" s="38">
        <v>6.0</v>
      </c>
      <c r="U45" s="48">
        <f t="shared" si="9"/>
        <v>328</v>
      </c>
      <c r="V45" s="48">
        <f t="shared" si="10"/>
        <v>353</v>
      </c>
      <c r="W45" s="49">
        <f t="shared" si="11"/>
        <v>0.2591463415</v>
      </c>
      <c r="X45" s="49">
        <f t="shared" si="12"/>
        <v>0.7317073171</v>
      </c>
      <c r="Y45" s="49">
        <f t="shared" si="13"/>
        <v>0.009146341463</v>
      </c>
      <c r="Z45" s="32" t="str">
        <f t="shared" si="14"/>
        <v>Milton</v>
      </c>
      <c r="AA45" s="50" t="s">
        <v>77</v>
      </c>
      <c r="AB45" s="38">
        <v>571.0</v>
      </c>
      <c r="AC45" s="48">
        <f t="shared" si="15"/>
        <v>218</v>
      </c>
      <c r="AD45" s="51">
        <f t="shared" si="16"/>
        <v>0.6182136602</v>
      </c>
    </row>
    <row r="46">
      <c r="A46" s="24"/>
      <c r="B46" s="46" t="s">
        <v>999</v>
      </c>
      <c r="C46" s="47"/>
      <c r="D46" s="38">
        <v>291.0</v>
      </c>
      <c r="E46" s="38">
        <v>104.0</v>
      </c>
      <c r="F46" s="108">
        <v>9.0</v>
      </c>
      <c r="G46" s="38">
        <v>14.0</v>
      </c>
      <c r="H46" s="38">
        <v>15.0</v>
      </c>
      <c r="I46" s="48">
        <f t="shared" si="3"/>
        <v>404</v>
      </c>
      <c r="J46" s="48">
        <f t="shared" si="4"/>
        <v>433</v>
      </c>
      <c r="K46" s="49">
        <f t="shared" si="5"/>
        <v>0.7202970297</v>
      </c>
      <c r="L46" s="49">
        <f t="shared" si="6"/>
        <v>0.2574257426</v>
      </c>
      <c r="M46" s="49">
        <f t="shared" si="7"/>
        <v>0.02227722772</v>
      </c>
      <c r="N46" s="32" t="str">
        <f t="shared" si="8"/>
        <v>Jânio</v>
      </c>
      <c r="O46" s="50" t="s">
        <v>77</v>
      </c>
      <c r="P46" s="38">
        <v>106.0</v>
      </c>
      <c r="Q46" s="38">
        <v>286.0</v>
      </c>
      <c r="R46" s="38">
        <v>7.0</v>
      </c>
      <c r="S46" s="38">
        <v>11.0</v>
      </c>
      <c r="T46" s="38">
        <v>23.0</v>
      </c>
      <c r="U46" s="48">
        <f t="shared" si="9"/>
        <v>399</v>
      </c>
      <c r="V46" s="48">
        <f t="shared" si="10"/>
        <v>433</v>
      </c>
      <c r="W46" s="49">
        <f t="shared" si="11"/>
        <v>0.2656641604</v>
      </c>
      <c r="X46" s="49">
        <f t="shared" si="12"/>
        <v>0.7167919799</v>
      </c>
      <c r="Y46" s="49">
        <f t="shared" si="13"/>
        <v>0.01754385965</v>
      </c>
      <c r="Z46" s="32" t="str">
        <f t="shared" si="14"/>
        <v>Milton</v>
      </c>
      <c r="AA46" s="50" t="s">
        <v>77</v>
      </c>
      <c r="AB46" s="38">
        <v>1013.0</v>
      </c>
      <c r="AC46" s="48">
        <f t="shared" si="15"/>
        <v>580</v>
      </c>
      <c r="AD46" s="51">
        <f t="shared" si="16"/>
        <v>0.4274432379</v>
      </c>
    </row>
    <row r="47">
      <c r="A47" s="61" t="s">
        <v>119</v>
      </c>
      <c r="B47" s="46" t="s">
        <v>1000</v>
      </c>
      <c r="C47" s="47"/>
      <c r="D47" s="38">
        <v>954.0</v>
      </c>
      <c r="E47" s="38">
        <v>1191.0</v>
      </c>
      <c r="F47" s="38">
        <v>55.0</v>
      </c>
      <c r="G47" s="38">
        <v>75.0</v>
      </c>
      <c r="H47" s="38">
        <v>49.0</v>
      </c>
      <c r="I47" s="48">
        <f t="shared" si="3"/>
        <v>2200</v>
      </c>
      <c r="J47" s="48">
        <f t="shared" si="4"/>
        <v>2324</v>
      </c>
      <c r="K47" s="49">
        <f t="shared" si="5"/>
        <v>0.4336363636</v>
      </c>
      <c r="L47" s="49">
        <f t="shared" si="6"/>
        <v>0.5413636364</v>
      </c>
      <c r="M47" s="49">
        <f t="shared" si="7"/>
        <v>0.025</v>
      </c>
      <c r="N47" s="32" t="str">
        <f t="shared" si="8"/>
        <v>Mal. Lott</v>
      </c>
      <c r="O47" s="50" t="s">
        <v>77</v>
      </c>
      <c r="P47" s="38">
        <v>1192.0</v>
      </c>
      <c r="Q47" s="38">
        <v>866.0</v>
      </c>
      <c r="R47" s="38">
        <v>131.0</v>
      </c>
      <c r="S47" s="38">
        <v>92.0</v>
      </c>
      <c r="T47" s="38">
        <v>43.0</v>
      </c>
      <c r="U47" s="48">
        <f t="shared" si="9"/>
        <v>2189</v>
      </c>
      <c r="V47" s="48">
        <f t="shared" si="10"/>
        <v>2324</v>
      </c>
      <c r="W47" s="49">
        <f t="shared" si="11"/>
        <v>0.5445408862</v>
      </c>
      <c r="X47" s="49">
        <f t="shared" si="12"/>
        <v>0.3956144358</v>
      </c>
      <c r="Y47" s="49">
        <f t="shared" si="13"/>
        <v>0.05984467794</v>
      </c>
      <c r="Z47" s="32" t="str">
        <f t="shared" si="14"/>
        <v>Jango</v>
      </c>
      <c r="AA47" s="50" t="s">
        <v>77</v>
      </c>
      <c r="AB47" s="38">
        <v>3189.0</v>
      </c>
      <c r="AC47" s="48">
        <f t="shared" si="15"/>
        <v>865</v>
      </c>
      <c r="AD47" s="51">
        <f t="shared" si="16"/>
        <v>0.7287550956</v>
      </c>
    </row>
    <row r="48">
      <c r="A48" s="23"/>
      <c r="B48" s="46" t="s">
        <v>1001</v>
      </c>
      <c r="C48" s="47"/>
      <c r="D48" s="38">
        <v>138.0</v>
      </c>
      <c r="E48" s="38">
        <v>176.0</v>
      </c>
      <c r="F48" s="38">
        <v>11.0</v>
      </c>
      <c r="G48" s="38">
        <v>5.0</v>
      </c>
      <c r="H48" s="38">
        <v>7.0</v>
      </c>
      <c r="I48" s="48">
        <f t="shared" si="3"/>
        <v>325</v>
      </c>
      <c r="J48" s="48">
        <f t="shared" si="4"/>
        <v>337</v>
      </c>
      <c r="K48" s="49">
        <f t="shared" si="5"/>
        <v>0.4246153846</v>
      </c>
      <c r="L48" s="49">
        <f t="shared" si="6"/>
        <v>0.5415384615</v>
      </c>
      <c r="M48" s="49">
        <f t="shared" si="7"/>
        <v>0.03384615385</v>
      </c>
      <c r="N48" s="32" t="str">
        <f t="shared" si="8"/>
        <v>Mal. Lott</v>
      </c>
      <c r="O48" s="50" t="s">
        <v>77</v>
      </c>
      <c r="P48" s="38">
        <v>175.0</v>
      </c>
      <c r="Q48" s="38">
        <v>133.0</v>
      </c>
      <c r="R48" s="38">
        <v>8.0</v>
      </c>
      <c r="S48" s="38">
        <v>16.0</v>
      </c>
      <c r="T48" s="38">
        <v>5.0</v>
      </c>
      <c r="U48" s="48">
        <f t="shared" si="9"/>
        <v>316</v>
      </c>
      <c r="V48" s="48">
        <f t="shared" si="10"/>
        <v>337</v>
      </c>
      <c r="W48" s="49">
        <f t="shared" si="11"/>
        <v>0.5537974684</v>
      </c>
      <c r="X48" s="49">
        <f t="shared" si="12"/>
        <v>0.4208860759</v>
      </c>
      <c r="Y48" s="49">
        <f t="shared" si="13"/>
        <v>0.0253164557</v>
      </c>
      <c r="Z48" s="32" t="str">
        <f t="shared" si="14"/>
        <v>Jango</v>
      </c>
      <c r="AA48" s="50" t="s">
        <v>77</v>
      </c>
      <c r="AB48" s="38">
        <v>398.0</v>
      </c>
      <c r="AC48" s="48">
        <f t="shared" si="15"/>
        <v>61</v>
      </c>
      <c r="AD48" s="51">
        <f t="shared" si="16"/>
        <v>0.8467336683</v>
      </c>
    </row>
    <row r="49">
      <c r="A49" s="24"/>
      <c r="B49" s="46" t="s">
        <v>1002</v>
      </c>
      <c r="C49" s="47"/>
      <c r="D49" s="38">
        <v>507.0</v>
      </c>
      <c r="E49" s="38">
        <v>382.0</v>
      </c>
      <c r="F49" s="38">
        <v>9.0</v>
      </c>
      <c r="G49" s="38">
        <v>12.0</v>
      </c>
      <c r="H49" s="38">
        <v>9.0</v>
      </c>
      <c r="I49" s="48">
        <f t="shared" si="3"/>
        <v>898</v>
      </c>
      <c r="J49" s="48">
        <f t="shared" si="4"/>
        <v>919</v>
      </c>
      <c r="K49" s="49">
        <f t="shared" si="5"/>
        <v>0.5645879733</v>
      </c>
      <c r="L49" s="49">
        <f t="shared" si="6"/>
        <v>0.425389755</v>
      </c>
      <c r="M49" s="49">
        <f t="shared" si="7"/>
        <v>0.01002227171</v>
      </c>
      <c r="N49" s="32" t="str">
        <f t="shared" si="8"/>
        <v>Jânio</v>
      </c>
      <c r="O49" s="50" t="s">
        <v>77</v>
      </c>
      <c r="P49" s="38">
        <v>370.0</v>
      </c>
      <c r="Q49" s="38">
        <v>487.0</v>
      </c>
      <c r="R49" s="38">
        <v>25.0</v>
      </c>
      <c r="S49" s="38">
        <v>29.0</v>
      </c>
      <c r="T49" s="38">
        <v>8.0</v>
      </c>
      <c r="U49" s="48">
        <f t="shared" si="9"/>
        <v>882</v>
      </c>
      <c r="V49" s="48">
        <f t="shared" si="10"/>
        <v>919</v>
      </c>
      <c r="W49" s="49">
        <f t="shared" si="11"/>
        <v>0.4195011338</v>
      </c>
      <c r="X49" s="49">
        <f t="shared" si="12"/>
        <v>0.552154195</v>
      </c>
      <c r="Y49" s="49">
        <f t="shared" si="13"/>
        <v>0.0283446712</v>
      </c>
      <c r="Z49" s="32" t="str">
        <f t="shared" si="14"/>
        <v>Milton</v>
      </c>
      <c r="AA49" s="50" t="s">
        <v>77</v>
      </c>
      <c r="AB49" s="38">
        <v>1189.0</v>
      </c>
      <c r="AC49" s="48">
        <f t="shared" si="15"/>
        <v>270</v>
      </c>
      <c r="AD49" s="51">
        <f t="shared" si="16"/>
        <v>0.7729184188</v>
      </c>
    </row>
    <row r="50">
      <c r="A50" s="45" t="s">
        <v>123</v>
      </c>
      <c r="B50" s="46" t="s">
        <v>1003</v>
      </c>
      <c r="C50" s="47"/>
      <c r="D50" s="38">
        <v>657.0</v>
      </c>
      <c r="E50" s="38">
        <v>1424.0</v>
      </c>
      <c r="F50" s="38">
        <v>47.0</v>
      </c>
      <c r="G50" s="38">
        <v>81.0</v>
      </c>
      <c r="H50" s="38">
        <v>76.0</v>
      </c>
      <c r="I50" s="48">
        <f t="shared" si="3"/>
        <v>2128</v>
      </c>
      <c r="J50" s="48">
        <f t="shared" si="4"/>
        <v>2285</v>
      </c>
      <c r="K50" s="49">
        <f t="shared" si="5"/>
        <v>0.3087406015</v>
      </c>
      <c r="L50" s="49">
        <f t="shared" si="6"/>
        <v>0.6691729323</v>
      </c>
      <c r="M50" s="49">
        <f t="shared" si="7"/>
        <v>0.02208646617</v>
      </c>
      <c r="N50" s="32" t="str">
        <f t="shared" si="8"/>
        <v>Mal. Lott</v>
      </c>
      <c r="O50" s="50" t="s">
        <v>77</v>
      </c>
      <c r="P50" s="38">
        <v>1558.0</v>
      </c>
      <c r="Q50" s="38">
        <v>465.0</v>
      </c>
      <c r="R50" s="38">
        <v>65.0</v>
      </c>
      <c r="S50" s="38">
        <v>131.0</v>
      </c>
      <c r="T50" s="38">
        <v>66.0</v>
      </c>
      <c r="U50" s="48">
        <f t="shared" si="9"/>
        <v>2088</v>
      </c>
      <c r="V50" s="48">
        <f t="shared" si="10"/>
        <v>2285</v>
      </c>
      <c r="W50" s="49">
        <f t="shared" si="11"/>
        <v>0.7461685824</v>
      </c>
      <c r="X50" s="49">
        <f t="shared" si="12"/>
        <v>0.2227011494</v>
      </c>
      <c r="Y50" s="49">
        <f t="shared" si="13"/>
        <v>0.0311302682</v>
      </c>
      <c r="Z50" s="32" t="str">
        <f t="shared" si="14"/>
        <v>Jango</v>
      </c>
      <c r="AA50" s="50" t="s">
        <v>77</v>
      </c>
      <c r="AB50" s="38">
        <v>2892.0</v>
      </c>
      <c r="AC50" s="48">
        <f t="shared" si="15"/>
        <v>607</v>
      </c>
      <c r="AD50" s="51">
        <f t="shared" si="16"/>
        <v>0.7901106501</v>
      </c>
    </row>
    <row r="51">
      <c r="A51" s="61" t="s">
        <v>125</v>
      </c>
      <c r="B51" s="46" t="s">
        <v>1004</v>
      </c>
      <c r="C51" s="47"/>
      <c r="D51" s="38">
        <v>1837.0</v>
      </c>
      <c r="E51" s="38">
        <v>1216.0</v>
      </c>
      <c r="F51" s="38">
        <v>98.0</v>
      </c>
      <c r="G51" s="38">
        <v>114.0</v>
      </c>
      <c r="H51" s="38">
        <v>80.0</v>
      </c>
      <c r="I51" s="48">
        <f t="shared" si="3"/>
        <v>3151</v>
      </c>
      <c r="J51" s="48">
        <f t="shared" si="4"/>
        <v>3345</v>
      </c>
      <c r="K51" s="49">
        <f t="shared" si="5"/>
        <v>0.5829895271</v>
      </c>
      <c r="L51" s="49">
        <f t="shared" si="6"/>
        <v>0.3859092352</v>
      </c>
      <c r="M51" s="49">
        <f t="shared" si="7"/>
        <v>0.0311012377</v>
      </c>
      <c r="N51" s="32" t="str">
        <f t="shared" si="8"/>
        <v>Jânio</v>
      </c>
      <c r="O51" s="50" t="s">
        <v>77</v>
      </c>
      <c r="P51" s="38">
        <v>1265.0</v>
      </c>
      <c r="Q51" s="38">
        <v>1783.0</v>
      </c>
      <c r="R51" s="38">
        <v>60.0</v>
      </c>
      <c r="S51" s="38">
        <v>173.0</v>
      </c>
      <c r="T51" s="38">
        <v>64.0</v>
      </c>
      <c r="U51" s="48">
        <f t="shared" si="9"/>
        <v>3108</v>
      </c>
      <c r="V51" s="48">
        <f t="shared" si="10"/>
        <v>3345</v>
      </c>
      <c r="W51" s="49">
        <f t="shared" si="11"/>
        <v>0.407014157</v>
      </c>
      <c r="X51" s="49">
        <f t="shared" si="12"/>
        <v>0.5736808237</v>
      </c>
      <c r="Y51" s="49">
        <f t="shared" si="13"/>
        <v>0.01930501931</v>
      </c>
      <c r="Z51" s="32" t="str">
        <f t="shared" si="14"/>
        <v>Milton</v>
      </c>
      <c r="AA51" s="50" t="s">
        <v>77</v>
      </c>
      <c r="AB51" s="38">
        <v>5782.0</v>
      </c>
      <c r="AC51" s="48">
        <f t="shared" si="15"/>
        <v>2437</v>
      </c>
      <c r="AD51" s="51">
        <f t="shared" si="16"/>
        <v>0.5785195434</v>
      </c>
    </row>
    <row r="52">
      <c r="A52" s="24"/>
      <c r="B52" s="46" t="s">
        <v>1005</v>
      </c>
      <c r="C52" s="47"/>
      <c r="D52" s="38">
        <v>599.0</v>
      </c>
      <c r="E52" s="38">
        <v>141.0</v>
      </c>
      <c r="F52" s="38">
        <v>18.0</v>
      </c>
      <c r="G52" s="38">
        <v>13.0</v>
      </c>
      <c r="H52" s="38">
        <v>29.0</v>
      </c>
      <c r="I52" s="48">
        <f t="shared" si="3"/>
        <v>758</v>
      </c>
      <c r="J52" s="48">
        <f t="shared" si="4"/>
        <v>800</v>
      </c>
      <c r="K52" s="49">
        <f t="shared" si="5"/>
        <v>0.790237467</v>
      </c>
      <c r="L52" s="49">
        <f t="shared" si="6"/>
        <v>0.1860158311</v>
      </c>
      <c r="M52" s="49">
        <f t="shared" si="7"/>
        <v>0.02374670185</v>
      </c>
      <c r="N52" s="32" t="str">
        <f t="shared" si="8"/>
        <v>Jânio</v>
      </c>
      <c r="O52" s="50" t="s">
        <v>77</v>
      </c>
      <c r="P52" s="38">
        <v>134.0</v>
      </c>
      <c r="Q52" s="38">
        <v>594.0</v>
      </c>
      <c r="R52" s="38">
        <v>16.0</v>
      </c>
      <c r="S52" s="38">
        <v>34.0</v>
      </c>
      <c r="T52" s="38">
        <v>22.0</v>
      </c>
      <c r="U52" s="48">
        <f t="shared" si="9"/>
        <v>744</v>
      </c>
      <c r="V52" s="48">
        <f t="shared" si="10"/>
        <v>800</v>
      </c>
      <c r="W52" s="49">
        <f t="shared" si="11"/>
        <v>0.1801075269</v>
      </c>
      <c r="X52" s="49">
        <f t="shared" si="12"/>
        <v>0.7983870968</v>
      </c>
      <c r="Y52" s="49">
        <f t="shared" si="13"/>
        <v>0.02150537634</v>
      </c>
      <c r="Z52" s="32" t="str">
        <f t="shared" si="14"/>
        <v>Milton</v>
      </c>
      <c r="AA52" s="50" t="s">
        <v>77</v>
      </c>
      <c r="AB52" s="38">
        <v>1217.0</v>
      </c>
      <c r="AC52" s="48">
        <f t="shared" si="15"/>
        <v>417</v>
      </c>
      <c r="AD52" s="51">
        <f t="shared" si="16"/>
        <v>0.6573541495</v>
      </c>
    </row>
    <row r="53">
      <c r="A53" s="45" t="s">
        <v>127</v>
      </c>
      <c r="B53" s="46" t="s">
        <v>1006</v>
      </c>
      <c r="C53" s="47"/>
      <c r="D53" s="38">
        <v>1351.0</v>
      </c>
      <c r="E53" s="38">
        <v>926.0</v>
      </c>
      <c r="F53" s="38">
        <v>55.0</v>
      </c>
      <c r="G53" s="38">
        <v>36.0</v>
      </c>
      <c r="H53" s="38">
        <v>54.0</v>
      </c>
      <c r="I53" s="48">
        <f t="shared" si="3"/>
        <v>2332</v>
      </c>
      <c r="J53" s="48">
        <f t="shared" si="4"/>
        <v>2422</v>
      </c>
      <c r="K53" s="49">
        <f t="shared" si="5"/>
        <v>0.5793310463</v>
      </c>
      <c r="L53" s="49">
        <f t="shared" si="6"/>
        <v>0.397084048</v>
      </c>
      <c r="M53" s="49">
        <f t="shared" si="7"/>
        <v>0.02358490566</v>
      </c>
      <c r="N53" s="32" t="str">
        <f t="shared" si="8"/>
        <v>Jânio</v>
      </c>
      <c r="O53" s="50" t="s">
        <v>77</v>
      </c>
      <c r="P53" s="38">
        <v>940.0</v>
      </c>
      <c r="Q53" s="38">
        <v>1335.0</v>
      </c>
      <c r="R53" s="38">
        <v>41.0</v>
      </c>
      <c r="S53" s="38">
        <v>54.0</v>
      </c>
      <c r="T53" s="38">
        <v>52.0</v>
      </c>
      <c r="U53" s="48">
        <f t="shared" si="9"/>
        <v>2316</v>
      </c>
      <c r="V53" s="48">
        <f t="shared" si="10"/>
        <v>2422</v>
      </c>
      <c r="W53" s="49">
        <f t="shared" si="11"/>
        <v>0.4058721934</v>
      </c>
      <c r="X53" s="49">
        <f t="shared" si="12"/>
        <v>0.5764248705</v>
      </c>
      <c r="Y53" s="49">
        <f t="shared" si="13"/>
        <v>0.0177029361</v>
      </c>
      <c r="Z53" s="32" t="str">
        <f t="shared" si="14"/>
        <v>Milton</v>
      </c>
      <c r="AA53" s="50" t="s">
        <v>77</v>
      </c>
      <c r="AB53" s="38">
        <v>3399.0</v>
      </c>
      <c r="AC53" s="48">
        <f t="shared" si="15"/>
        <v>977</v>
      </c>
      <c r="AD53" s="51">
        <f t="shared" si="16"/>
        <v>0.7125625184</v>
      </c>
    </row>
    <row r="54">
      <c r="A54" s="61" t="s">
        <v>129</v>
      </c>
      <c r="B54" s="46" t="s">
        <v>1007</v>
      </c>
      <c r="C54" s="47"/>
      <c r="D54" s="38">
        <v>182.0</v>
      </c>
      <c r="E54" s="38">
        <v>745.0</v>
      </c>
      <c r="F54" s="38">
        <v>25.0</v>
      </c>
      <c r="G54" s="38">
        <v>26.0</v>
      </c>
      <c r="H54" s="38">
        <v>22.0</v>
      </c>
      <c r="I54" s="48">
        <f t="shared" si="3"/>
        <v>952</v>
      </c>
      <c r="J54" s="48">
        <f t="shared" si="4"/>
        <v>1000</v>
      </c>
      <c r="K54" s="49">
        <f t="shared" si="5"/>
        <v>0.1911764706</v>
      </c>
      <c r="L54" s="49">
        <f t="shared" si="6"/>
        <v>0.7825630252</v>
      </c>
      <c r="M54" s="49">
        <f t="shared" si="7"/>
        <v>0.0262605042</v>
      </c>
      <c r="N54" s="32" t="str">
        <f t="shared" si="8"/>
        <v>Mal. Lott</v>
      </c>
      <c r="O54" s="50" t="s">
        <v>77</v>
      </c>
      <c r="P54" s="38">
        <v>746.0</v>
      </c>
      <c r="Q54" s="38">
        <v>161.0</v>
      </c>
      <c r="R54" s="38">
        <v>17.0</v>
      </c>
      <c r="S54" s="38">
        <v>56.0</v>
      </c>
      <c r="T54" s="38">
        <v>20.0</v>
      </c>
      <c r="U54" s="48">
        <f t="shared" si="9"/>
        <v>924</v>
      </c>
      <c r="V54" s="48">
        <f t="shared" si="10"/>
        <v>1000</v>
      </c>
      <c r="W54" s="49">
        <f t="shared" si="11"/>
        <v>0.8073593074</v>
      </c>
      <c r="X54" s="49">
        <f t="shared" si="12"/>
        <v>0.1742424242</v>
      </c>
      <c r="Y54" s="49">
        <f t="shared" si="13"/>
        <v>0.0183982684</v>
      </c>
      <c r="Z54" s="32" t="str">
        <f t="shared" si="14"/>
        <v>Jango</v>
      </c>
      <c r="AA54" s="50" t="s">
        <v>77</v>
      </c>
      <c r="AB54" s="38">
        <v>1389.0</v>
      </c>
      <c r="AC54" s="48">
        <f t="shared" si="15"/>
        <v>389</v>
      </c>
      <c r="AD54" s="51">
        <f t="shared" si="16"/>
        <v>0.7199424046</v>
      </c>
    </row>
    <row r="55">
      <c r="A55" s="23"/>
      <c r="B55" s="46" t="s">
        <v>1008</v>
      </c>
      <c r="C55" s="47"/>
      <c r="D55" s="38">
        <v>165.0</v>
      </c>
      <c r="E55" s="38">
        <v>143.0</v>
      </c>
      <c r="F55" s="38">
        <v>3.0</v>
      </c>
      <c r="G55" s="38">
        <v>4.0</v>
      </c>
      <c r="H55" s="38">
        <v>5.0</v>
      </c>
      <c r="I55" s="48">
        <f t="shared" si="3"/>
        <v>311</v>
      </c>
      <c r="J55" s="48">
        <f t="shared" si="4"/>
        <v>320</v>
      </c>
      <c r="K55" s="49">
        <f t="shared" si="5"/>
        <v>0.5305466238</v>
      </c>
      <c r="L55" s="49">
        <f t="shared" si="6"/>
        <v>0.459807074</v>
      </c>
      <c r="M55" s="49">
        <f t="shared" si="7"/>
        <v>0.009646302251</v>
      </c>
      <c r="N55" s="32" t="str">
        <f t="shared" si="8"/>
        <v>Jânio</v>
      </c>
      <c r="O55" s="50" t="s">
        <v>77</v>
      </c>
      <c r="P55" s="38">
        <v>142.0</v>
      </c>
      <c r="Q55" s="38">
        <v>163.0</v>
      </c>
      <c r="R55" s="38">
        <v>2.0</v>
      </c>
      <c r="S55" s="38">
        <v>11.0</v>
      </c>
      <c r="T55" s="38">
        <v>2.0</v>
      </c>
      <c r="U55" s="48">
        <f t="shared" si="9"/>
        <v>307</v>
      </c>
      <c r="V55" s="48">
        <f t="shared" si="10"/>
        <v>320</v>
      </c>
      <c r="W55" s="49">
        <f t="shared" si="11"/>
        <v>0.4625407166</v>
      </c>
      <c r="X55" s="49">
        <f t="shared" si="12"/>
        <v>0.5309446254</v>
      </c>
      <c r="Y55" s="49">
        <f t="shared" si="13"/>
        <v>0.00651465798</v>
      </c>
      <c r="Z55" s="32" t="str">
        <f t="shared" si="14"/>
        <v>Milton</v>
      </c>
      <c r="AA55" s="50" t="s">
        <v>77</v>
      </c>
      <c r="AB55" s="38">
        <v>430.0</v>
      </c>
      <c r="AC55" s="48">
        <f t="shared" si="15"/>
        <v>110</v>
      </c>
      <c r="AD55" s="51">
        <f t="shared" si="16"/>
        <v>0.7441860465</v>
      </c>
    </row>
    <row r="56">
      <c r="A56" s="23"/>
      <c r="B56" s="46" t="s">
        <v>1009</v>
      </c>
      <c r="C56" s="47"/>
      <c r="D56" s="38">
        <v>246.0</v>
      </c>
      <c r="E56" s="38">
        <v>216.0</v>
      </c>
      <c r="F56" s="38">
        <v>6.0</v>
      </c>
      <c r="G56" s="38">
        <v>17.0</v>
      </c>
      <c r="H56" s="38">
        <v>13.0</v>
      </c>
      <c r="I56" s="48">
        <f t="shared" si="3"/>
        <v>468</v>
      </c>
      <c r="J56" s="48">
        <f t="shared" si="4"/>
        <v>498</v>
      </c>
      <c r="K56" s="49">
        <f t="shared" si="5"/>
        <v>0.5256410256</v>
      </c>
      <c r="L56" s="49">
        <f t="shared" si="6"/>
        <v>0.4615384615</v>
      </c>
      <c r="M56" s="49">
        <f t="shared" si="7"/>
        <v>0.01282051282</v>
      </c>
      <c r="N56" s="32" t="str">
        <f t="shared" si="8"/>
        <v>Jânio</v>
      </c>
      <c r="O56" s="50" t="s">
        <v>77</v>
      </c>
      <c r="P56" s="38">
        <v>219.0</v>
      </c>
      <c r="Q56" s="38">
        <v>231.0</v>
      </c>
      <c r="R56" s="38">
        <v>2.0</v>
      </c>
      <c r="S56" s="38">
        <v>36.0</v>
      </c>
      <c r="T56" s="38">
        <v>10.0</v>
      </c>
      <c r="U56" s="48">
        <f t="shared" si="9"/>
        <v>452</v>
      </c>
      <c r="V56" s="48">
        <f t="shared" si="10"/>
        <v>498</v>
      </c>
      <c r="W56" s="49">
        <f t="shared" si="11"/>
        <v>0.4845132743</v>
      </c>
      <c r="X56" s="49">
        <f t="shared" si="12"/>
        <v>0.5110619469</v>
      </c>
      <c r="Y56" s="49">
        <f t="shared" si="13"/>
        <v>0.004424778761</v>
      </c>
      <c r="Z56" s="32" t="str">
        <f t="shared" si="14"/>
        <v>Milton</v>
      </c>
      <c r="AA56" s="50" t="s">
        <v>77</v>
      </c>
      <c r="AB56" s="38">
        <v>728.0</v>
      </c>
      <c r="AC56" s="48">
        <f t="shared" si="15"/>
        <v>230</v>
      </c>
      <c r="AD56" s="51">
        <f t="shared" si="16"/>
        <v>0.6840659341</v>
      </c>
    </row>
    <row r="57">
      <c r="A57" s="24"/>
      <c r="B57" s="46" t="s">
        <v>1010</v>
      </c>
      <c r="C57" s="47"/>
      <c r="D57" s="38">
        <v>151.0</v>
      </c>
      <c r="E57" s="38">
        <v>59.0</v>
      </c>
      <c r="F57" s="38">
        <v>4.0</v>
      </c>
      <c r="G57" s="38">
        <v>8.0</v>
      </c>
      <c r="H57" s="38">
        <v>5.0</v>
      </c>
      <c r="I57" s="48">
        <f t="shared" si="3"/>
        <v>214</v>
      </c>
      <c r="J57" s="48">
        <f t="shared" si="4"/>
        <v>227</v>
      </c>
      <c r="K57" s="49">
        <f t="shared" si="5"/>
        <v>0.7056074766</v>
      </c>
      <c r="L57" s="49">
        <f t="shared" si="6"/>
        <v>0.2757009346</v>
      </c>
      <c r="M57" s="49">
        <f t="shared" si="7"/>
        <v>0.01869158879</v>
      </c>
      <c r="N57" s="32" t="str">
        <f t="shared" si="8"/>
        <v>Jânio</v>
      </c>
      <c r="O57" s="50" t="s">
        <v>77</v>
      </c>
      <c r="P57" s="38">
        <v>59.0</v>
      </c>
      <c r="Q57" s="38">
        <v>150.0</v>
      </c>
      <c r="R57" s="38">
        <v>2.0</v>
      </c>
      <c r="S57" s="38">
        <v>13.0</v>
      </c>
      <c r="T57" s="38">
        <v>3.0</v>
      </c>
      <c r="U57" s="48">
        <f t="shared" si="9"/>
        <v>211</v>
      </c>
      <c r="V57" s="48">
        <f t="shared" si="10"/>
        <v>227</v>
      </c>
      <c r="W57" s="49">
        <f t="shared" si="11"/>
        <v>0.2796208531</v>
      </c>
      <c r="X57" s="49">
        <f t="shared" si="12"/>
        <v>0.7109004739</v>
      </c>
      <c r="Y57" s="49">
        <f t="shared" si="13"/>
        <v>0.009478672986</v>
      </c>
      <c r="Z57" s="32" t="str">
        <f t="shared" si="14"/>
        <v>Milton</v>
      </c>
      <c r="AA57" s="50" t="s">
        <v>77</v>
      </c>
      <c r="AB57" s="38">
        <v>306.0</v>
      </c>
      <c r="AC57" s="48">
        <f t="shared" si="15"/>
        <v>79</v>
      </c>
      <c r="AD57" s="51">
        <f t="shared" si="16"/>
        <v>0.7418300654</v>
      </c>
    </row>
    <row r="58">
      <c r="A58" s="61" t="s">
        <v>131</v>
      </c>
      <c r="B58" s="46" t="s">
        <v>1011</v>
      </c>
      <c r="C58" s="47"/>
      <c r="D58" s="38">
        <v>276.0</v>
      </c>
      <c r="E58" s="38">
        <v>1173.0</v>
      </c>
      <c r="F58" s="38">
        <v>51.0</v>
      </c>
      <c r="G58" s="38">
        <v>45.0</v>
      </c>
      <c r="H58" s="38">
        <v>50.0</v>
      </c>
      <c r="I58" s="48">
        <f t="shared" si="3"/>
        <v>1500</v>
      </c>
      <c r="J58" s="48">
        <f t="shared" si="4"/>
        <v>1595</v>
      </c>
      <c r="K58" s="49">
        <f t="shared" si="5"/>
        <v>0.184</v>
      </c>
      <c r="L58" s="49">
        <f t="shared" si="6"/>
        <v>0.782</v>
      </c>
      <c r="M58" s="49">
        <f t="shared" si="7"/>
        <v>0.034</v>
      </c>
      <c r="N58" s="32" t="str">
        <f t="shared" si="8"/>
        <v>Mal. Lott</v>
      </c>
      <c r="O58" s="50" t="s">
        <v>77</v>
      </c>
      <c r="P58" s="38">
        <v>1168.0</v>
      </c>
      <c r="Q58" s="38">
        <v>276.0</v>
      </c>
      <c r="R58" s="38">
        <v>22.0</v>
      </c>
      <c r="S58" s="38">
        <v>76.0</v>
      </c>
      <c r="T58" s="38">
        <v>53.0</v>
      </c>
      <c r="U58" s="48">
        <f t="shared" si="9"/>
        <v>1466</v>
      </c>
      <c r="V58" s="48">
        <f t="shared" si="10"/>
        <v>1595</v>
      </c>
      <c r="W58" s="49">
        <f t="shared" si="11"/>
        <v>0.7967257844</v>
      </c>
      <c r="X58" s="49">
        <f t="shared" si="12"/>
        <v>0.1882673943</v>
      </c>
      <c r="Y58" s="49">
        <f t="shared" si="13"/>
        <v>0.01500682128</v>
      </c>
      <c r="Z58" s="32" t="str">
        <f t="shared" si="14"/>
        <v>Jango</v>
      </c>
      <c r="AA58" s="50" t="s">
        <v>77</v>
      </c>
      <c r="AB58" s="38">
        <v>2222.0</v>
      </c>
      <c r="AC58" s="48">
        <f t="shared" si="15"/>
        <v>627</v>
      </c>
      <c r="AD58" s="51">
        <f t="shared" si="16"/>
        <v>0.7178217822</v>
      </c>
    </row>
    <row r="59">
      <c r="A59" s="24"/>
      <c r="B59" s="46" t="s">
        <v>1012</v>
      </c>
      <c r="C59" s="47"/>
      <c r="D59" s="38">
        <v>139.0</v>
      </c>
      <c r="E59" s="38">
        <v>881.0</v>
      </c>
      <c r="F59" s="38">
        <v>54.0</v>
      </c>
      <c r="G59" s="38">
        <v>27.0</v>
      </c>
      <c r="H59" s="38">
        <v>46.0</v>
      </c>
      <c r="I59" s="48">
        <f t="shared" si="3"/>
        <v>1074</v>
      </c>
      <c r="J59" s="48">
        <f t="shared" si="4"/>
        <v>1147</v>
      </c>
      <c r="K59" s="49">
        <f t="shared" si="5"/>
        <v>0.1294227188</v>
      </c>
      <c r="L59" s="49">
        <f t="shared" si="6"/>
        <v>0.8202979516</v>
      </c>
      <c r="M59" s="49">
        <f t="shared" si="7"/>
        <v>0.05027932961</v>
      </c>
      <c r="N59" s="32" t="str">
        <f t="shared" si="8"/>
        <v>Mal. Lott</v>
      </c>
      <c r="O59" s="50" t="s">
        <v>77</v>
      </c>
      <c r="P59" s="38">
        <v>854.0</v>
      </c>
      <c r="Q59" s="38">
        <v>121.0</v>
      </c>
      <c r="R59" s="38">
        <v>87.0</v>
      </c>
      <c r="S59" s="38">
        <v>45.0</v>
      </c>
      <c r="T59" s="38">
        <v>40.0</v>
      </c>
      <c r="U59" s="48">
        <f t="shared" si="9"/>
        <v>1062</v>
      </c>
      <c r="V59" s="48">
        <f t="shared" si="10"/>
        <v>1147</v>
      </c>
      <c r="W59" s="49">
        <f t="shared" si="11"/>
        <v>0.8041431262</v>
      </c>
      <c r="X59" s="49">
        <f t="shared" si="12"/>
        <v>0.1139359699</v>
      </c>
      <c r="Y59" s="49">
        <f t="shared" si="13"/>
        <v>0.08192090395</v>
      </c>
      <c r="Z59" s="32" t="str">
        <f t="shared" si="14"/>
        <v>Jango</v>
      </c>
      <c r="AA59" s="50" t="s">
        <v>77</v>
      </c>
      <c r="AB59" s="38">
        <v>2265.0</v>
      </c>
      <c r="AC59" s="48">
        <f t="shared" si="15"/>
        <v>1118</v>
      </c>
      <c r="AD59" s="51">
        <f t="shared" si="16"/>
        <v>0.506401766</v>
      </c>
    </row>
    <row r="60">
      <c r="A60" s="61" t="s">
        <v>133</v>
      </c>
      <c r="B60" s="46" t="s">
        <v>1013</v>
      </c>
      <c r="C60" s="47"/>
      <c r="D60" s="38">
        <v>777.0</v>
      </c>
      <c r="E60" s="38">
        <v>354.0</v>
      </c>
      <c r="F60" s="48">
        <v>30.0</v>
      </c>
      <c r="G60" s="38">
        <v>34.0</v>
      </c>
      <c r="H60" s="38">
        <v>43.0</v>
      </c>
      <c r="I60" s="48">
        <f t="shared" si="3"/>
        <v>1161</v>
      </c>
      <c r="J60" s="48">
        <f t="shared" si="4"/>
        <v>1238</v>
      </c>
      <c r="K60" s="49">
        <f t="shared" si="5"/>
        <v>0.669250646</v>
      </c>
      <c r="L60" s="49">
        <f t="shared" si="6"/>
        <v>0.3049095607</v>
      </c>
      <c r="M60" s="49">
        <f t="shared" si="7"/>
        <v>0.02583979328</v>
      </c>
      <c r="N60" s="32" t="str">
        <f t="shared" si="8"/>
        <v>Jânio</v>
      </c>
      <c r="O60" s="50" t="s">
        <v>77</v>
      </c>
      <c r="P60" s="38">
        <v>360.0</v>
      </c>
      <c r="Q60" s="38">
        <v>752.0</v>
      </c>
      <c r="R60" s="38">
        <v>43.0</v>
      </c>
      <c r="S60" s="38">
        <v>50.0</v>
      </c>
      <c r="T60" s="38">
        <v>33.0</v>
      </c>
      <c r="U60" s="48">
        <f t="shared" si="9"/>
        <v>1155</v>
      </c>
      <c r="V60" s="48">
        <f t="shared" si="10"/>
        <v>1238</v>
      </c>
      <c r="W60" s="49">
        <f t="shared" si="11"/>
        <v>0.3116883117</v>
      </c>
      <c r="X60" s="49">
        <f t="shared" si="12"/>
        <v>0.6510822511</v>
      </c>
      <c r="Y60" s="49">
        <f t="shared" si="13"/>
        <v>0.03722943723</v>
      </c>
      <c r="Z60" s="32" t="str">
        <f t="shared" si="14"/>
        <v>Milton</v>
      </c>
      <c r="AA60" s="50" t="s">
        <v>77</v>
      </c>
      <c r="AB60" s="38">
        <v>1778.0</v>
      </c>
      <c r="AC60" s="48">
        <f t="shared" si="15"/>
        <v>540</v>
      </c>
      <c r="AD60" s="51">
        <f t="shared" si="16"/>
        <v>0.696287964</v>
      </c>
    </row>
    <row r="61">
      <c r="A61" s="24"/>
      <c r="B61" s="46" t="s">
        <v>1014</v>
      </c>
      <c r="C61" s="47"/>
      <c r="D61" s="38">
        <v>234.0</v>
      </c>
      <c r="E61" s="38">
        <v>126.0</v>
      </c>
      <c r="F61" s="108">
        <v>20.0</v>
      </c>
      <c r="G61" s="38">
        <v>22.0</v>
      </c>
      <c r="H61" s="38">
        <v>14.0</v>
      </c>
      <c r="I61" s="48">
        <f t="shared" si="3"/>
        <v>380</v>
      </c>
      <c r="J61" s="48">
        <f t="shared" si="4"/>
        <v>416</v>
      </c>
      <c r="K61" s="49">
        <f t="shared" si="5"/>
        <v>0.6157894737</v>
      </c>
      <c r="L61" s="49">
        <f t="shared" si="6"/>
        <v>0.3315789474</v>
      </c>
      <c r="M61" s="49">
        <f t="shared" si="7"/>
        <v>0.05263157895</v>
      </c>
      <c r="N61" s="32" t="str">
        <f t="shared" si="8"/>
        <v>Jânio</v>
      </c>
      <c r="O61" s="50" t="s">
        <v>77</v>
      </c>
      <c r="P61" s="38">
        <v>129.0</v>
      </c>
      <c r="Q61" s="38">
        <v>211.0</v>
      </c>
      <c r="R61" s="38">
        <v>13.0</v>
      </c>
      <c r="S61" s="38">
        <v>53.0</v>
      </c>
      <c r="T61" s="38">
        <v>10.0</v>
      </c>
      <c r="U61" s="48">
        <f t="shared" si="9"/>
        <v>353</v>
      </c>
      <c r="V61" s="48">
        <f t="shared" si="10"/>
        <v>416</v>
      </c>
      <c r="W61" s="49">
        <f t="shared" si="11"/>
        <v>0.3654390935</v>
      </c>
      <c r="X61" s="49">
        <f t="shared" si="12"/>
        <v>0.597733711</v>
      </c>
      <c r="Y61" s="49">
        <f t="shared" si="13"/>
        <v>0.03682719547</v>
      </c>
      <c r="Z61" s="32" t="str">
        <f t="shared" si="14"/>
        <v>Milton</v>
      </c>
      <c r="AA61" s="50" t="s">
        <v>77</v>
      </c>
      <c r="AB61" s="38">
        <v>627.0</v>
      </c>
      <c r="AC61" s="48">
        <f t="shared" si="15"/>
        <v>211</v>
      </c>
      <c r="AD61" s="51">
        <f t="shared" si="16"/>
        <v>0.663476874</v>
      </c>
    </row>
    <row r="62">
      <c r="A62" s="61" t="s">
        <v>135</v>
      </c>
      <c r="B62" s="46" t="s">
        <v>1015</v>
      </c>
      <c r="C62" s="47"/>
      <c r="D62" s="38">
        <v>1144.0</v>
      </c>
      <c r="E62" s="38">
        <v>443.0</v>
      </c>
      <c r="F62" s="108">
        <v>41.0</v>
      </c>
      <c r="G62" s="38">
        <v>35.0</v>
      </c>
      <c r="H62" s="38">
        <v>71.0</v>
      </c>
      <c r="I62" s="48">
        <f t="shared" si="3"/>
        <v>1628</v>
      </c>
      <c r="J62" s="48">
        <f t="shared" si="4"/>
        <v>1734</v>
      </c>
      <c r="K62" s="49">
        <f t="shared" si="5"/>
        <v>0.7027027027</v>
      </c>
      <c r="L62" s="49">
        <f t="shared" si="6"/>
        <v>0.2721130221</v>
      </c>
      <c r="M62" s="49">
        <f t="shared" si="7"/>
        <v>0.02518427518</v>
      </c>
      <c r="N62" s="32" t="str">
        <f t="shared" si="8"/>
        <v>Jânio</v>
      </c>
      <c r="O62" s="50" t="s">
        <v>77</v>
      </c>
      <c r="P62" s="38">
        <v>458.0</v>
      </c>
      <c r="Q62" s="38">
        <v>1118.0</v>
      </c>
      <c r="R62" s="38">
        <v>42.0</v>
      </c>
      <c r="S62" s="38">
        <v>74.0</v>
      </c>
      <c r="T62" s="38">
        <v>42.0</v>
      </c>
      <c r="U62" s="48">
        <f t="shared" si="9"/>
        <v>1618</v>
      </c>
      <c r="V62" s="48">
        <f t="shared" si="10"/>
        <v>1734</v>
      </c>
      <c r="W62" s="49">
        <f t="shared" si="11"/>
        <v>0.283065513</v>
      </c>
      <c r="X62" s="49">
        <f t="shared" si="12"/>
        <v>0.6909765142</v>
      </c>
      <c r="Y62" s="49">
        <f t="shared" si="13"/>
        <v>0.02595797281</v>
      </c>
      <c r="Z62" s="32" t="str">
        <f t="shared" si="14"/>
        <v>Milton</v>
      </c>
      <c r="AA62" s="50" t="s">
        <v>77</v>
      </c>
      <c r="AB62" s="38">
        <v>2642.0</v>
      </c>
      <c r="AC62" s="48">
        <f t="shared" si="15"/>
        <v>908</v>
      </c>
      <c r="AD62" s="51">
        <f t="shared" si="16"/>
        <v>0.656320969</v>
      </c>
    </row>
    <row r="63">
      <c r="A63" s="23"/>
      <c r="B63" s="46" t="s">
        <v>1016</v>
      </c>
      <c r="C63" s="47"/>
      <c r="D63" s="38">
        <v>696.0</v>
      </c>
      <c r="E63" s="38">
        <v>195.0</v>
      </c>
      <c r="F63" s="108">
        <v>13.0</v>
      </c>
      <c r="G63" s="38">
        <v>11.0</v>
      </c>
      <c r="H63" s="38">
        <v>13.0</v>
      </c>
      <c r="I63" s="48">
        <f t="shared" si="3"/>
        <v>904</v>
      </c>
      <c r="J63" s="48">
        <f t="shared" si="4"/>
        <v>928</v>
      </c>
      <c r="K63" s="49">
        <f t="shared" si="5"/>
        <v>0.7699115044</v>
      </c>
      <c r="L63" s="49">
        <f t="shared" si="6"/>
        <v>0.2157079646</v>
      </c>
      <c r="M63" s="49">
        <f t="shared" si="7"/>
        <v>0.01438053097</v>
      </c>
      <c r="N63" s="32" t="str">
        <f t="shared" si="8"/>
        <v>Jânio</v>
      </c>
      <c r="O63" s="50" t="s">
        <v>77</v>
      </c>
      <c r="P63" s="38">
        <v>193.0</v>
      </c>
      <c r="Q63" s="38">
        <v>686.0</v>
      </c>
      <c r="R63" s="38">
        <v>14.0</v>
      </c>
      <c r="S63" s="38">
        <v>25.0</v>
      </c>
      <c r="T63" s="38">
        <v>10.0</v>
      </c>
      <c r="U63" s="48">
        <f t="shared" si="9"/>
        <v>893</v>
      </c>
      <c r="V63" s="48">
        <f t="shared" si="10"/>
        <v>928</v>
      </c>
      <c r="W63" s="49">
        <f t="shared" si="11"/>
        <v>0.2161254199</v>
      </c>
      <c r="X63" s="49">
        <f t="shared" si="12"/>
        <v>0.7681970885</v>
      </c>
      <c r="Y63" s="49">
        <f t="shared" si="13"/>
        <v>0.0156774916</v>
      </c>
      <c r="Z63" s="32" t="str">
        <f t="shared" si="14"/>
        <v>Milton</v>
      </c>
      <c r="AA63" s="50" t="s">
        <v>77</v>
      </c>
      <c r="AB63" s="38">
        <v>1380.0</v>
      </c>
      <c r="AC63" s="48">
        <f t="shared" si="15"/>
        <v>452</v>
      </c>
      <c r="AD63" s="51">
        <f t="shared" si="16"/>
        <v>0.6724637681</v>
      </c>
    </row>
    <row r="64">
      <c r="A64" s="24"/>
      <c r="B64" s="46" t="s">
        <v>1017</v>
      </c>
      <c r="C64" s="47"/>
      <c r="D64" s="38">
        <v>331.0</v>
      </c>
      <c r="E64" s="38">
        <v>129.0</v>
      </c>
      <c r="F64" s="108">
        <v>15.0</v>
      </c>
      <c r="G64" s="38">
        <v>9.0</v>
      </c>
      <c r="H64" s="38">
        <v>14.0</v>
      </c>
      <c r="I64" s="48">
        <f t="shared" si="3"/>
        <v>475</v>
      </c>
      <c r="J64" s="48">
        <f t="shared" si="4"/>
        <v>498</v>
      </c>
      <c r="K64" s="49">
        <f t="shared" si="5"/>
        <v>0.6968421053</v>
      </c>
      <c r="L64" s="49">
        <f t="shared" si="6"/>
        <v>0.2715789474</v>
      </c>
      <c r="M64" s="49">
        <f t="shared" si="7"/>
        <v>0.03157894737</v>
      </c>
      <c r="N64" s="32" t="str">
        <f t="shared" si="8"/>
        <v>Jânio</v>
      </c>
      <c r="O64" s="50" t="s">
        <v>77</v>
      </c>
      <c r="P64" s="38">
        <v>133.0</v>
      </c>
      <c r="Q64" s="38">
        <v>322.0</v>
      </c>
      <c r="R64" s="38">
        <v>13.0</v>
      </c>
      <c r="S64" s="38">
        <v>24.0</v>
      </c>
      <c r="T64" s="38">
        <v>6.0</v>
      </c>
      <c r="U64" s="48">
        <f t="shared" si="9"/>
        <v>468</v>
      </c>
      <c r="V64" s="48">
        <f t="shared" si="10"/>
        <v>498</v>
      </c>
      <c r="W64" s="49">
        <f t="shared" si="11"/>
        <v>0.2841880342</v>
      </c>
      <c r="X64" s="49">
        <f t="shared" si="12"/>
        <v>0.688034188</v>
      </c>
      <c r="Y64" s="49">
        <f t="shared" si="13"/>
        <v>0.02777777778</v>
      </c>
      <c r="Z64" s="32" t="str">
        <f t="shared" si="14"/>
        <v>Milton</v>
      </c>
      <c r="AA64" s="50" t="s">
        <v>77</v>
      </c>
      <c r="AB64" s="38">
        <v>651.0</v>
      </c>
      <c r="AC64" s="48">
        <f t="shared" si="15"/>
        <v>153</v>
      </c>
      <c r="AD64" s="51">
        <f t="shared" si="16"/>
        <v>0.7649769585</v>
      </c>
    </row>
    <row r="65">
      <c r="A65" s="45" t="s">
        <v>193</v>
      </c>
      <c r="B65" s="46" t="s">
        <v>1018</v>
      </c>
      <c r="C65" s="47"/>
      <c r="D65" s="38">
        <v>1068.0</v>
      </c>
      <c r="E65" s="38">
        <v>975.0</v>
      </c>
      <c r="F65" s="108">
        <v>67.0</v>
      </c>
      <c r="G65" s="38">
        <v>34.0</v>
      </c>
      <c r="H65" s="38">
        <v>88.0</v>
      </c>
      <c r="I65" s="48">
        <f t="shared" si="3"/>
        <v>2110</v>
      </c>
      <c r="J65" s="48">
        <f t="shared" si="4"/>
        <v>2232</v>
      </c>
      <c r="K65" s="49">
        <f t="shared" si="5"/>
        <v>0.5061611374</v>
      </c>
      <c r="L65" s="49">
        <f t="shared" si="6"/>
        <v>0.4620853081</v>
      </c>
      <c r="M65" s="49">
        <f t="shared" si="7"/>
        <v>0.0317535545</v>
      </c>
      <c r="N65" s="32" t="str">
        <f t="shared" si="8"/>
        <v>Jânio</v>
      </c>
      <c r="O65" s="50" t="s">
        <v>77</v>
      </c>
      <c r="P65" s="38">
        <v>1002.0</v>
      </c>
      <c r="Q65" s="38">
        <v>1041.0</v>
      </c>
      <c r="R65" s="38">
        <v>52.0</v>
      </c>
      <c r="S65" s="38">
        <v>59.0</v>
      </c>
      <c r="T65" s="38">
        <v>78.0</v>
      </c>
      <c r="U65" s="48">
        <f t="shared" si="9"/>
        <v>2095</v>
      </c>
      <c r="V65" s="48">
        <f t="shared" si="10"/>
        <v>2232</v>
      </c>
      <c r="W65" s="49">
        <f t="shared" si="11"/>
        <v>0.4782816229</v>
      </c>
      <c r="X65" s="49">
        <f t="shared" si="12"/>
        <v>0.4968973747</v>
      </c>
      <c r="Y65" s="49">
        <f t="shared" si="13"/>
        <v>0.02482100239</v>
      </c>
      <c r="Z65" s="32" t="str">
        <f t="shared" si="14"/>
        <v>Milton</v>
      </c>
      <c r="AA65" s="50" t="s">
        <v>77</v>
      </c>
      <c r="AB65" s="38">
        <v>3570.0</v>
      </c>
      <c r="AC65" s="48">
        <f t="shared" si="15"/>
        <v>1338</v>
      </c>
      <c r="AD65" s="51">
        <f t="shared" si="16"/>
        <v>0.625210084</v>
      </c>
    </row>
    <row r="66">
      <c r="A66" s="61" t="s">
        <v>196</v>
      </c>
      <c r="B66" s="46" t="s">
        <v>1019</v>
      </c>
      <c r="C66" s="47"/>
      <c r="D66" s="38">
        <v>335.0</v>
      </c>
      <c r="E66" s="38">
        <v>178.0</v>
      </c>
      <c r="F66" s="38">
        <v>35.0</v>
      </c>
      <c r="G66" s="38">
        <v>29.0</v>
      </c>
      <c r="H66" s="38">
        <v>18.0</v>
      </c>
      <c r="I66" s="48">
        <f t="shared" si="3"/>
        <v>548</v>
      </c>
      <c r="J66" s="48">
        <f t="shared" si="4"/>
        <v>595</v>
      </c>
      <c r="K66" s="49">
        <f t="shared" si="5"/>
        <v>0.6113138686</v>
      </c>
      <c r="L66" s="49">
        <f t="shared" si="6"/>
        <v>0.3248175182</v>
      </c>
      <c r="M66" s="49">
        <f t="shared" si="7"/>
        <v>0.06386861314</v>
      </c>
      <c r="N66" s="32" t="str">
        <f t="shared" si="8"/>
        <v>Jânio</v>
      </c>
      <c r="O66" s="50" t="s">
        <v>77</v>
      </c>
      <c r="P66" s="38">
        <v>187.0</v>
      </c>
      <c r="Q66" s="38">
        <v>330.0</v>
      </c>
      <c r="R66" s="38">
        <v>24.0</v>
      </c>
      <c r="S66" s="38">
        <v>43.0</v>
      </c>
      <c r="T66" s="38">
        <v>11.0</v>
      </c>
      <c r="U66" s="48">
        <f t="shared" si="9"/>
        <v>541</v>
      </c>
      <c r="V66" s="48">
        <f t="shared" si="10"/>
        <v>595</v>
      </c>
      <c r="W66" s="49">
        <f t="shared" si="11"/>
        <v>0.3456561922</v>
      </c>
      <c r="X66" s="49">
        <f t="shared" si="12"/>
        <v>0.6099815157</v>
      </c>
      <c r="Y66" s="49">
        <f t="shared" si="13"/>
        <v>0.04436229205</v>
      </c>
      <c r="Z66" s="32" t="str">
        <f t="shared" si="14"/>
        <v>Milton</v>
      </c>
      <c r="AA66" s="50" t="s">
        <v>77</v>
      </c>
      <c r="AB66" s="38">
        <v>1089.0</v>
      </c>
      <c r="AC66" s="48">
        <f t="shared" si="15"/>
        <v>494</v>
      </c>
      <c r="AD66" s="51">
        <f t="shared" si="16"/>
        <v>0.5463728191</v>
      </c>
    </row>
    <row r="67">
      <c r="A67" s="23"/>
      <c r="B67" s="46" t="s">
        <v>1020</v>
      </c>
      <c r="C67" s="47"/>
      <c r="D67" s="38">
        <v>386.0</v>
      </c>
      <c r="E67" s="38">
        <v>81.0</v>
      </c>
      <c r="F67" s="38">
        <v>17.0</v>
      </c>
      <c r="G67" s="38">
        <v>20.0</v>
      </c>
      <c r="H67" s="38">
        <v>19.0</v>
      </c>
      <c r="I67" s="48">
        <f t="shared" si="3"/>
        <v>484</v>
      </c>
      <c r="J67" s="48">
        <f t="shared" si="4"/>
        <v>523</v>
      </c>
      <c r="K67" s="49">
        <f t="shared" si="5"/>
        <v>0.7975206612</v>
      </c>
      <c r="L67" s="49">
        <f t="shared" si="6"/>
        <v>0.1673553719</v>
      </c>
      <c r="M67" s="49">
        <f t="shared" si="7"/>
        <v>0.03512396694</v>
      </c>
      <c r="N67" s="32" t="str">
        <f t="shared" si="8"/>
        <v>Jânio</v>
      </c>
      <c r="O67" s="50" t="s">
        <v>77</v>
      </c>
      <c r="P67" s="38">
        <v>94.0</v>
      </c>
      <c r="Q67" s="38">
        <v>374.0</v>
      </c>
      <c r="R67" s="38">
        <v>7.0</v>
      </c>
      <c r="S67" s="38">
        <v>37.0</v>
      </c>
      <c r="T67" s="38">
        <v>11.0</v>
      </c>
      <c r="U67" s="48">
        <f t="shared" si="9"/>
        <v>475</v>
      </c>
      <c r="V67" s="48">
        <f t="shared" si="10"/>
        <v>523</v>
      </c>
      <c r="W67" s="49">
        <f t="shared" si="11"/>
        <v>0.1978947368</v>
      </c>
      <c r="X67" s="49">
        <f t="shared" si="12"/>
        <v>0.7873684211</v>
      </c>
      <c r="Y67" s="49">
        <f t="shared" si="13"/>
        <v>0.01473684211</v>
      </c>
      <c r="Z67" s="32" t="str">
        <f t="shared" si="14"/>
        <v>Milton</v>
      </c>
      <c r="AA67" s="50" t="s">
        <v>77</v>
      </c>
      <c r="AB67" s="38">
        <v>951.0</v>
      </c>
      <c r="AC67" s="48">
        <f t="shared" si="15"/>
        <v>428</v>
      </c>
      <c r="AD67" s="51">
        <f t="shared" si="16"/>
        <v>0.5499474238</v>
      </c>
    </row>
    <row r="68">
      <c r="A68" s="24"/>
      <c r="B68" s="46" t="s">
        <v>1021</v>
      </c>
      <c r="C68" s="47"/>
      <c r="D68" s="38">
        <v>272.0</v>
      </c>
      <c r="E68" s="38">
        <v>127.0</v>
      </c>
      <c r="F68" s="38">
        <v>3.0</v>
      </c>
      <c r="G68" s="38">
        <v>8.0</v>
      </c>
      <c r="H68" s="38">
        <v>17.0</v>
      </c>
      <c r="I68" s="48">
        <f t="shared" si="3"/>
        <v>402</v>
      </c>
      <c r="J68" s="48">
        <f t="shared" si="4"/>
        <v>427</v>
      </c>
      <c r="K68" s="49">
        <f t="shared" si="5"/>
        <v>0.6766169154</v>
      </c>
      <c r="L68" s="49">
        <f t="shared" si="6"/>
        <v>0.315920398</v>
      </c>
      <c r="M68" s="49">
        <f t="shared" si="7"/>
        <v>0.007462686567</v>
      </c>
      <c r="N68" s="32" t="str">
        <f t="shared" si="8"/>
        <v>Jânio</v>
      </c>
      <c r="O68" s="50" t="s">
        <v>77</v>
      </c>
      <c r="P68" s="38">
        <v>123.0</v>
      </c>
      <c r="Q68" s="38">
        <v>254.0</v>
      </c>
      <c r="R68" s="38">
        <v>9.0</v>
      </c>
      <c r="S68" s="38">
        <v>26.0</v>
      </c>
      <c r="T68" s="38">
        <v>15.0</v>
      </c>
      <c r="U68" s="48">
        <f t="shared" si="9"/>
        <v>386</v>
      </c>
      <c r="V68" s="48">
        <f t="shared" si="10"/>
        <v>427</v>
      </c>
      <c r="W68" s="49">
        <f t="shared" si="11"/>
        <v>0.3186528497</v>
      </c>
      <c r="X68" s="49">
        <f t="shared" si="12"/>
        <v>0.6580310881</v>
      </c>
      <c r="Y68" s="49">
        <f t="shared" si="13"/>
        <v>0.02331606218</v>
      </c>
      <c r="Z68" s="32" t="str">
        <f t="shared" si="14"/>
        <v>Milton</v>
      </c>
      <c r="AA68" s="50" t="s">
        <v>77</v>
      </c>
      <c r="AB68" s="38">
        <v>663.0</v>
      </c>
      <c r="AC68" s="48">
        <f t="shared" si="15"/>
        <v>236</v>
      </c>
      <c r="AD68" s="51">
        <f t="shared" si="16"/>
        <v>0.6440422323</v>
      </c>
    </row>
    <row r="69">
      <c r="A69" s="61" t="s">
        <v>198</v>
      </c>
      <c r="B69" s="46" t="s">
        <v>1022</v>
      </c>
      <c r="C69" s="47"/>
      <c r="D69" s="38">
        <v>422.0</v>
      </c>
      <c r="E69" s="38">
        <v>308.0</v>
      </c>
      <c r="F69" s="38">
        <v>14.0</v>
      </c>
      <c r="G69" s="38">
        <v>49.0</v>
      </c>
      <c r="H69" s="38">
        <v>25.0</v>
      </c>
      <c r="I69" s="48">
        <f t="shared" si="3"/>
        <v>744</v>
      </c>
      <c r="J69" s="48">
        <f t="shared" si="4"/>
        <v>818</v>
      </c>
      <c r="K69" s="49">
        <f t="shared" si="5"/>
        <v>0.5672043011</v>
      </c>
      <c r="L69" s="49">
        <f t="shared" si="6"/>
        <v>0.4139784946</v>
      </c>
      <c r="M69" s="49">
        <f t="shared" si="7"/>
        <v>0.0188172043</v>
      </c>
      <c r="N69" s="32" t="str">
        <f t="shared" si="8"/>
        <v>Jânio</v>
      </c>
      <c r="O69" s="50" t="s">
        <v>77</v>
      </c>
      <c r="P69" s="38">
        <v>319.0</v>
      </c>
      <c r="Q69" s="38">
        <v>385.0</v>
      </c>
      <c r="R69" s="38">
        <v>26.0</v>
      </c>
      <c r="S69" s="38">
        <v>59.0</v>
      </c>
      <c r="T69" s="38">
        <v>29.0</v>
      </c>
      <c r="U69" s="48">
        <f t="shared" si="9"/>
        <v>730</v>
      </c>
      <c r="V69" s="48">
        <f t="shared" si="10"/>
        <v>818</v>
      </c>
      <c r="W69" s="49">
        <f t="shared" si="11"/>
        <v>0.4369863014</v>
      </c>
      <c r="X69" s="49">
        <f t="shared" si="12"/>
        <v>0.5273972603</v>
      </c>
      <c r="Y69" s="49">
        <f t="shared" si="13"/>
        <v>0.03561643836</v>
      </c>
      <c r="Z69" s="32" t="str">
        <f t="shared" si="14"/>
        <v>Milton</v>
      </c>
      <c r="AA69" s="50" t="s">
        <v>77</v>
      </c>
      <c r="AB69" s="38">
        <v>1563.0</v>
      </c>
      <c r="AC69" s="48">
        <f t="shared" si="15"/>
        <v>745</v>
      </c>
      <c r="AD69" s="51">
        <f t="shared" si="16"/>
        <v>0.5233525272</v>
      </c>
    </row>
    <row r="70">
      <c r="A70" s="23"/>
      <c r="B70" s="46" t="s">
        <v>1023</v>
      </c>
      <c r="C70" s="47"/>
      <c r="D70" s="38">
        <v>243.0</v>
      </c>
      <c r="E70" s="38">
        <v>17.0</v>
      </c>
      <c r="F70" s="38">
        <v>4.0</v>
      </c>
      <c r="G70" s="38">
        <v>7.0</v>
      </c>
      <c r="H70" s="38">
        <v>4.0</v>
      </c>
      <c r="I70" s="48">
        <f t="shared" si="3"/>
        <v>264</v>
      </c>
      <c r="J70" s="48">
        <f t="shared" si="4"/>
        <v>275</v>
      </c>
      <c r="K70" s="49">
        <f t="shared" si="5"/>
        <v>0.9204545455</v>
      </c>
      <c r="L70" s="49">
        <f t="shared" si="6"/>
        <v>0.06439393939</v>
      </c>
      <c r="M70" s="49">
        <f t="shared" si="7"/>
        <v>0.01515151515</v>
      </c>
      <c r="N70" s="32" t="str">
        <f t="shared" si="8"/>
        <v>Jânio</v>
      </c>
      <c r="O70" s="50" t="s">
        <v>77</v>
      </c>
      <c r="P70" s="38">
        <v>15.0</v>
      </c>
      <c r="Q70" s="38">
        <v>246.0</v>
      </c>
      <c r="R70" s="38">
        <v>3.0</v>
      </c>
      <c r="S70" s="38">
        <v>8.0</v>
      </c>
      <c r="T70" s="38">
        <v>3.0</v>
      </c>
      <c r="U70" s="48">
        <f t="shared" si="9"/>
        <v>264</v>
      </c>
      <c r="V70" s="48">
        <f t="shared" si="10"/>
        <v>275</v>
      </c>
      <c r="W70" s="49">
        <f t="shared" si="11"/>
        <v>0.05681818182</v>
      </c>
      <c r="X70" s="49">
        <f t="shared" si="12"/>
        <v>0.9318181818</v>
      </c>
      <c r="Y70" s="49">
        <f t="shared" si="13"/>
        <v>0.01136363636</v>
      </c>
      <c r="Z70" s="32" t="str">
        <f t="shared" si="14"/>
        <v>Milton</v>
      </c>
      <c r="AA70" s="50" t="s">
        <v>77</v>
      </c>
      <c r="AB70" s="55" t="s">
        <v>1024</v>
      </c>
      <c r="AC70" s="45" t="s">
        <v>1025</v>
      </c>
      <c r="AD70" s="45" t="s">
        <v>1025</v>
      </c>
    </row>
    <row r="71">
      <c r="A71" s="24"/>
      <c r="B71" s="46" t="s">
        <v>1026</v>
      </c>
      <c r="C71" s="47"/>
      <c r="D71" s="38">
        <v>63.0</v>
      </c>
      <c r="E71" s="38">
        <v>60.0</v>
      </c>
      <c r="F71" s="38">
        <v>6.0</v>
      </c>
      <c r="G71" s="38">
        <v>3.0</v>
      </c>
      <c r="H71" s="38">
        <v>9.0</v>
      </c>
      <c r="I71" s="48">
        <f t="shared" si="3"/>
        <v>129</v>
      </c>
      <c r="J71" s="48">
        <f t="shared" si="4"/>
        <v>141</v>
      </c>
      <c r="K71" s="49">
        <f t="shared" si="5"/>
        <v>0.488372093</v>
      </c>
      <c r="L71" s="49">
        <f t="shared" si="6"/>
        <v>0.4651162791</v>
      </c>
      <c r="M71" s="49">
        <f t="shared" si="7"/>
        <v>0.04651162791</v>
      </c>
      <c r="N71" s="32" t="str">
        <f t="shared" si="8"/>
        <v>Jânio</v>
      </c>
      <c r="O71" s="50" t="s">
        <v>77</v>
      </c>
      <c r="P71" s="38">
        <v>55.0</v>
      </c>
      <c r="Q71" s="38">
        <v>57.0</v>
      </c>
      <c r="R71" s="38">
        <v>7.0</v>
      </c>
      <c r="S71" s="38">
        <v>17.0</v>
      </c>
      <c r="T71" s="38">
        <v>5.0</v>
      </c>
      <c r="U71" s="48">
        <f t="shared" si="9"/>
        <v>119</v>
      </c>
      <c r="V71" s="48">
        <f t="shared" si="10"/>
        <v>141</v>
      </c>
      <c r="W71" s="49">
        <f t="shared" si="11"/>
        <v>0.4621848739</v>
      </c>
      <c r="X71" s="49">
        <f t="shared" si="12"/>
        <v>0.4789915966</v>
      </c>
      <c r="Y71" s="49">
        <f t="shared" si="13"/>
        <v>0.05882352941</v>
      </c>
      <c r="Z71" s="32" t="str">
        <f t="shared" si="14"/>
        <v>Milton</v>
      </c>
      <c r="AA71" s="50" t="s">
        <v>77</v>
      </c>
      <c r="AB71" s="38">
        <v>586.0</v>
      </c>
      <c r="AC71" s="48">
        <f t="shared" ref="AC71:AC76" si="17">AB71-V71</f>
        <v>445</v>
      </c>
      <c r="AD71" s="51">
        <f t="shared" ref="AD71:AD76" si="18">V71/AB71</f>
        <v>0.2406143345</v>
      </c>
    </row>
    <row r="72">
      <c r="A72" s="61" t="s">
        <v>202</v>
      </c>
      <c r="B72" s="46" t="s">
        <v>1027</v>
      </c>
      <c r="C72" s="47"/>
      <c r="D72" s="38">
        <v>727.0</v>
      </c>
      <c r="E72" s="38">
        <v>409.0</v>
      </c>
      <c r="F72" s="38">
        <v>21.0</v>
      </c>
      <c r="G72" s="38">
        <v>33.0</v>
      </c>
      <c r="H72" s="38">
        <v>30.0</v>
      </c>
      <c r="I72" s="48">
        <f t="shared" si="3"/>
        <v>1157</v>
      </c>
      <c r="J72" s="48">
        <f t="shared" si="4"/>
        <v>1220</v>
      </c>
      <c r="K72" s="49">
        <f t="shared" si="5"/>
        <v>0.6283491789</v>
      </c>
      <c r="L72" s="49">
        <f t="shared" si="6"/>
        <v>0.3535004322</v>
      </c>
      <c r="M72" s="49">
        <f t="shared" si="7"/>
        <v>0.01815038894</v>
      </c>
      <c r="N72" s="32" t="str">
        <f t="shared" si="8"/>
        <v>Jânio</v>
      </c>
      <c r="O72" s="50" t="s">
        <v>77</v>
      </c>
      <c r="P72" s="38">
        <v>419.0</v>
      </c>
      <c r="Q72" s="38">
        <v>691.0</v>
      </c>
      <c r="R72" s="38">
        <v>25.0</v>
      </c>
      <c r="S72" s="38">
        <v>53.0</v>
      </c>
      <c r="T72" s="38">
        <v>32.0</v>
      </c>
      <c r="U72" s="48">
        <f t="shared" si="9"/>
        <v>1135</v>
      </c>
      <c r="V72" s="48">
        <f t="shared" si="10"/>
        <v>1220</v>
      </c>
      <c r="W72" s="49">
        <f t="shared" si="11"/>
        <v>0.3691629956</v>
      </c>
      <c r="X72" s="49">
        <f t="shared" si="12"/>
        <v>0.6088105727</v>
      </c>
      <c r="Y72" s="49">
        <f t="shared" si="13"/>
        <v>0.02202643172</v>
      </c>
      <c r="Z72" s="32" t="str">
        <f t="shared" si="14"/>
        <v>Milton</v>
      </c>
      <c r="AA72" s="50" t="s">
        <v>77</v>
      </c>
      <c r="AB72" s="38">
        <v>1985.0</v>
      </c>
      <c r="AC72" s="48">
        <f t="shared" si="17"/>
        <v>765</v>
      </c>
      <c r="AD72" s="51">
        <f t="shared" si="18"/>
        <v>0.6146095718</v>
      </c>
    </row>
    <row r="73">
      <c r="A73" s="24"/>
      <c r="B73" s="46" t="s">
        <v>1028</v>
      </c>
      <c r="C73" s="47"/>
      <c r="D73" s="38">
        <v>308.0</v>
      </c>
      <c r="E73" s="38">
        <v>213.0</v>
      </c>
      <c r="F73" s="38">
        <v>21.0</v>
      </c>
      <c r="G73" s="38">
        <v>12.0</v>
      </c>
      <c r="H73" s="38">
        <v>23.0</v>
      </c>
      <c r="I73" s="48">
        <f t="shared" si="3"/>
        <v>542</v>
      </c>
      <c r="J73" s="48">
        <f t="shared" si="4"/>
        <v>577</v>
      </c>
      <c r="K73" s="49">
        <f t="shared" si="5"/>
        <v>0.5682656827</v>
      </c>
      <c r="L73" s="49">
        <f t="shared" si="6"/>
        <v>0.3929889299</v>
      </c>
      <c r="M73" s="49">
        <f t="shared" si="7"/>
        <v>0.03874538745</v>
      </c>
      <c r="N73" s="32" t="str">
        <f t="shared" si="8"/>
        <v>Jânio</v>
      </c>
      <c r="O73" s="50" t="s">
        <v>77</v>
      </c>
      <c r="P73" s="38">
        <v>204.0</v>
      </c>
      <c r="Q73" s="38">
        <v>274.0</v>
      </c>
      <c r="R73" s="38">
        <v>20.0</v>
      </c>
      <c r="S73" s="38">
        <v>59.0</v>
      </c>
      <c r="T73" s="38">
        <v>20.0</v>
      </c>
      <c r="U73" s="48">
        <f t="shared" si="9"/>
        <v>498</v>
      </c>
      <c r="V73" s="48">
        <f t="shared" si="10"/>
        <v>577</v>
      </c>
      <c r="W73" s="49">
        <f t="shared" si="11"/>
        <v>0.4096385542</v>
      </c>
      <c r="X73" s="49">
        <f t="shared" si="12"/>
        <v>0.5502008032</v>
      </c>
      <c r="Y73" s="49">
        <f t="shared" si="13"/>
        <v>0.04016064257</v>
      </c>
      <c r="Z73" s="32" t="str">
        <f t="shared" si="14"/>
        <v>Milton</v>
      </c>
      <c r="AA73" s="50" t="s">
        <v>77</v>
      </c>
      <c r="AB73" s="38">
        <v>916.0</v>
      </c>
      <c r="AC73" s="48">
        <f t="shared" si="17"/>
        <v>339</v>
      </c>
      <c r="AD73" s="51">
        <f t="shared" si="18"/>
        <v>0.6299126638</v>
      </c>
    </row>
    <row r="74">
      <c r="A74" s="61" t="s">
        <v>205</v>
      </c>
      <c r="B74" s="46" t="s">
        <v>1029</v>
      </c>
      <c r="C74" s="47"/>
      <c r="D74" s="38">
        <v>409.0</v>
      </c>
      <c r="E74" s="38">
        <v>523.0</v>
      </c>
      <c r="F74" s="38">
        <v>24.0</v>
      </c>
      <c r="G74" s="38">
        <v>11.0</v>
      </c>
      <c r="H74" s="38">
        <v>35.0</v>
      </c>
      <c r="I74" s="48">
        <f t="shared" si="3"/>
        <v>956</v>
      </c>
      <c r="J74" s="48">
        <f t="shared" si="4"/>
        <v>1002</v>
      </c>
      <c r="K74" s="49">
        <f t="shared" si="5"/>
        <v>0.4278242678</v>
      </c>
      <c r="L74" s="49">
        <f t="shared" si="6"/>
        <v>0.5470711297</v>
      </c>
      <c r="M74" s="49">
        <f t="shared" si="7"/>
        <v>0.02510460251</v>
      </c>
      <c r="N74" s="32" t="str">
        <f t="shared" si="8"/>
        <v>Mal. Lott</v>
      </c>
      <c r="O74" s="50" t="s">
        <v>77</v>
      </c>
      <c r="P74" s="38">
        <v>519.0</v>
      </c>
      <c r="Q74" s="38">
        <v>388.0</v>
      </c>
      <c r="R74" s="38">
        <v>31.0</v>
      </c>
      <c r="S74" s="38">
        <v>46.0</v>
      </c>
      <c r="T74" s="38">
        <v>18.0</v>
      </c>
      <c r="U74" s="48">
        <f t="shared" si="9"/>
        <v>938</v>
      </c>
      <c r="V74" s="48">
        <f t="shared" si="10"/>
        <v>1002</v>
      </c>
      <c r="W74" s="49">
        <f t="shared" si="11"/>
        <v>0.5533049041</v>
      </c>
      <c r="X74" s="49">
        <f t="shared" si="12"/>
        <v>0.4136460554</v>
      </c>
      <c r="Y74" s="49">
        <f t="shared" si="13"/>
        <v>0.03304904051</v>
      </c>
      <c r="Z74" s="32" t="str">
        <f t="shared" si="14"/>
        <v>Jango</v>
      </c>
      <c r="AA74" s="50" t="s">
        <v>77</v>
      </c>
      <c r="AB74" s="38">
        <v>1724.0</v>
      </c>
      <c r="AC74" s="48">
        <f t="shared" si="17"/>
        <v>722</v>
      </c>
      <c r="AD74" s="51">
        <f t="shared" si="18"/>
        <v>0.5812064965</v>
      </c>
    </row>
    <row r="75">
      <c r="A75" s="24"/>
      <c r="B75" s="46" t="s">
        <v>1030</v>
      </c>
      <c r="C75" s="47"/>
      <c r="D75" s="38">
        <v>278.0</v>
      </c>
      <c r="E75" s="38">
        <v>72.0</v>
      </c>
      <c r="F75" s="38">
        <v>17.0</v>
      </c>
      <c r="G75" s="38">
        <v>20.0</v>
      </c>
      <c r="H75" s="38">
        <v>21.0</v>
      </c>
      <c r="I75" s="48">
        <f t="shared" si="3"/>
        <v>367</v>
      </c>
      <c r="J75" s="48">
        <f t="shared" si="4"/>
        <v>408</v>
      </c>
      <c r="K75" s="49">
        <f t="shared" si="5"/>
        <v>0.757493188</v>
      </c>
      <c r="L75" s="49">
        <f t="shared" si="6"/>
        <v>0.1961852861</v>
      </c>
      <c r="M75" s="49">
        <f t="shared" si="7"/>
        <v>0.04632152589</v>
      </c>
      <c r="N75" s="32" t="str">
        <f t="shared" si="8"/>
        <v>Jânio</v>
      </c>
      <c r="O75" s="50" t="s">
        <v>77</v>
      </c>
      <c r="P75" s="38">
        <v>87.0</v>
      </c>
      <c r="Q75" s="38">
        <v>244.0</v>
      </c>
      <c r="R75" s="38">
        <v>12.0</v>
      </c>
      <c r="S75" s="38">
        <v>43.0</v>
      </c>
      <c r="T75" s="38">
        <v>22.0</v>
      </c>
      <c r="U75" s="48">
        <f t="shared" si="9"/>
        <v>343</v>
      </c>
      <c r="V75" s="48">
        <f t="shared" si="10"/>
        <v>408</v>
      </c>
      <c r="W75" s="49">
        <f t="shared" si="11"/>
        <v>0.2536443149</v>
      </c>
      <c r="X75" s="49">
        <f t="shared" si="12"/>
        <v>0.7113702624</v>
      </c>
      <c r="Y75" s="49">
        <f t="shared" si="13"/>
        <v>0.03498542274</v>
      </c>
      <c r="Z75" s="32" t="str">
        <f t="shared" si="14"/>
        <v>Milton</v>
      </c>
      <c r="AA75" s="50" t="s">
        <v>77</v>
      </c>
      <c r="AB75" s="38">
        <v>782.0</v>
      </c>
      <c r="AC75" s="48">
        <f t="shared" si="17"/>
        <v>374</v>
      </c>
      <c r="AD75" s="51">
        <f t="shared" si="18"/>
        <v>0.5217391304</v>
      </c>
    </row>
    <row r="76">
      <c r="A76" s="69" t="s">
        <v>54</v>
      </c>
      <c r="B76" s="13"/>
      <c r="C76" s="47"/>
      <c r="D76" s="38">
        <f t="shared" ref="D76:H76" si="19">SUM(D14:D75)</f>
        <v>42377</v>
      </c>
      <c r="E76" s="38">
        <f t="shared" si="19"/>
        <v>45341</v>
      </c>
      <c r="F76" s="38">
        <f t="shared" si="19"/>
        <v>2844</v>
      </c>
      <c r="G76" s="38">
        <f t="shared" si="19"/>
        <v>2270</v>
      </c>
      <c r="H76" s="38">
        <f t="shared" si="19"/>
        <v>2834</v>
      </c>
      <c r="I76" s="48">
        <f t="shared" si="3"/>
        <v>90562</v>
      </c>
      <c r="J76" s="48">
        <f t="shared" si="4"/>
        <v>95666</v>
      </c>
      <c r="K76" s="49">
        <f t="shared" si="5"/>
        <v>0.4679335704</v>
      </c>
      <c r="L76" s="49">
        <f t="shared" si="6"/>
        <v>0.5006625295</v>
      </c>
      <c r="M76" s="49">
        <f t="shared" si="7"/>
        <v>0.03140390009</v>
      </c>
      <c r="N76" s="32" t="str">
        <f t="shared" si="8"/>
        <v>Mal. Lott</v>
      </c>
      <c r="O76" s="50"/>
      <c r="P76" s="38">
        <f t="shared" ref="P76:R76" si="20">SUM(P14:P75)</f>
        <v>45866</v>
      </c>
      <c r="Q76" s="38">
        <f t="shared" si="20"/>
        <v>40153</v>
      </c>
      <c r="R76" s="38">
        <f t="shared" si="20"/>
        <v>3074</v>
      </c>
      <c r="S76" s="55">
        <v>4322.0</v>
      </c>
      <c r="T76" s="55">
        <v>2251.0</v>
      </c>
      <c r="U76" s="48">
        <f t="shared" si="9"/>
        <v>89093</v>
      </c>
      <c r="V76" s="48">
        <f t="shared" si="10"/>
        <v>95666</v>
      </c>
      <c r="W76" s="49">
        <f t="shared" si="11"/>
        <v>0.5148103667</v>
      </c>
      <c r="X76" s="49">
        <f t="shared" si="12"/>
        <v>0.4506863614</v>
      </c>
      <c r="Y76" s="49">
        <f t="shared" si="13"/>
        <v>0.03450327186</v>
      </c>
      <c r="Z76" s="32" t="str">
        <f t="shared" si="14"/>
        <v>Jango</v>
      </c>
      <c r="AA76" s="44"/>
      <c r="AB76" s="38">
        <v>150095.0</v>
      </c>
      <c r="AC76" s="48">
        <f t="shared" si="17"/>
        <v>54429</v>
      </c>
      <c r="AD76" s="51">
        <f t="shared" si="18"/>
        <v>0.6373696659</v>
      </c>
    </row>
    <row r="77">
      <c r="O77" s="73"/>
    </row>
    <row r="78">
      <c r="B78" s="74" t="s">
        <v>138</v>
      </c>
      <c r="D78" s="75"/>
      <c r="E78" s="75"/>
      <c r="F78" s="75"/>
      <c r="G78" s="75"/>
    </row>
    <row r="79">
      <c r="B79" s="76" t="s">
        <v>139</v>
      </c>
      <c r="C79" s="33"/>
      <c r="D79" s="29"/>
      <c r="E79" s="29"/>
      <c r="F79" s="77"/>
      <c r="G79" s="77"/>
    </row>
    <row r="80">
      <c r="B80" s="76" t="s">
        <v>139</v>
      </c>
      <c r="D80" s="29"/>
      <c r="E80" s="29"/>
      <c r="F80" s="77"/>
      <c r="G80" s="77"/>
    </row>
    <row r="81">
      <c r="B81" s="76" t="s">
        <v>222</v>
      </c>
      <c r="D81" s="29"/>
      <c r="E81" s="29"/>
      <c r="F81" s="77"/>
      <c r="G81" s="77"/>
    </row>
    <row r="82">
      <c r="B82" s="76" t="s">
        <v>331</v>
      </c>
      <c r="D82" s="29"/>
      <c r="E82" s="29"/>
      <c r="F82" s="77"/>
      <c r="G82" s="77"/>
    </row>
    <row r="83">
      <c r="D83" s="29"/>
      <c r="E83" s="29"/>
      <c r="F83" s="77"/>
      <c r="G83" s="77"/>
    </row>
  </sheetData>
  <mergeCells count="26">
    <mergeCell ref="D2:G2"/>
    <mergeCell ref="A10:C10"/>
    <mergeCell ref="D10:N10"/>
    <mergeCell ref="P10:Z10"/>
    <mergeCell ref="AA10:AD10"/>
    <mergeCell ref="A16:A18"/>
    <mergeCell ref="A19:A21"/>
    <mergeCell ref="A22:A25"/>
    <mergeCell ref="A26:A27"/>
    <mergeCell ref="A29:A30"/>
    <mergeCell ref="A31:A33"/>
    <mergeCell ref="A35:A36"/>
    <mergeCell ref="A37:A39"/>
    <mergeCell ref="A40:A43"/>
    <mergeCell ref="A66:A68"/>
    <mergeCell ref="A69:A71"/>
    <mergeCell ref="A72:A73"/>
    <mergeCell ref="A74:A75"/>
    <mergeCell ref="A76:B76"/>
    <mergeCell ref="A44:A46"/>
    <mergeCell ref="A47:A49"/>
    <mergeCell ref="A51:A52"/>
    <mergeCell ref="A54:A57"/>
    <mergeCell ref="A58:A59"/>
    <mergeCell ref="A60:A61"/>
    <mergeCell ref="A62:A64"/>
  </mergeCells>
  <conditionalFormatting sqref="K12:M76 N12:N77 Z12:Z76">
    <cfRule type="colorScale" priority="1">
      <colorScale>
        <cfvo type="percent" val="0"/>
        <cfvo type="percent" val="50"/>
        <cfvo type="percent" val="100"/>
        <color rgb="FFFFFFFF"/>
        <color rgb="FFABDDC5"/>
        <color rgb="FF57BB8A"/>
      </colorScale>
    </cfRule>
  </conditionalFormatting>
  <conditionalFormatting sqref="W12:Y76">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IF(COUNTIF($N$22:$N$217,D3)=0,"-",COUNTIF($N$22:$N$217,D3))</f>
        <v>128</v>
      </c>
      <c r="F3" s="32" t="s">
        <v>47</v>
      </c>
      <c r="G3" s="22">
        <f t="shared" ref="G3:G6" si="2">IF(COUNTIF($Z$22:$Z$217,F3)=0,"-",COUNTIF($Z$22:$Z$217,F3))</f>
        <v>91</v>
      </c>
    </row>
    <row r="4">
      <c r="D4" s="32" t="s">
        <v>48</v>
      </c>
      <c r="E4" s="22">
        <f t="shared" si="1"/>
        <v>66</v>
      </c>
      <c r="F4" s="32" t="s">
        <v>49</v>
      </c>
      <c r="G4" s="22">
        <f t="shared" si="2"/>
        <v>102</v>
      </c>
    </row>
    <row r="5">
      <c r="D5" s="32" t="s">
        <v>50</v>
      </c>
      <c r="E5" s="22" t="str">
        <f t="shared" si="1"/>
        <v>-</v>
      </c>
      <c r="F5" s="32" t="s">
        <v>51</v>
      </c>
      <c r="G5" s="22">
        <f t="shared" si="2"/>
        <v>1</v>
      </c>
    </row>
    <row r="6">
      <c r="D6" s="32" t="s">
        <v>52</v>
      </c>
      <c r="E6" s="22" t="str">
        <f t="shared" si="1"/>
        <v>-</v>
      </c>
      <c r="F6" s="32" t="s">
        <v>52</v>
      </c>
      <c r="G6" s="22" t="str">
        <f t="shared" si="2"/>
        <v>-</v>
      </c>
    </row>
    <row r="7">
      <c r="D7" s="32" t="s">
        <v>54</v>
      </c>
      <c r="E7" s="32">
        <f>SUM(E3:E6)</f>
        <v>194</v>
      </c>
      <c r="F7" s="32" t="s">
        <v>54</v>
      </c>
      <c r="G7" s="32">
        <f>SUM(G3:G6)</f>
        <v>194</v>
      </c>
    </row>
    <row r="9">
      <c r="A9" s="111"/>
      <c r="B9" s="111"/>
      <c r="C9" s="111"/>
      <c r="D9" s="111"/>
      <c r="E9" s="111"/>
      <c r="F9" s="111"/>
      <c r="G9" s="111"/>
      <c r="H9" s="111"/>
      <c r="I9" s="111"/>
      <c r="J9" s="111"/>
      <c r="K9" s="111"/>
      <c r="L9" s="111"/>
      <c r="M9" s="111"/>
      <c r="N9" s="111"/>
      <c r="O9" s="112"/>
      <c r="P9" s="111"/>
      <c r="Q9" s="111"/>
      <c r="R9" s="111"/>
      <c r="S9" s="111"/>
      <c r="T9" s="111"/>
      <c r="U9" s="111"/>
      <c r="V9" s="111"/>
      <c r="W9" s="111"/>
      <c r="X9" s="111"/>
      <c r="Y9" s="111"/>
      <c r="Z9" s="111"/>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110" t="s">
        <v>73</v>
      </c>
      <c r="B12" s="46" t="s">
        <v>1031</v>
      </c>
      <c r="C12" s="47"/>
      <c r="D12" s="38">
        <v>7594.0</v>
      </c>
      <c r="E12" s="38">
        <v>7279.0</v>
      </c>
      <c r="F12" s="38">
        <v>2164.0</v>
      </c>
      <c r="G12" s="38">
        <v>501.0</v>
      </c>
      <c r="H12" s="38">
        <v>968.0</v>
      </c>
      <c r="I12" s="48">
        <f t="shared" ref="I12:I62" si="3">SUM(D12:F12)</f>
        <v>17037</v>
      </c>
      <c r="J12" s="48">
        <f t="shared" ref="J12:J62" si="4">SUM(G12:I12)</f>
        <v>18506</v>
      </c>
      <c r="K12" s="49">
        <f t="shared" ref="K12:K62" si="5">D12/I12</f>
        <v>0.4457357516</v>
      </c>
      <c r="L12" s="49">
        <f t="shared" ref="L12:L62" si="6">E12/I12</f>
        <v>0.427246581</v>
      </c>
      <c r="M12" s="49">
        <f t="shared" ref="M12:M62" si="7">F12/I12</f>
        <v>0.1270176674</v>
      </c>
      <c r="N12" s="32" t="str">
        <f t="shared" ref="N12:N62" si="8">IF(LARGE(D12:F12,1)=0,#REF!,IF(LARGE(D12:F12,1)=LARGE(D12:F12,2),$D$6,IF(LARGE(D12:F12,1)=D12,$D$3,IF(LARGE(D12:F12,1)=E12,$D$4,IF(LARGE(D12:F12,1)=F12,$D$5)))))</f>
        <v>Jânio</v>
      </c>
      <c r="O12" s="50"/>
      <c r="P12" s="38">
        <v>5730.0</v>
      </c>
      <c r="Q12" s="38">
        <v>6272.0</v>
      </c>
      <c r="R12" s="38">
        <v>4754.0</v>
      </c>
      <c r="S12" s="38">
        <v>924.0</v>
      </c>
      <c r="T12" s="38">
        <v>826.0</v>
      </c>
      <c r="U12" s="48">
        <f t="shared" ref="U12:U62" si="9">SUM(P12:R12)</f>
        <v>16756</v>
      </c>
      <c r="V12" s="48">
        <f t="shared" ref="V12:V62" si="10">SUM(S12:U12)</f>
        <v>18506</v>
      </c>
      <c r="W12" s="49">
        <f t="shared" ref="W12:W62" si="11">P12/U12</f>
        <v>0.3419670566</v>
      </c>
      <c r="X12" s="49">
        <f t="shared" ref="X12:X62" si="12">Q12/U12</f>
        <v>0.3743136787</v>
      </c>
      <c r="Y12" s="49">
        <f t="shared" ref="Y12:Y62" si="13">R12/U12</f>
        <v>0.2837192647</v>
      </c>
      <c r="Z12" s="32" t="str">
        <f t="shared" ref="Z12:Z62" si="14">IF(LARGE(P12:R12,1)=0,#REF!,IF(LARGE(P12:R12,1)=LARGE(P12:R12,2),$F$6,IF(LARGE(P12:R12,1)=P12,$F$3,IF(LARGE(P12:R12,1)=Q12,$F$4,IF(LARGE(P12:R12,1)=R12,$F$5)))))</f>
        <v>Milton</v>
      </c>
      <c r="AA12" s="44"/>
      <c r="AB12" s="38" t="s">
        <v>77</v>
      </c>
      <c r="AC12" s="38" t="s">
        <v>77</v>
      </c>
      <c r="AD12" s="38" t="s">
        <v>77</v>
      </c>
    </row>
    <row r="13">
      <c r="A13" s="110" t="s">
        <v>75</v>
      </c>
      <c r="B13" s="46" t="s">
        <v>1032</v>
      </c>
      <c r="C13" s="47"/>
      <c r="D13" s="38">
        <v>4492.0</v>
      </c>
      <c r="E13" s="38">
        <v>4821.0</v>
      </c>
      <c r="F13" s="38">
        <v>1470.0</v>
      </c>
      <c r="G13" s="38">
        <v>262.0</v>
      </c>
      <c r="H13" s="38">
        <v>632.0</v>
      </c>
      <c r="I13" s="48">
        <f t="shared" si="3"/>
        <v>10783</v>
      </c>
      <c r="J13" s="48">
        <f t="shared" si="4"/>
        <v>11677</v>
      </c>
      <c r="K13" s="49">
        <f t="shared" si="5"/>
        <v>0.4165816563</v>
      </c>
      <c r="L13" s="49">
        <f t="shared" si="6"/>
        <v>0.4470926458</v>
      </c>
      <c r="M13" s="49">
        <f t="shared" si="7"/>
        <v>0.1363256979</v>
      </c>
      <c r="N13" s="32" t="str">
        <f t="shared" si="8"/>
        <v>Mal. Lott</v>
      </c>
      <c r="O13" s="50"/>
      <c r="P13" s="38">
        <v>3643.0</v>
      </c>
      <c r="Q13" s="38">
        <v>3707.0</v>
      </c>
      <c r="R13" s="38">
        <v>3236.0</v>
      </c>
      <c r="S13" s="38">
        <v>595.0</v>
      </c>
      <c r="T13" s="38">
        <v>496.0</v>
      </c>
      <c r="U13" s="48">
        <f t="shared" si="9"/>
        <v>10586</v>
      </c>
      <c r="V13" s="48">
        <f t="shared" si="10"/>
        <v>11677</v>
      </c>
      <c r="W13" s="49">
        <f t="shared" si="11"/>
        <v>0.3441337616</v>
      </c>
      <c r="X13" s="49">
        <f t="shared" si="12"/>
        <v>0.3501794823</v>
      </c>
      <c r="Y13" s="49">
        <f t="shared" si="13"/>
        <v>0.3056867561</v>
      </c>
      <c r="Z13" s="32" t="str">
        <f t="shared" si="14"/>
        <v>Milton</v>
      </c>
      <c r="AA13" s="44"/>
      <c r="AB13" s="38" t="s">
        <v>77</v>
      </c>
      <c r="AC13" s="38" t="s">
        <v>77</v>
      </c>
      <c r="AD13" s="38" t="s">
        <v>77</v>
      </c>
    </row>
    <row r="14">
      <c r="A14" s="110" t="s">
        <v>79</v>
      </c>
      <c r="B14" s="46" t="s">
        <v>1033</v>
      </c>
      <c r="C14" s="47"/>
      <c r="D14" s="38">
        <v>5171.0</v>
      </c>
      <c r="E14" s="38">
        <v>9951.0</v>
      </c>
      <c r="F14" s="38">
        <v>3272.0</v>
      </c>
      <c r="G14" s="38">
        <v>713.0</v>
      </c>
      <c r="H14" s="38">
        <v>1475.0</v>
      </c>
      <c r="I14" s="48">
        <f t="shared" si="3"/>
        <v>18394</v>
      </c>
      <c r="J14" s="48">
        <f t="shared" si="4"/>
        <v>20582</v>
      </c>
      <c r="K14" s="49">
        <f t="shared" si="5"/>
        <v>0.2811242797</v>
      </c>
      <c r="L14" s="49">
        <f t="shared" si="6"/>
        <v>0.5409916277</v>
      </c>
      <c r="M14" s="49">
        <f t="shared" si="7"/>
        <v>0.1778840926</v>
      </c>
      <c r="N14" s="32" t="str">
        <f t="shared" si="8"/>
        <v>Mal. Lott</v>
      </c>
      <c r="O14" s="50"/>
      <c r="P14" s="38">
        <v>8780.0</v>
      </c>
      <c r="Q14" s="38">
        <v>4136.0</v>
      </c>
      <c r="R14" s="38">
        <v>4890.0</v>
      </c>
      <c r="S14" s="38">
        <v>1539.0</v>
      </c>
      <c r="T14" s="38">
        <v>1237.0</v>
      </c>
      <c r="U14" s="48">
        <f t="shared" si="9"/>
        <v>17806</v>
      </c>
      <c r="V14" s="48">
        <f t="shared" si="10"/>
        <v>20582</v>
      </c>
      <c r="W14" s="49">
        <f t="shared" si="11"/>
        <v>0.4930922161</v>
      </c>
      <c r="X14" s="49">
        <f t="shared" si="12"/>
        <v>0.2322812535</v>
      </c>
      <c r="Y14" s="49">
        <f t="shared" si="13"/>
        <v>0.2746265304</v>
      </c>
      <c r="Z14" s="32" t="str">
        <f t="shared" si="14"/>
        <v>Jango</v>
      </c>
      <c r="AA14" s="44"/>
      <c r="AB14" s="38" t="s">
        <v>77</v>
      </c>
      <c r="AC14" s="38" t="s">
        <v>77</v>
      </c>
      <c r="AD14" s="38" t="s">
        <v>77</v>
      </c>
    </row>
    <row r="15">
      <c r="A15" s="110" t="s">
        <v>85</v>
      </c>
      <c r="B15" s="46" t="s">
        <v>1034</v>
      </c>
      <c r="C15" s="47"/>
      <c r="D15" s="38">
        <v>2892.0</v>
      </c>
      <c r="E15" s="38">
        <v>4644.0</v>
      </c>
      <c r="F15" s="38">
        <v>1605.0</v>
      </c>
      <c r="G15" s="38">
        <v>332.0</v>
      </c>
      <c r="H15" s="38">
        <v>574.0</v>
      </c>
      <c r="I15" s="48">
        <f t="shared" si="3"/>
        <v>9141</v>
      </c>
      <c r="J15" s="48">
        <f t="shared" si="4"/>
        <v>10047</v>
      </c>
      <c r="K15" s="49">
        <f t="shared" si="5"/>
        <v>0.316376764</v>
      </c>
      <c r="L15" s="49">
        <f t="shared" si="6"/>
        <v>0.5080406958</v>
      </c>
      <c r="M15" s="49">
        <f t="shared" si="7"/>
        <v>0.1755825402</v>
      </c>
      <c r="N15" s="32" t="str">
        <f t="shared" si="8"/>
        <v>Mal. Lott</v>
      </c>
      <c r="O15" s="50"/>
      <c r="P15" s="38">
        <v>4081.0</v>
      </c>
      <c r="Q15" s="38">
        <v>2321.0</v>
      </c>
      <c r="R15" s="38">
        <v>2453.0</v>
      </c>
      <c r="S15" s="38">
        <v>688.0</v>
      </c>
      <c r="T15" s="38">
        <v>504.0</v>
      </c>
      <c r="U15" s="48">
        <f t="shared" si="9"/>
        <v>8855</v>
      </c>
      <c r="V15" s="48">
        <f t="shared" si="10"/>
        <v>10047</v>
      </c>
      <c r="W15" s="49">
        <f t="shared" si="11"/>
        <v>0.4608695652</v>
      </c>
      <c r="X15" s="49">
        <f t="shared" si="12"/>
        <v>0.2621118012</v>
      </c>
      <c r="Y15" s="49">
        <f t="shared" si="13"/>
        <v>0.2770186335</v>
      </c>
      <c r="Z15" s="32" t="str">
        <f t="shared" si="14"/>
        <v>Jango</v>
      </c>
      <c r="AA15" s="44"/>
      <c r="AB15" s="38" t="s">
        <v>77</v>
      </c>
      <c r="AC15" s="38" t="s">
        <v>77</v>
      </c>
      <c r="AD15" s="38" t="s">
        <v>77</v>
      </c>
    </row>
    <row r="16">
      <c r="A16" s="110" t="s">
        <v>90</v>
      </c>
      <c r="B16" s="46" t="s">
        <v>1035</v>
      </c>
      <c r="C16" s="47"/>
      <c r="D16" s="38">
        <v>2209.0</v>
      </c>
      <c r="E16" s="38">
        <v>2378.0</v>
      </c>
      <c r="F16" s="38">
        <v>822.0</v>
      </c>
      <c r="G16" s="38">
        <v>119.0</v>
      </c>
      <c r="H16" s="38">
        <v>508.0</v>
      </c>
      <c r="I16" s="48">
        <f t="shared" si="3"/>
        <v>5409</v>
      </c>
      <c r="J16" s="48">
        <f t="shared" si="4"/>
        <v>6036</v>
      </c>
      <c r="K16" s="49">
        <f t="shared" si="5"/>
        <v>0.4083934184</v>
      </c>
      <c r="L16" s="49">
        <f t="shared" si="6"/>
        <v>0.439637641</v>
      </c>
      <c r="M16" s="49">
        <f t="shared" si="7"/>
        <v>0.1519689407</v>
      </c>
      <c r="N16" s="32" t="str">
        <f t="shared" si="8"/>
        <v>Mal. Lott</v>
      </c>
      <c r="O16" s="50"/>
      <c r="P16" s="38">
        <v>1898.0</v>
      </c>
      <c r="Q16" s="38">
        <v>1739.0</v>
      </c>
      <c r="R16" s="38">
        <v>1650.0</v>
      </c>
      <c r="S16" s="38">
        <v>241.0</v>
      </c>
      <c r="T16" s="38">
        <v>508.0</v>
      </c>
      <c r="U16" s="48">
        <f t="shared" si="9"/>
        <v>5287</v>
      </c>
      <c r="V16" s="48">
        <f t="shared" si="10"/>
        <v>6036</v>
      </c>
      <c r="W16" s="49">
        <f t="shared" si="11"/>
        <v>0.3589937583</v>
      </c>
      <c r="X16" s="49">
        <f t="shared" si="12"/>
        <v>0.3289199924</v>
      </c>
      <c r="Y16" s="49">
        <f t="shared" si="13"/>
        <v>0.3120862493</v>
      </c>
      <c r="Z16" s="32" t="str">
        <f t="shared" si="14"/>
        <v>Jango</v>
      </c>
      <c r="AA16" s="44"/>
      <c r="AB16" s="38" t="s">
        <v>77</v>
      </c>
      <c r="AC16" s="38" t="s">
        <v>77</v>
      </c>
      <c r="AD16" s="38" t="s">
        <v>77</v>
      </c>
    </row>
    <row r="17">
      <c r="A17" s="110" t="s">
        <v>92</v>
      </c>
      <c r="B17" s="46" t="s">
        <v>1036</v>
      </c>
      <c r="C17" s="47"/>
      <c r="D17" s="38">
        <v>4111.0</v>
      </c>
      <c r="E17" s="38">
        <v>7030.0</v>
      </c>
      <c r="F17" s="38">
        <v>2044.0</v>
      </c>
      <c r="G17" s="38">
        <v>562.0</v>
      </c>
      <c r="H17" s="38">
        <v>1067.0</v>
      </c>
      <c r="I17" s="48">
        <f t="shared" si="3"/>
        <v>13185</v>
      </c>
      <c r="J17" s="48">
        <f t="shared" si="4"/>
        <v>14814</v>
      </c>
      <c r="K17" s="49">
        <f t="shared" si="5"/>
        <v>0.311793705</v>
      </c>
      <c r="L17" s="49">
        <f t="shared" si="6"/>
        <v>0.5331816458</v>
      </c>
      <c r="M17" s="49">
        <f t="shared" si="7"/>
        <v>0.1550246492</v>
      </c>
      <c r="N17" s="32" t="str">
        <f t="shared" si="8"/>
        <v>Mal. Lott</v>
      </c>
      <c r="O17" s="50"/>
      <c r="P17" s="38">
        <v>6001.0</v>
      </c>
      <c r="Q17" s="38">
        <v>3256.0</v>
      </c>
      <c r="R17" s="38">
        <v>3578.0</v>
      </c>
      <c r="S17" s="38">
        <v>1103.0</v>
      </c>
      <c r="T17" s="38">
        <v>876.0</v>
      </c>
      <c r="U17" s="48">
        <f t="shared" si="9"/>
        <v>12835</v>
      </c>
      <c r="V17" s="48">
        <f t="shared" si="10"/>
        <v>14814</v>
      </c>
      <c r="W17" s="49">
        <f t="shared" si="11"/>
        <v>0.4675496689</v>
      </c>
      <c r="X17" s="49">
        <f t="shared" si="12"/>
        <v>0.2536813401</v>
      </c>
      <c r="Y17" s="49">
        <f t="shared" si="13"/>
        <v>0.278768991</v>
      </c>
      <c r="Z17" s="32" t="str">
        <f t="shared" si="14"/>
        <v>Jango</v>
      </c>
      <c r="AA17" s="44"/>
      <c r="AB17" s="38" t="s">
        <v>77</v>
      </c>
      <c r="AC17" s="38" t="s">
        <v>77</v>
      </c>
      <c r="AD17" s="38" t="s">
        <v>77</v>
      </c>
    </row>
    <row r="18">
      <c r="A18" s="110" t="s">
        <v>94</v>
      </c>
      <c r="B18" s="46" t="s">
        <v>1037</v>
      </c>
      <c r="C18" s="47"/>
      <c r="D18" s="38">
        <v>2566.0</v>
      </c>
      <c r="E18" s="38">
        <v>2804.0</v>
      </c>
      <c r="F18" s="38">
        <v>854.0</v>
      </c>
      <c r="G18" s="38">
        <v>135.0</v>
      </c>
      <c r="H18" s="38">
        <v>305.0</v>
      </c>
      <c r="I18" s="48">
        <f t="shared" si="3"/>
        <v>6224</v>
      </c>
      <c r="J18" s="48">
        <f t="shared" si="4"/>
        <v>6664</v>
      </c>
      <c r="K18" s="49">
        <f t="shared" si="5"/>
        <v>0.4122750643</v>
      </c>
      <c r="L18" s="49">
        <f t="shared" si="6"/>
        <v>0.4505141388</v>
      </c>
      <c r="M18" s="49">
        <f t="shared" si="7"/>
        <v>0.1372107969</v>
      </c>
      <c r="N18" s="32" t="str">
        <f t="shared" si="8"/>
        <v>Mal. Lott</v>
      </c>
      <c r="O18" s="50"/>
      <c r="P18" s="38">
        <v>2053.0</v>
      </c>
      <c r="Q18" s="38">
        <v>2109.0</v>
      </c>
      <c r="R18" s="38">
        <v>1926.0</v>
      </c>
      <c r="S18" s="38">
        <v>328.0</v>
      </c>
      <c r="T18" s="38">
        <v>248.0</v>
      </c>
      <c r="U18" s="48">
        <f t="shared" si="9"/>
        <v>6088</v>
      </c>
      <c r="V18" s="48">
        <f t="shared" si="10"/>
        <v>6664</v>
      </c>
      <c r="W18" s="49">
        <f t="shared" si="11"/>
        <v>0.3372207622</v>
      </c>
      <c r="X18" s="49">
        <f t="shared" si="12"/>
        <v>0.3464191853</v>
      </c>
      <c r="Y18" s="49">
        <f t="shared" si="13"/>
        <v>0.3163600526</v>
      </c>
      <c r="Z18" s="32" t="str">
        <f t="shared" si="14"/>
        <v>Milton</v>
      </c>
      <c r="AA18" s="44"/>
      <c r="AB18" s="38" t="s">
        <v>77</v>
      </c>
      <c r="AC18" s="38" t="s">
        <v>77</v>
      </c>
      <c r="AD18" s="38" t="s">
        <v>77</v>
      </c>
    </row>
    <row r="19">
      <c r="A19" s="110" t="s">
        <v>97</v>
      </c>
      <c r="B19" s="46" t="s">
        <v>1038</v>
      </c>
      <c r="C19" s="47"/>
      <c r="D19" s="38">
        <v>2341.0</v>
      </c>
      <c r="E19" s="38">
        <v>3404.0</v>
      </c>
      <c r="F19" s="38">
        <v>1034.0</v>
      </c>
      <c r="G19" s="38">
        <v>158.0</v>
      </c>
      <c r="H19" s="38">
        <v>500.0</v>
      </c>
      <c r="I19" s="48">
        <f t="shared" si="3"/>
        <v>6779</v>
      </c>
      <c r="J19" s="48">
        <f t="shared" si="4"/>
        <v>7437</v>
      </c>
      <c r="K19" s="49">
        <f t="shared" si="5"/>
        <v>0.3453311698</v>
      </c>
      <c r="L19" s="49">
        <f t="shared" si="6"/>
        <v>0.5021389585</v>
      </c>
      <c r="M19" s="49">
        <f t="shared" si="7"/>
        <v>0.1525298717</v>
      </c>
      <c r="N19" s="32" t="str">
        <f t="shared" si="8"/>
        <v>Mal. Lott</v>
      </c>
      <c r="O19" s="50"/>
      <c r="P19" s="38">
        <v>2991.0</v>
      </c>
      <c r="Q19" s="38">
        <v>1651.0</v>
      </c>
      <c r="R19" s="38">
        <v>1942.0</v>
      </c>
      <c r="S19" s="38">
        <v>323.0</v>
      </c>
      <c r="T19" s="38">
        <v>530.0</v>
      </c>
      <c r="U19" s="48">
        <f t="shared" si="9"/>
        <v>6584</v>
      </c>
      <c r="V19" s="48">
        <f t="shared" si="10"/>
        <v>7437</v>
      </c>
      <c r="W19" s="49">
        <f t="shared" si="11"/>
        <v>0.4542831106</v>
      </c>
      <c r="X19" s="49">
        <f t="shared" si="12"/>
        <v>0.2507594168</v>
      </c>
      <c r="Y19" s="49">
        <f t="shared" si="13"/>
        <v>0.2949574727</v>
      </c>
      <c r="Z19" s="32" t="str">
        <f t="shared" si="14"/>
        <v>Jango</v>
      </c>
      <c r="AA19" s="44"/>
      <c r="AB19" s="38" t="s">
        <v>77</v>
      </c>
      <c r="AC19" s="38" t="s">
        <v>77</v>
      </c>
      <c r="AD19" s="38" t="s">
        <v>77</v>
      </c>
    </row>
    <row r="20">
      <c r="A20" s="110" t="s">
        <v>99</v>
      </c>
      <c r="B20" s="46" t="s">
        <v>1039</v>
      </c>
      <c r="C20" s="47"/>
      <c r="D20" s="38">
        <v>3535.0</v>
      </c>
      <c r="E20" s="38">
        <v>4931.0</v>
      </c>
      <c r="F20" s="38">
        <v>1683.0</v>
      </c>
      <c r="G20" s="38">
        <v>300.0</v>
      </c>
      <c r="H20" s="38">
        <v>996.0</v>
      </c>
      <c r="I20" s="48">
        <f t="shared" si="3"/>
        <v>10149</v>
      </c>
      <c r="J20" s="48">
        <f t="shared" si="4"/>
        <v>11445</v>
      </c>
      <c r="K20" s="49">
        <f t="shared" si="5"/>
        <v>0.3483101783</v>
      </c>
      <c r="L20" s="49">
        <f t="shared" si="6"/>
        <v>0.4858606759</v>
      </c>
      <c r="M20" s="49">
        <f t="shared" si="7"/>
        <v>0.1658291457</v>
      </c>
      <c r="N20" s="32" t="str">
        <f t="shared" si="8"/>
        <v>Mal. Lott</v>
      </c>
      <c r="O20" s="50"/>
      <c r="P20" s="38">
        <v>4171.0</v>
      </c>
      <c r="Q20" s="38">
        <v>2800.0</v>
      </c>
      <c r="R20" s="38">
        <v>2976.0</v>
      </c>
      <c r="S20" s="38">
        <v>634.0</v>
      </c>
      <c r="T20" s="38">
        <v>864.0</v>
      </c>
      <c r="U20" s="48">
        <f t="shared" si="9"/>
        <v>9947</v>
      </c>
      <c r="V20" s="48">
        <f t="shared" si="10"/>
        <v>11445</v>
      </c>
      <c r="W20" s="49">
        <f t="shared" si="11"/>
        <v>0.4193224088</v>
      </c>
      <c r="X20" s="49">
        <f t="shared" si="12"/>
        <v>0.2814919071</v>
      </c>
      <c r="Y20" s="49">
        <f t="shared" si="13"/>
        <v>0.2991856841</v>
      </c>
      <c r="Z20" s="32" t="str">
        <f t="shared" si="14"/>
        <v>Jango</v>
      </c>
      <c r="AA20" s="44"/>
      <c r="AB20" s="38" t="s">
        <v>77</v>
      </c>
      <c r="AC20" s="38" t="s">
        <v>77</v>
      </c>
      <c r="AD20" s="38" t="s">
        <v>77</v>
      </c>
    </row>
    <row r="21">
      <c r="A21" s="110" t="s">
        <v>104</v>
      </c>
      <c r="B21" s="46" t="s">
        <v>1040</v>
      </c>
      <c r="C21" s="47"/>
      <c r="D21" s="38">
        <v>2698.0</v>
      </c>
      <c r="E21" s="38">
        <v>5682.0</v>
      </c>
      <c r="F21" s="38">
        <v>1371.0</v>
      </c>
      <c r="G21" s="38">
        <v>612.0</v>
      </c>
      <c r="H21" s="38">
        <v>1034.0</v>
      </c>
      <c r="I21" s="48">
        <f t="shared" si="3"/>
        <v>9751</v>
      </c>
      <c r="J21" s="48">
        <f t="shared" si="4"/>
        <v>11397</v>
      </c>
      <c r="K21" s="49">
        <f t="shared" si="5"/>
        <v>0.2766895703</v>
      </c>
      <c r="L21" s="49">
        <f t="shared" si="6"/>
        <v>0.5827094657</v>
      </c>
      <c r="M21" s="49">
        <f t="shared" si="7"/>
        <v>0.140600964</v>
      </c>
      <c r="N21" s="32" t="str">
        <f t="shared" si="8"/>
        <v>Mal. Lott</v>
      </c>
      <c r="O21" s="50"/>
      <c r="P21" s="38">
        <v>5453.0</v>
      </c>
      <c r="Q21" s="38">
        <v>2133.0</v>
      </c>
      <c r="R21" s="38">
        <v>1816.0</v>
      </c>
      <c r="S21" s="38">
        <v>1188.0</v>
      </c>
      <c r="T21" s="38">
        <v>807.0</v>
      </c>
      <c r="U21" s="48">
        <f t="shared" si="9"/>
        <v>9402</v>
      </c>
      <c r="V21" s="48">
        <f t="shared" si="10"/>
        <v>11397</v>
      </c>
      <c r="W21" s="49">
        <f t="shared" si="11"/>
        <v>0.5799829823</v>
      </c>
      <c r="X21" s="49">
        <f t="shared" si="12"/>
        <v>0.2268666241</v>
      </c>
      <c r="Y21" s="49">
        <f t="shared" si="13"/>
        <v>0.1931503935</v>
      </c>
      <c r="Z21" s="32" t="str">
        <f t="shared" si="14"/>
        <v>Jango</v>
      </c>
      <c r="AA21" s="44"/>
      <c r="AB21" s="38" t="s">
        <v>77</v>
      </c>
      <c r="AC21" s="38" t="s">
        <v>77</v>
      </c>
      <c r="AD21" s="38" t="s">
        <v>77</v>
      </c>
    </row>
    <row r="22">
      <c r="A22" s="110" t="s">
        <v>77</v>
      </c>
      <c r="B22" s="46" t="s">
        <v>1041</v>
      </c>
      <c r="C22" s="47"/>
      <c r="D22" s="38">
        <v>37609.0</v>
      </c>
      <c r="E22" s="38">
        <v>52924.0</v>
      </c>
      <c r="F22" s="38">
        <v>16319.0</v>
      </c>
      <c r="G22" s="38">
        <v>3694.0</v>
      </c>
      <c r="H22" s="38">
        <v>8059.0</v>
      </c>
      <c r="I22" s="48">
        <f t="shared" si="3"/>
        <v>106852</v>
      </c>
      <c r="J22" s="48">
        <f t="shared" si="4"/>
        <v>118605</v>
      </c>
      <c r="K22" s="49">
        <f t="shared" si="5"/>
        <v>0.3519728222</v>
      </c>
      <c r="L22" s="49">
        <f t="shared" si="6"/>
        <v>0.4953019129</v>
      </c>
      <c r="M22" s="49">
        <f t="shared" si="7"/>
        <v>0.1527252649</v>
      </c>
      <c r="N22" s="32" t="str">
        <f t="shared" si="8"/>
        <v>Mal. Lott</v>
      </c>
      <c r="O22" s="50" t="s">
        <v>77</v>
      </c>
      <c r="P22" s="38">
        <v>44801.0</v>
      </c>
      <c r="Q22" s="38">
        <v>30124.0</v>
      </c>
      <c r="R22" s="38">
        <v>29221.0</v>
      </c>
      <c r="S22" s="38">
        <v>7563.0</v>
      </c>
      <c r="T22" s="38">
        <v>6896.0</v>
      </c>
      <c r="U22" s="48">
        <f t="shared" si="9"/>
        <v>104146</v>
      </c>
      <c r="V22" s="48">
        <f t="shared" si="10"/>
        <v>118605</v>
      </c>
      <c r="W22" s="49">
        <f t="shared" si="11"/>
        <v>0.4301749467</v>
      </c>
      <c r="X22" s="49">
        <f t="shared" si="12"/>
        <v>0.2892477868</v>
      </c>
      <c r="Y22" s="49">
        <f t="shared" si="13"/>
        <v>0.2805772665</v>
      </c>
      <c r="Z22" s="32" t="str">
        <f t="shared" si="14"/>
        <v>Jango</v>
      </c>
      <c r="AA22" s="50" t="s">
        <v>77</v>
      </c>
      <c r="AB22" s="38">
        <v>166237.0</v>
      </c>
      <c r="AC22" s="48">
        <f t="shared" ref="AC22:AC62" si="15">AB22-V22</f>
        <v>47632</v>
      </c>
      <c r="AD22" s="51">
        <f t="shared" ref="AD22:AD62" si="16">V22/AB22</f>
        <v>0.7134693239</v>
      </c>
    </row>
    <row r="23">
      <c r="A23" s="110" t="s">
        <v>104</v>
      </c>
      <c r="B23" s="46" t="s">
        <v>1042</v>
      </c>
      <c r="C23" s="47"/>
      <c r="D23" s="38">
        <v>258.0</v>
      </c>
      <c r="E23" s="38">
        <v>734.0</v>
      </c>
      <c r="F23" s="38">
        <v>185.0</v>
      </c>
      <c r="G23" s="38">
        <v>65.0</v>
      </c>
      <c r="H23" s="38">
        <v>94.0</v>
      </c>
      <c r="I23" s="48">
        <f t="shared" si="3"/>
        <v>1177</v>
      </c>
      <c r="J23" s="48">
        <f t="shared" si="4"/>
        <v>1336</v>
      </c>
      <c r="K23" s="49">
        <f t="shared" si="5"/>
        <v>0.2192013594</v>
      </c>
      <c r="L23" s="49">
        <f t="shared" si="6"/>
        <v>0.6236193713</v>
      </c>
      <c r="M23" s="49">
        <f t="shared" si="7"/>
        <v>0.1571792693</v>
      </c>
      <c r="N23" s="32" t="str">
        <f t="shared" si="8"/>
        <v>Mal. Lott</v>
      </c>
      <c r="O23" s="50" t="s">
        <v>77</v>
      </c>
      <c r="P23" s="38">
        <v>662.0</v>
      </c>
      <c r="Q23" s="38">
        <v>232.0</v>
      </c>
      <c r="R23" s="38">
        <v>207.0</v>
      </c>
      <c r="S23" s="38">
        <v>154.0</v>
      </c>
      <c r="T23" s="38">
        <v>81.0</v>
      </c>
      <c r="U23" s="48">
        <f t="shared" si="9"/>
        <v>1101</v>
      </c>
      <c r="V23" s="48">
        <f t="shared" si="10"/>
        <v>1336</v>
      </c>
      <c r="W23" s="49">
        <f t="shared" si="11"/>
        <v>0.6012715713</v>
      </c>
      <c r="X23" s="49">
        <f t="shared" si="12"/>
        <v>0.2107175295</v>
      </c>
      <c r="Y23" s="49">
        <f t="shared" si="13"/>
        <v>0.1880108992</v>
      </c>
      <c r="Z23" s="32" t="str">
        <f t="shared" si="14"/>
        <v>Jango</v>
      </c>
      <c r="AA23" s="50" t="s">
        <v>77</v>
      </c>
      <c r="AB23" s="38">
        <v>1860.0</v>
      </c>
      <c r="AC23" s="48">
        <f t="shared" si="15"/>
        <v>524</v>
      </c>
      <c r="AD23" s="51">
        <f t="shared" si="16"/>
        <v>0.7182795699</v>
      </c>
    </row>
    <row r="24">
      <c r="A24" s="61" t="s">
        <v>107</v>
      </c>
      <c r="B24" s="46" t="s">
        <v>1043</v>
      </c>
      <c r="C24" s="47"/>
      <c r="D24" s="38">
        <v>1741.0</v>
      </c>
      <c r="E24" s="38">
        <v>1372.0</v>
      </c>
      <c r="F24" s="38">
        <v>211.0</v>
      </c>
      <c r="G24" s="38">
        <v>107.0</v>
      </c>
      <c r="H24" s="38">
        <v>172.0</v>
      </c>
      <c r="I24" s="48">
        <f t="shared" si="3"/>
        <v>3324</v>
      </c>
      <c r="J24" s="48">
        <f t="shared" si="4"/>
        <v>3603</v>
      </c>
      <c r="K24" s="49">
        <f t="shared" si="5"/>
        <v>0.5237665463</v>
      </c>
      <c r="L24" s="49">
        <f t="shared" si="6"/>
        <v>0.412755716</v>
      </c>
      <c r="M24" s="49">
        <f t="shared" si="7"/>
        <v>0.06347773767</v>
      </c>
      <c r="N24" s="32" t="str">
        <f t="shared" si="8"/>
        <v>Jânio</v>
      </c>
      <c r="O24" s="50" t="s">
        <v>77</v>
      </c>
      <c r="P24" s="38">
        <v>1642.0</v>
      </c>
      <c r="Q24" s="38">
        <v>1330.0</v>
      </c>
      <c r="R24" s="38">
        <v>312.0</v>
      </c>
      <c r="S24" s="38">
        <v>189.0</v>
      </c>
      <c r="T24" s="38">
        <v>130.0</v>
      </c>
      <c r="U24" s="48">
        <f t="shared" si="9"/>
        <v>3284</v>
      </c>
      <c r="V24" s="48">
        <f t="shared" si="10"/>
        <v>3603</v>
      </c>
      <c r="W24" s="49">
        <f t="shared" si="11"/>
        <v>0.5</v>
      </c>
      <c r="X24" s="49">
        <f t="shared" si="12"/>
        <v>0.4049939099</v>
      </c>
      <c r="Y24" s="49">
        <f t="shared" si="13"/>
        <v>0.09500609013</v>
      </c>
      <c r="Z24" s="32" t="str">
        <f t="shared" si="14"/>
        <v>Jango</v>
      </c>
      <c r="AA24" s="50" t="s">
        <v>77</v>
      </c>
      <c r="AB24" s="38">
        <v>5653.0</v>
      </c>
      <c r="AC24" s="48">
        <f t="shared" si="15"/>
        <v>2050</v>
      </c>
      <c r="AD24" s="51">
        <f t="shared" si="16"/>
        <v>0.6373606934</v>
      </c>
    </row>
    <row r="25">
      <c r="A25" s="23"/>
      <c r="B25" s="46" t="s">
        <v>1044</v>
      </c>
      <c r="C25" s="47"/>
      <c r="D25" s="38">
        <v>792.0</v>
      </c>
      <c r="E25" s="38">
        <v>1124.0</v>
      </c>
      <c r="F25" s="38">
        <v>332.0</v>
      </c>
      <c r="G25" s="38">
        <v>118.0</v>
      </c>
      <c r="H25" s="38">
        <v>195.0</v>
      </c>
      <c r="I25" s="48">
        <f t="shared" si="3"/>
        <v>2248</v>
      </c>
      <c r="J25" s="48">
        <f t="shared" si="4"/>
        <v>2561</v>
      </c>
      <c r="K25" s="49">
        <f t="shared" si="5"/>
        <v>0.3523131673</v>
      </c>
      <c r="L25" s="49">
        <f t="shared" si="6"/>
        <v>0.5</v>
      </c>
      <c r="M25" s="49">
        <f t="shared" si="7"/>
        <v>0.1476868327</v>
      </c>
      <c r="N25" s="32" t="str">
        <f t="shared" si="8"/>
        <v>Mal. Lott</v>
      </c>
      <c r="O25" s="50" t="s">
        <v>77</v>
      </c>
      <c r="P25" s="38">
        <v>1078.0</v>
      </c>
      <c r="Q25" s="38">
        <v>647.0</v>
      </c>
      <c r="R25" s="38">
        <v>460.0</v>
      </c>
      <c r="S25" s="38">
        <v>231.0</v>
      </c>
      <c r="T25" s="38">
        <v>145.0</v>
      </c>
      <c r="U25" s="48">
        <f t="shared" si="9"/>
        <v>2185</v>
      </c>
      <c r="V25" s="48">
        <f t="shared" si="10"/>
        <v>2561</v>
      </c>
      <c r="W25" s="49">
        <f t="shared" si="11"/>
        <v>0.4933638444</v>
      </c>
      <c r="X25" s="49">
        <f t="shared" si="12"/>
        <v>0.2961098398</v>
      </c>
      <c r="Y25" s="49">
        <f t="shared" si="13"/>
        <v>0.2105263158</v>
      </c>
      <c r="Z25" s="32" t="str">
        <f t="shared" si="14"/>
        <v>Jango</v>
      </c>
      <c r="AA25" s="50" t="s">
        <v>77</v>
      </c>
      <c r="AB25" s="38">
        <v>4900.0</v>
      </c>
      <c r="AC25" s="48">
        <f t="shared" si="15"/>
        <v>2339</v>
      </c>
      <c r="AD25" s="51">
        <f t="shared" si="16"/>
        <v>0.5226530612</v>
      </c>
    </row>
    <row r="26">
      <c r="A26" s="24"/>
      <c r="B26" s="46" t="s">
        <v>1045</v>
      </c>
      <c r="C26" s="47"/>
      <c r="D26" s="38">
        <v>583.0</v>
      </c>
      <c r="E26" s="38">
        <v>874.0</v>
      </c>
      <c r="F26" s="38">
        <v>153.0</v>
      </c>
      <c r="G26" s="38">
        <v>93.0</v>
      </c>
      <c r="H26" s="38">
        <v>156.0</v>
      </c>
      <c r="I26" s="48">
        <f t="shared" si="3"/>
        <v>1610</v>
      </c>
      <c r="J26" s="48">
        <f t="shared" si="4"/>
        <v>1859</v>
      </c>
      <c r="K26" s="49">
        <f t="shared" si="5"/>
        <v>0.3621118012</v>
      </c>
      <c r="L26" s="49">
        <f t="shared" si="6"/>
        <v>0.5428571429</v>
      </c>
      <c r="M26" s="49">
        <f t="shared" si="7"/>
        <v>0.0950310559</v>
      </c>
      <c r="N26" s="32" t="str">
        <f t="shared" si="8"/>
        <v>Mal. Lott</v>
      </c>
      <c r="O26" s="50" t="s">
        <v>77</v>
      </c>
      <c r="P26" s="38">
        <v>912.0</v>
      </c>
      <c r="Q26" s="38">
        <v>324.0</v>
      </c>
      <c r="R26" s="38">
        <v>352.0</v>
      </c>
      <c r="S26" s="38">
        <v>158.0</v>
      </c>
      <c r="T26" s="38">
        <v>113.0</v>
      </c>
      <c r="U26" s="48">
        <f t="shared" si="9"/>
        <v>1588</v>
      </c>
      <c r="V26" s="48">
        <f t="shared" si="10"/>
        <v>1859</v>
      </c>
      <c r="W26" s="49">
        <f t="shared" si="11"/>
        <v>0.5743073048</v>
      </c>
      <c r="X26" s="49">
        <f t="shared" si="12"/>
        <v>0.2040302267</v>
      </c>
      <c r="Y26" s="49">
        <f t="shared" si="13"/>
        <v>0.2216624685</v>
      </c>
      <c r="Z26" s="32" t="str">
        <f t="shared" si="14"/>
        <v>Jango</v>
      </c>
      <c r="AA26" s="50" t="s">
        <v>77</v>
      </c>
      <c r="AB26" s="38">
        <v>3197.0</v>
      </c>
      <c r="AC26" s="48">
        <f t="shared" si="15"/>
        <v>1338</v>
      </c>
      <c r="AD26" s="51">
        <f t="shared" si="16"/>
        <v>0.58148264</v>
      </c>
    </row>
    <row r="27">
      <c r="A27" s="61" t="s">
        <v>111</v>
      </c>
      <c r="B27" s="46" t="s">
        <v>1046</v>
      </c>
      <c r="C27" s="47"/>
      <c r="D27" s="38">
        <v>928.0</v>
      </c>
      <c r="E27" s="38">
        <v>1048.0</v>
      </c>
      <c r="F27" s="38">
        <v>188.0</v>
      </c>
      <c r="G27" s="38">
        <v>117.0</v>
      </c>
      <c r="H27" s="38">
        <v>165.0</v>
      </c>
      <c r="I27" s="48">
        <f t="shared" si="3"/>
        <v>2164</v>
      </c>
      <c r="J27" s="48">
        <f t="shared" si="4"/>
        <v>2446</v>
      </c>
      <c r="K27" s="49">
        <f t="shared" si="5"/>
        <v>0.4288354898</v>
      </c>
      <c r="L27" s="49">
        <f t="shared" si="6"/>
        <v>0.4842883549</v>
      </c>
      <c r="M27" s="49">
        <f t="shared" si="7"/>
        <v>0.08687615527</v>
      </c>
      <c r="N27" s="32" t="str">
        <f t="shared" si="8"/>
        <v>Mal. Lott</v>
      </c>
      <c r="O27" s="50" t="s">
        <v>77</v>
      </c>
      <c r="P27" s="38">
        <v>1010.0</v>
      </c>
      <c r="Q27" s="38">
        <v>810.0</v>
      </c>
      <c r="R27" s="38">
        <v>269.0</v>
      </c>
      <c r="S27" s="38">
        <v>235.0</v>
      </c>
      <c r="T27" s="38">
        <v>122.0</v>
      </c>
      <c r="U27" s="48">
        <f t="shared" si="9"/>
        <v>2089</v>
      </c>
      <c r="V27" s="48">
        <f t="shared" si="10"/>
        <v>2446</v>
      </c>
      <c r="W27" s="49">
        <f t="shared" si="11"/>
        <v>0.483484921</v>
      </c>
      <c r="X27" s="49">
        <f t="shared" si="12"/>
        <v>0.3877453327</v>
      </c>
      <c r="Y27" s="49">
        <f t="shared" si="13"/>
        <v>0.1287697463</v>
      </c>
      <c r="Z27" s="32" t="str">
        <f t="shared" si="14"/>
        <v>Jango</v>
      </c>
      <c r="AA27" s="50" t="s">
        <v>77</v>
      </c>
      <c r="AB27" s="38">
        <v>4011.0</v>
      </c>
      <c r="AC27" s="48">
        <f t="shared" si="15"/>
        <v>1565</v>
      </c>
      <c r="AD27" s="51">
        <f t="shared" si="16"/>
        <v>0.6098229868</v>
      </c>
    </row>
    <row r="28">
      <c r="A28" s="23"/>
      <c r="B28" s="46" t="s">
        <v>1047</v>
      </c>
      <c r="C28" s="47"/>
      <c r="D28" s="38">
        <v>751.0</v>
      </c>
      <c r="E28" s="38">
        <v>967.0</v>
      </c>
      <c r="F28" s="38">
        <v>198.0</v>
      </c>
      <c r="G28" s="38">
        <v>147.0</v>
      </c>
      <c r="H28" s="38">
        <v>194.0</v>
      </c>
      <c r="I28" s="48">
        <f t="shared" si="3"/>
        <v>1916</v>
      </c>
      <c r="J28" s="48">
        <f t="shared" si="4"/>
        <v>2257</v>
      </c>
      <c r="K28" s="49">
        <f t="shared" si="5"/>
        <v>0.3919624217</v>
      </c>
      <c r="L28" s="49">
        <f t="shared" si="6"/>
        <v>0.504697286</v>
      </c>
      <c r="M28" s="49">
        <f t="shared" si="7"/>
        <v>0.1033402923</v>
      </c>
      <c r="N28" s="32" t="str">
        <f t="shared" si="8"/>
        <v>Mal. Lott</v>
      </c>
      <c r="O28" s="50" t="s">
        <v>77</v>
      </c>
      <c r="P28" s="38">
        <v>873.0</v>
      </c>
      <c r="Q28" s="38">
        <v>659.0</v>
      </c>
      <c r="R28" s="38">
        <v>262.0</v>
      </c>
      <c r="S28" s="38">
        <v>325.0</v>
      </c>
      <c r="T28" s="38">
        <v>138.0</v>
      </c>
      <c r="U28" s="48">
        <f t="shared" si="9"/>
        <v>1794</v>
      </c>
      <c r="V28" s="48">
        <f t="shared" si="10"/>
        <v>2257</v>
      </c>
      <c r="W28" s="49">
        <f t="shared" si="11"/>
        <v>0.4866220736</v>
      </c>
      <c r="X28" s="49">
        <f t="shared" si="12"/>
        <v>0.367335563</v>
      </c>
      <c r="Y28" s="49">
        <f t="shared" si="13"/>
        <v>0.1460423634</v>
      </c>
      <c r="Z28" s="32" t="str">
        <f t="shared" si="14"/>
        <v>Jango</v>
      </c>
      <c r="AA28" s="50" t="s">
        <v>77</v>
      </c>
      <c r="AB28" s="38">
        <v>3522.0</v>
      </c>
      <c r="AC28" s="48">
        <f t="shared" si="15"/>
        <v>1265</v>
      </c>
      <c r="AD28" s="51">
        <f t="shared" si="16"/>
        <v>0.6408290744</v>
      </c>
    </row>
    <row r="29">
      <c r="A29" s="24"/>
      <c r="B29" s="46" t="s">
        <v>1048</v>
      </c>
      <c r="C29" s="47"/>
      <c r="D29" s="38">
        <v>346.0</v>
      </c>
      <c r="E29" s="38">
        <v>411.0</v>
      </c>
      <c r="F29" s="38">
        <v>91.0</v>
      </c>
      <c r="G29" s="38">
        <v>70.0</v>
      </c>
      <c r="H29" s="38">
        <v>76.0</v>
      </c>
      <c r="I29" s="48">
        <f t="shared" si="3"/>
        <v>848</v>
      </c>
      <c r="J29" s="48">
        <f t="shared" si="4"/>
        <v>994</v>
      </c>
      <c r="K29" s="49">
        <f t="shared" si="5"/>
        <v>0.4080188679</v>
      </c>
      <c r="L29" s="49">
        <f t="shared" si="6"/>
        <v>0.4846698113</v>
      </c>
      <c r="M29" s="49">
        <f t="shared" si="7"/>
        <v>0.1073113208</v>
      </c>
      <c r="N29" s="32" t="str">
        <f t="shared" si="8"/>
        <v>Mal. Lott</v>
      </c>
      <c r="O29" s="50" t="s">
        <v>77</v>
      </c>
      <c r="P29" s="38">
        <v>341.0</v>
      </c>
      <c r="Q29" s="38">
        <v>224.0</v>
      </c>
      <c r="R29" s="38">
        <v>207.0</v>
      </c>
      <c r="S29" s="38">
        <v>166.0</v>
      </c>
      <c r="T29" s="38">
        <v>56.0</v>
      </c>
      <c r="U29" s="48">
        <f t="shared" si="9"/>
        <v>772</v>
      </c>
      <c r="V29" s="48">
        <f t="shared" si="10"/>
        <v>994</v>
      </c>
      <c r="W29" s="49">
        <f t="shared" si="11"/>
        <v>0.4417098446</v>
      </c>
      <c r="X29" s="49">
        <f t="shared" si="12"/>
        <v>0.2901554404</v>
      </c>
      <c r="Y29" s="49">
        <f t="shared" si="13"/>
        <v>0.268134715</v>
      </c>
      <c r="Z29" s="32" t="str">
        <f t="shared" si="14"/>
        <v>Jango</v>
      </c>
      <c r="AA29" s="50" t="s">
        <v>77</v>
      </c>
      <c r="AB29" s="38">
        <v>1726.0</v>
      </c>
      <c r="AC29" s="48">
        <f t="shared" si="15"/>
        <v>732</v>
      </c>
      <c r="AD29" s="51">
        <f t="shared" si="16"/>
        <v>0.5758980301</v>
      </c>
    </row>
    <row r="30">
      <c r="A30" s="61" t="s">
        <v>114</v>
      </c>
      <c r="B30" s="46" t="s">
        <v>1049</v>
      </c>
      <c r="C30" s="47"/>
      <c r="D30" s="38">
        <v>1323.0</v>
      </c>
      <c r="E30" s="38">
        <v>2489.0</v>
      </c>
      <c r="F30" s="38">
        <v>268.0</v>
      </c>
      <c r="G30" s="38">
        <v>126.0</v>
      </c>
      <c r="H30" s="38">
        <v>128.0</v>
      </c>
      <c r="I30" s="48">
        <f t="shared" si="3"/>
        <v>4080</v>
      </c>
      <c r="J30" s="48">
        <f t="shared" si="4"/>
        <v>4334</v>
      </c>
      <c r="K30" s="49">
        <f t="shared" si="5"/>
        <v>0.3242647059</v>
      </c>
      <c r="L30" s="49">
        <f t="shared" si="6"/>
        <v>0.6100490196</v>
      </c>
      <c r="M30" s="49">
        <f t="shared" si="7"/>
        <v>0.06568627451</v>
      </c>
      <c r="N30" s="32" t="str">
        <f t="shared" si="8"/>
        <v>Mal. Lott</v>
      </c>
      <c r="O30" s="50" t="s">
        <v>77</v>
      </c>
      <c r="P30" s="38">
        <v>2915.0</v>
      </c>
      <c r="Q30" s="38">
        <v>590.0</v>
      </c>
      <c r="R30" s="38">
        <v>507.0</v>
      </c>
      <c r="S30" s="38">
        <v>233.0</v>
      </c>
      <c r="T30" s="38">
        <v>89.0</v>
      </c>
      <c r="U30" s="48">
        <f t="shared" si="9"/>
        <v>4012</v>
      </c>
      <c r="V30" s="48">
        <f t="shared" si="10"/>
        <v>4334</v>
      </c>
      <c r="W30" s="49">
        <f t="shared" si="11"/>
        <v>0.7265702891</v>
      </c>
      <c r="X30" s="49">
        <f t="shared" si="12"/>
        <v>0.1470588235</v>
      </c>
      <c r="Y30" s="49">
        <f t="shared" si="13"/>
        <v>0.1263708873</v>
      </c>
      <c r="Z30" s="32" t="str">
        <f t="shared" si="14"/>
        <v>Jango</v>
      </c>
      <c r="AA30" s="50" t="s">
        <v>77</v>
      </c>
      <c r="AB30" s="38">
        <v>6084.0</v>
      </c>
      <c r="AC30" s="48">
        <f t="shared" si="15"/>
        <v>1750</v>
      </c>
      <c r="AD30" s="51">
        <f t="shared" si="16"/>
        <v>0.7123602893</v>
      </c>
    </row>
    <row r="31">
      <c r="A31" s="24"/>
      <c r="B31" s="46" t="s">
        <v>1050</v>
      </c>
      <c r="C31" s="47"/>
      <c r="D31" s="38">
        <v>843.0</v>
      </c>
      <c r="E31" s="38">
        <v>928.0</v>
      </c>
      <c r="F31" s="38">
        <v>71.0</v>
      </c>
      <c r="G31" s="38">
        <v>87.0</v>
      </c>
      <c r="H31" s="38">
        <v>92.0</v>
      </c>
      <c r="I31" s="48">
        <f t="shared" si="3"/>
        <v>1842</v>
      </c>
      <c r="J31" s="48">
        <f t="shared" si="4"/>
        <v>2021</v>
      </c>
      <c r="K31" s="49">
        <f t="shared" si="5"/>
        <v>0.4576547231</v>
      </c>
      <c r="L31" s="49">
        <f t="shared" si="6"/>
        <v>0.5038002172</v>
      </c>
      <c r="M31" s="49">
        <f t="shared" si="7"/>
        <v>0.03854505972</v>
      </c>
      <c r="N31" s="32" t="str">
        <f t="shared" si="8"/>
        <v>Mal. Lott</v>
      </c>
      <c r="O31" s="50" t="s">
        <v>77</v>
      </c>
      <c r="P31" s="38">
        <v>880.0</v>
      </c>
      <c r="Q31" s="38">
        <v>831.0</v>
      </c>
      <c r="R31" s="38">
        <v>75.0</v>
      </c>
      <c r="S31" s="38">
        <v>176.0</v>
      </c>
      <c r="T31" s="38">
        <v>59.0</v>
      </c>
      <c r="U31" s="48">
        <f t="shared" si="9"/>
        <v>1786</v>
      </c>
      <c r="V31" s="48">
        <f t="shared" si="10"/>
        <v>2021</v>
      </c>
      <c r="W31" s="49">
        <f t="shared" si="11"/>
        <v>0.4927211646</v>
      </c>
      <c r="X31" s="49">
        <f t="shared" si="12"/>
        <v>0.4652855543</v>
      </c>
      <c r="Y31" s="49">
        <f t="shared" si="13"/>
        <v>0.04199328108</v>
      </c>
      <c r="Z31" s="32" t="str">
        <f t="shared" si="14"/>
        <v>Jango</v>
      </c>
      <c r="AA31" s="50" t="s">
        <v>77</v>
      </c>
      <c r="AB31" s="38">
        <v>3950.0</v>
      </c>
      <c r="AC31" s="48">
        <f t="shared" si="15"/>
        <v>1929</v>
      </c>
      <c r="AD31" s="51">
        <f t="shared" si="16"/>
        <v>0.5116455696</v>
      </c>
    </row>
    <row r="32">
      <c r="A32" s="61" t="s">
        <v>117</v>
      </c>
      <c r="B32" s="46" t="s">
        <v>1051</v>
      </c>
      <c r="C32" s="47"/>
      <c r="D32" s="38">
        <v>2640.0</v>
      </c>
      <c r="E32" s="38">
        <v>4495.0</v>
      </c>
      <c r="F32" s="38">
        <v>1194.0</v>
      </c>
      <c r="G32" s="38">
        <v>382.0</v>
      </c>
      <c r="H32" s="38">
        <v>516.0</v>
      </c>
      <c r="I32" s="48">
        <f t="shared" si="3"/>
        <v>8329</v>
      </c>
      <c r="J32" s="48">
        <f t="shared" si="4"/>
        <v>9227</v>
      </c>
      <c r="K32" s="49">
        <f t="shared" si="5"/>
        <v>0.3169648217</v>
      </c>
      <c r="L32" s="49">
        <f t="shared" si="6"/>
        <v>0.5396806339</v>
      </c>
      <c r="M32" s="49">
        <f t="shared" si="7"/>
        <v>0.1433545444</v>
      </c>
      <c r="N32" s="32" t="str">
        <f t="shared" si="8"/>
        <v>Mal. Lott</v>
      </c>
      <c r="O32" s="50" t="s">
        <v>77</v>
      </c>
      <c r="P32" s="38">
        <v>4309.0</v>
      </c>
      <c r="Q32" s="38">
        <v>1911.0</v>
      </c>
      <c r="R32" s="38">
        <v>1958.0</v>
      </c>
      <c r="S32" s="38">
        <v>650.0</v>
      </c>
      <c r="T32" s="38">
        <v>399.0</v>
      </c>
      <c r="U32" s="48">
        <f t="shared" si="9"/>
        <v>8178</v>
      </c>
      <c r="V32" s="48">
        <f t="shared" si="10"/>
        <v>9227</v>
      </c>
      <c r="W32" s="49">
        <f t="shared" si="11"/>
        <v>0.5269014429</v>
      </c>
      <c r="X32" s="49">
        <f t="shared" si="12"/>
        <v>0.2336757153</v>
      </c>
      <c r="Y32" s="49">
        <f t="shared" si="13"/>
        <v>0.2394228418</v>
      </c>
      <c r="Z32" s="32" t="str">
        <f t="shared" si="14"/>
        <v>Jango</v>
      </c>
      <c r="AA32" s="50" t="s">
        <v>77</v>
      </c>
      <c r="AB32" s="38">
        <v>12946.0</v>
      </c>
      <c r="AC32" s="48">
        <f t="shared" si="15"/>
        <v>3719</v>
      </c>
      <c r="AD32" s="51">
        <f t="shared" si="16"/>
        <v>0.7127298007</v>
      </c>
    </row>
    <row r="33">
      <c r="A33" s="23"/>
      <c r="B33" s="46" t="s">
        <v>1052</v>
      </c>
      <c r="C33" s="47"/>
      <c r="D33" s="38">
        <v>505.0</v>
      </c>
      <c r="E33" s="38">
        <v>599.0</v>
      </c>
      <c r="F33" s="38">
        <v>68.0</v>
      </c>
      <c r="G33" s="38">
        <v>49.0</v>
      </c>
      <c r="H33" s="38">
        <v>63.0</v>
      </c>
      <c r="I33" s="48">
        <f t="shared" si="3"/>
        <v>1172</v>
      </c>
      <c r="J33" s="48">
        <f t="shared" si="4"/>
        <v>1284</v>
      </c>
      <c r="K33" s="49">
        <f t="shared" si="5"/>
        <v>0.430887372</v>
      </c>
      <c r="L33" s="49">
        <f t="shared" si="6"/>
        <v>0.5110921502</v>
      </c>
      <c r="M33" s="49">
        <f t="shared" si="7"/>
        <v>0.05802047782</v>
      </c>
      <c r="N33" s="32" t="str">
        <f t="shared" si="8"/>
        <v>Mal. Lott</v>
      </c>
      <c r="O33" s="50" t="s">
        <v>77</v>
      </c>
      <c r="P33" s="38">
        <v>235.0</v>
      </c>
      <c r="Q33" s="38">
        <v>392.0</v>
      </c>
      <c r="R33" s="38">
        <v>524.0</v>
      </c>
      <c r="S33" s="38">
        <v>86.0</v>
      </c>
      <c r="T33" s="38">
        <v>47.0</v>
      </c>
      <c r="U33" s="48">
        <f t="shared" si="9"/>
        <v>1151</v>
      </c>
      <c r="V33" s="48">
        <f t="shared" si="10"/>
        <v>1284</v>
      </c>
      <c r="W33" s="49">
        <f t="shared" si="11"/>
        <v>0.2041702867</v>
      </c>
      <c r="X33" s="49">
        <f t="shared" si="12"/>
        <v>0.3405734144</v>
      </c>
      <c r="Y33" s="49">
        <f t="shared" si="13"/>
        <v>0.4552562989</v>
      </c>
      <c r="Z33" s="32" t="str">
        <f t="shared" si="14"/>
        <v>Ferrari</v>
      </c>
      <c r="AA33" s="50" t="s">
        <v>77</v>
      </c>
      <c r="AB33" s="38">
        <v>2421.0</v>
      </c>
      <c r="AC33" s="48">
        <f t="shared" si="15"/>
        <v>1137</v>
      </c>
      <c r="AD33" s="51">
        <f t="shared" si="16"/>
        <v>0.5303593556</v>
      </c>
    </row>
    <row r="34">
      <c r="A34" s="24"/>
      <c r="B34" s="46" t="s">
        <v>1053</v>
      </c>
      <c r="C34" s="47"/>
      <c r="D34" s="38">
        <v>454.0</v>
      </c>
      <c r="E34" s="38">
        <v>798.0</v>
      </c>
      <c r="F34" s="38">
        <v>115.0</v>
      </c>
      <c r="G34" s="38">
        <v>104.0</v>
      </c>
      <c r="H34" s="38">
        <v>97.0</v>
      </c>
      <c r="I34" s="48">
        <f t="shared" si="3"/>
        <v>1367</v>
      </c>
      <c r="J34" s="48">
        <f t="shared" si="4"/>
        <v>1568</v>
      </c>
      <c r="K34" s="49">
        <f t="shared" si="5"/>
        <v>0.3321141185</v>
      </c>
      <c r="L34" s="49">
        <f t="shared" si="6"/>
        <v>0.5837600585</v>
      </c>
      <c r="M34" s="49">
        <f t="shared" si="7"/>
        <v>0.08412582297</v>
      </c>
      <c r="N34" s="32" t="str">
        <f t="shared" si="8"/>
        <v>Mal. Lott</v>
      </c>
      <c r="O34" s="50" t="s">
        <v>77</v>
      </c>
      <c r="P34" s="38">
        <v>622.0</v>
      </c>
      <c r="Q34" s="38">
        <v>348.0</v>
      </c>
      <c r="R34" s="38">
        <v>356.0</v>
      </c>
      <c r="S34" s="38">
        <v>147.0</v>
      </c>
      <c r="T34" s="38">
        <v>95.0</v>
      </c>
      <c r="U34" s="48">
        <f t="shared" si="9"/>
        <v>1326</v>
      </c>
      <c r="V34" s="48">
        <f t="shared" si="10"/>
        <v>1568</v>
      </c>
      <c r="W34" s="49">
        <f t="shared" si="11"/>
        <v>0.4690799397</v>
      </c>
      <c r="X34" s="49">
        <f t="shared" si="12"/>
        <v>0.2624434389</v>
      </c>
      <c r="Y34" s="49">
        <f t="shared" si="13"/>
        <v>0.2684766214</v>
      </c>
      <c r="Z34" s="32" t="str">
        <f t="shared" si="14"/>
        <v>Jango</v>
      </c>
      <c r="AA34" s="50" t="s">
        <v>77</v>
      </c>
      <c r="AB34" s="38">
        <v>2580.0</v>
      </c>
      <c r="AC34" s="48">
        <f t="shared" si="15"/>
        <v>1012</v>
      </c>
      <c r="AD34" s="51">
        <f t="shared" si="16"/>
        <v>0.607751938</v>
      </c>
    </row>
    <row r="35">
      <c r="A35" s="110" t="s">
        <v>119</v>
      </c>
      <c r="B35" s="46" t="s">
        <v>748</v>
      </c>
      <c r="C35" s="47"/>
      <c r="D35" s="38">
        <v>2826.0</v>
      </c>
      <c r="E35" s="38">
        <v>4313.0</v>
      </c>
      <c r="F35" s="38">
        <v>704.0</v>
      </c>
      <c r="G35" s="38">
        <v>326.0</v>
      </c>
      <c r="H35" s="38">
        <v>379.0</v>
      </c>
      <c r="I35" s="48">
        <f t="shared" si="3"/>
        <v>7843</v>
      </c>
      <c r="J35" s="48">
        <f t="shared" si="4"/>
        <v>8548</v>
      </c>
      <c r="K35" s="49">
        <f t="shared" si="5"/>
        <v>0.3603213056</v>
      </c>
      <c r="L35" s="49">
        <f t="shared" si="6"/>
        <v>0.5499171235</v>
      </c>
      <c r="M35" s="49">
        <f t="shared" si="7"/>
        <v>0.08976157083</v>
      </c>
      <c r="N35" s="32" t="str">
        <f t="shared" si="8"/>
        <v>Mal. Lott</v>
      </c>
      <c r="O35" s="50" t="s">
        <v>77</v>
      </c>
      <c r="P35" s="38">
        <v>4056.0</v>
      </c>
      <c r="Q35" s="38">
        <v>2468.0</v>
      </c>
      <c r="R35" s="38">
        <v>1163.0</v>
      </c>
      <c r="S35" s="38">
        <v>552.0</v>
      </c>
      <c r="T35" s="38">
        <v>309.0</v>
      </c>
      <c r="U35" s="48">
        <f t="shared" si="9"/>
        <v>7687</v>
      </c>
      <c r="V35" s="48">
        <f t="shared" si="10"/>
        <v>8548</v>
      </c>
      <c r="W35" s="49">
        <f t="shared" si="11"/>
        <v>0.5276440744</v>
      </c>
      <c r="X35" s="49">
        <f t="shared" si="12"/>
        <v>0.3210615325</v>
      </c>
      <c r="Y35" s="49">
        <f t="shared" si="13"/>
        <v>0.1512943931</v>
      </c>
      <c r="Z35" s="32" t="str">
        <f t="shared" si="14"/>
        <v>Jango</v>
      </c>
      <c r="AA35" s="50" t="s">
        <v>77</v>
      </c>
      <c r="AB35" s="38">
        <v>12159.0</v>
      </c>
      <c r="AC35" s="48">
        <f t="shared" si="15"/>
        <v>3611</v>
      </c>
      <c r="AD35" s="51">
        <f t="shared" si="16"/>
        <v>0.7030183403</v>
      </c>
    </row>
    <row r="36">
      <c r="A36" s="61" t="s">
        <v>123</v>
      </c>
      <c r="B36" s="46" t="s">
        <v>1054</v>
      </c>
      <c r="C36" s="47"/>
      <c r="D36" s="38">
        <v>1129.0</v>
      </c>
      <c r="E36" s="38">
        <v>2134.0</v>
      </c>
      <c r="F36" s="38">
        <v>504.0</v>
      </c>
      <c r="G36" s="38">
        <v>186.0</v>
      </c>
      <c r="H36" s="38">
        <v>241.0</v>
      </c>
      <c r="I36" s="48">
        <f t="shared" si="3"/>
        <v>3767</v>
      </c>
      <c r="J36" s="48">
        <f t="shared" si="4"/>
        <v>4194</v>
      </c>
      <c r="K36" s="49">
        <f t="shared" si="5"/>
        <v>0.2997079904</v>
      </c>
      <c r="L36" s="49">
        <f t="shared" si="6"/>
        <v>0.56649854</v>
      </c>
      <c r="M36" s="49">
        <f t="shared" si="7"/>
        <v>0.1337934696</v>
      </c>
      <c r="N36" s="32" t="str">
        <f t="shared" si="8"/>
        <v>Mal. Lott</v>
      </c>
      <c r="O36" s="50" t="s">
        <v>77</v>
      </c>
      <c r="P36" s="38">
        <v>2096.0</v>
      </c>
      <c r="Q36" s="38">
        <v>1125.0</v>
      </c>
      <c r="R36" s="38">
        <v>480.0</v>
      </c>
      <c r="S36" s="38">
        <v>302.0</v>
      </c>
      <c r="T36" s="38">
        <v>191.0</v>
      </c>
      <c r="U36" s="48">
        <f t="shared" si="9"/>
        <v>3701</v>
      </c>
      <c r="V36" s="48">
        <f t="shared" si="10"/>
        <v>4194</v>
      </c>
      <c r="W36" s="49">
        <f t="shared" si="11"/>
        <v>0.5663334234</v>
      </c>
      <c r="X36" s="49">
        <f t="shared" si="12"/>
        <v>0.3039718995</v>
      </c>
      <c r="Y36" s="49">
        <f t="shared" si="13"/>
        <v>0.1296946771</v>
      </c>
      <c r="Z36" s="32" t="str">
        <f t="shared" si="14"/>
        <v>Jango</v>
      </c>
      <c r="AA36" s="50" t="s">
        <v>77</v>
      </c>
      <c r="AB36" s="38">
        <v>5927.0</v>
      </c>
      <c r="AC36" s="48">
        <f t="shared" si="15"/>
        <v>1733</v>
      </c>
      <c r="AD36" s="51">
        <f t="shared" si="16"/>
        <v>0.7076092458</v>
      </c>
    </row>
    <row r="37">
      <c r="A37" s="24"/>
      <c r="B37" s="46" t="s">
        <v>1055</v>
      </c>
      <c r="C37" s="47"/>
      <c r="D37" s="38">
        <v>611.0</v>
      </c>
      <c r="E37" s="38">
        <v>242.0</v>
      </c>
      <c r="F37" s="38">
        <v>62.0</v>
      </c>
      <c r="G37" s="38">
        <v>43.0</v>
      </c>
      <c r="H37" s="38">
        <v>27.0</v>
      </c>
      <c r="I37" s="48">
        <f t="shared" si="3"/>
        <v>915</v>
      </c>
      <c r="J37" s="48">
        <f t="shared" si="4"/>
        <v>985</v>
      </c>
      <c r="K37" s="49">
        <f t="shared" si="5"/>
        <v>0.6677595628</v>
      </c>
      <c r="L37" s="49">
        <f t="shared" si="6"/>
        <v>0.2644808743</v>
      </c>
      <c r="M37" s="49">
        <f t="shared" si="7"/>
        <v>0.06775956284</v>
      </c>
      <c r="N37" s="32" t="str">
        <f t="shared" si="8"/>
        <v>Jânio</v>
      </c>
      <c r="O37" s="50" t="s">
        <v>77</v>
      </c>
      <c r="P37" s="38">
        <v>236.0</v>
      </c>
      <c r="Q37" s="38">
        <v>598.0</v>
      </c>
      <c r="R37" s="38">
        <v>62.0</v>
      </c>
      <c r="S37" s="38">
        <v>67.0</v>
      </c>
      <c r="T37" s="38">
        <v>22.0</v>
      </c>
      <c r="U37" s="48">
        <f t="shared" si="9"/>
        <v>896</v>
      </c>
      <c r="V37" s="48">
        <f t="shared" si="10"/>
        <v>985</v>
      </c>
      <c r="W37" s="49">
        <f t="shared" si="11"/>
        <v>0.2633928571</v>
      </c>
      <c r="X37" s="49">
        <f t="shared" si="12"/>
        <v>0.6674107143</v>
      </c>
      <c r="Y37" s="49">
        <f t="shared" si="13"/>
        <v>0.06919642857</v>
      </c>
      <c r="Z37" s="32" t="str">
        <f t="shared" si="14"/>
        <v>Milton</v>
      </c>
      <c r="AA37" s="50" t="s">
        <v>77</v>
      </c>
      <c r="AB37" s="38">
        <v>1228.0</v>
      </c>
      <c r="AC37" s="48">
        <f t="shared" si="15"/>
        <v>243</v>
      </c>
      <c r="AD37" s="51">
        <f t="shared" si="16"/>
        <v>0.8021172638</v>
      </c>
    </row>
    <row r="38">
      <c r="A38" s="61" t="s">
        <v>125</v>
      </c>
      <c r="B38" s="46" t="s">
        <v>1056</v>
      </c>
      <c r="C38" s="47"/>
      <c r="D38" s="38">
        <v>610.0</v>
      </c>
      <c r="E38" s="38">
        <v>996.0</v>
      </c>
      <c r="F38" s="38">
        <v>149.0</v>
      </c>
      <c r="G38" s="38">
        <v>64.0</v>
      </c>
      <c r="H38" s="38">
        <v>99.0</v>
      </c>
      <c r="I38" s="48">
        <f t="shared" si="3"/>
        <v>1755</v>
      </c>
      <c r="J38" s="48">
        <f t="shared" si="4"/>
        <v>1918</v>
      </c>
      <c r="K38" s="49">
        <f t="shared" si="5"/>
        <v>0.3475783476</v>
      </c>
      <c r="L38" s="49">
        <f t="shared" si="6"/>
        <v>0.5675213675</v>
      </c>
      <c r="M38" s="49">
        <f t="shared" si="7"/>
        <v>0.0849002849</v>
      </c>
      <c r="N38" s="32" t="str">
        <f t="shared" si="8"/>
        <v>Mal. Lott</v>
      </c>
      <c r="O38" s="50" t="s">
        <v>77</v>
      </c>
      <c r="P38" s="38">
        <v>982.0</v>
      </c>
      <c r="Q38" s="38">
        <v>610.0</v>
      </c>
      <c r="R38" s="38">
        <v>146.0</v>
      </c>
      <c r="S38" s="38">
        <v>105.0</v>
      </c>
      <c r="T38" s="38">
        <v>75.0</v>
      </c>
      <c r="U38" s="48">
        <f t="shared" si="9"/>
        <v>1738</v>
      </c>
      <c r="V38" s="48">
        <f t="shared" si="10"/>
        <v>1918</v>
      </c>
      <c r="W38" s="49">
        <f t="shared" si="11"/>
        <v>0.5650172612</v>
      </c>
      <c r="X38" s="49">
        <f t="shared" si="12"/>
        <v>0.3509781358</v>
      </c>
      <c r="Y38" s="49">
        <f t="shared" si="13"/>
        <v>0.08400460299</v>
      </c>
      <c r="Z38" s="32" t="str">
        <f t="shared" si="14"/>
        <v>Jango</v>
      </c>
      <c r="AA38" s="50" t="s">
        <v>77</v>
      </c>
      <c r="AB38" s="38">
        <v>2830.0</v>
      </c>
      <c r="AC38" s="48">
        <f t="shared" si="15"/>
        <v>912</v>
      </c>
      <c r="AD38" s="51">
        <f t="shared" si="16"/>
        <v>0.6777385159</v>
      </c>
    </row>
    <row r="39">
      <c r="A39" s="23"/>
      <c r="B39" s="46" t="s">
        <v>1057</v>
      </c>
      <c r="C39" s="47"/>
      <c r="D39" s="38">
        <v>1209.0</v>
      </c>
      <c r="E39" s="38">
        <v>1653.0</v>
      </c>
      <c r="F39" s="38">
        <v>144.0</v>
      </c>
      <c r="G39" s="38">
        <v>77.0</v>
      </c>
      <c r="H39" s="38">
        <v>111.0</v>
      </c>
      <c r="I39" s="48">
        <f t="shared" si="3"/>
        <v>3006</v>
      </c>
      <c r="J39" s="48">
        <f t="shared" si="4"/>
        <v>3194</v>
      </c>
      <c r="K39" s="49">
        <f t="shared" si="5"/>
        <v>0.4021956088</v>
      </c>
      <c r="L39" s="49">
        <f t="shared" si="6"/>
        <v>0.5499001996</v>
      </c>
      <c r="M39" s="49">
        <f t="shared" si="7"/>
        <v>0.04790419162</v>
      </c>
      <c r="N39" s="32" t="str">
        <f t="shared" si="8"/>
        <v>Mal. Lott</v>
      </c>
      <c r="O39" s="50" t="s">
        <v>77</v>
      </c>
      <c r="P39" s="38">
        <v>1608.0</v>
      </c>
      <c r="Q39" s="38">
        <v>1126.0</v>
      </c>
      <c r="R39" s="38">
        <v>211.0</v>
      </c>
      <c r="S39" s="38">
        <v>171.0</v>
      </c>
      <c r="T39" s="38">
        <v>78.0</v>
      </c>
      <c r="U39" s="48">
        <f t="shared" si="9"/>
        <v>2945</v>
      </c>
      <c r="V39" s="48">
        <f t="shared" si="10"/>
        <v>3194</v>
      </c>
      <c r="W39" s="49">
        <f t="shared" si="11"/>
        <v>0.5460101868</v>
      </c>
      <c r="X39" s="49">
        <f t="shared" si="12"/>
        <v>0.3823429542</v>
      </c>
      <c r="Y39" s="49">
        <f t="shared" si="13"/>
        <v>0.07164685908</v>
      </c>
      <c r="Z39" s="32" t="str">
        <f t="shared" si="14"/>
        <v>Jango</v>
      </c>
      <c r="AA39" s="50" t="s">
        <v>77</v>
      </c>
      <c r="AB39" s="38">
        <v>4502.0</v>
      </c>
      <c r="AC39" s="48">
        <f t="shared" si="15"/>
        <v>1308</v>
      </c>
      <c r="AD39" s="51">
        <f t="shared" si="16"/>
        <v>0.7094624611</v>
      </c>
    </row>
    <row r="40">
      <c r="A40" s="23"/>
      <c r="B40" s="46" t="s">
        <v>1058</v>
      </c>
      <c r="C40" s="47"/>
      <c r="D40" s="38">
        <v>1126.0</v>
      </c>
      <c r="E40" s="38">
        <v>1597.0</v>
      </c>
      <c r="F40" s="38">
        <v>340.0</v>
      </c>
      <c r="G40" s="38">
        <v>137.0</v>
      </c>
      <c r="H40" s="38">
        <v>148.0</v>
      </c>
      <c r="I40" s="48">
        <f t="shared" si="3"/>
        <v>3063</v>
      </c>
      <c r="J40" s="48">
        <f t="shared" si="4"/>
        <v>3348</v>
      </c>
      <c r="K40" s="49">
        <f t="shared" si="5"/>
        <v>0.3676134509</v>
      </c>
      <c r="L40" s="49">
        <f t="shared" si="6"/>
        <v>0.5213842638</v>
      </c>
      <c r="M40" s="49">
        <f t="shared" si="7"/>
        <v>0.1110022853</v>
      </c>
      <c r="N40" s="32" t="str">
        <f t="shared" si="8"/>
        <v>Mal. Lott</v>
      </c>
      <c r="O40" s="50" t="s">
        <v>77</v>
      </c>
      <c r="P40" s="38">
        <v>1604.0</v>
      </c>
      <c r="Q40" s="38">
        <v>1110.0</v>
      </c>
      <c r="R40" s="38">
        <v>252.0</v>
      </c>
      <c r="S40" s="38">
        <v>218.0</v>
      </c>
      <c r="T40" s="38">
        <v>164.0</v>
      </c>
      <c r="U40" s="48">
        <f t="shared" si="9"/>
        <v>2966</v>
      </c>
      <c r="V40" s="48">
        <f t="shared" si="10"/>
        <v>3348</v>
      </c>
      <c r="W40" s="49">
        <f t="shared" si="11"/>
        <v>0.5407956844</v>
      </c>
      <c r="X40" s="49">
        <f t="shared" si="12"/>
        <v>0.3742414026</v>
      </c>
      <c r="Y40" s="49">
        <f t="shared" si="13"/>
        <v>0.08496291301</v>
      </c>
      <c r="Z40" s="32" t="str">
        <f t="shared" si="14"/>
        <v>Jango</v>
      </c>
      <c r="AA40" s="50" t="s">
        <v>77</v>
      </c>
      <c r="AB40" s="38">
        <v>5466.0</v>
      </c>
      <c r="AC40" s="48">
        <f t="shared" si="15"/>
        <v>2118</v>
      </c>
      <c r="AD40" s="51">
        <f t="shared" si="16"/>
        <v>0.6125137212</v>
      </c>
    </row>
    <row r="41">
      <c r="A41" s="24"/>
      <c r="B41" s="46" t="s">
        <v>1059</v>
      </c>
      <c r="C41" s="47"/>
      <c r="D41" s="38">
        <v>348.0</v>
      </c>
      <c r="E41" s="38">
        <v>585.0</v>
      </c>
      <c r="F41" s="38">
        <v>148.0</v>
      </c>
      <c r="G41" s="38">
        <v>54.0</v>
      </c>
      <c r="H41" s="38">
        <v>44.0</v>
      </c>
      <c r="I41" s="48">
        <f t="shared" si="3"/>
        <v>1081</v>
      </c>
      <c r="J41" s="48">
        <f t="shared" si="4"/>
        <v>1179</v>
      </c>
      <c r="K41" s="49">
        <f t="shared" si="5"/>
        <v>0.3219241443</v>
      </c>
      <c r="L41" s="49">
        <f t="shared" si="6"/>
        <v>0.5411655874</v>
      </c>
      <c r="M41" s="49">
        <f t="shared" si="7"/>
        <v>0.1369102683</v>
      </c>
      <c r="N41" s="32" t="str">
        <f t="shared" si="8"/>
        <v>Mal. Lott</v>
      </c>
      <c r="O41" s="50" t="s">
        <v>77</v>
      </c>
      <c r="P41" s="38">
        <v>610.0</v>
      </c>
      <c r="Q41" s="38">
        <v>339.0</v>
      </c>
      <c r="R41" s="38">
        <v>91.0</v>
      </c>
      <c r="S41" s="38">
        <v>100.0</v>
      </c>
      <c r="T41" s="38">
        <v>39.0</v>
      </c>
      <c r="U41" s="48">
        <f t="shared" si="9"/>
        <v>1040</v>
      </c>
      <c r="V41" s="48">
        <f t="shared" si="10"/>
        <v>1179</v>
      </c>
      <c r="W41" s="49">
        <f t="shared" si="11"/>
        <v>0.5865384615</v>
      </c>
      <c r="X41" s="49">
        <f t="shared" si="12"/>
        <v>0.3259615385</v>
      </c>
      <c r="Y41" s="49">
        <f t="shared" si="13"/>
        <v>0.0875</v>
      </c>
      <c r="Z41" s="32" t="str">
        <f t="shared" si="14"/>
        <v>Jango</v>
      </c>
      <c r="AA41" s="50" t="s">
        <v>77</v>
      </c>
      <c r="AB41" s="38">
        <v>1639.0</v>
      </c>
      <c r="AC41" s="48">
        <f t="shared" si="15"/>
        <v>460</v>
      </c>
      <c r="AD41" s="51">
        <f t="shared" si="16"/>
        <v>0.7193410616</v>
      </c>
    </row>
    <row r="42">
      <c r="A42" s="61" t="s">
        <v>127</v>
      </c>
      <c r="B42" s="46" t="s">
        <v>1060</v>
      </c>
      <c r="C42" s="47"/>
      <c r="D42" s="38">
        <v>1324.0</v>
      </c>
      <c r="E42" s="38">
        <v>2259.0</v>
      </c>
      <c r="F42" s="38">
        <v>271.0</v>
      </c>
      <c r="G42" s="38">
        <v>164.0</v>
      </c>
      <c r="H42" s="38">
        <v>249.0</v>
      </c>
      <c r="I42" s="48">
        <f t="shared" si="3"/>
        <v>3854</v>
      </c>
      <c r="J42" s="48">
        <f t="shared" si="4"/>
        <v>4267</v>
      </c>
      <c r="K42" s="49">
        <f t="shared" si="5"/>
        <v>0.3435391801</v>
      </c>
      <c r="L42" s="49">
        <f t="shared" si="6"/>
        <v>0.5861442657</v>
      </c>
      <c r="M42" s="49">
        <f t="shared" si="7"/>
        <v>0.07031655423</v>
      </c>
      <c r="N42" s="32" t="str">
        <f t="shared" si="8"/>
        <v>Mal. Lott</v>
      </c>
      <c r="O42" s="50" t="s">
        <v>77</v>
      </c>
      <c r="P42" s="38">
        <v>2331.0</v>
      </c>
      <c r="Q42" s="38">
        <v>1110.0</v>
      </c>
      <c r="R42" s="38">
        <v>350.0</v>
      </c>
      <c r="S42" s="38">
        <v>256.0</v>
      </c>
      <c r="T42" s="38">
        <v>220.0</v>
      </c>
      <c r="U42" s="48">
        <f t="shared" si="9"/>
        <v>3791</v>
      </c>
      <c r="V42" s="48">
        <f t="shared" si="10"/>
        <v>4267</v>
      </c>
      <c r="W42" s="49">
        <f t="shared" si="11"/>
        <v>0.6148773411</v>
      </c>
      <c r="X42" s="49">
        <f t="shared" si="12"/>
        <v>0.2927987338</v>
      </c>
      <c r="Y42" s="49">
        <f t="shared" si="13"/>
        <v>0.09232392509</v>
      </c>
      <c r="Z42" s="32" t="str">
        <f t="shared" si="14"/>
        <v>Jango</v>
      </c>
      <c r="AA42" s="50" t="s">
        <v>77</v>
      </c>
      <c r="AB42" s="38">
        <v>6117.0</v>
      </c>
      <c r="AC42" s="48">
        <f t="shared" si="15"/>
        <v>1850</v>
      </c>
      <c r="AD42" s="51">
        <f t="shared" si="16"/>
        <v>0.6975641654</v>
      </c>
    </row>
    <row r="43">
      <c r="A43" s="23"/>
      <c r="B43" s="46" t="s">
        <v>1061</v>
      </c>
      <c r="C43" s="47"/>
      <c r="D43" s="38">
        <v>226.0</v>
      </c>
      <c r="E43" s="38">
        <v>323.0</v>
      </c>
      <c r="F43" s="38">
        <v>33.0</v>
      </c>
      <c r="G43" s="38">
        <v>27.0</v>
      </c>
      <c r="H43" s="38">
        <v>47.0</v>
      </c>
      <c r="I43" s="48">
        <f t="shared" si="3"/>
        <v>582</v>
      </c>
      <c r="J43" s="48">
        <f t="shared" si="4"/>
        <v>656</v>
      </c>
      <c r="K43" s="49">
        <f t="shared" si="5"/>
        <v>0.3883161512</v>
      </c>
      <c r="L43" s="49">
        <f t="shared" si="6"/>
        <v>0.5549828179</v>
      </c>
      <c r="M43" s="49">
        <f t="shared" si="7"/>
        <v>0.05670103093</v>
      </c>
      <c r="N43" s="32" t="str">
        <f t="shared" si="8"/>
        <v>Mal. Lott</v>
      </c>
      <c r="O43" s="50" t="s">
        <v>77</v>
      </c>
      <c r="P43" s="38">
        <v>295.0</v>
      </c>
      <c r="Q43" s="38">
        <v>183.0</v>
      </c>
      <c r="R43" s="38">
        <v>100.0</v>
      </c>
      <c r="S43" s="38">
        <v>45.0</v>
      </c>
      <c r="T43" s="38">
        <v>33.0</v>
      </c>
      <c r="U43" s="48">
        <f t="shared" si="9"/>
        <v>578</v>
      </c>
      <c r="V43" s="48">
        <f t="shared" si="10"/>
        <v>656</v>
      </c>
      <c r="W43" s="49">
        <f t="shared" si="11"/>
        <v>0.5103806228</v>
      </c>
      <c r="X43" s="49">
        <f t="shared" si="12"/>
        <v>0.3166089965</v>
      </c>
      <c r="Y43" s="49">
        <f t="shared" si="13"/>
        <v>0.1730103806</v>
      </c>
      <c r="Z43" s="32" t="str">
        <f t="shared" si="14"/>
        <v>Jango</v>
      </c>
      <c r="AA43" s="50" t="s">
        <v>77</v>
      </c>
      <c r="AB43" s="38">
        <v>1201.0</v>
      </c>
      <c r="AC43" s="48">
        <f t="shared" si="15"/>
        <v>545</v>
      </c>
      <c r="AD43" s="51">
        <f t="shared" si="16"/>
        <v>0.5462114904</v>
      </c>
    </row>
    <row r="44">
      <c r="A44" s="24"/>
      <c r="B44" s="46" t="s">
        <v>1062</v>
      </c>
      <c r="C44" s="47"/>
      <c r="D44" s="38">
        <v>447.0</v>
      </c>
      <c r="E44" s="38">
        <v>435.0</v>
      </c>
      <c r="F44" s="38">
        <v>61.0</v>
      </c>
      <c r="G44" s="38">
        <v>28.0</v>
      </c>
      <c r="H44" s="38">
        <v>49.0</v>
      </c>
      <c r="I44" s="48">
        <f t="shared" si="3"/>
        <v>943</v>
      </c>
      <c r="J44" s="48">
        <f t="shared" si="4"/>
        <v>1020</v>
      </c>
      <c r="K44" s="49">
        <f t="shared" si="5"/>
        <v>0.474019088</v>
      </c>
      <c r="L44" s="49">
        <f t="shared" si="6"/>
        <v>0.4612937434</v>
      </c>
      <c r="M44" s="49">
        <f t="shared" si="7"/>
        <v>0.06468716861</v>
      </c>
      <c r="N44" s="32" t="str">
        <f t="shared" si="8"/>
        <v>Jânio</v>
      </c>
      <c r="O44" s="50" t="s">
        <v>77</v>
      </c>
      <c r="P44" s="38">
        <v>436.0</v>
      </c>
      <c r="Q44" s="38">
        <v>419.0</v>
      </c>
      <c r="R44" s="38">
        <v>74.0</v>
      </c>
      <c r="S44" s="38">
        <v>54.0</v>
      </c>
      <c r="T44" s="38">
        <v>37.0</v>
      </c>
      <c r="U44" s="48">
        <f t="shared" si="9"/>
        <v>929</v>
      </c>
      <c r="V44" s="48">
        <f t="shared" si="10"/>
        <v>1020</v>
      </c>
      <c r="W44" s="49">
        <f t="shared" si="11"/>
        <v>0.4693218515</v>
      </c>
      <c r="X44" s="49">
        <f t="shared" si="12"/>
        <v>0.451022605</v>
      </c>
      <c r="Y44" s="49">
        <f t="shared" si="13"/>
        <v>0.0796555436</v>
      </c>
      <c r="Z44" s="32" t="str">
        <f t="shared" si="14"/>
        <v>Jango</v>
      </c>
      <c r="AA44" s="50" t="s">
        <v>77</v>
      </c>
      <c r="AB44" s="38">
        <v>1811.0</v>
      </c>
      <c r="AC44" s="48">
        <f t="shared" si="15"/>
        <v>791</v>
      </c>
      <c r="AD44" s="51">
        <f t="shared" si="16"/>
        <v>0.5632247377</v>
      </c>
    </row>
    <row r="45">
      <c r="A45" s="61" t="s">
        <v>129</v>
      </c>
      <c r="B45" s="46" t="s">
        <v>1063</v>
      </c>
      <c r="C45" s="47"/>
      <c r="D45" s="38">
        <v>5087.0</v>
      </c>
      <c r="E45" s="38">
        <v>7235.0</v>
      </c>
      <c r="F45" s="38">
        <v>1029.0</v>
      </c>
      <c r="G45" s="38">
        <v>437.0</v>
      </c>
      <c r="H45" s="38">
        <v>438.0</v>
      </c>
      <c r="I45" s="48">
        <f t="shared" si="3"/>
        <v>13351</v>
      </c>
      <c r="J45" s="48">
        <f t="shared" si="4"/>
        <v>14226</v>
      </c>
      <c r="K45" s="49">
        <f t="shared" si="5"/>
        <v>0.3810201483</v>
      </c>
      <c r="L45" s="49">
        <f t="shared" si="6"/>
        <v>0.5419069733</v>
      </c>
      <c r="M45" s="49">
        <f t="shared" si="7"/>
        <v>0.07707287844</v>
      </c>
      <c r="N45" s="32" t="str">
        <f t="shared" si="8"/>
        <v>Mal. Lott</v>
      </c>
      <c r="O45" s="50" t="s">
        <v>77</v>
      </c>
      <c r="P45" s="38">
        <v>6736.0</v>
      </c>
      <c r="Q45" s="38">
        <v>4549.0</v>
      </c>
      <c r="R45" s="38">
        <v>1824.0</v>
      </c>
      <c r="S45" s="38">
        <v>750.0</v>
      </c>
      <c r="T45" s="38">
        <v>367.0</v>
      </c>
      <c r="U45" s="48">
        <f t="shared" si="9"/>
        <v>13109</v>
      </c>
      <c r="V45" s="48">
        <f t="shared" si="10"/>
        <v>14226</v>
      </c>
      <c r="W45" s="49">
        <f t="shared" si="11"/>
        <v>0.5138454497</v>
      </c>
      <c r="X45" s="49">
        <f t="shared" si="12"/>
        <v>0.3470135022</v>
      </c>
      <c r="Y45" s="49">
        <f t="shared" si="13"/>
        <v>0.1391410481</v>
      </c>
      <c r="Z45" s="32" t="str">
        <f t="shared" si="14"/>
        <v>Jango</v>
      </c>
      <c r="AA45" s="50" t="s">
        <v>77</v>
      </c>
      <c r="AB45" s="38">
        <v>20700.0</v>
      </c>
      <c r="AC45" s="48">
        <f t="shared" si="15"/>
        <v>6474</v>
      </c>
      <c r="AD45" s="51">
        <f t="shared" si="16"/>
        <v>0.6872463768</v>
      </c>
    </row>
    <row r="46">
      <c r="A46" s="23"/>
      <c r="B46" s="46" t="s">
        <v>1064</v>
      </c>
      <c r="C46" s="47"/>
      <c r="D46" s="38">
        <v>1364.0</v>
      </c>
      <c r="E46" s="38">
        <v>1626.0</v>
      </c>
      <c r="F46" s="38">
        <v>100.0</v>
      </c>
      <c r="G46" s="38">
        <v>104.0</v>
      </c>
      <c r="H46" s="38">
        <v>134.0</v>
      </c>
      <c r="I46" s="48">
        <f t="shared" si="3"/>
        <v>3090</v>
      </c>
      <c r="J46" s="48">
        <f t="shared" si="4"/>
        <v>3328</v>
      </c>
      <c r="K46" s="49">
        <f t="shared" si="5"/>
        <v>0.4414239482</v>
      </c>
      <c r="L46" s="49">
        <f t="shared" si="6"/>
        <v>0.5262135922</v>
      </c>
      <c r="M46" s="49">
        <f t="shared" si="7"/>
        <v>0.03236245955</v>
      </c>
      <c r="N46" s="32" t="str">
        <f t="shared" si="8"/>
        <v>Mal. Lott</v>
      </c>
      <c r="O46" s="50" t="s">
        <v>77</v>
      </c>
      <c r="P46" s="38">
        <v>1590.0</v>
      </c>
      <c r="Q46" s="38">
        <v>1333.0</v>
      </c>
      <c r="R46" s="38">
        <v>119.0</v>
      </c>
      <c r="S46" s="38">
        <v>177.0</v>
      </c>
      <c r="T46" s="38">
        <v>109.0</v>
      </c>
      <c r="U46" s="48">
        <f t="shared" si="9"/>
        <v>3042</v>
      </c>
      <c r="V46" s="48">
        <f t="shared" si="10"/>
        <v>3328</v>
      </c>
      <c r="W46" s="49">
        <f t="shared" si="11"/>
        <v>0.5226824458</v>
      </c>
      <c r="X46" s="49">
        <f t="shared" si="12"/>
        <v>0.4381985536</v>
      </c>
      <c r="Y46" s="49">
        <f t="shared" si="13"/>
        <v>0.03911900066</v>
      </c>
      <c r="Z46" s="32" t="str">
        <f t="shared" si="14"/>
        <v>Jango</v>
      </c>
      <c r="AA46" s="50" t="s">
        <v>77</v>
      </c>
      <c r="AB46" s="38">
        <v>4857.0</v>
      </c>
      <c r="AC46" s="48">
        <f t="shared" si="15"/>
        <v>1529</v>
      </c>
      <c r="AD46" s="51">
        <f t="shared" si="16"/>
        <v>0.6851966234</v>
      </c>
    </row>
    <row r="47">
      <c r="A47" s="24"/>
      <c r="B47" s="46" t="s">
        <v>1065</v>
      </c>
      <c r="C47" s="47"/>
      <c r="D47" s="38">
        <v>294.0</v>
      </c>
      <c r="E47" s="38">
        <v>262.0</v>
      </c>
      <c r="F47" s="38">
        <v>17.0</v>
      </c>
      <c r="G47" s="38">
        <v>16.0</v>
      </c>
      <c r="H47" s="38">
        <v>18.0</v>
      </c>
      <c r="I47" s="48">
        <f t="shared" si="3"/>
        <v>573</v>
      </c>
      <c r="J47" s="48">
        <f t="shared" si="4"/>
        <v>607</v>
      </c>
      <c r="K47" s="49">
        <f t="shared" si="5"/>
        <v>0.5130890052</v>
      </c>
      <c r="L47" s="49">
        <f t="shared" si="6"/>
        <v>0.4572425829</v>
      </c>
      <c r="M47" s="49">
        <f t="shared" si="7"/>
        <v>0.02966841187</v>
      </c>
      <c r="N47" s="32" t="str">
        <f t="shared" si="8"/>
        <v>Jânio</v>
      </c>
      <c r="O47" s="50" t="s">
        <v>77</v>
      </c>
      <c r="P47" s="38">
        <v>234.0</v>
      </c>
      <c r="Q47" s="38">
        <v>301.0</v>
      </c>
      <c r="R47" s="38">
        <v>21.0</v>
      </c>
      <c r="S47" s="38">
        <v>41.0</v>
      </c>
      <c r="T47" s="38">
        <v>10.0</v>
      </c>
      <c r="U47" s="48">
        <f t="shared" si="9"/>
        <v>556</v>
      </c>
      <c r="V47" s="48">
        <f t="shared" si="10"/>
        <v>607</v>
      </c>
      <c r="W47" s="49">
        <f t="shared" si="11"/>
        <v>0.4208633094</v>
      </c>
      <c r="X47" s="49">
        <f t="shared" si="12"/>
        <v>0.5413669065</v>
      </c>
      <c r="Y47" s="49">
        <f t="shared" si="13"/>
        <v>0.03776978417</v>
      </c>
      <c r="Z47" s="32" t="str">
        <f t="shared" si="14"/>
        <v>Milton</v>
      </c>
      <c r="AA47" s="50" t="s">
        <v>77</v>
      </c>
      <c r="AB47" s="38">
        <v>834.0</v>
      </c>
      <c r="AC47" s="48">
        <f t="shared" si="15"/>
        <v>227</v>
      </c>
      <c r="AD47" s="51">
        <f t="shared" si="16"/>
        <v>0.7278177458</v>
      </c>
    </row>
    <row r="48">
      <c r="A48" s="61" t="s">
        <v>131</v>
      </c>
      <c r="B48" s="46" t="s">
        <v>1066</v>
      </c>
      <c r="C48" s="47"/>
      <c r="D48" s="38">
        <v>2737.0</v>
      </c>
      <c r="E48" s="38">
        <v>1913.0</v>
      </c>
      <c r="F48" s="38">
        <v>1573.0</v>
      </c>
      <c r="G48" s="38">
        <v>220.0</v>
      </c>
      <c r="H48" s="38">
        <v>220.0</v>
      </c>
      <c r="I48" s="48">
        <f t="shared" si="3"/>
        <v>6223</v>
      </c>
      <c r="J48" s="48">
        <f t="shared" si="4"/>
        <v>6663</v>
      </c>
      <c r="K48" s="49">
        <f t="shared" si="5"/>
        <v>0.4398200225</v>
      </c>
      <c r="L48" s="49">
        <f t="shared" si="6"/>
        <v>0.3074080026</v>
      </c>
      <c r="M48" s="49">
        <f t="shared" si="7"/>
        <v>0.2527719749</v>
      </c>
      <c r="N48" s="32" t="str">
        <f t="shared" si="8"/>
        <v>Jânio</v>
      </c>
      <c r="O48" s="50" t="s">
        <v>77</v>
      </c>
      <c r="P48" s="38">
        <v>2612.0</v>
      </c>
      <c r="Q48" s="38">
        <v>2621.0</v>
      </c>
      <c r="R48" s="38">
        <v>484.0</v>
      </c>
      <c r="S48" s="38">
        <v>825.0</v>
      </c>
      <c r="T48" s="38">
        <v>121.0</v>
      </c>
      <c r="U48" s="48">
        <f t="shared" si="9"/>
        <v>5717</v>
      </c>
      <c r="V48" s="48">
        <f t="shared" si="10"/>
        <v>6663</v>
      </c>
      <c r="W48" s="49">
        <f t="shared" si="11"/>
        <v>0.4568829806</v>
      </c>
      <c r="X48" s="49">
        <f t="shared" si="12"/>
        <v>0.4584572328</v>
      </c>
      <c r="Y48" s="49">
        <f t="shared" si="13"/>
        <v>0.0846597866</v>
      </c>
      <c r="Z48" s="32" t="str">
        <f t="shared" si="14"/>
        <v>Milton</v>
      </c>
      <c r="AA48" s="50" t="s">
        <v>77</v>
      </c>
      <c r="AB48" s="38">
        <v>8711.0</v>
      </c>
      <c r="AC48" s="48">
        <f t="shared" si="15"/>
        <v>2048</v>
      </c>
      <c r="AD48" s="51">
        <f t="shared" si="16"/>
        <v>0.7648949604</v>
      </c>
    </row>
    <row r="49">
      <c r="A49" s="23"/>
      <c r="B49" s="46" t="s">
        <v>1067</v>
      </c>
      <c r="C49" s="47"/>
      <c r="D49" s="38">
        <v>235.0</v>
      </c>
      <c r="E49" s="38">
        <v>430.0</v>
      </c>
      <c r="F49" s="38">
        <v>151.0</v>
      </c>
      <c r="G49" s="38">
        <v>29.0</v>
      </c>
      <c r="H49" s="38">
        <v>35.0</v>
      </c>
      <c r="I49" s="48">
        <f t="shared" si="3"/>
        <v>816</v>
      </c>
      <c r="J49" s="48">
        <f t="shared" si="4"/>
        <v>880</v>
      </c>
      <c r="K49" s="49">
        <f t="shared" si="5"/>
        <v>0.2879901961</v>
      </c>
      <c r="L49" s="49">
        <f t="shared" si="6"/>
        <v>0.5269607843</v>
      </c>
      <c r="M49" s="49">
        <f t="shared" si="7"/>
        <v>0.1850490196</v>
      </c>
      <c r="N49" s="32" t="str">
        <f t="shared" si="8"/>
        <v>Mal. Lott</v>
      </c>
      <c r="O49" s="50" t="s">
        <v>77</v>
      </c>
      <c r="P49" s="38">
        <v>419.0</v>
      </c>
      <c r="Q49" s="38">
        <v>237.0</v>
      </c>
      <c r="R49" s="38">
        <v>49.0</v>
      </c>
      <c r="S49" s="38">
        <v>155.0</v>
      </c>
      <c r="T49" s="38">
        <v>20.0</v>
      </c>
      <c r="U49" s="48">
        <f t="shared" si="9"/>
        <v>705</v>
      </c>
      <c r="V49" s="48">
        <f t="shared" si="10"/>
        <v>880</v>
      </c>
      <c r="W49" s="49">
        <f t="shared" si="11"/>
        <v>0.5943262411</v>
      </c>
      <c r="X49" s="49">
        <f t="shared" si="12"/>
        <v>0.3361702128</v>
      </c>
      <c r="Y49" s="49">
        <f t="shared" si="13"/>
        <v>0.0695035461</v>
      </c>
      <c r="Z49" s="32" t="str">
        <f t="shared" si="14"/>
        <v>Jango</v>
      </c>
      <c r="AA49" s="50" t="s">
        <v>77</v>
      </c>
      <c r="AB49" s="38">
        <v>1194.0</v>
      </c>
      <c r="AC49" s="48">
        <f t="shared" si="15"/>
        <v>314</v>
      </c>
      <c r="AD49" s="51">
        <f t="shared" si="16"/>
        <v>0.7370184255</v>
      </c>
    </row>
    <row r="50">
      <c r="A50" s="23"/>
      <c r="B50" s="46" t="s">
        <v>1068</v>
      </c>
      <c r="C50" s="47"/>
      <c r="D50" s="38">
        <v>673.0</v>
      </c>
      <c r="E50" s="38">
        <v>1136.0</v>
      </c>
      <c r="F50" s="38">
        <v>279.0</v>
      </c>
      <c r="G50" s="38">
        <v>106.0</v>
      </c>
      <c r="H50" s="38">
        <v>106.0</v>
      </c>
      <c r="I50" s="48">
        <f t="shared" si="3"/>
        <v>2088</v>
      </c>
      <c r="J50" s="48">
        <f t="shared" si="4"/>
        <v>2300</v>
      </c>
      <c r="K50" s="49">
        <f t="shared" si="5"/>
        <v>0.3223180077</v>
      </c>
      <c r="L50" s="49">
        <f t="shared" si="6"/>
        <v>0.5440613027</v>
      </c>
      <c r="M50" s="49">
        <f t="shared" si="7"/>
        <v>0.1336206897</v>
      </c>
      <c r="N50" s="32" t="str">
        <f t="shared" si="8"/>
        <v>Mal. Lott</v>
      </c>
      <c r="O50" s="50" t="s">
        <v>77</v>
      </c>
      <c r="P50" s="38">
        <v>1216.0</v>
      </c>
      <c r="Q50" s="38">
        <v>492.0</v>
      </c>
      <c r="R50" s="38">
        <v>183.0</v>
      </c>
      <c r="S50" s="38">
        <v>337.0</v>
      </c>
      <c r="T50" s="38">
        <v>72.0</v>
      </c>
      <c r="U50" s="48">
        <f t="shared" si="9"/>
        <v>1891</v>
      </c>
      <c r="V50" s="48">
        <f t="shared" si="10"/>
        <v>2300</v>
      </c>
      <c r="W50" s="49">
        <f t="shared" si="11"/>
        <v>0.6430460074</v>
      </c>
      <c r="X50" s="49">
        <f t="shared" si="12"/>
        <v>0.260179799</v>
      </c>
      <c r="Y50" s="49">
        <f t="shared" si="13"/>
        <v>0.09677419355</v>
      </c>
      <c r="Z50" s="32" t="str">
        <f t="shared" si="14"/>
        <v>Jango</v>
      </c>
      <c r="AA50" s="50" t="s">
        <v>77</v>
      </c>
      <c r="AB50" s="38">
        <v>4679.0</v>
      </c>
      <c r="AC50" s="48">
        <f t="shared" si="15"/>
        <v>2379</v>
      </c>
      <c r="AD50" s="51">
        <f t="shared" si="16"/>
        <v>0.4915580252</v>
      </c>
    </row>
    <row r="51">
      <c r="A51" s="23"/>
      <c r="B51" s="46" t="s">
        <v>1069</v>
      </c>
      <c r="C51" s="47"/>
      <c r="D51" s="38">
        <v>646.0</v>
      </c>
      <c r="E51" s="38">
        <v>580.0</v>
      </c>
      <c r="F51" s="38">
        <v>45.0</v>
      </c>
      <c r="G51" s="38">
        <v>56.0</v>
      </c>
      <c r="H51" s="38">
        <v>52.0</v>
      </c>
      <c r="I51" s="48">
        <f t="shared" si="3"/>
        <v>1271</v>
      </c>
      <c r="J51" s="48">
        <f t="shared" si="4"/>
        <v>1379</v>
      </c>
      <c r="K51" s="49">
        <f t="shared" si="5"/>
        <v>0.5082612116</v>
      </c>
      <c r="L51" s="49">
        <f t="shared" si="6"/>
        <v>0.4563335956</v>
      </c>
      <c r="M51" s="49">
        <f t="shared" si="7"/>
        <v>0.03540519276</v>
      </c>
      <c r="N51" s="32" t="str">
        <f t="shared" si="8"/>
        <v>Jânio</v>
      </c>
      <c r="O51" s="50" t="s">
        <v>77</v>
      </c>
      <c r="P51" s="38">
        <v>506.0</v>
      </c>
      <c r="Q51" s="38">
        <v>520.0</v>
      </c>
      <c r="R51" s="38">
        <v>206.0</v>
      </c>
      <c r="S51" s="38">
        <v>119.0</v>
      </c>
      <c r="T51" s="38">
        <v>28.0</v>
      </c>
      <c r="U51" s="48">
        <f t="shared" si="9"/>
        <v>1232</v>
      </c>
      <c r="V51" s="48">
        <f t="shared" si="10"/>
        <v>1379</v>
      </c>
      <c r="W51" s="49">
        <f t="shared" si="11"/>
        <v>0.4107142857</v>
      </c>
      <c r="X51" s="49">
        <f t="shared" si="12"/>
        <v>0.4220779221</v>
      </c>
      <c r="Y51" s="49">
        <f t="shared" si="13"/>
        <v>0.1672077922</v>
      </c>
      <c r="Z51" s="32" t="str">
        <f t="shared" si="14"/>
        <v>Milton</v>
      </c>
      <c r="AA51" s="50" t="s">
        <v>77</v>
      </c>
      <c r="AB51" s="38">
        <v>2700.0</v>
      </c>
      <c r="AC51" s="48">
        <f t="shared" si="15"/>
        <v>1321</v>
      </c>
      <c r="AD51" s="51">
        <f t="shared" si="16"/>
        <v>0.5107407407</v>
      </c>
    </row>
    <row r="52">
      <c r="A52" s="24"/>
      <c r="B52" s="46" t="s">
        <v>1070</v>
      </c>
      <c r="C52" s="47"/>
      <c r="D52" s="38">
        <v>866.0</v>
      </c>
      <c r="E52" s="38">
        <v>107.0</v>
      </c>
      <c r="F52" s="38">
        <v>21.0</v>
      </c>
      <c r="G52" s="38">
        <v>19.0</v>
      </c>
      <c r="H52" s="38">
        <v>18.0</v>
      </c>
      <c r="I52" s="48">
        <f t="shared" si="3"/>
        <v>994</v>
      </c>
      <c r="J52" s="48">
        <f t="shared" si="4"/>
        <v>1031</v>
      </c>
      <c r="K52" s="49">
        <f t="shared" si="5"/>
        <v>0.8712273642</v>
      </c>
      <c r="L52" s="49">
        <f t="shared" si="6"/>
        <v>0.1076458753</v>
      </c>
      <c r="M52" s="49">
        <f t="shared" si="7"/>
        <v>0.02112676056</v>
      </c>
      <c r="N52" s="32" t="str">
        <f t="shared" si="8"/>
        <v>Jânio</v>
      </c>
      <c r="O52" s="50" t="s">
        <v>77</v>
      </c>
      <c r="P52" s="38">
        <v>697.0</v>
      </c>
      <c r="Q52" s="38">
        <v>222.0</v>
      </c>
      <c r="R52" s="38">
        <v>25.0</v>
      </c>
      <c r="S52" s="38">
        <v>70.0</v>
      </c>
      <c r="T52" s="38">
        <v>17.0</v>
      </c>
      <c r="U52" s="48">
        <f t="shared" si="9"/>
        <v>944</v>
      </c>
      <c r="V52" s="48">
        <f t="shared" si="10"/>
        <v>1031</v>
      </c>
      <c r="W52" s="49">
        <f t="shared" si="11"/>
        <v>0.7383474576</v>
      </c>
      <c r="X52" s="49">
        <f t="shared" si="12"/>
        <v>0.2351694915</v>
      </c>
      <c r="Y52" s="49">
        <f t="shared" si="13"/>
        <v>0.02648305085</v>
      </c>
      <c r="Z52" s="32" t="str">
        <f t="shared" si="14"/>
        <v>Jango</v>
      </c>
      <c r="AA52" s="50" t="s">
        <v>77</v>
      </c>
      <c r="AB52" s="38">
        <v>1462.0</v>
      </c>
      <c r="AC52" s="48">
        <f t="shared" si="15"/>
        <v>431</v>
      </c>
      <c r="AD52" s="51">
        <f t="shared" si="16"/>
        <v>0.7051983584</v>
      </c>
    </row>
    <row r="53">
      <c r="A53" s="61" t="s">
        <v>133</v>
      </c>
      <c r="B53" s="46" t="s">
        <v>1071</v>
      </c>
      <c r="C53" s="47"/>
      <c r="D53" s="38">
        <v>683.0</v>
      </c>
      <c r="E53" s="38">
        <v>611.0</v>
      </c>
      <c r="F53" s="38">
        <v>38.0</v>
      </c>
      <c r="G53" s="38">
        <v>49.0</v>
      </c>
      <c r="H53" s="38">
        <v>66.0</v>
      </c>
      <c r="I53" s="48">
        <f t="shared" si="3"/>
        <v>1332</v>
      </c>
      <c r="J53" s="48">
        <f t="shared" si="4"/>
        <v>1447</v>
      </c>
      <c r="K53" s="49">
        <f t="shared" si="5"/>
        <v>0.5127627628</v>
      </c>
      <c r="L53" s="49">
        <f t="shared" si="6"/>
        <v>0.4587087087</v>
      </c>
      <c r="M53" s="49">
        <f t="shared" si="7"/>
        <v>0.02852852853</v>
      </c>
      <c r="N53" s="32" t="str">
        <f t="shared" si="8"/>
        <v>Jânio</v>
      </c>
      <c r="O53" s="50" t="s">
        <v>77</v>
      </c>
      <c r="P53" s="38">
        <v>541.0</v>
      </c>
      <c r="Q53" s="38">
        <v>617.0</v>
      </c>
      <c r="R53" s="38">
        <v>123.0</v>
      </c>
      <c r="S53" s="38">
        <v>114.0</v>
      </c>
      <c r="T53" s="38">
        <v>52.0</v>
      </c>
      <c r="U53" s="48">
        <f t="shared" si="9"/>
        <v>1281</v>
      </c>
      <c r="V53" s="48">
        <f t="shared" si="10"/>
        <v>1447</v>
      </c>
      <c r="W53" s="49">
        <f t="shared" si="11"/>
        <v>0.4223263076</v>
      </c>
      <c r="X53" s="49">
        <f t="shared" si="12"/>
        <v>0.4816549571</v>
      </c>
      <c r="Y53" s="49">
        <f t="shared" si="13"/>
        <v>0.09601873536</v>
      </c>
      <c r="Z53" s="32" t="str">
        <f t="shared" si="14"/>
        <v>Milton</v>
      </c>
      <c r="AA53" s="50" t="s">
        <v>77</v>
      </c>
      <c r="AB53" s="38">
        <v>2145.0</v>
      </c>
      <c r="AC53" s="48">
        <f t="shared" si="15"/>
        <v>698</v>
      </c>
      <c r="AD53" s="51">
        <f t="shared" si="16"/>
        <v>0.6745920746</v>
      </c>
    </row>
    <row r="54">
      <c r="A54" s="23"/>
      <c r="B54" s="46" t="s">
        <v>1072</v>
      </c>
      <c r="C54" s="47"/>
      <c r="D54" s="38">
        <v>337.0</v>
      </c>
      <c r="E54" s="38">
        <v>390.0</v>
      </c>
      <c r="F54" s="38">
        <v>16.0</v>
      </c>
      <c r="G54" s="38">
        <v>21.0</v>
      </c>
      <c r="H54" s="38">
        <v>32.0</v>
      </c>
      <c r="I54" s="48">
        <f t="shared" si="3"/>
        <v>743</v>
      </c>
      <c r="J54" s="48">
        <f t="shared" si="4"/>
        <v>796</v>
      </c>
      <c r="K54" s="49">
        <f t="shared" si="5"/>
        <v>0.4535666218</v>
      </c>
      <c r="L54" s="49">
        <f t="shared" si="6"/>
        <v>0.5248990579</v>
      </c>
      <c r="M54" s="49">
        <f t="shared" si="7"/>
        <v>0.02153432032</v>
      </c>
      <c r="N54" s="32" t="str">
        <f t="shared" si="8"/>
        <v>Mal. Lott</v>
      </c>
      <c r="O54" s="50" t="s">
        <v>77</v>
      </c>
      <c r="P54" s="38">
        <v>335.0</v>
      </c>
      <c r="Q54" s="38">
        <v>315.0</v>
      </c>
      <c r="R54" s="38">
        <v>44.0</v>
      </c>
      <c r="S54" s="38">
        <v>71.0</v>
      </c>
      <c r="T54" s="38">
        <v>31.0</v>
      </c>
      <c r="U54" s="48">
        <f t="shared" si="9"/>
        <v>694</v>
      </c>
      <c r="V54" s="48">
        <f t="shared" si="10"/>
        <v>796</v>
      </c>
      <c r="W54" s="49">
        <f t="shared" si="11"/>
        <v>0.4827089337</v>
      </c>
      <c r="X54" s="49">
        <f t="shared" si="12"/>
        <v>0.4538904899</v>
      </c>
      <c r="Y54" s="49">
        <f t="shared" si="13"/>
        <v>0.06340057637</v>
      </c>
      <c r="Z54" s="32" t="str">
        <f t="shared" si="14"/>
        <v>Jango</v>
      </c>
      <c r="AA54" s="50" t="s">
        <v>77</v>
      </c>
      <c r="AB54" s="38">
        <v>1183.0</v>
      </c>
      <c r="AC54" s="48">
        <f t="shared" si="15"/>
        <v>387</v>
      </c>
      <c r="AD54" s="51">
        <f t="shared" si="16"/>
        <v>0.6728655959</v>
      </c>
    </row>
    <row r="55">
      <c r="A55" s="23"/>
      <c r="B55" s="46" t="s">
        <v>1073</v>
      </c>
      <c r="C55" s="47"/>
      <c r="D55" s="38">
        <v>654.0</v>
      </c>
      <c r="E55" s="38">
        <v>477.0</v>
      </c>
      <c r="F55" s="38">
        <v>67.0</v>
      </c>
      <c r="G55" s="38">
        <v>34.0</v>
      </c>
      <c r="H55" s="38">
        <v>69.0</v>
      </c>
      <c r="I55" s="48">
        <f t="shared" si="3"/>
        <v>1198</v>
      </c>
      <c r="J55" s="48">
        <f t="shared" si="4"/>
        <v>1301</v>
      </c>
      <c r="K55" s="49">
        <f t="shared" si="5"/>
        <v>0.5459098497</v>
      </c>
      <c r="L55" s="49">
        <f t="shared" si="6"/>
        <v>0.398163606</v>
      </c>
      <c r="M55" s="49">
        <f t="shared" si="7"/>
        <v>0.05592654424</v>
      </c>
      <c r="N55" s="32" t="str">
        <f t="shared" si="8"/>
        <v>Jânio</v>
      </c>
      <c r="O55" s="50" t="s">
        <v>77</v>
      </c>
      <c r="P55" s="38">
        <v>265.0</v>
      </c>
      <c r="Q55" s="38">
        <v>712.0</v>
      </c>
      <c r="R55" s="38">
        <v>175.0</v>
      </c>
      <c r="S55" s="38">
        <v>112.0</v>
      </c>
      <c r="T55" s="38">
        <v>37.0</v>
      </c>
      <c r="U55" s="48">
        <f t="shared" si="9"/>
        <v>1152</v>
      </c>
      <c r="V55" s="48">
        <f t="shared" si="10"/>
        <v>1301</v>
      </c>
      <c r="W55" s="49">
        <f t="shared" si="11"/>
        <v>0.2300347222</v>
      </c>
      <c r="X55" s="49">
        <f t="shared" si="12"/>
        <v>0.6180555556</v>
      </c>
      <c r="Y55" s="49">
        <f t="shared" si="13"/>
        <v>0.1519097222</v>
      </c>
      <c r="Z55" s="32" t="str">
        <f t="shared" si="14"/>
        <v>Milton</v>
      </c>
      <c r="AA55" s="50" t="s">
        <v>77</v>
      </c>
      <c r="AB55" s="38">
        <v>2207.0</v>
      </c>
      <c r="AC55" s="48">
        <f t="shared" si="15"/>
        <v>906</v>
      </c>
      <c r="AD55" s="51">
        <f t="shared" si="16"/>
        <v>0.5894879928</v>
      </c>
    </row>
    <row r="56">
      <c r="A56" s="24"/>
      <c r="B56" s="46" t="s">
        <v>1074</v>
      </c>
      <c r="C56" s="47"/>
      <c r="D56" s="38">
        <v>693.0</v>
      </c>
      <c r="E56" s="38">
        <v>759.0</v>
      </c>
      <c r="F56" s="38">
        <v>47.0</v>
      </c>
      <c r="G56" s="38">
        <v>53.0</v>
      </c>
      <c r="H56" s="38">
        <v>79.0</v>
      </c>
      <c r="I56" s="48">
        <f t="shared" si="3"/>
        <v>1499</v>
      </c>
      <c r="J56" s="48">
        <f t="shared" si="4"/>
        <v>1631</v>
      </c>
      <c r="K56" s="49">
        <f t="shared" si="5"/>
        <v>0.4623082055</v>
      </c>
      <c r="L56" s="49">
        <f t="shared" si="6"/>
        <v>0.5063375584</v>
      </c>
      <c r="M56" s="49">
        <f t="shared" si="7"/>
        <v>0.03135423616</v>
      </c>
      <c r="N56" s="32" t="str">
        <f t="shared" si="8"/>
        <v>Mal. Lott</v>
      </c>
      <c r="O56" s="50" t="s">
        <v>77</v>
      </c>
      <c r="P56" s="38">
        <v>710.0</v>
      </c>
      <c r="Q56" s="38">
        <v>645.0</v>
      </c>
      <c r="R56" s="38">
        <v>95.0</v>
      </c>
      <c r="S56" s="38">
        <v>121.0</v>
      </c>
      <c r="T56" s="38">
        <v>60.0</v>
      </c>
      <c r="U56" s="48">
        <f t="shared" si="9"/>
        <v>1450</v>
      </c>
      <c r="V56" s="48">
        <f t="shared" si="10"/>
        <v>1631</v>
      </c>
      <c r="W56" s="49">
        <f t="shared" si="11"/>
        <v>0.4896551724</v>
      </c>
      <c r="X56" s="49">
        <f t="shared" si="12"/>
        <v>0.4448275862</v>
      </c>
      <c r="Y56" s="49">
        <f t="shared" si="13"/>
        <v>0.06551724138</v>
      </c>
      <c r="Z56" s="32" t="str">
        <f t="shared" si="14"/>
        <v>Jango</v>
      </c>
      <c r="AA56" s="50" t="s">
        <v>77</v>
      </c>
      <c r="AB56" s="38">
        <v>2447.0</v>
      </c>
      <c r="AC56" s="48">
        <f t="shared" si="15"/>
        <v>816</v>
      </c>
      <c r="AD56" s="51">
        <f t="shared" si="16"/>
        <v>0.6665304454</v>
      </c>
    </row>
    <row r="57">
      <c r="A57" s="61" t="s">
        <v>135</v>
      </c>
      <c r="B57" s="46" t="s">
        <v>1075</v>
      </c>
      <c r="C57" s="47"/>
      <c r="D57" s="38">
        <v>3713.0</v>
      </c>
      <c r="E57" s="38">
        <v>2377.0</v>
      </c>
      <c r="F57" s="38">
        <v>307.0</v>
      </c>
      <c r="G57" s="38">
        <v>307.0</v>
      </c>
      <c r="H57" s="38">
        <v>411.0</v>
      </c>
      <c r="I57" s="48">
        <f t="shared" si="3"/>
        <v>6397</v>
      </c>
      <c r="J57" s="48">
        <f t="shared" si="4"/>
        <v>7115</v>
      </c>
      <c r="K57" s="49">
        <f t="shared" si="5"/>
        <v>0.5804283258</v>
      </c>
      <c r="L57" s="49">
        <f t="shared" si="6"/>
        <v>0.3715804283</v>
      </c>
      <c r="M57" s="49">
        <f t="shared" si="7"/>
        <v>0.0479912459</v>
      </c>
      <c r="N57" s="32" t="str">
        <f t="shared" si="8"/>
        <v>Jânio</v>
      </c>
      <c r="O57" s="50" t="s">
        <v>77</v>
      </c>
      <c r="P57" s="38">
        <v>2339.0</v>
      </c>
      <c r="Q57" s="38">
        <v>3544.0</v>
      </c>
      <c r="R57" s="38">
        <v>350.0</v>
      </c>
      <c r="S57" s="38">
        <v>617.0</v>
      </c>
      <c r="T57" s="38">
        <v>265.0</v>
      </c>
      <c r="U57" s="48">
        <f t="shared" si="9"/>
        <v>6233</v>
      </c>
      <c r="V57" s="48">
        <f t="shared" si="10"/>
        <v>7115</v>
      </c>
      <c r="W57" s="49">
        <f t="shared" si="11"/>
        <v>0.3752607091</v>
      </c>
      <c r="X57" s="49">
        <f t="shared" si="12"/>
        <v>0.5685865554</v>
      </c>
      <c r="Y57" s="49">
        <f t="shared" si="13"/>
        <v>0.05615273544</v>
      </c>
      <c r="Z57" s="32" t="str">
        <f t="shared" si="14"/>
        <v>Milton</v>
      </c>
      <c r="AA57" s="50" t="s">
        <v>77</v>
      </c>
      <c r="AB57" s="38">
        <v>12471.0</v>
      </c>
      <c r="AC57" s="48">
        <f t="shared" si="15"/>
        <v>5356</v>
      </c>
      <c r="AD57" s="51">
        <f t="shared" si="16"/>
        <v>0.5705236148</v>
      </c>
    </row>
    <row r="58">
      <c r="A58" s="24"/>
      <c r="B58" s="46" t="s">
        <v>1076</v>
      </c>
      <c r="C58" s="47"/>
      <c r="D58" s="38">
        <v>313.0</v>
      </c>
      <c r="E58" s="38">
        <v>227.0</v>
      </c>
      <c r="F58" s="38">
        <v>32.0</v>
      </c>
      <c r="G58" s="38">
        <v>16.0</v>
      </c>
      <c r="H58" s="38">
        <v>16.0</v>
      </c>
      <c r="I58" s="48">
        <f t="shared" si="3"/>
        <v>572</v>
      </c>
      <c r="J58" s="48">
        <f t="shared" si="4"/>
        <v>604</v>
      </c>
      <c r="K58" s="49">
        <f t="shared" si="5"/>
        <v>0.5472027972</v>
      </c>
      <c r="L58" s="49">
        <f t="shared" si="6"/>
        <v>0.3968531469</v>
      </c>
      <c r="M58" s="49">
        <f t="shared" si="7"/>
        <v>0.05594405594</v>
      </c>
      <c r="N58" s="32" t="str">
        <f t="shared" si="8"/>
        <v>Jânio</v>
      </c>
      <c r="O58" s="50" t="s">
        <v>77</v>
      </c>
      <c r="P58" s="38">
        <v>228.0</v>
      </c>
      <c r="Q58" s="38">
        <v>300.0</v>
      </c>
      <c r="R58" s="38">
        <v>25.0</v>
      </c>
      <c r="S58" s="38">
        <v>38.0</v>
      </c>
      <c r="T58" s="38">
        <v>13.0</v>
      </c>
      <c r="U58" s="48">
        <f t="shared" si="9"/>
        <v>553</v>
      </c>
      <c r="V58" s="48">
        <f t="shared" si="10"/>
        <v>604</v>
      </c>
      <c r="W58" s="49">
        <f t="shared" si="11"/>
        <v>0.4122965642</v>
      </c>
      <c r="X58" s="49">
        <f t="shared" si="12"/>
        <v>0.5424954792</v>
      </c>
      <c r="Y58" s="49">
        <f t="shared" si="13"/>
        <v>0.0452079566</v>
      </c>
      <c r="Z58" s="32" t="str">
        <f t="shared" si="14"/>
        <v>Milton</v>
      </c>
      <c r="AA58" s="50" t="s">
        <v>77</v>
      </c>
      <c r="AB58" s="38">
        <v>1330.0</v>
      </c>
      <c r="AC58" s="48">
        <f t="shared" si="15"/>
        <v>726</v>
      </c>
      <c r="AD58" s="51">
        <f t="shared" si="16"/>
        <v>0.4541353383</v>
      </c>
    </row>
    <row r="59">
      <c r="A59" s="110" t="s">
        <v>193</v>
      </c>
      <c r="B59" s="46" t="s">
        <v>1077</v>
      </c>
      <c r="C59" s="47"/>
      <c r="D59" s="38">
        <v>4408.0</v>
      </c>
      <c r="E59" s="38">
        <v>2845.0</v>
      </c>
      <c r="F59" s="38">
        <v>1618.0</v>
      </c>
      <c r="G59" s="38">
        <v>209.0</v>
      </c>
      <c r="H59" s="38">
        <v>365.0</v>
      </c>
      <c r="I59" s="48">
        <f t="shared" si="3"/>
        <v>8871</v>
      </c>
      <c r="J59" s="48">
        <f t="shared" si="4"/>
        <v>9445</v>
      </c>
      <c r="K59" s="49">
        <f t="shared" si="5"/>
        <v>0.4969000113</v>
      </c>
      <c r="L59" s="49">
        <f t="shared" si="6"/>
        <v>0.3207079247</v>
      </c>
      <c r="M59" s="49">
        <f t="shared" si="7"/>
        <v>0.182392064</v>
      </c>
      <c r="N59" s="32" t="str">
        <f t="shared" si="8"/>
        <v>Jânio</v>
      </c>
      <c r="O59" s="50" t="s">
        <v>77</v>
      </c>
      <c r="P59" s="38">
        <v>3614.0</v>
      </c>
      <c r="Q59" s="38">
        <v>3152.0</v>
      </c>
      <c r="R59" s="38">
        <v>1750.0</v>
      </c>
      <c r="S59" s="38">
        <v>636.0</v>
      </c>
      <c r="T59" s="38">
        <v>293.0</v>
      </c>
      <c r="U59" s="48">
        <f t="shared" si="9"/>
        <v>8516</v>
      </c>
      <c r="V59" s="48">
        <f t="shared" si="10"/>
        <v>9445</v>
      </c>
      <c r="W59" s="49">
        <f t="shared" si="11"/>
        <v>0.4243776421</v>
      </c>
      <c r="X59" s="49">
        <f t="shared" si="12"/>
        <v>0.3701268201</v>
      </c>
      <c r="Y59" s="49">
        <f t="shared" si="13"/>
        <v>0.2054955378</v>
      </c>
      <c r="Z59" s="32" t="str">
        <f t="shared" si="14"/>
        <v>Jango</v>
      </c>
      <c r="AA59" s="50" t="s">
        <v>77</v>
      </c>
      <c r="AB59" s="38">
        <v>14388.0</v>
      </c>
      <c r="AC59" s="48">
        <f t="shared" si="15"/>
        <v>4943</v>
      </c>
      <c r="AD59" s="51">
        <f t="shared" si="16"/>
        <v>0.6564498193</v>
      </c>
    </row>
    <row r="60">
      <c r="A60" s="61" t="s">
        <v>196</v>
      </c>
      <c r="B60" s="46" t="s">
        <v>1078</v>
      </c>
      <c r="C60" s="47"/>
      <c r="D60" s="38">
        <v>2428.0</v>
      </c>
      <c r="E60" s="38">
        <v>2339.0</v>
      </c>
      <c r="F60" s="38">
        <v>384.0</v>
      </c>
      <c r="G60" s="38">
        <v>182.0</v>
      </c>
      <c r="H60" s="38">
        <v>330.0</v>
      </c>
      <c r="I60" s="48">
        <f t="shared" si="3"/>
        <v>5151</v>
      </c>
      <c r="J60" s="48">
        <f t="shared" si="4"/>
        <v>5663</v>
      </c>
      <c r="K60" s="49">
        <f t="shared" si="5"/>
        <v>0.4713647835</v>
      </c>
      <c r="L60" s="49">
        <f t="shared" si="6"/>
        <v>0.4540865851</v>
      </c>
      <c r="M60" s="49">
        <f t="shared" si="7"/>
        <v>0.07454863133</v>
      </c>
      <c r="N60" s="32" t="str">
        <f t="shared" si="8"/>
        <v>Jânio</v>
      </c>
      <c r="O60" s="50" t="s">
        <v>77</v>
      </c>
      <c r="P60" s="38">
        <v>2284.0</v>
      </c>
      <c r="Q60" s="38">
        <v>2143.0</v>
      </c>
      <c r="R60" s="38">
        <v>517.0</v>
      </c>
      <c r="S60" s="38">
        <v>511.0</v>
      </c>
      <c r="T60" s="38">
        <v>208.0</v>
      </c>
      <c r="U60" s="48">
        <f t="shared" si="9"/>
        <v>4944</v>
      </c>
      <c r="V60" s="48">
        <f t="shared" si="10"/>
        <v>5663</v>
      </c>
      <c r="W60" s="49">
        <f t="shared" si="11"/>
        <v>0.46197411</v>
      </c>
      <c r="X60" s="49">
        <f t="shared" si="12"/>
        <v>0.4334546926</v>
      </c>
      <c r="Y60" s="49">
        <f t="shared" si="13"/>
        <v>0.1045711974</v>
      </c>
      <c r="Z60" s="32" t="str">
        <f t="shared" si="14"/>
        <v>Jango</v>
      </c>
      <c r="AA60" s="50" t="s">
        <v>77</v>
      </c>
      <c r="AB60" s="38">
        <v>8070.0</v>
      </c>
      <c r="AC60" s="48">
        <f t="shared" si="15"/>
        <v>2407</v>
      </c>
      <c r="AD60" s="51">
        <f t="shared" si="16"/>
        <v>0.7017348203</v>
      </c>
    </row>
    <row r="61">
      <c r="A61" s="24"/>
      <c r="B61" s="46" t="s">
        <v>1079</v>
      </c>
      <c r="C61" s="47"/>
      <c r="D61" s="38">
        <v>488.0</v>
      </c>
      <c r="E61" s="38">
        <v>854.0</v>
      </c>
      <c r="F61" s="38">
        <v>204.0</v>
      </c>
      <c r="G61" s="38">
        <v>93.0</v>
      </c>
      <c r="H61" s="38">
        <v>119.0</v>
      </c>
      <c r="I61" s="48">
        <f t="shared" si="3"/>
        <v>1546</v>
      </c>
      <c r="J61" s="48">
        <f t="shared" si="4"/>
        <v>1758</v>
      </c>
      <c r="K61" s="49">
        <f t="shared" si="5"/>
        <v>0.3156532988</v>
      </c>
      <c r="L61" s="49">
        <f t="shared" si="6"/>
        <v>0.552393273</v>
      </c>
      <c r="M61" s="49">
        <f t="shared" si="7"/>
        <v>0.1319534282</v>
      </c>
      <c r="N61" s="32" t="str">
        <f t="shared" si="8"/>
        <v>Mal. Lott</v>
      </c>
      <c r="O61" s="50" t="s">
        <v>77</v>
      </c>
      <c r="P61" s="38">
        <v>896.0</v>
      </c>
      <c r="Q61" s="38">
        <v>490.0</v>
      </c>
      <c r="R61" s="38">
        <v>97.0</v>
      </c>
      <c r="S61" s="38">
        <v>198.0</v>
      </c>
      <c r="T61" s="38">
        <v>77.0</v>
      </c>
      <c r="U61" s="48">
        <f t="shared" si="9"/>
        <v>1483</v>
      </c>
      <c r="V61" s="48">
        <f t="shared" si="10"/>
        <v>1758</v>
      </c>
      <c r="W61" s="49">
        <f t="shared" si="11"/>
        <v>0.6041807148</v>
      </c>
      <c r="X61" s="49">
        <f t="shared" si="12"/>
        <v>0.3304113284</v>
      </c>
      <c r="Y61" s="49">
        <f t="shared" si="13"/>
        <v>0.06540795684</v>
      </c>
      <c r="Z61" s="32" t="str">
        <f t="shared" si="14"/>
        <v>Jango</v>
      </c>
      <c r="AA61" s="50" t="s">
        <v>77</v>
      </c>
      <c r="AB61" s="38">
        <v>2728.0</v>
      </c>
      <c r="AC61" s="48">
        <f t="shared" si="15"/>
        <v>970</v>
      </c>
      <c r="AD61" s="51">
        <f t="shared" si="16"/>
        <v>0.6444281525</v>
      </c>
    </row>
    <row r="62">
      <c r="A62" s="61" t="s">
        <v>1080</v>
      </c>
      <c r="B62" s="123" t="s">
        <v>1081</v>
      </c>
      <c r="C62" s="124"/>
      <c r="D62" s="88">
        <v>3986.0</v>
      </c>
      <c r="E62" s="88">
        <v>7630.0</v>
      </c>
      <c r="F62" s="88">
        <v>743.0</v>
      </c>
      <c r="G62" s="88">
        <v>388.0</v>
      </c>
      <c r="H62" s="88">
        <v>483.0</v>
      </c>
      <c r="I62" s="89">
        <f t="shared" si="3"/>
        <v>12359</v>
      </c>
      <c r="J62" s="89">
        <f t="shared" si="4"/>
        <v>13230</v>
      </c>
      <c r="K62" s="90">
        <f t="shared" si="5"/>
        <v>0.3225180031</v>
      </c>
      <c r="L62" s="90">
        <f t="shared" si="6"/>
        <v>0.6173638644</v>
      </c>
      <c r="M62" s="90">
        <f t="shared" si="7"/>
        <v>0.06011813253</v>
      </c>
      <c r="N62" s="91" t="str">
        <f t="shared" si="8"/>
        <v>Mal. Lott</v>
      </c>
      <c r="O62" s="50" t="s">
        <v>77</v>
      </c>
      <c r="P62" s="88">
        <v>7119.0</v>
      </c>
      <c r="Q62" s="88">
        <v>3423.0</v>
      </c>
      <c r="R62" s="88">
        <v>1503.0</v>
      </c>
      <c r="S62" s="88">
        <v>807.0</v>
      </c>
      <c r="T62" s="88">
        <v>378.0</v>
      </c>
      <c r="U62" s="89">
        <f t="shared" si="9"/>
        <v>12045</v>
      </c>
      <c r="V62" s="89">
        <f t="shared" si="10"/>
        <v>13230</v>
      </c>
      <c r="W62" s="90">
        <f t="shared" si="11"/>
        <v>0.5910336239</v>
      </c>
      <c r="X62" s="90">
        <f t="shared" si="12"/>
        <v>0.2841843088</v>
      </c>
      <c r="Y62" s="90">
        <f t="shared" si="13"/>
        <v>0.1247820672</v>
      </c>
      <c r="Z62" s="91" t="str">
        <f t="shared" si="14"/>
        <v>Jango</v>
      </c>
      <c r="AA62" s="50" t="s">
        <v>77</v>
      </c>
      <c r="AB62" s="88">
        <v>18190.0</v>
      </c>
      <c r="AC62" s="89">
        <f t="shared" si="15"/>
        <v>4960</v>
      </c>
      <c r="AD62" s="94">
        <f t="shared" si="16"/>
        <v>0.7273227048</v>
      </c>
      <c r="AE62" s="125"/>
    </row>
    <row r="63">
      <c r="A63" s="126" t="s">
        <v>1082</v>
      </c>
      <c r="B63" s="24"/>
      <c r="C63" s="124"/>
      <c r="D63" s="24"/>
      <c r="E63" s="24"/>
      <c r="F63" s="24"/>
      <c r="G63" s="24"/>
      <c r="H63" s="24"/>
      <c r="I63" s="24"/>
      <c r="J63" s="24"/>
      <c r="K63" s="24"/>
      <c r="L63" s="24"/>
      <c r="M63" s="24"/>
      <c r="N63" s="24"/>
      <c r="O63" s="50" t="s">
        <v>77</v>
      </c>
      <c r="P63" s="24"/>
      <c r="Q63" s="24"/>
      <c r="R63" s="24"/>
      <c r="S63" s="24"/>
      <c r="T63" s="24"/>
      <c r="U63" s="24"/>
      <c r="V63" s="24"/>
      <c r="W63" s="24"/>
      <c r="X63" s="24"/>
      <c r="Y63" s="24"/>
      <c r="Z63" s="24"/>
      <c r="AA63" s="50" t="s">
        <v>77</v>
      </c>
      <c r="AB63" s="24"/>
      <c r="AC63" s="24"/>
      <c r="AD63" s="24"/>
    </row>
    <row r="64">
      <c r="A64" s="110" t="s">
        <v>1083</v>
      </c>
      <c r="B64" s="46" t="s">
        <v>1084</v>
      </c>
      <c r="C64" s="47"/>
      <c r="D64" s="38">
        <v>1047.0</v>
      </c>
      <c r="E64" s="38">
        <v>654.0</v>
      </c>
      <c r="F64" s="38">
        <v>109.0</v>
      </c>
      <c r="G64" s="38">
        <v>71.0</v>
      </c>
      <c r="H64" s="38">
        <v>74.0</v>
      </c>
      <c r="I64" s="48">
        <f t="shared" ref="I64:I67" si="17">SUM(D64:F64)</f>
        <v>1810</v>
      </c>
      <c r="J64" s="48">
        <f t="shared" ref="J64:J67" si="18">SUM(G64:I64)</f>
        <v>1955</v>
      </c>
      <c r="K64" s="49">
        <f t="shared" ref="K64:K67" si="19">D64/I64</f>
        <v>0.5784530387</v>
      </c>
      <c r="L64" s="49">
        <f t="shared" ref="L64:L67" si="20">E64/I64</f>
        <v>0.3613259669</v>
      </c>
      <c r="M64" s="49">
        <f t="shared" ref="M64:M67" si="21">F64/I64</f>
        <v>0.06022099448</v>
      </c>
      <c r="N64" s="32" t="str">
        <f t="shared" ref="N64:N67" si="22">IF(LARGE(D64:F64,1)=0,#REF!,IF(LARGE(D64:F64,1)=LARGE(D64:F64,2),$D$6,IF(LARGE(D64:F64,1)=D64,$D$3,IF(LARGE(D64:F64,1)=E64,$D$4,IF(LARGE(D64:F64,1)=F64,$D$5)))))</f>
        <v>Jânio</v>
      </c>
      <c r="O64" s="50" t="s">
        <v>77</v>
      </c>
      <c r="P64" s="38">
        <v>1175.0</v>
      </c>
      <c r="Q64" s="38">
        <v>397.0</v>
      </c>
      <c r="R64" s="38">
        <v>207.0</v>
      </c>
      <c r="S64" s="38">
        <v>123.0</v>
      </c>
      <c r="T64" s="38">
        <v>53.0</v>
      </c>
      <c r="U64" s="48">
        <f t="shared" ref="U64:U67" si="23">SUM(P64:R64)</f>
        <v>1779</v>
      </c>
      <c r="V64" s="48">
        <f t="shared" ref="V64:V67" si="24">SUM(S64:U64)</f>
        <v>1955</v>
      </c>
      <c r="W64" s="49">
        <f t="shared" ref="W64:W67" si="25">P64/U64</f>
        <v>0.6604834177</v>
      </c>
      <c r="X64" s="49">
        <f t="shared" ref="X64:X67" si="26">Q64/U64</f>
        <v>0.2231590781</v>
      </c>
      <c r="Y64" s="49">
        <f t="shared" ref="Y64:Y67" si="27">R64/U64</f>
        <v>0.1163575042</v>
      </c>
      <c r="Z64" s="32" t="str">
        <f t="shared" ref="Z64:Z67" si="28">IF(LARGE(P64:R64,1)=0,#REF!,IF(LARGE(P64:R64,1)=LARGE(P64:R64,2),$F$6,IF(LARGE(P64:R64,1)=P64,$F$3,IF(LARGE(P64:R64,1)=Q64,$F$4,IF(LARGE(P64:R64,1)=R64,$F$5)))))</f>
        <v>Jango</v>
      </c>
      <c r="AA64" s="50" t="s">
        <v>77</v>
      </c>
      <c r="AB64" s="38">
        <v>3081.0</v>
      </c>
      <c r="AC64" s="48">
        <f t="shared" ref="AC64:AC67" si="29">AB64-V64</f>
        <v>1126</v>
      </c>
      <c r="AD64" s="51">
        <f t="shared" ref="AD64:AD67" si="30">V64/AB64</f>
        <v>0.6345342421</v>
      </c>
    </row>
    <row r="65">
      <c r="A65" s="61" t="s">
        <v>1085</v>
      </c>
      <c r="B65" s="46" t="s">
        <v>1086</v>
      </c>
      <c r="C65" s="47"/>
      <c r="D65" s="38">
        <v>839.0</v>
      </c>
      <c r="E65" s="38">
        <v>1550.0</v>
      </c>
      <c r="F65" s="38">
        <v>257.0</v>
      </c>
      <c r="G65" s="38">
        <v>122.0</v>
      </c>
      <c r="H65" s="38">
        <v>119.0</v>
      </c>
      <c r="I65" s="48">
        <f t="shared" si="17"/>
        <v>2646</v>
      </c>
      <c r="J65" s="48">
        <f t="shared" si="18"/>
        <v>2887</v>
      </c>
      <c r="K65" s="49">
        <f t="shared" si="19"/>
        <v>0.3170823885</v>
      </c>
      <c r="L65" s="49">
        <f t="shared" si="20"/>
        <v>0.5857898715</v>
      </c>
      <c r="M65" s="49">
        <f t="shared" si="21"/>
        <v>0.09712773998</v>
      </c>
      <c r="N65" s="32" t="str">
        <f t="shared" si="22"/>
        <v>Mal. Lott</v>
      </c>
      <c r="O65" s="50" t="s">
        <v>77</v>
      </c>
      <c r="P65" s="38">
        <v>1500.0</v>
      </c>
      <c r="Q65" s="38">
        <v>766.0</v>
      </c>
      <c r="R65" s="38">
        <v>245.0</v>
      </c>
      <c r="S65" s="38">
        <v>276.0</v>
      </c>
      <c r="T65" s="38">
        <v>100.0</v>
      </c>
      <c r="U65" s="48">
        <f t="shared" si="23"/>
        <v>2511</v>
      </c>
      <c r="V65" s="48">
        <f t="shared" si="24"/>
        <v>2887</v>
      </c>
      <c r="W65" s="49">
        <f t="shared" si="25"/>
        <v>0.5973715651</v>
      </c>
      <c r="X65" s="49">
        <f t="shared" si="26"/>
        <v>0.3050577459</v>
      </c>
      <c r="Y65" s="49">
        <f t="shared" si="27"/>
        <v>0.09757068897</v>
      </c>
      <c r="Z65" s="32" t="str">
        <f t="shared" si="28"/>
        <v>Jango</v>
      </c>
      <c r="AA65" s="50" t="s">
        <v>77</v>
      </c>
      <c r="AB65" s="38">
        <v>4600.0</v>
      </c>
      <c r="AC65" s="48">
        <f t="shared" si="29"/>
        <v>1713</v>
      </c>
      <c r="AD65" s="51">
        <f t="shared" si="30"/>
        <v>0.6276086957</v>
      </c>
    </row>
    <row r="66">
      <c r="A66" s="24"/>
      <c r="B66" s="46" t="s">
        <v>1087</v>
      </c>
      <c r="C66" s="47"/>
      <c r="D66" s="38">
        <v>1014.0</v>
      </c>
      <c r="E66" s="38">
        <v>1796.0</v>
      </c>
      <c r="F66" s="38">
        <v>245.0</v>
      </c>
      <c r="G66" s="38">
        <v>133.0</v>
      </c>
      <c r="H66" s="38">
        <v>145.0</v>
      </c>
      <c r="I66" s="48">
        <f t="shared" si="17"/>
        <v>3055</v>
      </c>
      <c r="J66" s="48">
        <f t="shared" si="18"/>
        <v>3333</v>
      </c>
      <c r="K66" s="49">
        <f t="shared" si="19"/>
        <v>0.3319148936</v>
      </c>
      <c r="L66" s="49">
        <f t="shared" si="20"/>
        <v>0.587888707</v>
      </c>
      <c r="M66" s="49">
        <f t="shared" si="21"/>
        <v>0.08019639935</v>
      </c>
      <c r="N66" s="32" t="str">
        <f t="shared" si="22"/>
        <v>Mal. Lott</v>
      </c>
      <c r="O66" s="50" t="s">
        <v>77</v>
      </c>
      <c r="P66" s="38">
        <v>1705.0</v>
      </c>
      <c r="Q66" s="38">
        <v>858.0</v>
      </c>
      <c r="R66" s="38">
        <v>328.0</v>
      </c>
      <c r="S66" s="38">
        <v>327.0</v>
      </c>
      <c r="T66" s="38">
        <v>115.0</v>
      </c>
      <c r="U66" s="48">
        <f t="shared" si="23"/>
        <v>2891</v>
      </c>
      <c r="V66" s="48">
        <f t="shared" si="24"/>
        <v>3333</v>
      </c>
      <c r="W66" s="49">
        <f t="shared" si="25"/>
        <v>0.5897613283</v>
      </c>
      <c r="X66" s="49">
        <f t="shared" si="26"/>
        <v>0.29678312</v>
      </c>
      <c r="Y66" s="49">
        <f t="shared" si="27"/>
        <v>0.1134555517</v>
      </c>
      <c r="Z66" s="32" t="str">
        <f t="shared" si="28"/>
        <v>Jango</v>
      </c>
      <c r="AA66" s="50" t="s">
        <v>77</v>
      </c>
      <c r="AB66" s="38">
        <v>5559.0</v>
      </c>
      <c r="AC66" s="48">
        <f t="shared" si="29"/>
        <v>2226</v>
      </c>
      <c r="AD66" s="51">
        <f t="shared" si="30"/>
        <v>0.5995682677</v>
      </c>
    </row>
    <row r="67">
      <c r="A67" s="110" t="s">
        <v>1088</v>
      </c>
      <c r="B67" s="123" t="s">
        <v>1089</v>
      </c>
      <c r="C67" s="47"/>
      <c r="D67" s="88">
        <v>4482.0</v>
      </c>
      <c r="E67" s="88">
        <v>5745.0</v>
      </c>
      <c r="F67" s="88">
        <v>1188.0</v>
      </c>
      <c r="G67" s="88">
        <v>439.0</v>
      </c>
      <c r="H67" s="88">
        <v>493.0</v>
      </c>
      <c r="I67" s="89">
        <f t="shared" si="17"/>
        <v>11415</v>
      </c>
      <c r="J67" s="89">
        <f t="shared" si="18"/>
        <v>12347</v>
      </c>
      <c r="K67" s="90">
        <f t="shared" si="19"/>
        <v>0.3926412615</v>
      </c>
      <c r="L67" s="90">
        <f t="shared" si="20"/>
        <v>0.5032851511</v>
      </c>
      <c r="M67" s="90">
        <f t="shared" si="21"/>
        <v>0.1040735874</v>
      </c>
      <c r="N67" s="91" t="str">
        <f t="shared" si="22"/>
        <v>Mal. Lott</v>
      </c>
      <c r="O67" s="50" t="s">
        <v>77</v>
      </c>
      <c r="P67" s="88">
        <v>5346.0</v>
      </c>
      <c r="Q67" s="88">
        <v>3443.0</v>
      </c>
      <c r="R67" s="88">
        <v>2273.0</v>
      </c>
      <c r="S67" s="88">
        <v>946.0</v>
      </c>
      <c r="T67" s="88">
        <v>339.0</v>
      </c>
      <c r="U67" s="89">
        <f t="shared" si="23"/>
        <v>11062</v>
      </c>
      <c r="V67" s="89">
        <f t="shared" si="24"/>
        <v>12347</v>
      </c>
      <c r="W67" s="90">
        <f t="shared" si="25"/>
        <v>0.4832760803</v>
      </c>
      <c r="X67" s="90">
        <f t="shared" si="26"/>
        <v>0.311245706</v>
      </c>
      <c r="Y67" s="90">
        <f t="shared" si="27"/>
        <v>0.2054782137</v>
      </c>
      <c r="Z67" s="91" t="str">
        <f t="shared" si="28"/>
        <v>Jango</v>
      </c>
      <c r="AA67" s="50" t="s">
        <v>77</v>
      </c>
      <c r="AB67" s="88">
        <v>16825.0</v>
      </c>
      <c r="AC67" s="89">
        <f t="shared" si="29"/>
        <v>4478</v>
      </c>
      <c r="AD67" s="94">
        <f t="shared" si="30"/>
        <v>0.7338484398</v>
      </c>
      <c r="AE67" s="125"/>
    </row>
    <row r="68">
      <c r="A68" s="110" t="s">
        <v>1090</v>
      </c>
      <c r="B68" s="24"/>
      <c r="C68" s="47"/>
      <c r="D68" s="24"/>
      <c r="E68" s="24"/>
      <c r="F68" s="24"/>
      <c r="G68" s="24"/>
      <c r="H68" s="24"/>
      <c r="I68" s="24"/>
      <c r="J68" s="24"/>
      <c r="K68" s="24"/>
      <c r="L68" s="24"/>
      <c r="M68" s="24"/>
      <c r="N68" s="24"/>
      <c r="O68" s="50" t="s">
        <v>77</v>
      </c>
      <c r="P68" s="24"/>
      <c r="Q68" s="24"/>
      <c r="R68" s="24"/>
      <c r="S68" s="24"/>
      <c r="T68" s="24"/>
      <c r="U68" s="24"/>
      <c r="V68" s="24"/>
      <c r="W68" s="24"/>
      <c r="X68" s="24"/>
      <c r="Y68" s="24"/>
      <c r="Z68" s="24"/>
      <c r="AA68" s="50" t="s">
        <v>77</v>
      </c>
      <c r="AB68" s="24"/>
      <c r="AC68" s="24"/>
      <c r="AD68" s="24"/>
    </row>
    <row r="69">
      <c r="A69" s="61" t="s">
        <v>1091</v>
      </c>
      <c r="B69" s="46" t="s">
        <v>1092</v>
      </c>
      <c r="C69" s="47"/>
      <c r="D69" s="38">
        <v>1421.0</v>
      </c>
      <c r="E69" s="38">
        <v>2318.0</v>
      </c>
      <c r="F69" s="38">
        <v>443.0</v>
      </c>
      <c r="G69" s="38">
        <v>137.0</v>
      </c>
      <c r="H69" s="38">
        <v>140.0</v>
      </c>
      <c r="I69" s="48">
        <f t="shared" ref="I69:I218" si="31">SUM(D69:F69)</f>
        <v>4182</v>
      </c>
      <c r="J69" s="48">
        <f t="shared" ref="J69:J218" si="32">SUM(G69:I69)</f>
        <v>4459</v>
      </c>
      <c r="K69" s="49">
        <f t="shared" ref="K69:K218" si="33">D69/I69</f>
        <v>0.3397895744</v>
      </c>
      <c r="L69" s="49">
        <f t="shared" ref="L69:L218" si="34">E69/I69</f>
        <v>0.5542802487</v>
      </c>
      <c r="M69" s="49">
        <f t="shared" ref="M69:M218" si="35">F69/I69</f>
        <v>0.1059301769</v>
      </c>
      <c r="N69" s="32" t="str">
        <f t="shared" ref="N69:N218" si="36">IF(LARGE(D69:F69,1)=0,#REF!,IF(LARGE(D69:F69,1)=LARGE(D69:F69,2),$D$6,IF(LARGE(D69:F69,1)=D69,$D$3,IF(LARGE(D69:F69,1)=E69,$D$4,IF(LARGE(D69:F69,1)=F69,$D$5)))))</f>
        <v>Mal. Lott</v>
      </c>
      <c r="O69" s="50" t="s">
        <v>77</v>
      </c>
      <c r="P69" s="38">
        <v>2330.0</v>
      </c>
      <c r="Q69" s="38">
        <v>1200.0</v>
      </c>
      <c r="R69" s="38">
        <v>366.0</v>
      </c>
      <c r="S69" s="38">
        <v>450.0</v>
      </c>
      <c r="T69" s="38">
        <v>113.0</v>
      </c>
      <c r="U69" s="48">
        <f t="shared" ref="U69:U218" si="37">SUM(P69:R69)</f>
        <v>3896</v>
      </c>
      <c r="V69" s="48">
        <f t="shared" ref="V69:V218" si="38">SUM(S69:U69)</f>
        <v>4459</v>
      </c>
      <c r="W69" s="49">
        <f t="shared" ref="W69:W218" si="39">P69/U69</f>
        <v>0.5980492813</v>
      </c>
      <c r="X69" s="49">
        <f t="shared" ref="X69:X218" si="40">Q69/U69</f>
        <v>0.3080082136</v>
      </c>
      <c r="Y69" s="49">
        <f t="shared" ref="Y69:Y218" si="41">R69/U69</f>
        <v>0.09394250513</v>
      </c>
      <c r="Z69" s="32" t="str">
        <f t="shared" ref="Z69:Z218" si="42">IF(LARGE(P69:R69,1)=0,#REF!,IF(LARGE(P69:R69,1)=LARGE(P69:R69,2),$F$6,IF(LARGE(P69:R69,1)=P69,$F$3,IF(LARGE(P69:R69,1)=Q69,$F$4,IF(LARGE(P69:R69,1)=R69,$F$5)))))</f>
        <v>Jango</v>
      </c>
      <c r="AA69" s="50" t="s">
        <v>77</v>
      </c>
      <c r="AB69" s="38">
        <v>7248.0</v>
      </c>
      <c r="AC69" s="48">
        <f t="shared" ref="AC69:AC218" si="43">AB69-V69</f>
        <v>2789</v>
      </c>
      <c r="AD69" s="51">
        <f t="shared" ref="AD69:AD218" si="44">V69/AB69</f>
        <v>0.6152041943</v>
      </c>
    </row>
    <row r="70">
      <c r="A70" s="24"/>
      <c r="B70" s="46" t="s">
        <v>1093</v>
      </c>
      <c r="C70" s="47"/>
      <c r="D70" s="38">
        <v>664.0</v>
      </c>
      <c r="E70" s="38">
        <v>386.0</v>
      </c>
      <c r="F70" s="38">
        <v>35.0</v>
      </c>
      <c r="G70" s="38">
        <v>21.0</v>
      </c>
      <c r="H70" s="38">
        <v>25.0</v>
      </c>
      <c r="I70" s="48">
        <f t="shared" si="31"/>
        <v>1085</v>
      </c>
      <c r="J70" s="48">
        <f t="shared" si="32"/>
        <v>1131</v>
      </c>
      <c r="K70" s="49">
        <f t="shared" si="33"/>
        <v>0.6119815668</v>
      </c>
      <c r="L70" s="49">
        <f t="shared" si="34"/>
        <v>0.3557603687</v>
      </c>
      <c r="M70" s="49">
        <f t="shared" si="35"/>
        <v>0.03225806452</v>
      </c>
      <c r="N70" s="32" t="str">
        <f t="shared" si="36"/>
        <v>Jânio</v>
      </c>
      <c r="O70" s="50" t="s">
        <v>77</v>
      </c>
      <c r="P70" s="38">
        <v>721.0</v>
      </c>
      <c r="Q70" s="38">
        <v>300.0</v>
      </c>
      <c r="R70" s="38">
        <v>55.0</v>
      </c>
      <c r="S70" s="38">
        <v>31.0</v>
      </c>
      <c r="T70" s="38">
        <v>24.0</v>
      </c>
      <c r="U70" s="48">
        <f t="shared" si="37"/>
        <v>1076</v>
      </c>
      <c r="V70" s="48">
        <f t="shared" si="38"/>
        <v>1131</v>
      </c>
      <c r="W70" s="49">
        <f t="shared" si="39"/>
        <v>0.6700743494</v>
      </c>
      <c r="X70" s="49">
        <f t="shared" si="40"/>
        <v>0.2788104089</v>
      </c>
      <c r="Y70" s="49">
        <f t="shared" si="41"/>
        <v>0.05111524164</v>
      </c>
      <c r="Z70" s="32" t="str">
        <f t="shared" si="42"/>
        <v>Jango</v>
      </c>
      <c r="AA70" s="50" t="s">
        <v>77</v>
      </c>
      <c r="AB70" s="38">
        <v>1607.0</v>
      </c>
      <c r="AC70" s="48">
        <f t="shared" si="43"/>
        <v>476</v>
      </c>
      <c r="AD70" s="51">
        <f t="shared" si="44"/>
        <v>0.703795893</v>
      </c>
    </row>
    <row r="71">
      <c r="A71" s="61" t="s">
        <v>207</v>
      </c>
      <c r="B71" s="46" t="s">
        <v>1094</v>
      </c>
      <c r="C71" s="47"/>
      <c r="D71" s="38">
        <v>723.0</v>
      </c>
      <c r="E71" s="38">
        <v>2108.0</v>
      </c>
      <c r="F71" s="38">
        <v>484.0</v>
      </c>
      <c r="G71" s="38">
        <v>132.0</v>
      </c>
      <c r="H71" s="38">
        <v>142.0</v>
      </c>
      <c r="I71" s="48">
        <f t="shared" si="31"/>
        <v>3315</v>
      </c>
      <c r="J71" s="48">
        <f t="shared" si="32"/>
        <v>3589</v>
      </c>
      <c r="K71" s="49">
        <f t="shared" si="33"/>
        <v>0.2180995475</v>
      </c>
      <c r="L71" s="49">
        <f t="shared" si="34"/>
        <v>0.6358974359</v>
      </c>
      <c r="M71" s="49">
        <f t="shared" si="35"/>
        <v>0.1460030166</v>
      </c>
      <c r="N71" s="32" t="str">
        <f t="shared" si="36"/>
        <v>Mal. Lott</v>
      </c>
      <c r="O71" s="50" t="s">
        <v>77</v>
      </c>
      <c r="P71" s="38">
        <v>2261.0</v>
      </c>
      <c r="Q71" s="38">
        <v>761.0</v>
      </c>
      <c r="R71" s="38">
        <v>230.0</v>
      </c>
      <c r="S71" s="38">
        <v>243.0</v>
      </c>
      <c r="T71" s="38">
        <v>94.0</v>
      </c>
      <c r="U71" s="48">
        <f t="shared" si="37"/>
        <v>3252</v>
      </c>
      <c r="V71" s="48">
        <f t="shared" si="38"/>
        <v>3589</v>
      </c>
      <c r="W71" s="49">
        <f t="shared" si="39"/>
        <v>0.6952644526</v>
      </c>
      <c r="X71" s="49">
        <f t="shared" si="40"/>
        <v>0.2340098401</v>
      </c>
      <c r="Y71" s="49">
        <f t="shared" si="41"/>
        <v>0.07072570726</v>
      </c>
      <c r="Z71" s="32" t="str">
        <f t="shared" si="42"/>
        <v>Jango</v>
      </c>
      <c r="AA71" s="50" t="s">
        <v>77</v>
      </c>
      <c r="AB71" s="38">
        <v>5375.0</v>
      </c>
      <c r="AC71" s="48">
        <f t="shared" si="43"/>
        <v>1786</v>
      </c>
      <c r="AD71" s="51">
        <f t="shared" si="44"/>
        <v>0.6677209302</v>
      </c>
    </row>
    <row r="72">
      <c r="A72" s="24"/>
      <c r="B72" s="46" t="s">
        <v>1095</v>
      </c>
      <c r="C72" s="47"/>
      <c r="D72" s="38">
        <v>351.0</v>
      </c>
      <c r="E72" s="38">
        <v>319.0</v>
      </c>
      <c r="F72" s="38">
        <v>103.0</v>
      </c>
      <c r="G72" s="38">
        <v>32.0</v>
      </c>
      <c r="H72" s="38">
        <v>36.0</v>
      </c>
      <c r="I72" s="48">
        <f t="shared" si="31"/>
        <v>773</v>
      </c>
      <c r="J72" s="48">
        <f t="shared" si="32"/>
        <v>841</v>
      </c>
      <c r="K72" s="49">
        <f t="shared" si="33"/>
        <v>0.4540750323</v>
      </c>
      <c r="L72" s="49">
        <f t="shared" si="34"/>
        <v>0.4126778784</v>
      </c>
      <c r="M72" s="49">
        <f t="shared" si="35"/>
        <v>0.1332470893</v>
      </c>
      <c r="N72" s="32" t="str">
        <f t="shared" si="36"/>
        <v>Jânio</v>
      </c>
      <c r="O72" s="50" t="s">
        <v>77</v>
      </c>
      <c r="P72" s="38">
        <v>311.0</v>
      </c>
      <c r="Q72" s="38">
        <v>295.0</v>
      </c>
      <c r="R72" s="38">
        <v>127.0</v>
      </c>
      <c r="S72" s="38">
        <v>76.0</v>
      </c>
      <c r="T72" s="38">
        <v>32.0</v>
      </c>
      <c r="U72" s="48">
        <f t="shared" si="37"/>
        <v>733</v>
      </c>
      <c r="V72" s="48">
        <f t="shared" si="38"/>
        <v>841</v>
      </c>
      <c r="W72" s="49">
        <f t="shared" si="39"/>
        <v>0.4242837653</v>
      </c>
      <c r="X72" s="49">
        <f t="shared" si="40"/>
        <v>0.4024556617</v>
      </c>
      <c r="Y72" s="49">
        <f t="shared" si="41"/>
        <v>0.173260573</v>
      </c>
      <c r="Z72" s="32" t="str">
        <f t="shared" si="42"/>
        <v>Jango</v>
      </c>
      <c r="AA72" s="50" t="s">
        <v>77</v>
      </c>
      <c r="AB72" s="38">
        <v>1278.0</v>
      </c>
      <c r="AC72" s="48">
        <f t="shared" si="43"/>
        <v>437</v>
      </c>
      <c r="AD72" s="51">
        <f t="shared" si="44"/>
        <v>0.6580594679</v>
      </c>
    </row>
    <row r="73">
      <c r="A73" s="61" t="s">
        <v>209</v>
      </c>
      <c r="B73" s="46" t="s">
        <v>1096</v>
      </c>
      <c r="C73" s="47"/>
      <c r="D73" s="38">
        <v>636.0</v>
      </c>
      <c r="E73" s="38">
        <v>436.0</v>
      </c>
      <c r="F73" s="38">
        <v>109.0</v>
      </c>
      <c r="G73" s="38">
        <v>46.0</v>
      </c>
      <c r="H73" s="38">
        <v>82.0</v>
      </c>
      <c r="I73" s="48">
        <f t="shared" si="31"/>
        <v>1181</v>
      </c>
      <c r="J73" s="48">
        <f t="shared" si="32"/>
        <v>1309</v>
      </c>
      <c r="K73" s="49">
        <f t="shared" si="33"/>
        <v>0.5385266723</v>
      </c>
      <c r="L73" s="49">
        <f t="shared" si="34"/>
        <v>0.3691786622</v>
      </c>
      <c r="M73" s="49">
        <f t="shared" si="35"/>
        <v>0.09229466554</v>
      </c>
      <c r="N73" s="32" t="str">
        <f t="shared" si="36"/>
        <v>Jânio</v>
      </c>
      <c r="O73" s="50" t="s">
        <v>77</v>
      </c>
      <c r="P73" s="38">
        <v>372.0</v>
      </c>
      <c r="Q73" s="38">
        <v>618.0</v>
      </c>
      <c r="R73" s="38">
        <v>119.0</v>
      </c>
      <c r="S73" s="38">
        <v>126.0</v>
      </c>
      <c r="T73" s="38">
        <v>74.0</v>
      </c>
      <c r="U73" s="48">
        <f t="shared" si="37"/>
        <v>1109</v>
      </c>
      <c r="V73" s="48">
        <f t="shared" si="38"/>
        <v>1309</v>
      </c>
      <c r="W73" s="49">
        <f t="shared" si="39"/>
        <v>0.3354373309</v>
      </c>
      <c r="X73" s="49">
        <f t="shared" si="40"/>
        <v>0.5572587917</v>
      </c>
      <c r="Y73" s="49">
        <f t="shared" si="41"/>
        <v>0.1073038774</v>
      </c>
      <c r="Z73" s="32" t="str">
        <f t="shared" si="42"/>
        <v>Milton</v>
      </c>
      <c r="AA73" s="50" t="s">
        <v>77</v>
      </c>
      <c r="AB73" s="38">
        <v>2028.0</v>
      </c>
      <c r="AC73" s="48">
        <f t="shared" si="43"/>
        <v>719</v>
      </c>
      <c r="AD73" s="51">
        <f t="shared" si="44"/>
        <v>0.6454635108</v>
      </c>
    </row>
    <row r="74">
      <c r="A74" s="24"/>
      <c r="B74" s="46" t="s">
        <v>1097</v>
      </c>
      <c r="C74" s="47"/>
      <c r="D74" s="38">
        <v>1186.0</v>
      </c>
      <c r="E74" s="38">
        <v>632.0</v>
      </c>
      <c r="F74" s="38">
        <v>139.0</v>
      </c>
      <c r="G74" s="38">
        <v>80.0</v>
      </c>
      <c r="H74" s="38">
        <v>176.0</v>
      </c>
      <c r="I74" s="48">
        <f t="shared" si="31"/>
        <v>1957</v>
      </c>
      <c r="J74" s="48">
        <f t="shared" si="32"/>
        <v>2213</v>
      </c>
      <c r="K74" s="49">
        <f t="shared" si="33"/>
        <v>0.6060296372</v>
      </c>
      <c r="L74" s="49">
        <f t="shared" si="34"/>
        <v>0.3229432805</v>
      </c>
      <c r="M74" s="49">
        <f t="shared" si="35"/>
        <v>0.07102708227</v>
      </c>
      <c r="N74" s="32" t="str">
        <f t="shared" si="36"/>
        <v>Jânio</v>
      </c>
      <c r="O74" s="50" t="s">
        <v>77</v>
      </c>
      <c r="P74" s="38">
        <v>637.0</v>
      </c>
      <c r="Q74" s="38">
        <v>1148.0</v>
      </c>
      <c r="R74" s="38">
        <v>126.0</v>
      </c>
      <c r="S74" s="38">
        <v>173.0</v>
      </c>
      <c r="T74" s="38">
        <v>129.0</v>
      </c>
      <c r="U74" s="48">
        <f t="shared" si="37"/>
        <v>1911</v>
      </c>
      <c r="V74" s="48">
        <f t="shared" si="38"/>
        <v>2213</v>
      </c>
      <c r="W74" s="49">
        <f t="shared" si="39"/>
        <v>0.3333333333</v>
      </c>
      <c r="X74" s="49">
        <f t="shared" si="40"/>
        <v>0.6007326007</v>
      </c>
      <c r="Y74" s="49">
        <f t="shared" si="41"/>
        <v>0.06593406593</v>
      </c>
      <c r="Z74" s="32" t="str">
        <f t="shared" si="42"/>
        <v>Milton</v>
      </c>
      <c r="AA74" s="50" t="s">
        <v>77</v>
      </c>
      <c r="AB74" s="38">
        <v>3291.0</v>
      </c>
      <c r="AC74" s="48">
        <f t="shared" si="43"/>
        <v>1078</v>
      </c>
      <c r="AD74" s="51">
        <f t="shared" si="44"/>
        <v>0.6724399878</v>
      </c>
    </row>
    <row r="75">
      <c r="A75" s="61" t="s">
        <v>211</v>
      </c>
      <c r="B75" s="46" t="s">
        <v>1098</v>
      </c>
      <c r="C75" s="47"/>
      <c r="D75" s="38">
        <v>736.0</v>
      </c>
      <c r="E75" s="38">
        <v>501.0</v>
      </c>
      <c r="F75" s="38">
        <v>319.0</v>
      </c>
      <c r="G75" s="38">
        <v>70.0</v>
      </c>
      <c r="H75" s="38">
        <v>130.0</v>
      </c>
      <c r="I75" s="48">
        <f t="shared" si="31"/>
        <v>1556</v>
      </c>
      <c r="J75" s="48">
        <f t="shared" si="32"/>
        <v>1756</v>
      </c>
      <c r="K75" s="49">
        <f t="shared" si="33"/>
        <v>0.4730077121</v>
      </c>
      <c r="L75" s="49">
        <f t="shared" si="34"/>
        <v>0.3219794344</v>
      </c>
      <c r="M75" s="49">
        <f t="shared" si="35"/>
        <v>0.2050128535</v>
      </c>
      <c r="N75" s="32" t="str">
        <f t="shared" si="36"/>
        <v>Jânio</v>
      </c>
      <c r="O75" s="50" t="s">
        <v>77</v>
      </c>
      <c r="P75" s="38">
        <v>637.0</v>
      </c>
      <c r="Q75" s="38">
        <v>745.0</v>
      </c>
      <c r="R75" s="38">
        <v>141.0</v>
      </c>
      <c r="S75" s="38">
        <v>129.0</v>
      </c>
      <c r="T75" s="38">
        <v>104.0</v>
      </c>
      <c r="U75" s="48">
        <f t="shared" si="37"/>
        <v>1523</v>
      </c>
      <c r="V75" s="48">
        <f t="shared" si="38"/>
        <v>1756</v>
      </c>
      <c r="W75" s="49">
        <f t="shared" si="39"/>
        <v>0.4182534471</v>
      </c>
      <c r="X75" s="49">
        <f t="shared" si="40"/>
        <v>0.4891661195</v>
      </c>
      <c r="Y75" s="49">
        <f t="shared" si="41"/>
        <v>0.09258043336</v>
      </c>
      <c r="Z75" s="32" t="str">
        <f t="shared" si="42"/>
        <v>Milton</v>
      </c>
      <c r="AA75" s="50" t="s">
        <v>77</v>
      </c>
      <c r="AB75" s="38">
        <v>2622.0</v>
      </c>
      <c r="AC75" s="48">
        <f t="shared" si="43"/>
        <v>866</v>
      </c>
      <c r="AD75" s="51">
        <f t="shared" si="44"/>
        <v>0.6697177727</v>
      </c>
    </row>
    <row r="76">
      <c r="A76" s="24"/>
      <c r="B76" s="46" t="s">
        <v>1099</v>
      </c>
      <c r="C76" s="47"/>
      <c r="D76" s="38">
        <v>498.0</v>
      </c>
      <c r="E76" s="38">
        <v>236.0</v>
      </c>
      <c r="F76" s="38">
        <v>111.0</v>
      </c>
      <c r="G76" s="38">
        <v>35.0</v>
      </c>
      <c r="H76" s="38">
        <v>59.0</v>
      </c>
      <c r="I76" s="48">
        <f t="shared" si="31"/>
        <v>845</v>
      </c>
      <c r="J76" s="48">
        <f t="shared" si="32"/>
        <v>939</v>
      </c>
      <c r="K76" s="49">
        <f t="shared" si="33"/>
        <v>0.5893491124</v>
      </c>
      <c r="L76" s="49">
        <f t="shared" si="34"/>
        <v>0.2792899408</v>
      </c>
      <c r="M76" s="49">
        <f t="shared" si="35"/>
        <v>0.1313609467</v>
      </c>
      <c r="N76" s="32" t="str">
        <f t="shared" si="36"/>
        <v>Jânio</v>
      </c>
      <c r="O76" s="50" t="s">
        <v>77</v>
      </c>
      <c r="P76" s="38">
        <v>277.0</v>
      </c>
      <c r="Q76" s="38">
        <v>515.0</v>
      </c>
      <c r="R76" s="38">
        <v>31.0</v>
      </c>
      <c r="S76" s="38">
        <v>66.0</v>
      </c>
      <c r="T76" s="38">
        <v>50.0</v>
      </c>
      <c r="U76" s="48">
        <f t="shared" si="37"/>
        <v>823</v>
      </c>
      <c r="V76" s="48">
        <f t="shared" si="38"/>
        <v>939</v>
      </c>
      <c r="W76" s="49">
        <f t="shared" si="39"/>
        <v>0.3365735115</v>
      </c>
      <c r="X76" s="49">
        <f t="shared" si="40"/>
        <v>0.6257594168</v>
      </c>
      <c r="Y76" s="49">
        <f t="shared" si="41"/>
        <v>0.03766707169</v>
      </c>
      <c r="Z76" s="32" t="str">
        <f t="shared" si="42"/>
        <v>Milton</v>
      </c>
      <c r="AA76" s="50" t="s">
        <v>77</v>
      </c>
      <c r="AB76" s="38">
        <v>1537.0</v>
      </c>
      <c r="AC76" s="48">
        <f t="shared" si="43"/>
        <v>598</v>
      </c>
      <c r="AD76" s="51">
        <f t="shared" si="44"/>
        <v>0.6109303839</v>
      </c>
    </row>
    <row r="77">
      <c r="A77" s="61" t="s">
        <v>213</v>
      </c>
      <c r="B77" s="46" t="s">
        <v>1100</v>
      </c>
      <c r="C77" s="47"/>
      <c r="D77" s="38">
        <v>567.0</v>
      </c>
      <c r="E77" s="38">
        <v>571.0</v>
      </c>
      <c r="F77" s="38">
        <v>191.0</v>
      </c>
      <c r="G77" s="38">
        <v>84.0</v>
      </c>
      <c r="H77" s="38">
        <v>146.0</v>
      </c>
      <c r="I77" s="48">
        <f t="shared" si="31"/>
        <v>1329</v>
      </c>
      <c r="J77" s="48">
        <f t="shared" si="32"/>
        <v>1559</v>
      </c>
      <c r="K77" s="49">
        <f t="shared" si="33"/>
        <v>0.4266365688</v>
      </c>
      <c r="L77" s="49">
        <f t="shared" si="34"/>
        <v>0.4296463506</v>
      </c>
      <c r="M77" s="49">
        <f t="shared" si="35"/>
        <v>0.1437170805</v>
      </c>
      <c r="N77" s="32" t="str">
        <f t="shared" si="36"/>
        <v>Mal. Lott</v>
      </c>
      <c r="O77" s="50" t="s">
        <v>77</v>
      </c>
      <c r="P77" s="38">
        <v>592.0</v>
      </c>
      <c r="Q77" s="38">
        <v>570.0</v>
      </c>
      <c r="R77" s="38">
        <v>132.0</v>
      </c>
      <c r="S77" s="38">
        <v>178.0</v>
      </c>
      <c r="T77" s="38">
        <v>87.0</v>
      </c>
      <c r="U77" s="48">
        <f t="shared" si="37"/>
        <v>1294</v>
      </c>
      <c r="V77" s="48">
        <f t="shared" si="38"/>
        <v>1559</v>
      </c>
      <c r="W77" s="49">
        <f t="shared" si="39"/>
        <v>0.457496136</v>
      </c>
      <c r="X77" s="49">
        <f t="shared" si="40"/>
        <v>0.4404945904</v>
      </c>
      <c r="Y77" s="49">
        <f t="shared" si="41"/>
        <v>0.1020092736</v>
      </c>
      <c r="Z77" s="32" t="str">
        <f t="shared" si="42"/>
        <v>Jango</v>
      </c>
      <c r="AA77" s="50" t="s">
        <v>77</v>
      </c>
      <c r="AB77" s="38">
        <v>2592.0</v>
      </c>
      <c r="AC77" s="48">
        <f t="shared" si="43"/>
        <v>1033</v>
      </c>
      <c r="AD77" s="51">
        <f t="shared" si="44"/>
        <v>0.6014660494</v>
      </c>
    </row>
    <row r="78">
      <c r="A78" s="23"/>
      <c r="B78" s="46" t="s">
        <v>1101</v>
      </c>
      <c r="C78" s="47"/>
      <c r="D78" s="38">
        <v>620.0</v>
      </c>
      <c r="E78" s="38">
        <v>269.0</v>
      </c>
      <c r="F78" s="38">
        <v>59.0</v>
      </c>
      <c r="G78" s="38">
        <v>27.0</v>
      </c>
      <c r="H78" s="38">
        <v>38.0</v>
      </c>
      <c r="I78" s="48">
        <f t="shared" si="31"/>
        <v>948</v>
      </c>
      <c r="J78" s="48">
        <f t="shared" si="32"/>
        <v>1013</v>
      </c>
      <c r="K78" s="49">
        <f t="shared" si="33"/>
        <v>0.6540084388</v>
      </c>
      <c r="L78" s="49">
        <f t="shared" si="34"/>
        <v>0.2837552743</v>
      </c>
      <c r="M78" s="49">
        <f t="shared" si="35"/>
        <v>0.06223628692</v>
      </c>
      <c r="N78" s="32" t="str">
        <f t="shared" si="36"/>
        <v>Jânio</v>
      </c>
      <c r="O78" s="50" t="s">
        <v>77</v>
      </c>
      <c r="P78" s="38">
        <v>272.0</v>
      </c>
      <c r="Q78" s="38">
        <v>598.0</v>
      </c>
      <c r="R78" s="38">
        <v>53.0</v>
      </c>
      <c r="S78" s="38">
        <v>62.0</v>
      </c>
      <c r="T78" s="38">
        <v>28.0</v>
      </c>
      <c r="U78" s="48">
        <f t="shared" si="37"/>
        <v>923</v>
      </c>
      <c r="V78" s="48">
        <f t="shared" si="38"/>
        <v>1013</v>
      </c>
      <c r="W78" s="49">
        <f t="shared" si="39"/>
        <v>0.2946912243</v>
      </c>
      <c r="X78" s="49">
        <f t="shared" si="40"/>
        <v>0.6478873239</v>
      </c>
      <c r="Y78" s="49">
        <f t="shared" si="41"/>
        <v>0.05742145179</v>
      </c>
      <c r="Z78" s="32" t="str">
        <f t="shared" si="42"/>
        <v>Milton</v>
      </c>
      <c r="AA78" s="50" t="s">
        <v>77</v>
      </c>
      <c r="AB78" s="38">
        <v>1777.0</v>
      </c>
      <c r="AC78" s="48">
        <f t="shared" si="43"/>
        <v>764</v>
      </c>
      <c r="AD78" s="51">
        <f t="shared" si="44"/>
        <v>0.5700619021</v>
      </c>
    </row>
    <row r="79">
      <c r="A79" s="23"/>
      <c r="B79" s="46" t="s">
        <v>1102</v>
      </c>
      <c r="C79" s="47"/>
      <c r="D79" s="38">
        <v>1030.0</v>
      </c>
      <c r="E79" s="38">
        <v>329.0</v>
      </c>
      <c r="F79" s="38">
        <v>100.0</v>
      </c>
      <c r="G79" s="38">
        <v>26.0</v>
      </c>
      <c r="H79" s="38">
        <v>76.0</v>
      </c>
      <c r="I79" s="48">
        <f t="shared" si="31"/>
        <v>1459</v>
      </c>
      <c r="J79" s="48">
        <f t="shared" si="32"/>
        <v>1561</v>
      </c>
      <c r="K79" s="49">
        <f t="shared" si="33"/>
        <v>0.7059629883</v>
      </c>
      <c r="L79" s="49">
        <f t="shared" si="34"/>
        <v>0.2254969157</v>
      </c>
      <c r="M79" s="49">
        <f t="shared" si="35"/>
        <v>0.06854009596</v>
      </c>
      <c r="N79" s="32" t="str">
        <f t="shared" si="36"/>
        <v>Jânio</v>
      </c>
      <c r="O79" s="50" t="s">
        <v>77</v>
      </c>
      <c r="P79" s="38">
        <v>374.0</v>
      </c>
      <c r="Q79" s="38">
        <v>999.0</v>
      </c>
      <c r="R79" s="38">
        <v>69.0</v>
      </c>
      <c r="S79" s="38">
        <v>66.0</v>
      </c>
      <c r="T79" s="38">
        <v>53.0</v>
      </c>
      <c r="U79" s="48">
        <f t="shared" si="37"/>
        <v>1442</v>
      </c>
      <c r="V79" s="48">
        <f t="shared" si="38"/>
        <v>1561</v>
      </c>
      <c r="W79" s="49">
        <f t="shared" si="39"/>
        <v>0.2593619972</v>
      </c>
      <c r="X79" s="49">
        <f t="shared" si="40"/>
        <v>0.6927877947</v>
      </c>
      <c r="Y79" s="49">
        <f t="shared" si="41"/>
        <v>0.04785020804</v>
      </c>
      <c r="Z79" s="32" t="str">
        <f t="shared" si="42"/>
        <v>Milton</v>
      </c>
      <c r="AA79" s="50" t="s">
        <v>77</v>
      </c>
      <c r="AB79" s="38">
        <v>3027.0</v>
      </c>
      <c r="AC79" s="48">
        <f t="shared" si="43"/>
        <v>1466</v>
      </c>
      <c r="AD79" s="51">
        <f t="shared" si="44"/>
        <v>0.5156921044</v>
      </c>
    </row>
    <row r="80">
      <c r="A80" s="24"/>
      <c r="B80" s="46" t="s">
        <v>1103</v>
      </c>
      <c r="C80" s="47"/>
      <c r="D80" s="38">
        <v>232.0</v>
      </c>
      <c r="E80" s="38">
        <v>61.0</v>
      </c>
      <c r="F80" s="38">
        <v>10.0</v>
      </c>
      <c r="G80" s="38">
        <v>11.0</v>
      </c>
      <c r="H80" s="38">
        <v>16.0</v>
      </c>
      <c r="I80" s="48">
        <f t="shared" si="31"/>
        <v>303</v>
      </c>
      <c r="J80" s="48">
        <f t="shared" si="32"/>
        <v>330</v>
      </c>
      <c r="K80" s="49">
        <f t="shared" si="33"/>
        <v>0.7656765677</v>
      </c>
      <c r="L80" s="49">
        <f t="shared" si="34"/>
        <v>0.201320132</v>
      </c>
      <c r="M80" s="49">
        <f t="shared" si="35"/>
        <v>0.03300330033</v>
      </c>
      <c r="N80" s="32" t="str">
        <f t="shared" si="36"/>
        <v>Jânio</v>
      </c>
      <c r="O80" s="50" t="s">
        <v>77</v>
      </c>
      <c r="P80" s="38">
        <v>105.0</v>
      </c>
      <c r="Q80" s="38">
        <v>184.0</v>
      </c>
      <c r="R80" s="38">
        <v>8.0</v>
      </c>
      <c r="S80" s="38">
        <v>22.0</v>
      </c>
      <c r="T80" s="38">
        <v>11.0</v>
      </c>
      <c r="U80" s="48">
        <f t="shared" si="37"/>
        <v>297</v>
      </c>
      <c r="V80" s="48">
        <f t="shared" si="38"/>
        <v>330</v>
      </c>
      <c r="W80" s="49">
        <f t="shared" si="39"/>
        <v>0.3535353535</v>
      </c>
      <c r="X80" s="49">
        <f t="shared" si="40"/>
        <v>0.6195286195</v>
      </c>
      <c r="Y80" s="49">
        <f t="shared" si="41"/>
        <v>0.02693602694</v>
      </c>
      <c r="Z80" s="32" t="str">
        <f t="shared" si="42"/>
        <v>Milton</v>
      </c>
      <c r="AA80" s="50" t="s">
        <v>77</v>
      </c>
      <c r="AB80" s="38">
        <v>921.0</v>
      </c>
      <c r="AC80" s="48">
        <f t="shared" si="43"/>
        <v>591</v>
      </c>
      <c r="AD80" s="51">
        <f t="shared" si="44"/>
        <v>0.3583061889</v>
      </c>
    </row>
    <row r="81">
      <c r="A81" s="61" t="s">
        <v>215</v>
      </c>
      <c r="B81" s="46" t="s">
        <v>1104</v>
      </c>
      <c r="C81" s="47"/>
      <c r="D81" s="38">
        <v>1276.0</v>
      </c>
      <c r="E81" s="38">
        <v>1282.0</v>
      </c>
      <c r="F81" s="38">
        <v>130.0</v>
      </c>
      <c r="G81" s="38">
        <v>73.0</v>
      </c>
      <c r="H81" s="38">
        <v>188.0</v>
      </c>
      <c r="I81" s="48">
        <f t="shared" si="31"/>
        <v>2688</v>
      </c>
      <c r="J81" s="48">
        <f t="shared" si="32"/>
        <v>2949</v>
      </c>
      <c r="K81" s="49">
        <f t="shared" si="33"/>
        <v>0.474702381</v>
      </c>
      <c r="L81" s="49">
        <f t="shared" si="34"/>
        <v>0.4769345238</v>
      </c>
      <c r="M81" s="49">
        <f t="shared" si="35"/>
        <v>0.04836309524</v>
      </c>
      <c r="N81" s="32" t="str">
        <f t="shared" si="36"/>
        <v>Mal. Lott</v>
      </c>
      <c r="O81" s="50" t="s">
        <v>77</v>
      </c>
      <c r="P81" s="38">
        <v>1321.0</v>
      </c>
      <c r="Q81" s="38">
        <v>1192.0</v>
      </c>
      <c r="R81" s="38">
        <v>116.0</v>
      </c>
      <c r="S81" s="38">
        <v>174.0</v>
      </c>
      <c r="T81" s="38">
        <v>146.0</v>
      </c>
      <c r="U81" s="48">
        <f t="shared" si="37"/>
        <v>2629</v>
      </c>
      <c r="V81" s="48">
        <f t="shared" si="38"/>
        <v>2949</v>
      </c>
      <c r="W81" s="49">
        <f t="shared" si="39"/>
        <v>0.502472423</v>
      </c>
      <c r="X81" s="49">
        <f t="shared" si="40"/>
        <v>0.4534043362</v>
      </c>
      <c r="Y81" s="49">
        <f t="shared" si="41"/>
        <v>0.04412324078</v>
      </c>
      <c r="Z81" s="32" t="str">
        <f t="shared" si="42"/>
        <v>Jango</v>
      </c>
      <c r="AA81" s="50" t="s">
        <v>77</v>
      </c>
      <c r="AB81" s="38">
        <v>4318.0</v>
      </c>
      <c r="AC81" s="48">
        <f t="shared" si="43"/>
        <v>1369</v>
      </c>
      <c r="AD81" s="51">
        <f t="shared" si="44"/>
        <v>0.6829550718</v>
      </c>
    </row>
    <row r="82">
      <c r="A82" s="24"/>
      <c r="B82" s="46" t="s">
        <v>1105</v>
      </c>
      <c r="C82" s="47"/>
      <c r="D82" s="38">
        <v>713.0</v>
      </c>
      <c r="E82" s="38">
        <v>517.0</v>
      </c>
      <c r="F82" s="38">
        <v>93.0</v>
      </c>
      <c r="G82" s="38">
        <v>50.0</v>
      </c>
      <c r="H82" s="38">
        <v>93.0</v>
      </c>
      <c r="I82" s="48">
        <f t="shared" si="31"/>
        <v>1323</v>
      </c>
      <c r="J82" s="48">
        <f t="shared" si="32"/>
        <v>1466</v>
      </c>
      <c r="K82" s="49">
        <f t="shared" si="33"/>
        <v>0.5389266818</v>
      </c>
      <c r="L82" s="49">
        <f t="shared" si="34"/>
        <v>0.3907785336</v>
      </c>
      <c r="M82" s="49">
        <f t="shared" si="35"/>
        <v>0.07029478458</v>
      </c>
      <c r="N82" s="32" t="str">
        <f t="shared" si="36"/>
        <v>Jânio</v>
      </c>
      <c r="O82" s="50" t="s">
        <v>77</v>
      </c>
      <c r="P82" s="38">
        <v>524.0</v>
      </c>
      <c r="Q82" s="38">
        <v>668.0</v>
      </c>
      <c r="R82" s="38">
        <v>70.0</v>
      </c>
      <c r="S82" s="38">
        <v>122.0</v>
      </c>
      <c r="T82" s="38">
        <v>82.0</v>
      </c>
      <c r="U82" s="48">
        <f t="shared" si="37"/>
        <v>1262</v>
      </c>
      <c r="V82" s="48">
        <f t="shared" si="38"/>
        <v>1466</v>
      </c>
      <c r="W82" s="49">
        <f t="shared" si="39"/>
        <v>0.4152139461</v>
      </c>
      <c r="X82" s="49">
        <f t="shared" si="40"/>
        <v>0.529318542</v>
      </c>
      <c r="Y82" s="49">
        <f t="shared" si="41"/>
        <v>0.05546751189</v>
      </c>
      <c r="Z82" s="32" t="str">
        <f t="shared" si="42"/>
        <v>Milton</v>
      </c>
      <c r="AA82" s="50" t="s">
        <v>77</v>
      </c>
      <c r="AB82" s="38">
        <v>2254.0</v>
      </c>
      <c r="AC82" s="48">
        <f t="shared" si="43"/>
        <v>788</v>
      </c>
      <c r="AD82" s="51">
        <f t="shared" si="44"/>
        <v>0.6503992902</v>
      </c>
    </row>
    <row r="83">
      <c r="A83" s="61" t="s">
        <v>218</v>
      </c>
      <c r="B83" s="46" t="s">
        <v>1106</v>
      </c>
      <c r="C83" s="47"/>
      <c r="D83" s="38">
        <v>1884.0</v>
      </c>
      <c r="E83" s="38">
        <v>1734.0</v>
      </c>
      <c r="F83" s="38">
        <v>105.0</v>
      </c>
      <c r="G83" s="38">
        <v>70.0</v>
      </c>
      <c r="H83" s="38">
        <v>138.0</v>
      </c>
      <c r="I83" s="48">
        <f t="shared" si="31"/>
        <v>3723</v>
      </c>
      <c r="J83" s="48">
        <f t="shared" si="32"/>
        <v>3931</v>
      </c>
      <c r="K83" s="49">
        <f t="shared" si="33"/>
        <v>0.5060435133</v>
      </c>
      <c r="L83" s="49">
        <f t="shared" si="34"/>
        <v>0.4657534247</v>
      </c>
      <c r="M83" s="49">
        <f t="shared" si="35"/>
        <v>0.02820306205</v>
      </c>
      <c r="N83" s="32" t="str">
        <f t="shared" si="36"/>
        <v>Jânio</v>
      </c>
      <c r="O83" s="50" t="s">
        <v>77</v>
      </c>
      <c r="P83" s="38">
        <v>1253.0</v>
      </c>
      <c r="Q83" s="38">
        <v>1947.0</v>
      </c>
      <c r="R83" s="38">
        <v>382.0</v>
      </c>
      <c r="S83" s="38">
        <v>252.0</v>
      </c>
      <c r="T83" s="38">
        <v>97.0</v>
      </c>
      <c r="U83" s="48">
        <f t="shared" si="37"/>
        <v>3582</v>
      </c>
      <c r="V83" s="48">
        <f t="shared" si="38"/>
        <v>3931</v>
      </c>
      <c r="W83" s="49">
        <f t="shared" si="39"/>
        <v>0.3498045784</v>
      </c>
      <c r="X83" s="49">
        <f t="shared" si="40"/>
        <v>0.5435510888</v>
      </c>
      <c r="Y83" s="49">
        <f t="shared" si="41"/>
        <v>0.1066443328</v>
      </c>
      <c r="Z83" s="32" t="str">
        <f t="shared" si="42"/>
        <v>Milton</v>
      </c>
      <c r="AA83" s="50" t="s">
        <v>77</v>
      </c>
      <c r="AB83" s="38">
        <v>5985.0</v>
      </c>
      <c r="AC83" s="48">
        <f t="shared" si="43"/>
        <v>2054</v>
      </c>
      <c r="AD83" s="51">
        <f t="shared" si="44"/>
        <v>0.6568086884</v>
      </c>
    </row>
    <row r="84">
      <c r="A84" s="24"/>
      <c r="B84" s="46" t="s">
        <v>1107</v>
      </c>
      <c r="C84" s="47"/>
      <c r="D84" s="38">
        <v>1219.0</v>
      </c>
      <c r="E84" s="38">
        <v>171.0</v>
      </c>
      <c r="F84" s="38">
        <v>356.0</v>
      </c>
      <c r="G84" s="38">
        <v>56.0</v>
      </c>
      <c r="H84" s="38">
        <v>54.0</v>
      </c>
      <c r="I84" s="48">
        <f t="shared" si="31"/>
        <v>1746</v>
      </c>
      <c r="J84" s="48">
        <f t="shared" si="32"/>
        <v>1856</v>
      </c>
      <c r="K84" s="49">
        <f t="shared" si="33"/>
        <v>0.6981672394</v>
      </c>
      <c r="L84" s="49">
        <f t="shared" si="34"/>
        <v>0.09793814433</v>
      </c>
      <c r="M84" s="49">
        <f t="shared" si="35"/>
        <v>0.2038946163</v>
      </c>
      <c r="N84" s="32" t="str">
        <f t="shared" si="36"/>
        <v>Jânio</v>
      </c>
      <c r="O84" s="50" t="s">
        <v>77</v>
      </c>
      <c r="P84" s="38">
        <v>1107.0</v>
      </c>
      <c r="Q84" s="38">
        <v>546.0</v>
      </c>
      <c r="R84" s="38">
        <v>61.0</v>
      </c>
      <c r="S84" s="38">
        <v>104.0</v>
      </c>
      <c r="T84" s="38">
        <v>38.0</v>
      </c>
      <c r="U84" s="48">
        <f t="shared" si="37"/>
        <v>1714</v>
      </c>
      <c r="V84" s="48">
        <f t="shared" si="38"/>
        <v>1856</v>
      </c>
      <c r="W84" s="49">
        <f t="shared" si="39"/>
        <v>0.6458576429</v>
      </c>
      <c r="X84" s="49">
        <f t="shared" si="40"/>
        <v>0.3185530922</v>
      </c>
      <c r="Y84" s="49">
        <f t="shared" si="41"/>
        <v>0.03558926488</v>
      </c>
      <c r="Z84" s="32" t="str">
        <f t="shared" si="42"/>
        <v>Jango</v>
      </c>
      <c r="AA84" s="50" t="s">
        <v>77</v>
      </c>
      <c r="AB84" s="38">
        <v>3011.0</v>
      </c>
      <c r="AC84" s="48">
        <f t="shared" si="43"/>
        <v>1155</v>
      </c>
      <c r="AD84" s="51">
        <f t="shared" si="44"/>
        <v>0.6164065095</v>
      </c>
    </row>
    <row r="85">
      <c r="A85" s="110" t="s">
        <v>220</v>
      </c>
      <c r="B85" s="46" t="s">
        <v>1108</v>
      </c>
      <c r="C85" s="47"/>
      <c r="D85" s="38">
        <v>1526.0</v>
      </c>
      <c r="E85" s="38">
        <v>275.0</v>
      </c>
      <c r="F85" s="38">
        <v>280.0</v>
      </c>
      <c r="G85" s="38">
        <v>96.0</v>
      </c>
      <c r="H85" s="38">
        <v>207.0</v>
      </c>
      <c r="I85" s="48">
        <f t="shared" si="31"/>
        <v>2081</v>
      </c>
      <c r="J85" s="48">
        <f t="shared" si="32"/>
        <v>2384</v>
      </c>
      <c r="K85" s="49">
        <f t="shared" si="33"/>
        <v>0.7333012975</v>
      </c>
      <c r="L85" s="49">
        <f t="shared" si="34"/>
        <v>0.1321480058</v>
      </c>
      <c r="M85" s="49">
        <f t="shared" si="35"/>
        <v>0.1345506968</v>
      </c>
      <c r="N85" s="32" t="str">
        <f t="shared" si="36"/>
        <v>Jânio</v>
      </c>
      <c r="O85" s="50" t="s">
        <v>77</v>
      </c>
      <c r="P85" s="38">
        <v>356.0</v>
      </c>
      <c r="Q85" s="38">
        <v>1424.0</v>
      </c>
      <c r="R85" s="38">
        <v>183.0</v>
      </c>
      <c r="S85" s="38">
        <v>282.0</v>
      </c>
      <c r="T85" s="38">
        <v>139.0</v>
      </c>
      <c r="U85" s="48">
        <f t="shared" si="37"/>
        <v>1963</v>
      </c>
      <c r="V85" s="48">
        <f t="shared" si="38"/>
        <v>2384</v>
      </c>
      <c r="W85" s="49">
        <f t="shared" si="39"/>
        <v>0.1813550688</v>
      </c>
      <c r="X85" s="49">
        <f t="shared" si="40"/>
        <v>0.7254202751</v>
      </c>
      <c r="Y85" s="49">
        <f t="shared" si="41"/>
        <v>0.09322465614</v>
      </c>
      <c r="Z85" s="32" t="str">
        <f t="shared" si="42"/>
        <v>Milton</v>
      </c>
      <c r="AA85" s="50" t="s">
        <v>77</v>
      </c>
      <c r="AB85" s="38">
        <v>4281.0</v>
      </c>
      <c r="AC85" s="48">
        <f t="shared" si="43"/>
        <v>1897</v>
      </c>
      <c r="AD85" s="51">
        <f t="shared" si="44"/>
        <v>0.5568792338</v>
      </c>
    </row>
    <row r="86">
      <c r="A86" s="61" t="s">
        <v>295</v>
      </c>
      <c r="B86" s="46" t="s">
        <v>1109</v>
      </c>
      <c r="C86" s="47"/>
      <c r="D86" s="38">
        <v>1093.0</v>
      </c>
      <c r="E86" s="38">
        <v>578.0</v>
      </c>
      <c r="F86" s="38">
        <v>102.0</v>
      </c>
      <c r="G86" s="38">
        <v>45.0</v>
      </c>
      <c r="H86" s="38">
        <v>96.0</v>
      </c>
      <c r="I86" s="48">
        <f t="shared" si="31"/>
        <v>1773</v>
      </c>
      <c r="J86" s="48">
        <f t="shared" si="32"/>
        <v>1914</v>
      </c>
      <c r="K86" s="49">
        <f t="shared" si="33"/>
        <v>0.6164692611</v>
      </c>
      <c r="L86" s="49">
        <f t="shared" si="34"/>
        <v>0.326001128</v>
      </c>
      <c r="M86" s="49">
        <f t="shared" si="35"/>
        <v>0.05752961083</v>
      </c>
      <c r="N86" s="32" t="str">
        <f t="shared" si="36"/>
        <v>Jânio</v>
      </c>
      <c r="O86" s="50" t="s">
        <v>77</v>
      </c>
      <c r="P86" s="38">
        <v>602.0</v>
      </c>
      <c r="Q86" s="38">
        <v>1000.0</v>
      </c>
      <c r="R86" s="38">
        <v>99.0</v>
      </c>
      <c r="S86" s="38">
        <v>154.0</v>
      </c>
      <c r="T86" s="38">
        <v>59.0</v>
      </c>
      <c r="U86" s="48">
        <f t="shared" si="37"/>
        <v>1701</v>
      </c>
      <c r="V86" s="48">
        <f t="shared" si="38"/>
        <v>1914</v>
      </c>
      <c r="W86" s="49">
        <f t="shared" si="39"/>
        <v>0.353909465</v>
      </c>
      <c r="X86" s="49">
        <f t="shared" si="40"/>
        <v>0.5878894768</v>
      </c>
      <c r="Y86" s="49">
        <f t="shared" si="41"/>
        <v>0.0582010582</v>
      </c>
      <c r="Z86" s="32" t="str">
        <f t="shared" si="42"/>
        <v>Milton</v>
      </c>
      <c r="AA86" s="50" t="s">
        <v>77</v>
      </c>
      <c r="AB86" s="38">
        <v>3367.0</v>
      </c>
      <c r="AC86" s="48">
        <f t="shared" si="43"/>
        <v>1453</v>
      </c>
      <c r="AD86" s="51">
        <f t="shared" si="44"/>
        <v>0.5684585685</v>
      </c>
    </row>
    <row r="87">
      <c r="A87" s="24"/>
      <c r="B87" s="46" t="s">
        <v>1110</v>
      </c>
      <c r="C87" s="47"/>
      <c r="D87" s="38">
        <v>295.0</v>
      </c>
      <c r="E87" s="38">
        <v>297.0</v>
      </c>
      <c r="F87" s="38">
        <v>18.0</v>
      </c>
      <c r="G87" s="38">
        <v>19.0</v>
      </c>
      <c r="H87" s="38">
        <v>17.0</v>
      </c>
      <c r="I87" s="48">
        <f t="shared" si="31"/>
        <v>610</v>
      </c>
      <c r="J87" s="48">
        <f t="shared" si="32"/>
        <v>646</v>
      </c>
      <c r="K87" s="49">
        <f t="shared" si="33"/>
        <v>0.4836065574</v>
      </c>
      <c r="L87" s="49">
        <f t="shared" si="34"/>
        <v>0.4868852459</v>
      </c>
      <c r="M87" s="49">
        <f t="shared" si="35"/>
        <v>0.02950819672</v>
      </c>
      <c r="N87" s="32" t="str">
        <f t="shared" si="36"/>
        <v>Mal. Lott</v>
      </c>
      <c r="O87" s="50" t="s">
        <v>77</v>
      </c>
      <c r="P87" s="38">
        <v>287.0</v>
      </c>
      <c r="Q87" s="38">
        <v>292.0</v>
      </c>
      <c r="R87" s="38">
        <v>14.0</v>
      </c>
      <c r="S87" s="38">
        <v>35.0</v>
      </c>
      <c r="T87" s="38">
        <v>18.0</v>
      </c>
      <c r="U87" s="48">
        <f t="shared" si="37"/>
        <v>593</v>
      </c>
      <c r="V87" s="48">
        <f t="shared" si="38"/>
        <v>646</v>
      </c>
      <c r="W87" s="49">
        <f t="shared" si="39"/>
        <v>0.4839797639</v>
      </c>
      <c r="X87" s="49">
        <f t="shared" si="40"/>
        <v>0.4924114671</v>
      </c>
      <c r="Y87" s="49">
        <f t="shared" si="41"/>
        <v>0.02360876897</v>
      </c>
      <c r="Z87" s="32" t="str">
        <f t="shared" si="42"/>
        <v>Milton</v>
      </c>
      <c r="AA87" s="50" t="s">
        <v>77</v>
      </c>
      <c r="AB87" s="38">
        <v>1027.0</v>
      </c>
      <c r="AC87" s="48">
        <f t="shared" si="43"/>
        <v>381</v>
      </c>
      <c r="AD87" s="51">
        <f t="shared" si="44"/>
        <v>0.6290165531</v>
      </c>
    </row>
    <row r="88">
      <c r="A88" s="61" t="s">
        <v>299</v>
      </c>
      <c r="B88" s="46" t="s">
        <v>1111</v>
      </c>
      <c r="C88" s="47"/>
      <c r="D88" s="38">
        <v>645.0</v>
      </c>
      <c r="E88" s="38">
        <v>480.0</v>
      </c>
      <c r="F88" s="38">
        <v>91.0</v>
      </c>
      <c r="G88" s="38">
        <v>48.0</v>
      </c>
      <c r="H88" s="38">
        <v>74.0</v>
      </c>
      <c r="I88" s="48">
        <f t="shared" si="31"/>
        <v>1216</v>
      </c>
      <c r="J88" s="48">
        <f t="shared" si="32"/>
        <v>1338</v>
      </c>
      <c r="K88" s="49">
        <f t="shared" si="33"/>
        <v>0.5304276316</v>
      </c>
      <c r="L88" s="49">
        <f t="shared" si="34"/>
        <v>0.3947368421</v>
      </c>
      <c r="M88" s="49">
        <f t="shared" si="35"/>
        <v>0.07483552632</v>
      </c>
      <c r="N88" s="32" t="str">
        <f t="shared" si="36"/>
        <v>Jânio</v>
      </c>
      <c r="O88" s="50" t="s">
        <v>77</v>
      </c>
      <c r="P88" s="38">
        <v>584.0</v>
      </c>
      <c r="Q88" s="38">
        <v>421.0</v>
      </c>
      <c r="R88" s="38">
        <v>168.0</v>
      </c>
      <c r="S88" s="38">
        <v>97.0</v>
      </c>
      <c r="T88" s="38">
        <v>68.0</v>
      </c>
      <c r="U88" s="48">
        <f t="shared" si="37"/>
        <v>1173</v>
      </c>
      <c r="V88" s="48">
        <f t="shared" si="38"/>
        <v>1338</v>
      </c>
      <c r="W88" s="49">
        <f t="shared" si="39"/>
        <v>0.4978687127</v>
      </c>
      <c r="X88" s="49">
        <f t="shared" si="40"/>
        <v>0.3589087809</v>
      </c>
      <c r="Y88" s="49">
        <f t="shared" si="41"/>
        <v>0.1432225064</v>
      </c>
      <c r="Z88" s="32" t="str">
        <f t="shared" si="42"/>
        <v>Jango</v>
      </c>
      <c r="AA88" s="50" t="s">
        <v>77</v>
      </c>
      <c r="AB88" s="38">
        <v>2421.0</v>
      </c>
      <c r="AC88" s="48">
        <f t="shared" si="43"/>
        <v>1083</v>
      </c>
      <c r="AD88" s="51">
        <f t="shared" si="44"/>
        <v>0.5526641884</v>
      </c>
    </row>
    <row r="89">
      <c r="A89" s="24"/>
      <c r="B89" s="46" t="s">
        <v>1112</v>
      </c>
      <c r="C89" s="47"/>
      <c r="D89" s="38">
        <v>595.0</v>
      </c>
      <c r="E89" s="38">
        <v>394.0</v>
      </c>
      <c r="F89" s="38">
        <v>53.0</v>
      </c>
      <c r="G89" s="38">
        <v>36.0</v>
      </c>
      <c r="H89" s="38">
        <v>34.0</v>
      </c>
      <c r="I89" s="48">
        <f t="shared" si="31"/>
        <v>1042</v>
      </c>
      <c r="J89" s="48">
        <f t="shared" si="32"/>
        <v>1112</v>
      </c>
      <c r="K89" s="49">
        <f t="shared" si="33"/>
        <v>0.5710172745</v>
      </c>
      <c r="L89" s="49">
        <f t="shared" si="34"/>
        <v>0.3781190019</v>
      </c>
      <c r="M89" s="49">
        <f t="shared" si="35"/>
        <v>0.05086372361</v>
      </c>
      <c r="N89" s="32" t="str">
        <f t="shared" si="36"/>
        <v>Jânio</v>
      </c>
      <c r="O89" s="50" t="s">
        <v>77</v>
      </c>
      <c r="P89" s="38">
        <v>402.0</v>
      </c>
      <c r="Q89" s="38">
        <v>548.0</v>
      </c>
      <c r="R89" s="38">
        <v>35.0</v>
      </c>
      <c r="S89" s="38">
        <v>97.0</v>
      </c>
      <c r="T89" s="38">
        <v>30.0</v>
      </c>
      <c r="U89" s="48">
        <f t="shared" si="37"/>
        <v>985</v>
      </c>
      <c r="V89" s="48">
        <f t="shared" si="38"/>
        <v>1112</v>
      </c>
      <c r="W89" s="49">
        <f t="shared" si="39"/>
        <v>0.4081218274</v>
      </c>
      <c r="X89" s="49">
        <f t="shared" si="40"/>
        <v>0.5563451777</v>
      </c>
      <c r="Y89" s="49">
        <f t="shared" si="41"/>
        <v>0.03553299492</v>
      </c>
      <c r="Z89" s="32" t="str">
        <f t="shared" si="42"/>
        <v>Milton</v>
      </c>
      <c r="AA89" s="50" t="s">
        <v>77</v>
      </c>
      <c r="AB89" s="38">
        <v>1773.0</v>
      </c>
      <c r="AC89" s="48">
        <f t="shared" si="43"/>
        <v>661</v>
      </c>
      <c r="AD89" s="51">
        <f t="shared" si="44"/>
        <v>0.6271855612</v>
      </c>
    </row>
    <row r="90">
      <c r="A90" s="110" t="s">
        <v>302</v>
      </c>
      <c r="B90" s="46" t="s">
        <v>1113</v>
      </c>
      <c r="C90" s="47"/>
      <c r="D90" s="38">
        <v>5501.0</v>
      </c>
      <c r="E90" s="38">
        <v>3304.0</v>
      </c>
      <c r="F90" s="38">
        <v>440.0</v>
      </c>
      <c r="G90" s="38">
        <v>282.0</v>
      </c>
      <c r="H90" s="38">
        <v>428.0</v>
      </c>
      <c r="I90" s="48">
        <f t="shared" si="31"/>
        <v>9245</v>
      </c>
      <c r="J90" s="48">
        <f t="shared" si="32"/>
        <v>9955</v>
      </c>
      <c r="K90" s="49">
        <f t="shared" si="33"/>
        <v>0.5950243375</v>
      </c>
      <c r="L90" s="49">
        <f t="shared" si="34"/>
        <v>0.3573823688</v>
      </c>
      <c r="M90" s="49">
        <f t="shared" si="35"/>
        <v>0.04759329367</v>
      </c>
      <c r="N90" s="32" t="str">
        <f t="shared" si="36"/>
        <v>Jânio</v>
      </c>
      <c r="O90" s="50" t="s">
        <v>77</v>
      </c>
      <c r="P90" s="38">
        <v>3184.0</v>
      </c>
      <c r="Q90" s="38">
        <v>4365.0</v>
      </c>
      <c r="R90" s="38">
        <v>1433.0</v>
      </c>
      <c r="S90" s="38">
        <v>688.0</v>
      </c>
      <c r="T90" s="38">
        <v>285.0</v>
      </c>
      <c r="U90" s="48">
        <f t="shared" si="37"/>
        <v>8982</v>
      </c>
      <c r="V90" s="48">
        <f t="shared" si="38"/>
        <v>9955</v>
      </c>
      <c r="W90" s="49">
        <f t="shared" si="39"/>
        <v>0.3544867513</v>
      </c>
      <c r="X90" s="49">
        <f t="shared" si="40"/>
        <v>0.4859719439</v>
      </c>
      <c r="Y90" s="49">
        <f t="shared" si="41"/>
        <v>0.1595413048</v>
      </c>
      <c r="Z90" s="32" t="str">
        <f t="shared" si="42"/>
        <v>Milton</v>
      </c>
      <c r="AA90" s="50" t="s">
        <v>77</v>
      </c>
      <c r="AB90" s="38">
        <v>14676.0</v>
      </c>
      <c r="AC90" s="48">
        <f t="shared" si="43"/>
        <v>4721</v>
      </c>
      <c r="AD90" s="51">
        <f t="shared" si="44"/>
        <v>0.6783183429</v>
      </c>
    </row>
    <row r="91">
      <c r="A91" s="110" t="s">
        <v>304</v>
      </c>
      <c r="B91" s="46" t="s">
        <v>1114</v>
      </c>
      <c r="C91" s="47"/>
      <c r="D91" s="55">
        <v>530.0</v>
      </c>
      <c r="E91" s="38">
        <v>378.0</v>
      </c>
      <c r="F91" s="38">
        <v>18.0</v>
      </c>
      <c r="G91" s="38">
        <v>22.0</v>
      </c>
      <c r="H91" s="38">
        <v>36.0</v>
      </c>
      <c r="I91" s="48">
        <f t="shared" si="31"/>
        <v>926</v>
      </c>
      <c r="J91" s="48">
        <f t="shared" si="32"/>
        <v>984</v>
      </c>
      <c r="K91" s="49">
        <f t="shared" si="33"/>
        <v>0.5723542117</v>
      </c>
      <c r="L91" s="49">
        <f t="shared" si="34"/>
        <v>0.4082073434</v>
      </c>
      <c r="M91" s="49">
        <f t="shared" si="35"/>
        <v>0.01943844492</v>
      </c>
      <c r="N91" s="32" t="str">
        <f t="shared" si="36"/>
        <v>Jânio</v>
      </c>
      <c r="O91" s="50" t="s">
        <v>77</v>
      </c>
      <c r="P91" s="38">
        <v>383.0</v>
      </c>
      <c r="Q91" s="38">
        <v>480.0</v>
      </c>
      <c r="R91" s="38">
        <v>46.0</v>
      </c>
      <c r="S91" s="38">
        <v>43.0</v>
      </c>
      <c r="T91" s="38">
        <v>32.0</v>
      </c>
      <c r="U91" s="48">
        <f t="shared" si="37"/>
        <v>909</v>
      </c>
      <c r="V91" s="48">
        <f t="shared" si="38"/>
        <v>984</v>
      </c>
      <c r="W91" s="49">
        <f t="shared" si="39"/>
        <v>0.4213421342</v>
      </c>
      <c r="X91" s="49">
        <f t="shared" si="40"/>
        <v>0.5280528053</v>
      </c>
      <c r="Y91" s="49">
        <f t="shared" si="41"/>
        <v>0.05060506051</v>
      </c>
      <c r="Z91" s="32" t="str">
        <f t="shared" si="42"/>
        <v>Milton</v>
      </c>
      <c r="AA91" s="50" t="s">
        <v>77</v>
      </c>
      <c r="AB91" s="38">
        <v>1425.0</v>
      </c>
      <c r="AC91" s="48">
        <f t="shared" si="43"/>
        <v>441</v>
      </c>
      <c r="AD91" s="51">
        <f t="shared" si="44"/>
        <v>0.6905263158</v>
      </c>
    </row>
    <row r="92">
      <c r="A92" s="61" t="s">
        <v>308</v>
      </c>
      <c r="B92" s="46" t="s">
        <v>1115</v>
      </c>
      <c r="C92" s="47"/>
      <c r="D92" s="38">
        <v>1497.0</v>
      </c>
      <c r="E92" s="38">
        <v>787.0</v>
      </c>
      <c r="F92" s="38">
        <v>132.0</v>
      </c>
      <c r="G92" s="38">
        <v>152.0</v>
      </c>
      <c r="H92" s="38">
        <v>130.0</v>
      </c>
      <c r="I92" s="48">
        <f t="shared" si="31"/>
        <v>2416</v>
      </c>
      <c r="J92" s="48">
        <f t="shared" si="32"/>
        <v>2698</v>
      </c>
      <c r="K92" s="49">
        <f t="shared" si="33"/>
        <v>0.6196192053</v>
      </c>
      <c r="L92" s="49">
        <f t="shared" si="34"/>
        <v>0.3257450331</v>
      </c>
      <c r="M92" s="49">
        <f t="shared" si="35"/>
        <v>0.05463576159</v>
      </c>
      <c r="N92" s="32" t="str">
        <f t="shared" si="36"/>
        <v>Jânio</v>
      </c>
      <c r="O92" s="50" t="s">
        <v>77</v>
      </c>
      <c r="P92" s="38">
        <v>827.0</v>
      </c>
      <c r="Q92" s="38">
        <v>1276.0</v>
      </c>
      <c r="R92" s="38">
        <v>220.0</v>
      </c>
      <c r="S92" s="38">
        <v>250.0</v>
      </c>
      <c r="T92" s="38">
        <v>125.0</v>
      </c>
      <c r="U92" s="48">
        <f t="shared" si="37"/>
        <v>2323</v>
      </c>
      <c r="V92" s="48">
        <f t="shared" si="38"/>
        <v>2698</v>
      </c>
      <c r="W92" s="49">
        <f t="shared" si="39"/>
        <v>0.3560051657</v>
      </c>
      <c r="X92" s="49">
        <f t="shared" si="40"/>
        <v>0.5492897116</v>
      </c>
      <c r="Y92" s="49">
        <f t="shared" si="41"/>
        <v>0.09470512269</v>
      </c>
      <c r="Z92" s="32" t="str">
        <f t="shared" si="42"/>
        <v>Milton</v>
      </c>
      <c r="AA92" s="50" t="s">
        <v>77</v>
      </c>
      <c r="AB92" s="38">
        <v>4584.0</v>
      </c>
      <c r="AC92" s="48">
        <f t="shared" si="43"/>
        <v>1886</v>
      </c>
      <c r="AD92" s="51">
        <f t="shared" si="44"/>
        <v>0.5885689354</v>
      </c>
    </row>
    <row r="93">
      <c r="A93" s="24"/>
      <c r="B93" s="46" t="s">
        <v>1116</v>
      </c>
      <c r="C93" s="47"/>
      <c r="D93" s="38">
        <v>224.0</v>
      </c>
      <c r="E93" s="38">
        <v>132.0</v>
      </c>
      <c r="F93" s="38">
        <v>12.0</v>
      </c>
      <c r="G93" s="38">
        <v>15.0</v>
      </c>
      <c r="H93" s="38">
        <v>14.0</v>
      </c>
      <c r="I93" s="48">
        <f t="shared" si="31"/>
        <v>368</v>
      </c>
      <c r="J93" s="48">
        <f t="shared" si="32"/>
        <v>397</v>
      </c>
      <c r="K93" s="49">
        <f t="shared" si="33"/>
        <v>0.6086956522</v>
      </c>
      <c r="L93" s="49">
        <f t="shared" si="34"/>
        <v>0.3586956522</v>
      </c>
      <c r="M93" s="49">
        <f t="shared" si="35"/>
        <v>0.03260869565</v>
      </c>
      <c r="N93" s="32" t="str">
        <f t="shared" si="36"/>
        <v>Jânio</v>
      </c>
      <c r="O93" s="50" t="s">
        <v>77</v>
      </c>
      <c r="P93" s="38">
        <v>168.0</v>
      </c>
      <c r="Q93" s="38">
        <v>185.0</v>
      </c>
      <c r="R93" s="38">
        <v>8.0</v>
      </c>
      <c r="S93" s="38">
        <v>20.0</v>
      </c>
      <c r="T93" s="38">
        <v>16.0</v>
      </c>
      <c r="U93" s="48">
        <f t="shared" si="37"/>
        <v>361</v>
      </c>
      <c r="V93" s="48">
        <f t="shared" si="38"/>
        <v>397</v>
      </c>
      <c r="W93" s="49">
        <f t="shared" si="39"/>
        <v>0.4653739612</v>
      </c>
      <c r="X93" s="49">
        <f t="shared" si="40"/>
        <v>0.512465374</v>
      </c>
      <c r="Y93" s="49">
        <f t="shared" si="41"/>
        <v>0.02216066482</v>
      </c>
      <c r="Z93" s="32" t="str">
        <f t="shared" si="42"/>
        <v>Milton</v>
      </c>
      <c r="AA93" s="50" t="s">
        <v>77</v>
      </c>
      <c r="AB93" s="38">
        <v>684.0</v>
      </c>
      <c r="AC93" s="48">
        <f t="shared" si="43"/>
        <v>287</v>
      </c>
      <c r="AD93" s="51">
        <f t="shared" si="44"/>
        <v>0.5804093567</v>
      </c>
    </row>
    <row r="94">
      <c r="A94" s="61" t="s">
        <v>312</v>
      </c>
      <c r="B94" s="46" t="s">
        <v>1117</v>
      </c>
      <c r="C94" s="47"/>
      <c r="D94" s="38">
        <v>1781.0</v>
      </c>
      <c r="E94" s="38">
        <v>789.0</v>
      </c>
      <c r="F94" s="38">
        <v>194.0</v>
      </c>
      <c r="G94" s="38">
        <v>92.0</v>
      </c>
      <c r="H94" s="38">
        <v>116.0</v>
      </c>
      <c r="I94" s="48">
        <f t="shared" si="31"/>
        <v>2764</v>
      </c>
      <c r="J94" s="48">
        <f t="shared" si="32"/>
        <v>2972</v>
      </c>
      <c r="K94" s="49">
        <f t="shared" si="33"/>
        <v>0.6443560058</v>
      </c>
      <c r="L94" s="49">
        <f t="shared" si="34"/>
        <v>0.2854558611</v>
      </c>
      <c r="M94" s="49">
        <f t="shared" si="35"/>
        <v>0.07018813314</v>
      </c>
      <c r="N94" s="32" t="str">
        <f t="shared" si="36"/>
        <v>Jânio</v>
      </c>
      <c r="O94" s="50" t="s">
        <v>77</v>
      </c>
      <c r="P94" s="38">
        <v>669.0</v>
      </c>
      <c r="Q94" s="38">
        <v>1814.0</v>
      </c>
      <c r="R94" s="38">
        <v>214.0</v>
      </c>
      <c r="S94" s="38">
        <v>192.0</v>
      </c>
      <c r="T94" s="38">
        <v>83.0</v>
      </c>
      <c r="U94" s="48">
        <f t="shared" si="37"/>
        <v>2697</v>
      </c>
      <c r="V94" s="48">
        <f t="shared" si="38"/>
        <v>2972</v>
      </c>
      <c r="W94" s="49">
        <f t="shared" si="39"/>
        <v>0.2480533927</v>
      </c>
      <c r="X94" s="49">
        <f t="shared" si="40"/>
        <v>0.6725991843</v>
      </c>
      <c r="Y94" s="49">
        <f t="shared" si="41"/>
        <v>0.07934742306</v>
      </c>
      <c r="Z94" s="32" t="str">
        <f t="shared" si="42"/>
        <v>Milton</v>
      </c>
      <c r="AA94" s="50" t="s">
        <v>77</v>
      </c>
      <c r="AB94" s="38">
        <v>5760.0</v>
      </c>
      <c r="AC94" s="48">
        <f t="shared" si="43"/>
        <v>2788</v>
      </c>
      <c r="AD94" s="51">
        <f t="shared" si="44"/>
        <v>0.5159722222</v>
      </c>
    </row>
    <row r="95">
      <c r="A95" s="24"/>
      <c r="B95" s="46" t="s">
        <v>1118</v>
      </c>
      <c r="C95" s="47"/>
      <c r="D95" s="38">
        <v>675.0</v>
      </c>
      <c r="E95" s="38">
        <v>879.0</v>
      </c>
      <c r="F95" s="38">
        <v>91.0</v>
      </c>
      <c r="G95" s="38">
        <v>57.0</v>
      </c>
      <c r="H95" s="38">
        <v>81.0</v>
      </c>
      <c r="I95" s="48">
        <f t="shared" si="31"/>
        <v>1645</v>
      </c>
      <c r="J95" s="48">
        <f t="shared" si="32"/>
        <v>1783</v>
      </c>
      <c r="K95" s="49">
        <f t="shared" si="33"/>
        <v>0.4103343465</v>
      </c>
      <c r="L95" s="49">
        <f t="shared" si="34"/>
        <v>0.5343465046</v>
      </c>
      <c r="M95" s="49">
        <f t="shared" si="35"/>
        <v>0.05531914894</v>
      </c>
      <c r="N95" s="32" t="str">
        <f t="shared" si="36"/>
        <v>Mal. Lott</v>
      </c>
      <c r="O95" s="50" t="s">
        <v>77</v>
      </c>
      <c r="P95" s="38">
        <v>767.0</v>
      </c>
      <c r="Q95" s="38">
        <v>614.0</v>
      </c>
      <c r="R95" s="38">
        <v>202.0</v>
      </c>
      <c r="S95" s="38">
        <v>143.0</v>
      </c>
      <c r="T95" s="38">
        <v>57.0</v>
      </c>
      <c r="U95" s="48">
        <f t="shared" si="37"/>
        <v>1583</v>
      </c>
      <c r="V95" s="48">
        <f t="shared" si="38"/>
        <v>1783</v>
      </c>
      <c r="W95" s="49">
        <f t="shared" si="39"/>
        <v>0.4845230575</v>
      </c>
      <c r="X95" s="49">
        <f t="shared" si="40"/>
        <v>0.3878711308</v>
      </c>
      <c r="Y95" s="49">
        <f t="shared" si="41"/>
        <v>0.1276058117</v>
      </c>
      <c r="Z95" s="32" t="str">
        <f t="shared" si="42"/>
        <v>Jango</v>
      </c>
      <c r="AA95" s="50" t="s">
        <v>77</v>
      </c>
      <c r="AB95" s="38">
        <v>2670.0</v>
      </c>
      <c r="AC95" s="48">
        <f t="shared" si="43"/>
        <v>887</v>
      </c>
      <c r="AD95" s="51">
        <f t="shared" si="44"/>
        <v>0.6677902622</v>
      </c>
    </row>
    <row r="96">
      <c r="A96" s="61" t="s">
        <v>314</v>
      </c>
      <c r="B96" s="46" t="s">
        <v>1119</v>
      </c>
      <c r="C96" s="47"/>
      <c r="D96" s="38">
        <v>835.0</v>
      </c>
      <c r="E96" s="38">
        <v>360.0</v>
      </c>
      <c r="F96" s="38">
        <v>43.0</v>
      </c>
      <c r="G96" s="38">
        <v>0.0</v>
      </c>
      <c r="H96" s="38">
        <v>104.0</v>
      </c>
      <c r="I96" s="48">
        <f t="shared" si="31"/>
        <v>1238</v>
      </c>
      <c r="J96" s="48">
        <f t="shared" si="32"/>
        <v>1342</v>
      </c>
      <c r="K96" s="49">
        <f t="shared" si="33"/>
        <v>0.6744749596</v>
      </c>
      <c r="L96" s="49">
        <f t="shared" si="34"/>
        <v>0.2907915994</v>
      </c>
      <c r="M96" s="49">
        <f t="shared" si="35"/>
        <v>0.03473344103</v>
      </c>
      <c r="N96" s="32" t="str">
        <f t="shared" si="36"/>
        <v>Jânio</v>
      </c>
      <c r="O96" s="50" t="s">
        <v>77</v>
      </c>
      <c r="P96" s="38">
        <v>424.0</v>
      </c>
      <c r="Q96" s="38">
        <v>734.0</v>
      </c>
      <c r="R96" s="38">
        <v>38.0</v>
      </c>
      <c r="S96" s="38">
        <v>0.0</v>
      </c>
      <c r="T96" s="38">
        <v>146.0</v>
      </c>
      <c r="U96" s="48">
        <f t="shared" si="37"/>
        <v>1196</v>
      </c>
      <c r="V96" s="48">
        <f t="shared" si="38"/>
        <v>1342</v>
      </c>
      <c r="W96" s="49">
        <f t="shared" si="39"/>
        <v>0.3545150502</v>
      </c>
      <c r="X96" s="49">
        <f t="shared" si="40"/>
        <v>0.6137123746</v>
      </c>
      <c r="Y96" s="49">
        <f t="shared" si="41"/>
        <v>0.03177257525</v>
      </c>
      <c r="Z96" s="32" t="str">
        <f t="shared" si="42"/>
        <v>Milton</v>
      </c>
      <c r="AA96" s="50" t="s">
        <v>77</v>
      </c>
      <c r="AB96" s="38">
        <v>2731.0</v>
      </c>
      <c r="AC96" s="48">
        <f t="shared" si="43"/>
        <v>1389</v>
      </c>
      <c r="AD96" s="51">
        <f t="shared" si="44"/>
        <v>0.4913950934</v>
      </c>
    </row>
    <row r="97">
      <c r="A97" s="23"/>
      <c r="B97" s="46" t="s">
        <v>1120</v>
      </c>
      <c r="C97" s="47"/>
      <c r="D97" s="38">
        <v>485.0</v>
      </c>
      <c r="E97" s="38">
        <v>258.0</v>
      </c>
      <c r="F97" s="38">
        <v>29.0</v>
      </c>
      <c r="G97" s="38">
        <v>0.0</v>
      </c>
      <c r="H97" s="38">
        <v>48.0</v>
      </c>
      <c r="I97" s="48">
        <f t="shared" si="31"/>
        <v>772</v>
      </c>
      <c r="J97" s="48">
        <f t="shared" si="32"/>
        <v>820</v>
      </c>
      <c r="K97" s="49">
        <f t="shared" si="33"/>
        <v>0.628238342</v>
      </c>
      <c r="L97" s="49">
        <f t="shared" si="34"/>
        <v>0.3341968912</v>
      </c>
      <c r="M97" s="49">
        <f t="shared" si="35"/>
        <v>0.03756476684</v>
      </c>
      <c r="N97" s="32" t="str">
        <f t="shared" si="36"/>
        <v>Jânio</v>
      </c>
      <c r="O97" s="50" t="s">
        <v>77</v>
      </c>
      <c r="P97" s="38">
        <v>279.0</v>
      </c>
      <c r="Q97" s="38">
        <v>459.0</v>
      </c>
      <c r="R97" s="38">
        <v>13.0</v>
      </c>
      <c r="S97" s="38">
        <v>0.0</v>
      </c>
      <c r="T97" s="38">
        <v>69.0</v>
      </c>
      <c r="U97" s="48">
        <f t="shared" si="37"/>
        <v>751</v>
      </c>
      <c r="V97" s="48">
        <f t="shared" si="38"/>
        <v>820</v>
      </c>
      <c r="W97" s="49">
        <f t="shared" si="39"/>
        <v>0.3715046605</v>
      </c>
      <c r="X97" s="49">
        <f t="shared" si="40"/>
        <v>0.6111850866</v>
      </c>
      <c r="Y97" s="49">
        <f t="shared" si="41"/>
        <v>0.017310253</v>
      </c>
      <c r="Z97" s="32" t="str">
        <f t="shared" si="42"/>
        <v>Milton</v>
      </c>
      <c r="AA97" s="50" t="s">
        <v>77</v>
      </c>
      <c r="AB97" s="38">
        <v>1555.0</v>
      </c>
      <c r="AC97" s="48">
        <f t="shared" si="43"/>
        <v>735</v>
      </c>
      <c r="AD97" s="51">
        <f t="shared" si="44"/>
        <v>0.5273311897</v>
      </c>
    </row>
    <row r="98">
      <c r="A98" s="24"/>
      <c r="B98" s="46" t="s">
        <v>1121</v>
      </c>
      <c r="C98" s="47"/>
      <c r="D98" s="38">
        <v>416.0</v>
      </c>
      <c r="E98" s="38">
        <v>104.0</v>
      </c>
      <c r="F98" s="38">
        <v>13.0</v>
      </c>
      <c r="G98" s="38">
        <v>0.0</v>
      </c>
      <c r="H98" s="38">
        <v>38.0</v>
      </c>
      <c r="I98" s="48">
        <f t="shared" si="31"/>
        <v>533</v>
      </c>
      <c r="J98" s="48">
        <f t="shared" si="32"/>
        <v>571</v>
      </c>
      <c r="K98" s="49">
        <f t="shared" si="33"/>
        <v>0.7804878049</v>
      </c>
      <c r="L98" s="49">
        <f t="shared" si="34"/>
        <v>0.1951219512</v>
      </c>
      <c r="M98" s="49">
        <f t="shared" si="35"/>
        <v>0.0243902439</v>
      </c>
      <c r="N98" s="32" t="str">
        <f t="shared" si="36"/>
        <v>Jânio</v>
      </c>
      <c r="O98" s="50" t="s">
        <v>77</v>
      </c>
      <c r="P98" s="38">
        <v>93.0</v>
      </c>
      <c r="Q98" s="38">
        <v>390.0</v>
      </c>
      <c r="R98" s="38">
        <v>18.0</v>
      </c>
      <c r="S98" s="38">
        <v>0.0</v>
      </c>
      <c r="T98" s="38">
        <v>70.0</v>
      </c>
      <c r="U98" s="48">
        <f t="shared" si="37"/>
        <v>501</v>
      </c>
      <c r="V98" s="48">
        <f t="shared" si="38"/>
        <v>571</v>
      </c>
      <c r="W98" s="49">
        <f t="shared" si="39"/>
        <v>0.1856287425</v>
      </c>
      <c r="X98" s="49">
        <f t="shared" si="40"/>
        <v>0.7784431138</v>
      </c>
      <c r="Y98" s="49">
        <f t="shared" si="41"/>
        <v>0.03592814371</v>
      </c>
      <c r="Z98" s="32" t="str">
        <f t="shared" si="42"/>
        <v>Milton</v>
      </c>
      <c r="AA98" s="50" t="s">
        <v>77</v>
      </c>
      <c r="AB98" s="38">
        <v>1320.0</v>
      </c>
      <c r="AC98" s="48">
        <f t="shared" si="43"/>
        <v>749</v>
      </c>
      <c r="AD98" s="51">
        <f t="shared" si="44"/>
        <v>0.4325757576</v>
      </c>
    </row>
    <row r="99">
      <c r="A99" s="61" t="s">
        <v>254</v>
      </c>
      <c r="B99" s="46" t="s">
        <v>1122</v>
      </c>
      <c r="C99" s="47"/>
      <c r="D99" s="38">
        <v>1632.0</v>
      </c>
      <c r="E99" s="38">
        <v>1669.0</v>
      </c>
      <c r="F99" s="38">
        <v>864.0</v>
      </c>
      <c r="G99" s="38">
        <v>169.0</v>
      </c>
      <c r="H99" s="38">
        <v>242.0</v>
      </c>
      <c r="I99" s="48">
        <f t="shared" si="31"/>
        <v>4165</v>
      </c>
      <c r="J99" s="48">
        <f t="shared" si="32"/>
        <v>4576</v>
      </c>
      <c r="K99" s="49">
        <f t="shared" si="33"/>
        <v>0.3918367347</v>
      </c>
      <c r="L99" s="49">
        <f t="shared" si="34"/>
        <v>0.4007202881</v>
      </c>
      <c r="M99" s="49">
        <f t="shared" si="35"/>
        <v>0.2074429772</v>
      </c>
      <c r="N99" s="32" t="str">
        <f t="shared" si="36"/>
        <v>Mal. Lott</v>
      </c>
      <c r="O99" s="50" t="s">
        <v>77</v>
      </c>
      <c r="P99" s="38">
        <v>1840.0</v>
      </c>
      <c r="Q99" s="38">
        <v>1480.0</v>
      </c>
      <c r="R99" s="38">
        <v>598.0</v>
      </c>
      <c r="S99" s="38">
        <v>497.0</v>
      </c>
      <c r="T99" s="38">
        <v>161.0</v>
      </c>
      <c r="U99" s="48">
        <f t="shared" si="37"/>
        <v>3918</v>
      </c>
      <c r="V99" s="48">
        <f t="shared" si="38"/>
        <v>4576</v>
      </c>
      <c r="W99" s="49">
        <f t="shared" si="39"/>
        <v>0.4696273609</v>
      </c>
      <c r="X99" s="49">
        <f t="shared" si="40"/>
        <v>0.3777437468</v>
      </c>
      <c r="Y99" s="49">
        <f t="shared" si="41"/>
        <v>0.1526288923</v>
      </c>
      <c r="Z99" s="32" t="str">
        <f t="shared" si="42"/>
        <v>Jango</v>
      </c>
      <c r="AA99" s="50" t="s">
        <v>77</v>
      </c>
      <c r="AB99" s="38">
        <v>7567.0</v>
      </c>
      <c r="AC99" s="48">
        <f t="shared" si="43"/>
        <v>2991</v>
      </c>
      <c r="AD99" s="51">
        <f t="shared" si="44"/>
        <v>0.6047310691</v>
      </c>
    </row>
    <row r="100">
      <c r="A100" s="24"/>
      <c r="B100" s="46" t="s">
        <v>1123</v>
      </c>
      <c r="C100" s="47"/>
      <c r="D100" s="38">
        <v>774.0</v>
      </c>
      <c r="E100" s="38">
        <v>686.0</v>
      </c>
      <c r="F100" s="38">
        <v>217.0</v>
      </c>
      <c r="G100" s="38">
        <v>99.0</v>
      </c>
      <c r="H100" s="38">
        <v>106.0</v>
      </c>
      <c r="I100" s="48">
        <f t="shared" si="31"/>
        <v>1677</v>
      </c>
      <c r="J100" s="48">
        <f t="shared" si="32"/>
        <v>1882</v>
      </c>
      <c r="K100" s="49">
        <f t="shared" si="33"/>
        <v>0.4615384615</v>
      </c>
      <c r="L100" s="49">
        <f t="shared" si="34"/>
        <v>0.4090638044</v>
      </c>
      <c r="M100" s="49">
        <f t="shared" si="35"/>
        <v>0.129397734</v>
      </c>
      <c r="N100" s="32" t="str">
        <f t="shared" si="36"/>
        <v>Jânio</v>
      </c>
      <c r="O100" s="50" t="s">
        <v>77</v>
      </c>
      <c r="P100" s="38">
        <v>739.0</v>
      </c>
      <c r="Q100" s="38">
        <v>690.0</v>
      </c>
      <c r="R100" s="38">
        <v>98.0</v>
      </c>
      <c r="S100" s="38">
        <v>287.0</v>
      </c>
      <c r="T100" s="38">
        <v>68.0</v>
      </c>
      <c r="U100" s="48">
        <f t="shared" si="37"/>
        <v>1527</v>
      </c>
      <c r="V100" s="48">
        <f t="shared" si="38"/>
        <v>1882</v>
      </c>
      <c r="W100" s="49">
        <f t="shared" si="39"/>
        <v>0.4839554682</v>
      </c>
      <c r="X100" s="49">
        <f t="shared" si="40"/>
        <v>0.4518664047</v>
      </c>
      <c r="Y100" s="49">
        <f t="shared" si="41"/>
        <v>0.06417812705</v>
      </c>
      <c r="Z100" s="32" t="str">
        <f t="shared" si="42"/>
        <v>Jango</v>
      </c>
      <c r="AA100" s="50" t="s">
        <v>77</v>
      </c>
      <c r="AB100" s="38">
        <v>2877.0</v>
      </c>
      <c r="AC100" s="48">
        <f t="shared" si="43"/>
        <v>995</v>
      </c>
      <c r="AD100" s="51">
        <f t="shared" si="44"/>
        <v>0.6541536323</v>
      </c>
    </row>
    <row r="101">
      <c r="A101" s="110" t="s">
        <v>258</v>
      </c>
      <c r="B101" s="46" t="s">
        <v>1124</v>
      </c>
      <c r="C101" s="47"/>
      <c r="D101" s="38">
        <v>3825.0</v>
      </c>
      <c r="E101" s="38">
        <v>2328.0</v>
      </c>
      <c r="F101" s="38">
        <v>691.0</v>
      </c>
      <c r="G101" s="38">
        <v>197.0</v>
      </c>
      <c r="H101" s="38">
        <v>324.0</v>
      </c>
      <c r="I101" s="48">
        <f t="shared" si="31"/>
        <v>6844</v>
      </c>
      <c r="J101" s="48">
        <f t="shared" si="32"/>
        <v>7365</v>
      </c>
      <c r="K101" s="49">
        <f t="shared" si="33"/>
        <v>0.5588836937</v>
      </c>
      <c r="L101" s="49">
        <f t="shared" si="34"/>
        <v>0.3401519579</v>
      </c>
      <c r="M101" s="49">
        <f t="shared" si="35"/>
        <v>0.1009643483</v>
      </c>
      <c r="N101" s="32" t="str">
        <f t="shared" si="36"/>
        <v>Jânio</v>
      </c>
      <c r="O101" s="50" t="s">
        <v>77</v>
      </c>
      <c r="P101" s="38">
        <v>3398.0</v>
      </c>
      <c r="Q101" s="38">
        <v>2650.0</v>
      </c>
      <c r="R101" s="38">
        <v>592.0</v>
      </c>
      <c r="S101" s="38">
        <v>497.0</v>
      </c>
      <c r="T101" s="38">
        <v>228.0</v>
      </c>
      <c r="U101" s="48">
        <f t="shared" si="37"/>
        <v>6640</v>
      </c>
      <c r="V101" s="48">
        <f t="shared" si="38"/>
        <v>7365</v>
      </c>
      <c r="W101" s="49">
        <f t="shared" si="39"/>
        <v>0.511746988</v>
      </c>
      <c r="X101" s="49">
        <f t="shared" si="40"/>
        <v>0.3990963855</v>
      </c>
      <c r="Y101" s="49">
        <f t="shared" si="41"/>
        <v>0.08915662651</v>
      </c>
      <c r="Z101" s="32" t="str">
        <f t="shared" si="42"/>
        <v>Jango</v>
      </c>
      <c r="AA101" s="50" t="s">
        <v>77</v>
      </c>
      <c r="AB101" s="38">
        <v>11062.0</v>
      </c>
      <c r="AC101" s="48">
        <f t="shared" si="43"/>
        <v>3697</v>
      </c>
      <c r="AD101" s="51">
        <f t="shared" si="44"/>
        <v>0.6657928042</v>
      </c>
    </row>
    <row r="102">
      <c r="A102" s="110" t="s">
        <v>319</v>
      </c>
      <c r="B102" s="46" t="s">
        <v>1125</v>
      </c>
      <c r="C102" s="47"/>
      <c r="D102" s="38">
        <v>2769.0</v>
      </c>
      <c r="E102" s="38">
        <v>2045.0</v>
      </c>
      <c r="F102" s="38">
        <v>621.0</v>
      </c>
      <c r="G102" s="38">
        <v>175.0</v>
      </c>
      <c r="H102" s="38">
        <v>248.0</v>
      </c>
      <c r="I102" s="48">
        <f t="shared" si="31"/>
        <v>5435</v>
      </c>
      <c r="J102" s="48">
        <f t="shared" si="32"/>
        <v>5858</v>
      </c>
      <c r="K102" s="49">
        <f t="shared" si="33"/>
        <v>0.509475621</v>
      </c>
      <c r="L102" s="49">
        <f t="shared" si="34"/>
        <v>0.3762649494</v>
      </c>
      <c r="M102" s="49">
        <f t="shared" si="35"/>
        <v>0.1142594296</v>
      </c>
      <c r="N102" s="32" t="str">
        <f t="shared" si="36"/>
        <v>Jânio</v>
      </c>
      <c r="O102" s="50" t="s">
        <v>77</v>
      </c>
      <c r="P102" s="38">
        <v>2083.0</v>
      </c>
      <c r="Q102" s="38">
        <v>1884.0</v>
      </c>
      <c r="R102" s="38">
        <v>1245.0</v>
      </c>
      <c r="S102" s="38">
        <v>466.0</v>
      </c>
      <c r="T102" s="38">
        <v>180.0</v>
      </c>
      <c r="U102" s="48">
        <f t="shared" si="37"/>
        <v>5212</v>
      </c>
      <c r="V102" s="48">
        <f t="shared" si="38"/>
        <v>5858</v>
      </c>
      <c r="W102" s="49">
        <f t="shared" si="39"/>
        <v>0.3996546431</v>
      </c>
      <c r="X102" s="49">
        <f t="shared" si="40"/>
        <v>0.3614735226</v>
      </c>
      <c r="Y102" s="49">
        <f t="shared" si="41"/>
        <v>0.2388718342</v>
      </c>
      <c r="Z102" s="32" t="str">
        <f t="shared" si="42"/>
        <v>Jango</v>
      </c>
      <c r="AA102" s="50" t="s">
        <v>77</v>
      </c>
      <c r="AB102" s="38">
        <v>8956.0</v>
      </c>
      <c r="AC102" s="48">
        <f t="shared" si="43"/>
        <v>3098</v>
      </c>
      <c r="AD102" s="51">
        <f t="shared" si="44"/>
        <v>0.6540866458</v>
      </c>
    </row>
    <row r="103">
      <c r="A103" s="110" t="s">
        <v>321</v>
      </c>
      <c r="B103" s="46" t="s">
        <v>1126</v>
      </c>
      <c r="C103" s="47"/>
      <c r="D103" s="38">
        <v>1360.0</v>
      </c>
      <c r="E103" s="38">
        <v>1078.0</v>
      </c>
      <c r="F103" s="38">
        <v>94.0</v>
      </c>
      <c r="G103" s="38">
        <v>38.0</v>
      </c>
      <c r="H103" s="38">
        <v>138.0</v>
      </c>
      <c r="I103" s="48">
        <f t="shared" si="31"/>
        <v>2532</v>
      </c>
      <c r="J103" s="48">
        <f t="shared" si="32"/>
        <v>2708</v>
      </c>
      <c r="K103" s="49">
        <f t="shared" si="33"/>
        <v>0.5371248025</v>
      </c>
      <c r="L103" s="49">
        <f t="shared" si="34"/>
        <v>0.4257503949</v>
      </c>
      <c r="M103" s="49">
        <f t="shared" si="35"/>
        <v>0.03712480253</v>
      </c>
      <c r="N103" s="32" t="str">
        <f t="shared" si="36"/>
        <v>Jânio</v>
      </c>
      <c r="O103" s="50" t="s">
        <v>77</v>
      </c>
      <c r="P103" s="38">
        <v>1167.0</v>
      </c>
      <c r="Q103" s="38">
        <v>1154.0</v>
      </c>
      <c r="R103" s="38">
        <v>135.0</v>
      </c>
      <c r="S103" s="38">
        <v>109.0</v>
      </c>
      <c r="T103" s="38">
        <v>143.0</v>
      </c>
      <c r="U103" s="48">
        <f t="shared" si="37"/>
        <v>2456</v>
      </c>
      <c r="V103" s="48">
        <f t="shared" si="38"/>
        <v>2708</v>
      </c>
      <c r="W103" s="49">
        <f t="shared" si="39"/>
        <v>0.4751628664</v>
      </c>
      <c r="X103" s="49">
        <f t="shared" si="40"/>
        <v>0.4698697068</v>
      </c>
      <c r="Y103" s="49">
        <f t="shared" si="41"/>
        <v>0.05496742671</v>
      </c>
      <c r="Z103" s="32" t="str">
        <f t="shared" si="42"/>
        <v>Jango</v>
      </c>
      <c r="AA103" s="50" t="s">
        <v>77</v>
      </c>
      <c r="AB103" s="38">
        <v>5352.0</v>
      </c>
      <c r="AC103" s="48">
        <f t="shared" si="43"/>
        <v>2644</v>
      </c>
      <c r="AD103" s="51">
        <f t="shared" si="44"/>
        <v>0.5059790732</v>
      </c>
    </row>
    <row r="104">
      <c r="A104" s="61" t="s">
        <v>324</v>
      </c>
      <c r="B104" s="46" t="s">
        <v>1127</v>
      </c>
      <c r="C104" s="47"/>
      <c r="D104" s="38">
        <v>746.0</v>
      </c>
      <c r="E104" s="38">
        <v>773.0</v>
      </c>
      <c r="F104" s="38">
        <v>74.0</v>
      </c>
      <c r="G104" s="38">
        <v>57.0</v>
      </c>
      <c r="H104" s="38">
        <v>115.0</v>
      </c>
      <c r="I104" s="48">
        <f t="shared" si="31"/>
        <v>1593</v>
      </c>
      <c r="J104" s="48">
        <f t="shared" si="32"/>
        <v>1765</v>
      </c>
      <c r="K104" s="49">
        <f t="shared" si="33"/>
        <v>0.4682988073</v>
      </c>
      <c r="L104" s="49">
        <f t="shared" si="34"/>
        <v>0.4852479598</v>
      </c>
      <c r="M104" s="49">
        <f t="shared" si="35"/>
        <v>0.04645323289</v>
      </c>
      <c r="N104" s="32" t="str">
        <f t="shared" si="36"/>
        <v>Mal. Lott</v>
      </c>
      <c r="O104" s="50" t="s">
        <v>77</v>
      </c>
      <c r="P104" s="38">
        <v>762.0</v>
      </c>
      <c r="Q104" s="38">
        <v>686.0</v>
      </c>
      <c r="R104" s="38">
        <v>48.0</v>
      </c>
      <c r="S104" s="38">
        <v>154.0</v>
      </c>
      <c r="T104" s="38">
        <v>115.0</v>
      </c>
      <c r="U104" s="48">
        <f t="shared" si="37"/>
        <v>1496</v>
      </c>
      <c r="V104" s="48">
        <f t="shared" si="38"/>
        <v>1765</v>
      </c>
      <c r="W104" s="49">
        <f t="shared" si="39"/>
        <v>0.5093582888</v>
      </c>
      <c r="X104" s="49">
        <f t="shared" si="40"/>
        <v>0.4585561497</v>
      </c>
      <c r="Y104" s="49">
        <f t="shared" si="41"/>
        <v>0.0320855615</v>
      </c>
      <c r="Z104" s="32" t="str">
        <f t="shared" si="42"/>
        <v>Jango</v>
      </c>
      <c r="AA104" s="50" t="s">
        <v>77</v>
      </c>
      <c r="AB104" s="38">
        <v>2633.0</v>
      </c>
      <c r="AC104" s="48">
        <f t="shared" si="43"/>
        <v>868</v>
      </c>
      <c r="AD104" s="51">
        <f t="shared" si="44"/>
        <v>0.6703380175</v>
      </c>
    </row>
    <row r="105">
      <c r="A105" s="24"/>
      <c r="B105" s="46" t="s">
        <v>1128</v>
      </c>
      <c r="C105" s="47"/>
      <c r="D105" s="38">
        <v>272.0</v>
      </c>
      <c r="E105" s="38">
        <v>188.0</v>
      </c>
      <c r="F105" s="38">
        <v>40.0</v>
      </c>
      <c r="G105" s="38">
        <v>23.0</v>
      </c>
      <c r="H105" s="38">
        <v>50.0</v>
      </c>
      <c r="I105" s="48">
        <f t="shared" si="31"/>
        <v>500</v>
      </c>
      <c r="J105" s="48">
        <f t="shared" si="32"/>
        <v>573</v>
      </c>
      <c r="K105" s="49">
        <f t="shared" si="33"/>
        <v>0.544</v>
      </c>
      <c r="L105" s="49">
        <f t="shared" si="34"/>
        <v>0.376</v>
      </c>
      <c r="M105" s="49">
        <f t="shared" si="35"/>
        <v>0.08</v>
      </c>
      <c r="N105" s="32" t="str">
        <f t="shared" si="36"/>
        <v>Jânio</v>
      </c>
      <c r="O105" s="50" t="s">
        <v>77</v>
      </c>
      <c r="P105" s="38">
        <v>224.0</v>
      </c>
      <c r="Q105" s="38">
        <v>246.0</v>
      </c>
      <c r="R105" s="38">
        <v>23.0</v>
      </c>
      <c r="S105" s="38">
        <v>30.0</v>
      </c>
      <c r="T105" s="38">
        <v>50.0</v>
      </c>
      <c r="U105" s="48">
        <f t="shared" si="37"/>
        <v>493</v>
      </c>
      <c r="V105" s="48">
        <f t="shared" si="38"/>
        <v>573</v>
      </c>
      <c r="W105" s="49">
        <f t="shared" si="39"/>
        <v>0.4543610548</v>
      </c>
      <c r="X105" s="49">
        <f t="shared" si="40"/>
        <v>0.4989858012</v>
      </c>
      <c r="Y105" s="49">
        <f t="shared" si="41"/>
        <v>0.04665314402</v>
      </c>
      <c r="Z105" s="32" t="str">
        <f t="shared" si="42"/>
        <v>Milton</v>
      </c>
      <c r="AA105" s="50" t="s">
        <v>77</v>
      </c>
      <c r="AB105" s="38">
        <v>866.0</v>
      </c>
      <c r="AC105" s="48">
        <f t="shared" si="43"/>
        <v>293</v>
      </c>
      <c r="AD105" s="51">
        <f t="shared" si="44"/>
        <v>0.6616628176</v>
      </c>
    </row>
    <row r="106">
      <c r="A106" s="61" t="s">
        <v>327</v>
      </c>
      <c r="B106" s="46" t="s">
        <v>1129</v>
      </c>
      <c r="C106" s="47"/>
      <c r="D106" s="38">
        <v>1363.0</v>
      </c>
      <c r="E106" s="38">
        <v>517.0</v>
      </c>
      <c r="F106" s="38">
        <v>99.0</v>
      </c>
      <c r="G106" s="38">
        <v>70.0</v>
      </c>
      <c r="H106" s="38">
        <v>85.0</v>
      </c>
      <c r="I106" s="48">
        <f t="shared" si="31"/>
        <v>1979</v>
      </c>
      <c r="J106" s="48">
        <f t="shared" si="32"/>
        <v>2134</v>
      </c>
      <c r="K106" s="49">
        <f t="shared" si="33"/>
        <v>0.6887316827</v>
      </c>
      <c r="L106" s="49">
        <f t="shared" si="34"/>
        <v>0.261243052</v>
      </c>
      <c r="M106" s="49">
        <f t="shared" si="35"/>
        <v>0.05002526529</v>
      </c>
      <c r="N106" s="32" t="str">
        <f t="shared" si="36"/>
        <v>Jânio</v>
      </c>
      <c r="O106" s="50" t="s">
        <v>77</v>
      </c>
      <c r="P106" s="38">
        <v>620.0</v>
      </c>
      <c r="Q106" s="38">
        <v>1255.0</v>
      </c>
      <c r="R106" s="38">
        <v>50.0</v>
      </c>
      <c r="S106" s="38">
        <v>155.0</v>
      </c>
      <c r="T106" s="38">
        <v>54.0</v>
      </c>
      <c r="U106" s="48">
        <f t="shared" si="37"/>
        <v>1925</v>
      </c>
      <c r="V106" s="48">
        <f t="shared" si="38"/>
        <v>2134</v>
      </c>
      <c r="W106" s="49">
        <f t="shared" si="39"/>
        <v>0.3220779221</v>
      </c>
      <c r="X106" s="49">
        <f t="shared" si="40"/>
        <v>0.6519480519</v>
      </c>
      <c r="Y106" s="49">
        <f t="shared" si="41"/>
        <v>0.02597402597</v>
      </c>
      <c r="Z106" s="32" t="str">
        <f t="shared" si="42"/>
        <v>Milton</v>
      </c>
      <c r="AA106" s="50" t="s">
        <v>77</v>
      </c>
      <c r="AB106" s="38">
        <v>4697.0</v>
      </c>
      <c r="AC106" s="48">
        <f t="shared" si="43"/>
        <v>2563</v>
      </c>
      <c r="AD106" s="51">
        <f t="shared" si="44"/>
        <v>0.4543325527</v>
      </c>
    </row>
    <row r="107">
      <c r="A107" s="24"/>
      <c r="B107" s="46" t="s">
        <v>1130</v>
      </c>
      <c r="C107" s="47"/>
      <c r="D107" s="38">
        <v>608.0</v>
      </c>
      <c r="E107" s="38">
        <v>481.0</v>
      </c>
      <c r="F107" s="38">
        <v>63.0</v>
      </c>
      <c r="G107" s="38">
        <v>40.0</v>
      </c>
      <c r="H107" s="38">
        <v>55.0</v>
      </c>
      <c r="I107" s="48">
        <f t="shared" si="31"/>
        <v>1152</v>
      </c>
      <c r="J107" s="48">
        <f t="shared" si="32"/>
        <v>1247</v>
      </c>
      <c r="K107" s="49">
        <f t="shared" si="33"/>
        <v>0.5277777778</v>
      </c>
      <c r="L107" s="49">
        <f t="shared" si="34"/>
        <v>0.4175347222</v>
      </c>
      <c r="M107" s="49">
        <f t="shared" si="35"/>
        <v>0.0546875</v>
      </c>
      <c r="N107" s="32" t="str">
        <f t="shared" si="36"/>
        <v>Jânio</v>
      </c>
      <c r="O107" s="50" t="s">
        <v>77</v>
      </c>
      <c r="P107" s="38">
        <v>504.0</v>
      </c>
      <c r="Q107" s="38">
        <v>553.0</v>
      </c>
      <c r="R107" s="38">
        <v>60.0</v>
      </c>
      <c r="S107" s="38">
        <v>94.0</v>
      </c>
      <c r="T107" s="38">
        <v>36.0</v>
      </c>
      <c r="U107" s="48">
        <f t="shared" si="37"/>
        <v>1117</v>
      </c>
      <c r="V107" s="48">
        <f t="shared" si="38"/>
        <v>1247</v>
      </c>
      <c r="W107" s="49">
        <f t="shared" si="39"/>
        <v>0.4512085944</v>
      </c>
      <c r="X107" s="49">
        <f t="shared" si="40"/>
        <v>0.4950760967</v>
      </c>
      <c r="Y107" s="49">
        <f t="shared" si="41"/>
        <v>0.05371530886</v>
      </c>
      <c r="Z107" s="32" t="str">
        <f t="shared" si="42"/>
        <v>Milton</v>
      </c>
      <c r="AA107" s="50" t="s">
        <v>77</v>
      </c>
      <c r="AB107" s="38">
        <v>1847.0</v>
      </c>
      <c r="AC107" s="48">
        <f t="shared" si="43"/>
        <v>600</v>
      </c>
      <c r="AD107" s="51">
        <f t="shared" si="44"/>
        <v>0.6751488901</v>
      </c>
    </row>
    <row r="108">
      <c r="A108" s="110" t="s">
        <v>501</v>
      </c>
      <c r="B108" s="46" t="s">
        <v>1131</v>
      </c>
      <c r="C108" s="47"/>
      <c r="D108" s="38">
        <v>1179.0</v>
      </c>
      <c r="E108" s="38">
        <v>649.0</v>
      </c>
      <c r="F108" s="38">
        <v>52.0</v>
      </c>
      <c r="G108" s="38">
        <v>69.0</v>
      </c>
      <c r="H108" s="38">
        <v>43.0</v>
      </c>
      <c r="I108" s="48">
        <f t="shared" si="31"/>
        <v>1880</v>
      </c>
      <c r="J108" s="48">
        <f t="shared" si="32"/>
        <v>1992</v>
      </c>
      <c r="K108" s="49">
        <f t="shared" si="33"/>
        <v>0.6271276596</v>
      </c>
      <c r="L108" s="49">
        <f t="shared" si="34"/>
        <v>0.345212766</v>
      </c>
      <c r="M108" s="49">
        <f t="shared" si="35"/>
        <v>0.02765957447</v>
      </c>
      <c r="N108" s="32" t="str">
        <f t="shared" si="36"/>
        <v>Jânio</v>
      </c>
      <c r="O108" s="50" t="s">
        <v>77</v>
      </c>
      <c r="P108" s="38">
        <v>679.0</v>
      </c>
      <c r="Q108" s="38">
        <v>1104.0</v>
      </c>
      <c r="R108" s="38">
        <v>60.0</v>
      </c>
      <c r="S108" s="38">
        <v>103.0</v>
      </c>
      <c r="T108" s="38">
        <v>46.0</v>
      </c>
      <c r="U108" s="48">
        <f t="shared" si="37"/>
        <v>1843</v>
      </c>
      <c r="V108" s="48">
        <f t="shared" si="38"/>
        <v>1992</v>
      </c>
      <c r="W108" s="49">
        <f t="shared" si="39"/>
        <v>0.3684210526</v>
      </c>
      <c r="X108" s="49">
        <f t="shared" si="40"/>
        <v>0.5990233315</v>
      </c>
      <c r="Y108" s="49">
        <f t="shared" si="41"/>
        <v>0.03255561584</v>
      </c>
      <c r="Z108" s="32" t="str">
        <f t="shared" si="42"/>
        <v>Milton</v>
      </c>
      <c r="AA108" s="50" t="s">
        <v>77</v>
      </c>
      <c r="AB108" s="38">
        <v>2718.0</v>
      </c>
      <c r="AC108" s="48">
        <f t="shared" si="43"/>
        <v>726</v>
      </c>
      <c r="AD108" s="51">
        <f t="shared" si="44"/>
        <v>0.7328918322</v>
      </c>
    </row>
    <row r="109">
      <c r="A109" s="110" t="s">
        <v>504</v>
      </c>
      <c r="B109" s="46" t="s">
        <v>1132</v>
      </c>
      <c r="C109" s="47"/>
      <c r="D109" s="38">
        <v>1551.0</v>
      </c>
      <c r="E109" s="38">
        <v>1123.0</v>
      </c>
      <c r="F109" s="38">
        <v>119.0</v>
      </c>
      <c r="G109" s="38">
        <v>158.0</v>
      </c>
      <c r="H109" s="38">
        <v>122.0</v>
      </c>
      <c r="I109" s="48">
        <f t="shared" si="31"/>
        <v>2793</v>
      </c>
      <c r="J109" s="48">
        <f t="shared" si="32"/>
        <v>3073</v>
      </c>
      <c r="K109" s="49">
        <f t="shared" si="33"/>
        <v>0.5553168636</v>
      </c>
      <c r="L109" s="49">
        <f t="shared" si="34"/>
        <v>0.4020766201</v>
      </c>
      <c r="M109" s="49">
        <f t="shared" si="35"/>
        <v>0.04260651629</v>
      </c>
      <c r="N109" s="32" t="str">
        <f t="shared" si="36"/>
        <v>Jânio</v>
      </c>
      <c r="O109" s="50" t="s">
        <v>77</v>
      </c>
      <c r="P109" s="38">
        <v>1175.0</v>
      </c>
      <c r="Q109" s="38">
        <v>1498.0</v>
      </c>
      <c r="R109" s="38">
        <v>65.0</v>
      </c>
      <c r="S109" s="38">
        <v>234.0</v>
      </c>
      <c r="T109" s="38">
        <v>101.0</v>
      </c>
      <c r="U109" s="48">
        <f t="shared" si="37"/>
        <v>2738</v>
      </c>
      <c r="V109" s="48">
        <f t="shared" si="38"/>
        <v>3073</v>
      </c>
      <c r="W109" s="49">
        <f t="shared" si="39"/>
        <v>0.4291453616</v>
      </c>
      <c r="X109" s="49">
        <f t="shared" si="40"/>
        <v>0.5471146822</v>
      </c>
      <c r="Y109" s="49">
        <f t="shared" si="41"/>
        <v>0.02373995617</v>
      </c>
      <c r="Z109" s="32" t="str">
        <f t="shared" si="42"/>
        <v>Milton</v>
      </c>
      <c r="AA109" s="50" t="s">
        <v>77</v>
      </c>
      <c r="AB109" s="38">
        <v>5277.0</v>
      </c>
      <c r="AC109" s="48">
        <f t="shared" si="43"/>
        <v>2204</v>
      </c>
      <c r="AD109" s="51">
        <f t="shared" si="44"/>
        <v>0.5823384499</v>
      </c>
    </row>
    <row r="110">
      <c r="A110" s="61" t="s">
        <v>506</v>
      </c>
      <c r="B110" s="46" t="s">
        <v>1133</v>
      </c>
      <c r="C110" s="47"/>
      <c r="D110" s="38">
        <v>1544.0</v>
      </c>
      <c r="E110" s="38">
        <v>754.0</v>
      </c>
      <c r="F110" s="38">
        <v>411.0</v>
      </c>
      <c r="G110" s="38">
        <v>99.0</v>
      </c>
      <c r="H110" s="38">
        <v>227.0</v>
      </c>
      <c r="I110" s="48">
        <f t="shared" si="31"/>
        <v>2709</v>
      </c>
      <c r="J110" s="48">
        <f t="shared" si="32"/>
        <v>3035</v>
      </c>
      <c r="K110" s="49">
        <f t="shared" si="33"/>
        <v>0.5699520118</v>
      </c>
      <c r="L110" s="49">
        <f t="shared" si="34"/>
        <v>0.2783314876</v>
      </c>
      <c r="M110" s="49">
        <f t="shared" si="35"/>
        <v>0.1517165006</v>
      </c>
      <c r="N110" s="32" t="str">
        <f t="shared" si="36"/>
        <v>Jânio</v>
      </c>
      <c r="O110" s="50" t="s">
        <v>77</v>
      </c>
      <c r="P110" s="38">
        <v>1106.0</v>
      </c>
      <c r="Q110" s="38">
        <v>1211.0</v>
      </c>
      <c r="R110" s="38">
        <v>232.0</v>
      </c>
      <c r="S110" s="38">
        <v>326.0</v>
      </c>
      <c r="T110" s="38">
        <v>160.0</v>
      </c>
      <c r="U110" s="48">
        <f t="shared" si="37"/>
        <v>2549</v>
      </c>
      <c r="V110" s="48">
        <f t="shared" si="38"/>
        <v>3035</v>
      </c>
      <c r="W110" s="49">
        <f t="shared" si="39"/>
        <v>0.4338956454</v>
      </c>
      <c r="X110" s="49">
        <f t="shared" si="40"/>
        <v>0.4750882699</v>
      </c>
      <c r="Y110" s="49">
        <f t="shared" si="41"/>
        <v>0.09101608474</v>
      </c>
      <c r="Z110" s="32" t="str">
        <f t="shared" si="42"/>
        <v>Milton</v>
      </c>
      <c r="AA110" s="50" t="s">
        <v>77</v>
      </c>
      <c r="AB110" s="38">
        <v>6798.0</v>
      </c>
      <c r="AC110" s="48">
        <f t="shared" si="43"/>
        <v>3763</v>
      </c>
      <c r="AD110" s="51">
        <f t="shared" si="44"/>
        <v>0.4464548397</v>
      </c>
    </row>
    <row r="111">
      <c r="A111" s="24"/>
      <c r="B111" s="46" t="s">
        <v>1134</v>
      </c>
      <c r="C111" s="47"/>
      <c r="D111" s="38">
        <v>754.0</v>
      </c>
      <c r="E111" s="38">
        <v>394.0</v>
      </c>
      <c r="F111" s="38">
        <v>110.0</v>
      </c>
      <c r="G111" s="38">
        <v>30.0</v>
      </c>
      <c r="H111" s="38">
        <v>66.0</v>
      </c>
      <c r="I111" s="48">
        <f t="shared" si="31"/>
        <v>1258</v>
      </c>
      <c r="J111" s="48">
        <f t="shared" si="32"/>
        <v>1354</v>
      </c>
      <c r="K111" s="49">
        <f t="shared" si="33"/>
        <v>0.59936407</v>
      </c>
      <c r="L111" s="49">
        <f t="shared" si="34"/>
        <v>0.3131955485</v>
      </c>
      <c r="M111" s="49">
        <f t="shared" si="35"/>
        <v>0.08744038156</v>
      </c>
      <c r="N111" s="32" t="str">
        <f t="shared" si="36"/>
        <v>Jânio</v>
      </c>
      <c r="O111" s="50" t="s">
        <v>77</v>
      </c>
      <c r="P111" s="38">
        <v>434.0</v>
      </c>
      <c r="Q111" s="38">
        <v>716.0</v>
      </c>
      <c r="R111" s="38">
        <v>52.0</v>
      </c>
      <c r="S111" s="38">
        <v>107.0</v>
      </c>
      <c r="T111" s="38">
        <v>45.0</v>
      </c>
      <c r="U111" s="48">
        <f t="shared" si="37"/>
        <v>1202</v>
      </c>
      <c r="V111" s="48">
        <f t="shared" si="38"/>
        <v>1354</v>
      </c>
      <c r="W111" s="49">
        <f t="shared" si="39"/>
        <v>0.3610648918</v>
      </c>
      <c r="X111" s="49">
        <f t="shared" si="40"/>
        <v>0.5956738769</v>
      </c>
      <c r="Y111" s="49">
        <f t="shared" si="41"/>
        <v>0.04326123128</v>
      </c>
      <c r="Z111" s="32" t="str">
        <f t="shared" si="42"/>
        <v>Milton</v>
      </c>
      <c r="AA111" s="50" t="s">
        <v>77</v>
      </c>
      <c r="AB111" s="38">
        <v>3159.0</v>
      </c>
      <c r="AC111" s="48">
        <f t="shared" si="43"/>
        <v>1805</v>
      </c>
      <c r="AD111" s="51">
        <f t="shared" si="44"/>
        <v>0.4286166508</v>
      </c>
    </row>
    <row r="112">
      <c r="A112" s="61" t="s">
        <v>509</v>
      </c>
      <c r="B112" s="46" t="s">
        <v>1135</v>
      </c>
      <c r="C112" s="47"/>
      <c r="D112" s="38">
        <v>884.0</v>
      </c>
      <c r="E112" s="38">
        <v>1056.0</v>
      </c>
      <c r="F112" s="38">
        <v>94.0</v>
      </c>
      <c r="G112" s="38">
        <v>87.0</v>
      </c>
      <c r="H112" s="38">
        <v>95.0</v>
      </c>
      <c r="I112" s="48">
        <f t="shared" si="31"/>
        <v>2034</v>
      </c>
      <c r="J112" s="48">
        <f t="shared" si="32"/>
        <v>2216</v>
      </c>
      <c r="K112" s="49">
        <f t="shared" si="33"/>
        <v>0.4346116028</v>
      </c>
      <c r="L112" s="49">
        <f t="shared" si="34"/>
        <v>0.5191740413</v>
      </c>
      <c r="M112" s="49">
        <f t="shared" si="35"/>
        <v>0.04621435595</v>
      </c>
      <c r="N112" s="32" t="str">
        <f t="shared" si="36"/>
        <v>Mal. Lott</v>
      </c>
      <c r="O112" s="50" t="s">
        <v>77</v>
      </c>
      <c r="P112" s="38">
        <v>944.0</v>
      </c>
      <c r="Q112" s="38">
        <v>795.0</v>
      </c>
      <c r="R112" s="38">
        <v>231.0</v>
      </c>
      <c r="S112" s="38">
        <v>185.0</v>
      </c>
      <c r="T112" s="38">
        <v>61.0</v>
      </c>
      <c r="U112" s="48">
        <f t="shared" si="37"/>
        <v>1970</v>
      </c>
      <c r="V112" s="48">
        <f t="shared" si="38"/>
        <v>2216</v>
      </c>
      <c r="W112" s="49">
        <f t="shared" si="39"/>
        <v>0.4791878173</v>
      </c>
      <c r="X112" s="49">
        <f t="shared" si="40"/>
        <v>0.4035532995</v>
      </c>
      <c r="Y112" s="49">
        <f t="shared" si="41"/>
        <v>0.1172588832</v>
      </c>
      <c r="Z112" s="32" t="str">
        <f t="shared" si="42"/>
        <v>Jango</v>
      </c>
      <c r="AA112" s="50" t="s">
        <v>77</v>
      </c>
      <c r="AB112" s="38">
        <v>3808.0</v>
      </c>
      <c r="AC112" s="48">
        <f t="shared" si="43"/>
        <v>1592</v>
      </c>
      <c r="AD112" s="51">
        <f t="shared" si="44"/>
        <v>0.5819327731</v>
      </c>
    </row>
    <row r="113">
      <c r="A113" s="24"/>
      <c r="B113" s="46" t="s">
        <v>1136</v>
      </c>
      <c r="C113" s="47"/>
      <c r="D113" s="38">
        <v>572.0</v>
      </c>
      <c r="E113" s="38">
        <v>785.0</v>
      </c>
      <c r="F113" s="38">
        <v>70.0</v>
      </c>
      <c r="G113" s="38">
        <v>53.0</v>
      </c>
      <c r="H113" s="38">
        <v>47.0</v>
      </c>
      <c r="I113" s="48">
        <f t="shared" si="31"/>
        <v>1427</v>
      </c>
      <c r="J113" s="48">
        <f t="shared" si="32"/>
        <v>1527</v>
      </c>
      <c r="K113" s="49">
        <f t="shared" si="33"/>
        <v>0.400840925</v>
      </c>
      <c r="L113" s="49">
        <f t="shared" si="34"/>
        <v>0.5501051156</v>
      </c>
      <c r="M113" s="49">
        <f t="shared" si="35"/>
        <v>0.04905395936</v>
      </c>
      <c r="N113" s="32" t="str">
        <f t="shared" si="36"/>
        <v>Mal. Lott</v>
      </c>
      <c r="O113" s="50" t="s">
        <v>77</v>
      </c>
      <c r="P113" s="38">
        <v>174.0</v>
      </c>
      <c r="Q113" s="38">
        <v>1174.0</v>
      </c>
      <c r="R113" s="38">
        <v>67.0</v>
      </c>
      <c r="S113" s="38">
        <v>77.0</v>
      </c>
      <c r="T113" s="38">
        <v>35.0</v>
      </c>
      <c r="U113" s="48">
        <f t="shared" si="37"/>
        <v>1415</v>
      </c>
      <c r="V113" s="48">
        <f t="shared" si="38"/>
        <v>1527</v>
      </c>
      <c r="W113" s="49">
        <f t="shared" si="39"/>
        <v>0.1229681979</v>
      </c>
      <c r="X113" s="49">
        <f t="shared" si="40"/>
        <v>0.8296819788</v>
      </c>
      <c r="Y113" s="49">
        <f t="shared" si="41"/>
        <v>0.04734982332</v>
      </c>
      <c r="Z113" s="32" t="str">
        <f t="shared" si="42"/>
        <v>Milton</v>
      </c>
      <c r="AA113" s="50" t="s">
        <v>77</v>
      </c>
      <c r="AB113" s="38">
        <v>2667.0</v>
      </c>
      <c r="AC113" s="48">
        <f t="shared" si="43"/>
        <v>1140</v>
      </c>
      <c r="AD113" s="51">
        <f t="shared" si="44"/>
        <v>0.5725534308</v>
      </c>
    </row>
    <row r="114">
      <c r="A114" s="61" t="s">
        <v>512</v>
      </c>
      <c r="B114" s="46" t="s">
        <v>1137</v>
      </c>
      <c r="C114" s="47"/>
      <c r="D114" s="38">
        <v>1706.0</v>
      </c>
      <c r="E114" s="38">
        <v>1911.0</v>
      </c>
      <c r="F114" s="38">
        <v>136.0</v>
      </c>
      <c r="G114" s="38">
        <v>153.0</v>
      </c>
      <c r="H114" s="38">
        <v>203.0</v>
      </c>
      <c r="I114" s="48">
        <f t="shared" si="31"/>
        <v>3753</v>
      </c>
      <c r="J114" s="48">
        <f t="shared" si="32"/>
        <v>4109</v>
      </c>
      <c r="K114" s="49">
        <f t="shared" si="33"/>
        <v>0.4545696776</v>
      </c>
      <c r="L114" s="49">
        <f t="shared" si="34"/>
        <v>0.5091926459</v>
      </c>
      <c r="M114" s="49">
        <f t="shared" si="35"/>
        <v>0.03623767653</v>
      </c>
      <c r="N114" s="32" t="str">
        <f t="shared" si="36"/>
        <v>Mal. Lott</v>
      </c>
      <c r="O114" s="50" t="s">
        <v>77</v>
      </c>
      <c r="P114" s="38">
        <v>2010.0</v>
      </c>
      <c r="Q114" s="38">
        <v>1482.0</v>
      </c>
      <c r="R114" s="38">
        <v>112.0</v>
      </c>
      <c r="S114" s="38">
        <v>344.0</v>
      </c>
      <c r="T114" s="38">
        <v>161.0</v>
      </c>
      <c r="U114" s="48">
        <f t="shared" si="37"/>
        <v>3604</v>
      </c>
      <c r="V114" s="48">
        <f t="shared" si="38"/>
        <v>4109</v>
      </c>
      <c r="W114" s="49">
        <f t="shared" si="39"/>
        <v>0.5577136515</v>
      </c>
      <c r="X114" s="49">
        <f t="shared" si="40"/>
        <v>0.4112097669</v>
      </c>
      <c r="Y114" s="49">
        <f t="shared" si="41"/>
        <v>0.03107658158</v>
      </c>
      <c r="Z114" s="32" t="str">
        <f t="shared" si="42"/>
        <v>Jango</v>
      </c>
      <c r="AA114" s="50" t="s">
        <v>77</v>
      </c>
      <c r="AB114" s="38">
        <v>7197.0</v>
      </c>
      <c r="AC114" s="48">
        <f t="shared" si="43"/>
        <v>3088</v>
      </c>
      <c r="AD114" s="51">
        <f t="shared" si="44"/>
        <v>0.5709323329</v>
      </c>
    </row>
    <row r="115">
      <c r="A115" s="24"/>
      <c r="B115" s="46" t="s">
        <v>1138</v>
      </c>
      <c r="C115" s="47"/>
      <c r="D115" s="38">
        <v>671.0</v>
      </c>
      <c r="E115" s="38">
        <v>240.0</v>
      </c>
      <c r="F115" s="38">
        <v>32.0</v>
      </c>
      <c r="G115" s="38">
        <v>42.0</v>
      </c>
      <c r="H115" s="38">
        <v>55.0</v>
      </c>
      <c r="I115" s="48">
        <f t="shared" si="31"/>
        <v>943</v>
      </c>
      <c r="J115" s="48">
        <f t="shared" si="32"/>
        <v>1040</v>
      </c>
      <c r="K115" s="49">
        <f t="shared" si="33"/>
        <v>0.7115588547</v>
      </c>
      <c r="L115" s="49">
        <f t="shared" si="34"/>
        <v>0.2545068929</v>
      </c>
      <c r="M115" s="49">
        <f t="shared" si="35"/>
        <v>0.03393425239</v>
      </c>
      <c r="N115" s="32" t="str">
        <f t="shared" si="36"/>
        <v>Jânio</v>
      </c>
      <c r="O115" s="50" t="s">
        <v>77</v>
      </c>
      <c r="P115" s="38">
        <v>271.0</v>
      </c>
      <c r="Q115" s="38">
        <v>601.0</v>
      </c>
      <c r="R115" s="38">
        <v>40.0</v>
      </c>
      <c r="S115" s="38">
        <v>91.0</v>
      </c>
      <c r="T115" s="38">
        <v>37.0</v>
      </c>
      <c r="U115" s="48">
        <f t="shared" si="37"/>
        <v>912</v>
      </c>
      <c r="V115" s="48">
        <f t="shared" si="38"/>
        <v>1040</v>
      </c>
      <c r="W115" s="49">
        <f t="shared" si="39"/>
        <v>0.2971491228</v>
      </c>
      <c r="X115" s="49">
        <f t="shared" si="40"/>
        <v>0.6589912281</v>
      </c>
      <c r="Y115" s="49">
        <f t="shared" si="41"/>
        <v>0.04385964912</v>
      </c>
      <c r="Z115" s="32" t="str">
        <f t="shared" si="42"/>
        <v>Milton</v>
      </c>
      <c r="AA115" s="50" t="s">
        <v>77</v>
      </c>
      <c r="AB115" s="38">
        <v>2001.0</v>
      </c>
      <c r="AC115" s="48">
        <f t="shared" si="43"/>
        <v>961</v>
      </c>
      <c r="AD115" s="51">
        <f t="shared" si="44"/>
        <v>0.5197401299</v>
      </c>
    </row>
    <row r="116">
      <c r="A116" s="61" t="s">
        <v>514</v>
      </c>
      <c r="B116" s="46" t="s">
        <v>1139</v>
      </c>
      <c r="C116" s="47"/>
      <c r="D116" s="38">
        <v>2187.0</v>
      </c>
      <c r="E116" s="55">
        <v>1293.0</v>
      </c>
      <c r="F116" s="38">
        <v>246.0</v>
      </c>
      <c r="G116" s="38">
        <v>188.0</v>
      </c>
      <c r="H116" s="38">
        <v>237.0</v>
      </c>
      <c r="I116" s="48">
        <f t="shared" si="31"/>
        <v>3726</v>
      </c>
      <c r="J116" s="114">
        <f t="shared" si="32"/>
        <v>4151</v>
      </c>
      <c r="K116" s="49">
        <f t="shared" si="33"/>
        <v>0.5869565217</v>
      </c>
      <c r="L116" s="49">
        <f t="shared" si="34"/>
        <v>0.347020934</v>
      </c>
      <c r="M116" s="49">
        <f t="shared" si="35"/>
        <v>0.06602254428</v>
      </c>
      <c r="N116" s="32" t="str">
        <f t="shared" si="36"/>
        <v>Jânio</v>
      </c>
      <c r="O116" s="50" t="s">
        <v>77</v>
      </c>
      <c r="P116" s="38">
        <v>1051.0</v>
      </c>
      <c r="Q116" s="38">
        <v>2221.0</v>
      </c>
      <c r="R116" s="38">
        <v>319.0</v>
      </c>
      <c r="S116" s="38">
        <v>387.0</v>
      </c>
      <c r="T116" s="38">
        <v>173.0</v>
      </c>
      <c r="U116" s="48">
        <f t="shared" si="37"/>
        <v>3591</v>
      </c>
      <c r="V116" s="48">
        <f t="shared" si="38"/>
        <v>4151</v>
      </c>
      <c r="W116" s="49">
        <f t="shared" si="39"/>
        <v>0.2926761348</v>
      </c>
      <c r="X116" s="49">
        <f t="shared" si="40"/>
        <v>0.6184906711</v>
      </c>
      <c r="Y116" s="49">
        <f t="shared" si="41"/>
        <v>0.0888331941</v>
      </c>
      <c r="Z116" s="32" t="str">
        <f t="shared" si="42"/>
        <v>Milton</v>
      </c>
      <c r="AA116" s="50" t="s">
        <v>77</v>
      </c>
      <c r="AB116" s="38">
        <v>7428.0</v>
      </c>
      <c r="AC116" s="48">
        <f t="shared" si="43"/>
        <v>3277</v>
      </c>
      <c r="AD116" s="51">
        <f t="shared" si="44"/>
        <v>0.5588314486</v>
      </c>
    </row>
    <row r="117">
      <c r="A117" s="23"/>
      <c r="B117" s="46" t="s">
        <v>1140</v>
      </c>
      <c r="C117" s="47"/>
      <c r="D117" s="38">
        <v>907.0</v>
      </c>
      <c r="E117" s="38">
        <v>466.0</v>
      </c>
      <c r="F117" s="38">
        <v>60.0</v>
      </c>
      <c r="G117" s="38">
        <v>61.0</v>
      </c>
      <c r="H117" s="38">
        <v>54.0</v>
      </c>
      <c r="I117" s="48">
        <f t="shared" si="31"/>
        <v>1433</v>
      </c>
      <c r="J117" s="48">
        <f t="shared" si="32"/>
        <v>1548</v>
      </c>
      <c r="K117" s="49">
        <f t="shared" si="33"/>
        <v>0.6329378925</v>
      </c>
      <c r="L117" s="49">
        <f t="shared" si="34"/>
        <v>0.3251919051</v>
      </c>
      <c r="M117" s="49">
        <f t="shared" si="35"/>
        <v>0.04187020237</v>
      </c>
      <c r="N117" s="32" t="str">
        <f t="shared" si="36"/>
        <v>Jânio</v>
      </c>
      <c r="O117" s="50" t="s">
        <v>77</v>
      </c>
      <c r="P117" s="38">
        <v>451.0</v>
      </c>
      <c r="Q117" s="38">
        <v>829.0</v>
      </c>
      <c r="R117" s="38">
        <v>98.0</v>
      </c>
      <c r="S117" s="38">
        <v>118.0</v>
      </c>
      <c r="T117" s="38">
        <v>52.0</v>
      </c>
      <c r="U117" s="48">
        <f t="shared" si="37"/>
        <v>1378</v>
      </c>
      <c r="V117" s="48">
        <f t="shared" si="38"/>
        <v>1548</v>
      </c>
      <c r="W117" s="49">
        <f t="shared" si="39"/>
        <v>0.3272859216</v>
      </c>
      <c r="X117" s="49">
        <f t="shared" si="40"/>
        <v>0.6015965167</v>
      </c>
      <c r="Y117" s="49">
        <f t="shared" si="41"/>
        <v>0.07111756168</v>
      </c>
      <c r="Z117" s="32" t="str">
        <f t="shared" si="42"/>
        <v>Milton</v>
      </c>
      <c r="AA117" s="50" t="s">
        <v>77</v>
      </c>
      <c r="AB117" s="38">
        <v>2780.0</v>
      </c>
      <c r="AC117" s="48">
        <f t="shared" si="43"/>
        <v>1232</v>
      </c>
      <c r="AD117" s="51">
        <f t="shared" si="44"/>
        <v>0.5568345324</v>
      </c>
    </row>
    <row r="118">
      <c r="A118" s="24"/>
      <c r="B118" s="46" t="s">
        <v>1141</v>
      </c>
      <c r="C118" s="47"/>
      <c r="D118" s="38">
        <v>805.0</v>
      </c>
      <c r="E118" s="38">
        <v>147.0</v>
      </c>
      <c r="F118" s="38">
        <v>35.0</v>
      </c>
      <c r="G118" s="38">
        <v>41.0</v>
      </c>
      <c r="H118" s="38">
        <v>49.0</v>
      </c>
      <c r="I118" s="48">
        <f t="shared" si="31"/>
        <v>987</v>
      </c>
      <c r="J118" s="48">
        <f t="shared" si="32"/>
        <v>1077</v>
      </c>
      <c r="K118" s="49">
        <f t="shared" si="33"/>
        <v>0.8156028369</v>
      </c>
      <c r="L118" s="49">
        <f t="shared" si="34"/>
        <v>0.1489361702</v>
      </c>
      <c r="M118" s="49">
        <f t="shared" si="35"/>
        <v>0.03546099291</v>
      </c>
      <c r="N118" s="32" t="str">
        <f t="shared" si="36"/>
        <v>Jânio</v>
      </c>
      <c r="O118" s="50" t="s">
        <v>77</v>
      </c>
      <c r="P118" s="38">
        <v>129.0</v>
      </c>
      <c r="Q118" s="38">
        <v>773.0</v>
      </c>
      <c r="R118" s="38">
        <v>61.0</v>
      </c>
      <c r="S118" s="38">
        <v>68.0</v>
      </c>
      <c r="T118" s="38">
        <v>46.0</v>
      </c>
      <c r="U118" s="48">
        <f t="shared" si="37"/>
        <v>963</v>
      </c>
      <c r="V118" s="48">
        <f t="shared" si="38"/>
        <v>1077</v>
      </c>
      <c r="W118" s="49">
        <f t="shared" si="39"/>
        <v>0.1339563863</v>
      </c>
      <c r="X118" s="49">
        <f t="shared" si="40"/>
        <v>0.8026998962</v>
      </c>
      <c r="Y118" s="49">
        <f t="shared" si="41"/>
        <v>0.06334371755</v>
      </c>
      <c r="Z118" s="32" t="str">
        <f t="shared" si="42"/>
        <v>Milton</v>
      </c>
      <c r="AA118" s="50" t="s">
        <v>77</v>
      </c>
      <c r="AB118" s="38">
        <v>1769.0</v>
      </c>
      <c r="AC118" s="48">
        <f t="shared" si="43"/>
        <v>692</v>
      </c>
      <c r="AD118" s="51">
        <f t="shared" si="44"/>
        <v>0.6088185415</v>
      </c>
    </row>
    <row r="119">
      <c r="A119" s="61" t="s">
        <v>516</v>
      </c>
      <c r="B119" s="46" t="s">
        <v>1142</v>
      </c>
      <c r="C119" s="47"/>
      <c r="D119" s="38">
        <v>650.0</v>
      </c>
      <c r="E119" s="38">
        <v>946.0</v>
      </c>
      <c r="F119" s="48">
        <v>45.0</v>
      </c>
      <c r="G119" s="38">
        <v>53.0</v>
      </c>
      <c r="H119" s="38">
        <v>56.0</v>
      </c>
      <c r="I119" s="48">
        <f t="shared" si="31"/>
        <v>1641</v>
      </c>
      <c r="J119" s="48">
        <f t="shared" si="32"/>
        <v>1750</v>
      </c>
      <c r="K119" s="49">
        <f t="shared" si="33"/>
        <v>0.3960999391</v>
      </c>
      <c r="L119" s="49">
        <f t="shared" si="34"/>
        <v>0.5764777575</v>
      </c>
      <c r="M119" s="49">
        <f t="shared" si="35"/>
        <v>0.02742230347</v>
      </c>
      <c r="N119" s="32" t="str">
        <f t="shared" si="36"/>
        <v>Mal. Lott</v>
      </c>
      <c r="O119" s="50" t="s">
        <v>77</v>
      </c>
      <c r="P119" s="38">
        <v>843.0</v>
      </c>
      <c r="Q119" s="38">
        <v>640.0</v>
      </c>
      <c r="R119" s="38">
        <v>110.0</v>
      </c>
      <c r="S119" s="38">
        <v>77.0</v>
      </c>
      <c r="T119" s="38">
        <v>80.0</v>
      </c>
      <c r="U119" s="48">
        <f t="shared" si="37"/>
        <v>1593</v>
      </c>
      <c r="V119" s="48">
        <f t="shared" si="38"/>
        <v>1750</v>
      </c>
      <c r="W119" s="49">
        <f t="shared" si="39"/>
        <v>0.5291902072</v>
      </c>
      <c r="X119" s="49">
        <f t="shared" si="40"/>
        <v>0.4017576899</v>
      </c>
      <c r="Y119" s="49">
        <f t="shared" si="41"/>
        <v>0.06905210295</v>
      </c>
      <c r="Z119" s="32" t="str">
        <f t="shared" si="42"/>
        <v>Jango</v>
      </c>
      <c r="AA119" s="50" t="s">
        <v>77</v>
      </c>
      <c r="AB119" s="38">
        <v>3085.0</v>
      </c>
      <c r="AC119" s="48">
        <f t="shared" si="43"/>
        <v>1335</v>
      </c>
      <c r="AD119" s="51">
        <f t="shared" si="44"/>
        <v>0.56726094</v>
      </c>
    </row>
    <row r="120">
      <c r="A120" s="24"/>
      <c r="B120" s="46" t="s">
        <v>1143</v>
      </c>
      <c r="C120" s="47"/>
      <c r="D120" s="38">
        <v>1878.0</v>
      </c>
      <c r="E120" s="38">
        <v>1513.0</v>
      </c>
      <c r="F120" s="48">
        <v>117.0</v>
      </c>
      <c r="G120" s="38">
        <v>111.0</v>
      </c>
      <c r="H120" s="38">
        <v>83.0</v>
      </c>
      <c r="I120" s="48">
        <f t="shared" si="31"/>
        <v>3508</v>
      </c>
      <c r="J120" s="48">
        <f t="shared" si="32"/>
        <v>3702</v>
      </c>
      <c r="K120" s="49">
        <f t="shared" si="33"/>
        <v>0.5353477765</v>
      </c>
      <c r="L120" s="49">
        <f t="shared" si="34"/>
        <v>0.431299886</v>
      </c>
      <c r="M120" s="49">
        <f t="shared" si="35"/>
        <v>0.03335233751</v>
      </c>
      <c r="N120" s="32" t="str">
        <f t="shared" si="36"/>
        <v>Jânio</v>
      </c>
      <c r="O120" s="50" t="s">
        <v>77</v>
      </c>
      <c r="P120" s="38">
        <v>1732.0</v>
      </c>
      <c r="Q120" s="38">
        <v>1423.0</v>
      </c>
      <c r="R120" s="38">
        <v>217.0</v>
      </c>
      <c r="S120" s="38">
        <v>199.0</v>
      </c>
      <c r="T120" s="38">
        <v>131.0</v>
      </c>
      <c r="U120" s="48">
        <f t="shared" si="37"/>
        <v>3372</v>
      </c>
      <c r="V120" s="48">
        <f t="shared" si="38"/>
        <v>3702</v>
      </c>
      <c r="W120" s="49">
        <f t="shared" si="39"/>
        <v>0.5136417556</v>
      </c>
      <c r="X120" s="49">
        <f t="shared" si="40"/>
        <v>0.422004745</v>
      </c>
      <c r="Y120" s="49">
        <f t="shared" si="41"/>
        <v>0.06435349941</v>
      </c>
      <c r="Z120" s="32" t="str">
        <f t="shared" si="42"/>
        <v>Jango</v>
      </c>
      <c r="AA120" s="50" t="s">
        <v>77</v>
      </c>
      <c r="AB120" s="38">
        <v>6314.0</v>
      </c>
      <c r="AC120" s="48">
        <f t="shared" si="43"/>
        <v>2612</v>
      </c>
      <c r="AD120" s="51">
        <f t="shared" si="44"/>
        <v>0.5863161229</v>
      </c>
    </row>
    <row r="121">
      <c r="A121" s="61" t="s">
        <v>518</v>
      </c>
      <c r="B121" s="46" t="s">
        <v>1144</v>
      </c>
      <c r="C121" s="47"/>
      <c r="D121" s="38">
        <v>805.0</v>
      </c>
      <c r="E121" s="38">
        <v>918.0</v>
      </c>
      <c r="F121" s="48">
        <v>84.0</v>
      </c>
      <c r="G121" s="38">
        <v>68.0</v>
      </c>
      <c r="H121" s="38">
        <v>82.0</v>
      </c>
      <c r="I121" s="48">
        <f t="shared" si="31"/>
        <v>1807</v>
      </c>
      <c r="J121" s="48">
        <f t="shared" si="32"/>
        <v>1957</v>
      </c>
      <c r="K121" s="49">
        <f t="shared" si="33"/>
        <v>0.445489762</v>
      </c>
      <c r="L121" s="49">
        <f t="shared" si="34"/>
        <v>0.5080243498</v>
      </c>
      <c r="M121" s="49">
        <f t="shared" si="35"/>
        <v>0.04648588821</v>
      </c>
      <c r="N121" s="32" t="str">
        <f t="shared" si="36"/>
        <v>Mal. Lott</v>
      </c>
      <c r="O121" s="50" t="s">
        <v>77</v>
      </c>
      <c r="P121" s="38">
        <v>876.0</v>
      </c>
      <c r="Q121" s="38">
        <v>686.0</v>
      </c>
      <c r="R121" s="38">
        <v>199.0</v>
      </c>
      <c r="S121" s="38">
        <v>151.0</v>
      </c>
      <c r="T121" s="38">
        <v>45.0</v>
      </c>
      <c r="U121" s="48">
        <f t="shared" si="37"/>
        <v>1761</v>
      </c>
      <c r="V121" s="48">
        <f t="shared" si="38"/>
        <v>1957</v>
      </c>
      <c r="W121" s="49">
        <f t="shared" si="39"/>
        <v>0.4974446337</v>
      </c>
      <c r="X121" s="49">
        <f t="shared" si="40"/>
        <v>0.3895513913</v>
      </c>
      <c r="Y121" s="49">
        <f t="shared" si="41"/>
        <v>0.113003975</v>
      </c>
      <c r="Z121" s="32" t="str">
        <f t="shared" si="42"/>
        <v>Jango</v>
      </c>
      <c r="AA121" s="50" t="s">
        <v>77</v>
      </c>
      <c r="AB121" s="38">
        <v>4361.0</v>
      </c>
      <c r="AC121" s="48">
        <f t="shared" si="43"/>
        <v>2404</v>
      </c>
      <c r="AD121" s="51">
        <f t="shared" si="44"/>
        <v>0.4487502866</v>
      </c>
    </row>
    <row r="122">
      <c r="A122" s="24"/>
      <c r="B122" s="46" t="s">
        <v>1145</v>
      </c>
      <c r="C122" s="47"/>
      <c r="D122" s="38">
        <v>691.0</v>
      </c>
      <c r="E122" s="38">
        <v>657.0</v>
      </c>
      <c r="F122" s="48">
        <v>61.0</v>
      </c>
      <c r="G122" s="38">
        <v>36.0</v>
      </c>
      <c r="H122" s="38">
        <v>77.0</v>
      </c>
      <c r="I122" s="48">
        <f t="shared" si="31"/>
        <v>1409</v>
      </c>
      <c r="J122" s="48">
        <f t="shared" si="32"/>
        <v>1522</v>
      </c>
      <c r="K122" s="49">
        <f t="shared" si="33"/>
        <v>0.4904187367</v>
      </c>
      <c r="L122" s="49">
        <f t="shared" si="34"/>
        <v>0.4662881476</v>
      </c>
      <c r="M122" s="49">
        <f t="shared" si="35"/>
        <v>0.04329311568</v>
      </c>
      <c r="N122" s="32" t="str">
        <f t="shared" si="36"/>
        <v>Jânio</v>
      </c>
      <c r="O122" s="50" t="s">
        <v>77</v>
      </c>
      <c r="P122" s="38">
        <v>661.0</v>
      </c>
      <c r="Q122" s="38">
        <v>602.0</v>
      </c>
      <c r="R122" s="38">
        <v>52.0</v>
      </c>
      <c r="S122" s="38">
        <v>147.0</v>
      </c>
      <c r="T122" s="38">
        <v>60.0</v>
      </c>
      <c r="U122" s="48">
        <f t="shared" si="37"/>
        <v>1315</v>
      </c>
      <c r="V122" s="48">
        <f t="shared" si="38"/>
        <v>1522</v>
      </c>
      <c r="W122" s="49">
        <f t="shared" si="39"/>
        <v>0.502661597</v>
      </c>
      <c r="X122" s="49">
        <f t="shared" si="40"/>
        <v>0.4577946768</v>
      </c>
      <c r="Y122" s="49">
        <f t="shared" si="41"/>
        <v>0.03954372624</v>
      </c>
      <c r="Z122" s="32" t="str">
        <f t="shared" si="42"/>
        <v>Jango</v>
      </c>
      <c r="AA122" s="50" t="s">
        <v>77</v>
      </c>
      <c r="AB122" s="38">
        <v>2524.0</v>
      </c>
      <c r="AC122" s="48">
        <f t="shared" si="43"/>
        <v>1002</v>
      </c>
      <c r="AD122" s="51">
        <f t="shared" si="44"/>
        <v>0.6030110935</v>
      </c>
    </row>
    <row r="123">
      <c r="A123" s="61" t="s">
        <v>522</v>
      </c>
      <c r="B123" s="46" t="s">
        <v>1146</v>
      </c>
      <c r="C123" s="47"/>
      <c r="D123" s="38">
        <v>2944.0</v>
      </c>
      <c r="E123" s="38">
        <v>1003.0</v>
      </c>
      <c r="F123" s="48">
        <v>267.0</v>
      </c>
      <c r="G123" s="38">
        <v>173.0</v>
      </c>
      <c r="H123" s="38">
        <v>199.0</v>
      </c>
      <c r="I123" s="48">
        <f t="shared" si="31"/>
        <v>4214</v>
      </c>
      <c r="J123" s="48">
        <f t="shared" si="32"/>
        <v>4586</v>
      </c>
      <c r="K123" s="49">
        <f t="shared" si="33"/>
        <v>0.6986236355</v>
      </c>
      <c r="L123" s="49">
        <f t="shared" si="34"/>
        <v>0.2380161367</v>
      </c>
      <c r="M123" s="49">
        <f t="shared" si="35"/>
        <v>0.06336022781</v>
      </c>
      <c r="N123" s="32" t="str">
        <f t="shared" si="36"/>
        <v>Jânio</v>
      </c>
      <c r="O123" s="50" t="s">
        <v>77</v>
      </c>
      <c r="P123" s="38">
        <v>1091.0</v>
      </c>
      <c r="Q123" s="38">
        <v>2420.0</v>
      </c>
      <c r="R123" s="38">
        <v>468.0</v>
      </c>
      <c r="S123" s="38">
        <v>489.0</v>
      </c>
      <c r="T123" s="38">
        <v>118.0</v>
      </c>
      <c r="U123" s="48">
        <f t="shared" si="37"/>
        <v>3979</v>
      </c>
      <c r="V123" s="48">
        <f t="shared" si="38"/>
        <v>4586</v>
      </c>
      <c r="W123" s="49">
        <f t="shared" si="39"/>
        <v>0.2741894948</v>
      </c>
      <c r="X123" s="49">
        <f t="shared" si="40"/>
        <v>0.6081930133</v>
      </c>
      <c r="Y123" s="49">
        <f t="shared" si="41"/>
        <v>0.1176174918</v>
      </c>
      <c r="Z123" s="32" t="str">
        <f t="shared" si="42"/>
        <v>Milton</v>
      </c>
      <c r="AA123" s="50" t="s">
        <v>77</v>
      </c>
      <c r="AB123" s="38">
        <v>6535.0</v>
      </c>
      <c r="AC123" s="48">
        <f t="shared" si="43"/>
        <v>1949</v>
      </c>
      <c r="AD123" s="51">
        <f t="shared" si="44"/>
        <v>0.7017597552</v>
      </c>
    </row>
    <row r="124">
      <c r="A124" s="23"/>
      <c r="B124" s="46" t="s">
        <v>1147</v>
      </c>
      <c r="C124" s="47"/>
      <c r="D124" s="38">
        <v>1449.0</v>
      </c>
      <c r="E124" s="38">
        <v>346.0</v>
      </c>
      <c r="F124" s="48">
        <v>57.0</v>
      </c>
      <c r="G124" s="38">
        <v>41.0</v>
      </c>
      <c r="H124" s="38">
        <v>79.0</v>
      </c>
      <c r="I124" s="48">
        <f t="shared" si="31"/>
        <v>1852</v>
      </c>
      <c r="J124" s="48">
        <f t="shared" si="32"/>
        <v>1972</v>
      </c>
      <c r="K124" s="49">
        <f t="shared" si="33"/>
        <v>0.7823974082</v>
      </c>
      <c r="L124" s="49">
        <f t="shared" si="34"/>
        <v>0.186825054</v>
      </c>
      <c r="M124" s="49">
        <f t="shared" si="35"/>
        <v>0.0307775378</v>
      </c>
      <c r="N124" s="32" t="str">
        <f t="shared" si="36"/>
        <v>Jânio</v>
      </c>
      <c r="O124" s="50" t="s">
        <v>77</v>
      </c>
      <c r="P124" s="38">
        <v>400.0</v>
      </c>
      <c r="Q124" s="38">
        <v>1286.0</v>
      </c>
      <c r="R124" s="38">
        <v>84.0</v>
      </c>
      <c r="S124" s="38">
        <v>169.0</v>
      </c>
      <c r="T124" s="38">
        <v>33.0</v>
      </c>
      <c r="U124" s="48">
        <f t="shared" si="37"/>
        <v>1770</v>
      </c>
      <c r="V124" s="48">
        <f t="shared" si="38"/>
        <v>1972</v>
      </c>
      <c r="W124" s="49">
        <f t="shared" si="39"/>
        <v>0.2259887006</v>
      </c>
      <c r="X124" s="49">
        <f t="shared" si="40"/>
        <v>0.7265536723</v>
      </c>
      <c r="Y124" s="49">
        <f t="shared" si="41"/>
        <v>0.04745762712</v>
      </c>
      <c r="Z124" s="32" t="str">
        <f t="shared" si="42"/>
        <v>Milton</v>
      </c>
      <c r="AA124" s="50" t="s">
        <v>77</v>
      </c>
      <c r="AB124" s="38">
        <v>3489.0</v>
      </c>
      <c r="AC124" s="48">
        <f t="shared" si="43"/>
        <v>1517</v>
      </c>
      <c r="AD124" s="51">
        <f t="shared" si="44"/>
        <v>0.5652049298</v>
      </c>
    </row>
    <row r="125">
      <c r="A125" s="24"/>
      <c r="B125" s="46" t="s">
        <v>1148</v>
      </c>
      <c r="C125" s="47"/>
      <c r="D125" s="38">
        <v>772.0</v>
      </c>
      <c r="E125" s="38">
        <v>413.0</v>
      </c>
      <c r="F125" s="48">
        <v>164.0</v>
      </c>
      <c r="G125" s="38">
        <v>49.0</v>
      </c>
      <c r="H125" s="38">
        <v>80.0</v>
      </c>
      <c r="I125" s="48">
        <f t="shared" si="31"/>
        <v>1349</v>
      </c>
      <c r="J125" s="48">
        <f t="shared" si="32"/>
        <v>1478</v>
      </c>
      <c r="K125" s="49">
        <f t="shared" si="33"/>
        <v>0.5722757598</v>
      </c>
      <c r="L125" s="49">
        <f t="shared" si="34"/>
        <v>0.3061527057</v>
      </c>
      <c r="M125" s="49">
        <f t="shared" si="35"/>
        <v>0.1215715345</v>
      </c>
      <c r="N125" s="32" t="str">
        <f t="shared" si="36"/>
        <v>Jânio</v>
      </c>
      <c r="O125" s="50" t="s">
        <v>77</v>
      </c>
      <c r="P125" s="38">
        <v>596.0</v>
      </c>
      <c r="Q125" s="38">
        <v>480.0</v>
      </c>
      <c r="R125" s="38">
        <v>134.0</v>
      </c>
      <c r="S125" s="38">
        <v>230.0</v>
      </c>
      <c r="T125" s="38">
        <v>38.0</v>
      </c>
      <c r="U125" s="48">
        <f t="shared" si="37"/>
        <v>1210</v>
      </c>
      <c r="V125" s="48">
        <f t="shared" si="38"/>
        <v>1478</v>
      </c>
      <c r="W125" s="49">
        <f t="shared" si="39"/>
        <v>0.4925619835</v>
      </c>
      <c r="X125" s="49">
        <f t="shared" si="40"/>
        <v>0.3966942149</v>
      </c>
      <c r="Y125" s="49">
        <f t="shared" si="41"/>
        <v>0.1107438017</v>
      </c>
      <c r="Z125" s="32" t="str">
        <f t="shared" si="42"/>
        <v>Jango</v>
      </c>
      <c r="AA125" s="50" t="s">
        <v>77</v>
      </c>
      <c r="AB125" s="38">
        <v>2539.0</v>
      </c>
      <c r="AC125" s="48">
        <f t="shared" si="43"/>
        <v>1061</v>
      </c>
      <c r="AD125" s="51">
        <f t="shared" si="44"/>
        <v>0.5821189445</v>
      </c>
    </row>
    <row r="126">
      <c r="A126" s="61" t="s">
        <v>524</v>
      </c>
      <c r="B126" s="46" t="s">
        <v>1149</v>
      </c>
      <c r="C126" s="47"/>
      <c r="D126" s="38">
        <v>1604.0</v>
      </c>
      <c r="E126" s="38">
        <v>1264.0</v>
      </c>
      <c r="F126" s="48">
        <v>71.0</v>
      </c>
      <c r="G126" s="38">
        <v>91.0</v>
      </c>
      <c r="H126" s="38">
        <v>109.0</v>
      </c>
      <c r="I126" s="48">
        <f t="shared" si="31"/>
        <v>2939</v>
      </c>
      <c r="J126" s="48">
        <f t="shared" si="32"/>
        <v>3139</v>
      </c>
      <c r="K126" s="49">
        <f t="shared" si="33"/>
        <v>0.5457638653</v>
      </c>
      <c r="L126" s="49">
        <f t="shared" si="34"/>
        <v>0.4300782579</v>
      </c>
      <c r="M126" s="49">
        <f t="shared" si="35"/>
        <v>0.02415787683</v>
      </c>
      <c r="N126" s="32" t="str">
        <f t="shared" si="36"/>
        <v>Jânio</v>
      </c>
      <c r="O126" s="50" t="s">
        <v>77</v>
      </c>
      <c r="P126" s="38">
        <v>1027.0</v>
      </c>
      <c r="Q126" s="38">
        <v>1705.0</v>
      </c>
      <c r="R126" s="38">
        <v>81.0</v>
      </c>
      <c r="S126" s="38">
        <v>270.0</v>
      </c>
      <c r="T126" s="38">
        <v>56.0</v>
      </c>
      <c r="U126" s="48">
        <f t="shared" si="37"/>
        <v>2813</v>
      </c>
      <c r="V126" s="48">
        <f t="shared" si="38"/>
        <v>3139</v>
      </c>
      <c r="W126" s="49">
        <f t="shared" si="39"/>
        <v>0.3650906506</v>
      </c>
      <c r="X126" s="49">
        <f t="shared" si="40"/>
        <v>0.6061144685</v>
      </c>
      <c r="Y126" s="49">
        <f t="shared" si="41"/>
        <v>0.02879488091</v>
      </c>
      <c r="Z126" s="32" t="str">
        <f t="shared" si="42"/>
        <v>Milton</v>
      </c>
      <c r="AA126" s="50" t="s">
        <v>77</v>
      </c>
      <c r="AB126" s="38">
        <v>4871.0</v>
      </c>
      <c r="AC126" s="48">
        <f t="shared" si="43"/>
        <v>1732</v>
      </c>
      <c r="AD126" s="51">
        <f t="shared" si="44"/>
        <v>0.6444261959</v>
      </c>
    </row>
    <row r="127">
      <c r="A127" s="24"/>
      <c r="B127" s="46" t="s">
        <v>1150</v>
      </c>
      <c r="C127" s="47"/>
      <c r="D127" s="38">
        <v>583.0</v>
      </c>
      <c r="E127" s="38">
        <v>148.0</v>
      </c>
      <c r="F127" s="48">
        <v>41.0</v>
      </c>
      <c r="G127" s="38">
        <v>16.0</v>
      </c>
      <c r="H127" s="38">
        <v>34.0</v>
      </c>
      <c r="I127" s="48">
        <f t="shared" si="31"/>
        <v>772</v>
      </c>
      <c r="J127" s="48">
        <f t="shared" si="32"/>
        <v>822</v>
      </c>
      <c r="K127" s="49">
        <f t="shared" si="33"/>
        <v>0.7551813472</v>
      </c>
      <c r="L127" s="49">
        <f t="shared" si="34"/>
        <v>0.1917098446</v>
      </c>
      <c r="M127" s="49">
        <f t="shared" si="35"/>
        <v>0.05310880829</v>
      </c>
      <c r="N127" s="32" t="str">
        <f t="shared" si="36"/>
        <v>Jânio</v>
      </c>
      <c r="O127" s="50" t="s">
        <v>77</v>
      </c>
      <c r="P127" s="38">
        <v>483.0</v>
      </c>
      <c r="Q127" s="38">
        <v>160.0</v>
      </c>
      <c r="R127" s="38">
        <v>114.0</v>
      </c>
      <c r="S127" s="38">
        <v>36.0</v>
      </c>
      <c r="T127" s="38">
        <v>29.0</v>
      </c>
      <c r="U127" s="48">
        <f t="shared" si="37"/>
        <v>757</v>
      </c>
      <c r="V127" s="48">
        <f t="shared" si="38"/>
        <v>822</v>
      </c>
      <c r="W127" s="49">
        <f t="shared" si="39"/>
        <v>0.6380449141</v>
      </c>
      <c r="X127" s="49">
        <f t="shared" si="40"/>
        <v>0.2113606341</v>
      </c>
      <c r="Y127" s="49">
        <f t="shared" si="41"/>
        <v>0.1505944518</v>
      </c>
      <c r="Z127" s="32" t="str">
        <f t="shared" si="42"/>
        <v>Jango</v>
      </c>
      <c r="AA127" s="50" t="s">
        <v>77</v>
      </c>
      <c r="AB127" s="38">
        <v>1520.0</v>
      </c>
      <c r="AC127" s="48">
        <f t="shared" si="43"/>
        <v>698</v>
      </c>
      <c r="AD127" s="51">
        <f t="shared" si="44"/>
        <v>0.5407894737</v>
      </c>
    </row>
    <row r="128">
      <c r="A128" s="110" t="s">
        <v>526</v>
      </c>
      <c r="B128" s="46" t="s">
        <v>1151</v>
      </c>
      <c r="C128" s="47"/>
      <c r="D128" s="38">
        <v>1076.0</v>
      </c>
      <c r="E128" s="38">
        <v>853.0</v>
      </c>
      <c r="F128" s="48">
        <v>67.0</v>
      </c>
      <c r="G128" s="38">
        <v>56.0</v>
      </c>
      <c r="H128" s="38">
        <v>58.0</v>
      </c>
      <c r="I128" s="48">
        <f t="shared" si="31"/>
        <v>1996</v>
      </c>
      <c r="J128" s="48">
        <f t="shared" si="32"/>
        <v>2110</v>
      </c>
      <c r="K128" s="49">
        <f t="shared" si="33"/>
        <v>0.5390781563</v>
      </c>
      <c r="L128" s="49">
        <f t="shared" si="34"/>
        <v>0.4273547094</v>
      </c>
      <c r="M128" s="49">
        <f t="shared" si="35"/>
        <v>0.03356713427</v>
      </c>
      <c r="N128" s="32" t="str">
        <f t="shared" si="36"/>
        <v>Jânio</v>
      </c>
      <c r="O128" s="50" t="s">
        <v>77</v>
      </c>
      <c r="P128" s="38">
        <v>825.0</v>
      </c>
      <c r="Q128" s="38">
        <v>1036.0</v>
      </c>
      <c r="R128" s="38">
        <v>58.0</v>
      </c>
      <c r="S128" s="38">
        <v>134.0</v>
      </c>
      <c r="T128" s="38">
        <v>57.0</v>
      </c>
      <c r="U128" s="48">
        <f t="shared" si="37"/>
        <v>1919</v>
      </c>
      <c r="V128" s="48">
        <f t="shared" si="38"/>
        <v>2110</v>
      </c>
      <c r="W128" s="49">
        <f t="shared" si="39"/>
        <v>0.4299114122</v>
      </c>
      <c r="X128" s="49">
        <f t="shared" si="40"/>
        <v>0.5398645128</v>
      </c>
      <c r="Y128" s="49">
        <f t="shared" si="41"/>
        <v>0.03022407504</v>
      </c>
      <c r="Z128" s="32" t="str">
        <f t="shared" si="42"/>
        <v>Milton</v>
      </c>
      <c r="AA128" s="50" t="s">
        <v>77</v>
      </c>
      <c r="AB128" s="38">
        <v>2472.0</v>
      </c>
      <c r="AC128" s="48">
        <f t="shared" si="43"/>
        <v>362</v>
      </c>
      <c r="AD128" s="51">
        <f t="shared" si="44"/>
        <v>0.8535598706</v>
      </c>
    </row>
    <row r="129">
      <c r="A129" s="61" t="s">
        <v>529</v>
      </c>
      <c r="B129" s="46" t="s">
        <v>1152</v>
      </c>
      <c r="C129" s="47"/>
      <c r="D129" s="38">
        <v>1309.0</v>
      </c>
      <c r="E129" s="38">
        <v>1327.0</v>
      </c>
      <c r="F129" s="48">
        <v>94.0</v>
      </c>
      <c r="G129" s="38">
        <v>58.0</v>
      </c>
      <c r="H129" s="38">
        <v>123.0</v>
      </c>
      <c r="I129" s="48">
        <f t="shared" si="31"/>
        <v>2730</v>
      </c>
      <c r="J129" s="48">
        <f t="shared" si="32"/>
        <v>2911</v>
      </c>
      <c r="K129" s="49">
        <f t="shared" si="33"/>
        <v>0.4794871795</v>
      </c>
      <c r="L129" s="49">
        <f t="shared" si="34"/>
        <v>0.4860805861</v>
      </c>
      <c r="M129" s="49">
        <f t="shared" si="35"/>
        <v>0.03443223443</v>
      </c>
      <c r="N129" s="32" t="str">
        <f t="shared" si="36"/>
        <v>Mal. Lott</v>
      </c>
      <c r="O129" s="50" t="s">
        <v>77</v>
      </c>
      <c r="P129" s="38">
        <v>1369.0</v>
      </c>
      <c r="Q129" s="38">
        <v>1289.0</v>
      </c>
      <c r="R129" s="38">
        <v>58.0</v>
      </c>
      <c r="S129" s="38">
        <v>103.0</v>
      </c>
      <c r="T129" s="38">
        <v>92.0</v>
      </c>
      <c r="U129" s="48">
        <f t="shared" si="37"/>
        <v>2716</v>
      </c>
      <c r="V129" s="48">
        <f t="shared" si="38"/>
        <v>2911</v>
      </c>
      <c r="W129" s="49">
        <f t="shared" si="39"/>
        <v>0.5040500736</v>
      </c>
      <c r="X129" s="49">
        <f t="shared" si="40"/>
        <v>0.4745949926</v>
      </c>
      <c r="Y129" s="49">
        <f t="shared" si="41"/>
        <v>0.02135493373</v>
      </c>
      <c r="Z129" s="32" t="str">
        <f t="shared" si="42"/>
        <v>Jango</v>
      </c>
      <c r="AA129" s="50" t="s">
        <v>77</v>
      </c>
      <c r="AB129" s="38">
        <v>5773.0</v>
      </c>
      <c r="AC129" s="48">
        <f t="shared" si="43"/>
        <v>2862</v>
      </c>
      <c r="AD129" s="51">
        <f t="shared" si="44"/>
        <v>0.504243894</v>
      </c>
    </row>
    <row r="130">
      <c r="A130" s="23"/>
      <c r="B130" s="46" t="s">
        <v>1153</v>
      </c>
      <c r="C130" s="47"/>
      <c r="D130" s="38">
        <v>626.0</v>
      </c>
      <c r="E130" s="38">
        <v>264.0</v>
      </c>
      <c r="F130" s="48">
        <v>38.0</v>
      </c>
      <c r="G130" s="38">
        <v>38.0</v>
      </c>
      <c r="H130" s="38">
        <v>33.0</v>
      </c>
      <c r="I130" s="48">
        <f t="shared" si="31"/>
        <v>928</v>
      </c>
      <c r="J130" s="48">
        <f t="shared" si="32"/>
        <v>999</v>
      </c>
      <c r="K130" s="49">
        <f t="shared" si="33"/>
        <v>0.6745689655</v>
      </c>
      <c r="L130" s="49">
        <f t="shared" si="34"/>
        <v>0.2844827586</v>
      </c>
      <c r="M130" s="49">
        <f t="shared" si="35"/>
        <v>0.04094827586</v>
      </c>
      <c r="N130" s="32" t="str">
        <f t="shared" si="36"/>
        <v>Jânio</v>
      </c>
      <c r="O130" s="50" t="s">
        <v>77</v>
      </c>
      <c r="P130" s="38">
        <v>232.0</v>
      </c>
      <c r="Q130" s="38">
        <v>629.0</v>
      </c>
      <c r="R130" s="38">
        <v>42.0</v>
      </c>
      <c r="S130" s="38">
        <v>62.0</v>
      </c>
      <c r="T130" s="38">
        <v>34.0</v>
      </c>
      <c r="U130" s="48">
        <f t="shared" si="37"/>
        <v>903</v>
      </c>
      <c r="V130" s="48">
        <f t="shared" si="38"/>
        <v>999</v>
      </c>
      <c r="W130" s="49">
        <f t="shared" si="39"/>
        <v>0.2569213732</v>
      </c>
      <c r="X130" s="49">
        <f t="shared" si="40"/>
        <v>0.6965669989</v>
      </c>
      <c r="Y130" s="49">
        <f t="shared" si="41"/>
        <v>0.04651162791</v>
      </c>
      <c r="Z130" s="32" t="str">
        <f t="shared" si="42"/>
        <v>Milton</v>
      </c>
      <c r="AA130" s="50" t="s">
        <v>77</v>
      </c>
      <c r="AB130" s="38">
        <v>2587.0</v>
      </c>
      <c r="AC130" s="48">
        <f t="shared" si="43"/>
        <v>1588</v>
      </c>
      <c r="AD130" s="51">
        <f t="shared" si="44"/>
        <v>0.3861615771</v>
      </c>
    </row>
    <row r="131">
      <c r="A131" s="24"/>
      <c r="B131" s="46" t="s">
        <v>1154</v>
      </c>
      <c r="C131" s="47"/>
      <c r="D131" s="38">
        <v>342.0</v>
      </c>
      <c r="E131" s="38">
        <v>510.0</v>
      </c>
      <c r="F131" s="48">
        <v>41.0</v>
      </c>
      <c r="G131" s="38">
        <v>20.0</v>
      </c>
      <c r="H131" s="38">
        <v>61.0</v>
      </c>
      <c r="I131" s="48">
        <f t="shared" si="31"/>
        <v>893</v>
      </c>
      <c r="J131" s="48">
        <f t="shared" si="32"/>
        <v>974</v>
      </c>
      <c r="K131" s="49">
        <f t="shared" si="33"/>
        <v>0.3829787234</v>
      </c>
      <c r="L131" s="49">
        <f t="shared" si="34"/>
        <v>0.5711086226</v>
      </c>
      <c r="M131" s="49">
        <f t="shared" si="35"/>
        <v>0.04591265398</v>
      </c>
      <c r="N131" s="32" t="str">
        <f t="shared" si="36"/>
        <v>Mal. Lott</v>
      </c>
      <c r="O131" s="50" t="s">
        <v>77</v>
      </c>
      <c r="P131" s="38">
        <v>543.0</v>
      </c>
      <c r="Q131" s="38">
        <v>299.0</v>
      </c>
      <c r="R131" s="38">
        <v>47.0</v>
      </c>
      <c r="S131" s="38">
        <v>50.0</v>
      </c>
      <c r="T131" s="38">
        <v>35.0</v>
      </c>
      <c r="U131" s="48">
        <f t="shared" si="37"/>
        <v>889</v>
      </c>
      <c r="V131" s="48">
        <f t="shared" si="38"/>
        <v>974</v>
      </c>
      <c r="W131" s="49">
        <f t="shared" si="39"/>
        <v>0.6107986502</v>
      </c>
      <c r="X131" s="49">
        <f t="shared" si="40"/>
        <v>0.3363329584</v>
      </c>
      <c r="Y131" s="49">
        <f t="shared" si="41"/>
        <v>0.05286839145</v>
      </c>
      <c r="Z131" s="32" t="str">
        <f t="shared" si="42"/>
        <v>Jango</v>
      </c>
      <c r="AA131" s="50" t="s">
        <v>77</v>
      </c>
      <c r="AB131" s="38">
        <v>2177.0</v>
      </c>
      <c r="AC131" s="48">
        <f t="shared" si="43"/>
        <v>1203</v>
      </c>
      <c r="AD131" s="51">
        <f t="shared" si="44"/>
        <v>0.4474046853</v>
      </c>
    </row>
    <row r="132">
      <c r="A132" s="61" t="s">
        <v>531</v>
      </c>
      <c r="B132" s="46" t="s">
        <v>1155</v>
      </c>
      <c r="C132" s="47"/>
      <c r="D132" s="38">
        <v>2346.0</v>
      </c>
      <c r="E132" s="38">
        <v>1015.0</v>
      </c>
      <c r="F132" s="38">
        <v>79.0</v>
      </c>
      <c r="G132" s="38">
        <v>117.0</v>
      </c>
      <c r="H132" s="38">
        <v>88.0</v>
      </c>
      <c r="I132" s="48">
        <f t="shared" si="31"/>
        <v>3440</v>
      </c>
      <c r="J132" s="48">
        <f t="shared" si="32"/>
        <v>3645</v>
      </c>
      <c r="K132" s="49">
        <f t="shared" si="33"/>
        <v>0.6819767442</v>
      </c>
      <c r="L132" s="49">
        <f t="shared" si="34"/>
        <v>0.2950581395</v>
      </c>
      <c r="M132" s="49">
        <f t="shared" si="35"/>
        <v>0.02296511628</v>
      </c>
      <c r="N132" s="32" t="str">
        <f t="shared" si="36"/>
        <v>Jânio</v>
      </c>
      <c r="O132" s="50" t="s">
        <v>77</v>
      </c>
      <c r="P132" s="38">
        <v>1019.0</v>
      </c>
      <c r="Q132" s="38">
        <v>2237.0</v>
      </c>
      <c r="R132" s="38">
        <v>98.0</v>
      </c>
      <c r="S132" s="38">
        <v>229.0</v>
      </c>
      <c r="T132" s="38">
        <v>62.0</v>
      </c>
      <c r="U132" s="48">
        <f t="shared" si="37"/>
        <v>3354</v>
      </c>
      <c r="V132" s="48">
        <f t="shared" si="38"/>
        <v>3645</v>
      </c>
      <c r="W132" s="49">
        <f t="shared" si="39"/>
        <v>0.3038163387</v>
      </c>
      <c r="X132" s="49">
        <f t="shared" si="40"/>
        <v>0.6669648181</v>
      </c>
      <c r="Y132" s="49">
        <f t="shared" si="41"/>
        <v>0.02921884317</v>
      </c>
      <c r="Z132" s="32" t="str">
        <f t="shared" si="42"/>
        <v>Milton</v>
      </c>
      <c r="AA132" s="50" t="s">
        <v>77</v>
      </c>
      <c r="AB132" s="38">
        <v>6084.0</v>
      </c>
      <c r="AC132" s="48">
        <f t="shared" si="43"/>
        <v>2439</v>
      </c>
      <c r="AD132" s="51">
        <f t="shared" si="44"/>
        <v>0.599112426</v>
      </c>
    </row>
    <row r="133">
      <c r="A133" s="24"/>
      <c r="B133" s="46" t="s">
        <v>1156</v>
      </c>
      <c r="C133" s="47"/>
      <c r="D133" s="38">
        <v>1085.0</v>
      </c>
      <c r="E133" s="38">
        <v>214.0</v>
      </c>
      <c r="F133" s="38">
        <v>42.0</v>
      </c>
      <c r="G133" s="38">
        <v>50.0</v>
      </c>
      <c r="H133" s="38">
        <v>44.0</v>
      </c>
      <c r="I133" s="48">
        <f t="shared" si="31"/>
        <v>1341</v>
      </c>
      <c r="J133" s="48">
        <f t="shared" si="32"/>
        <v>1435</v>
      </c>
      <c r="K133" s="49">
        <f t="shared" si="33"/>
        <v>0.8090976883</v>
      </c>
      <c r="L133" s="49">
        <f t="shared" si="34"/>
        <v>0.1595824012</v>
      </c>
      <c r="M133" s="49">
        <f t="shared" si="35"/>
        <v>0.03131991051</v>
      </c>
      <c r="N133" s="32" t="str">
        <f t="shared" si="36"/>
        <v>Jânio</v>
      </c>
      <c r="O133" s="50" t="s">
        <v>77</v>
      </c>
      <c r="P133" s="38">
        <v>202.0</v>
      </c>
      <c r="Q133" s="38">
        <v>1062.0</v>
      </c>
      <c r="R133" s="38">
        <v>43.0</v>
      </c>
      <c r="S133" s="38">
        <v>88.0</v>
      </c>
      <c r="T133" s="38">
        <v>40.0</v>
      </c>
      <c r="U133" s="48">
        <f t="shared" si="37"/>
        <v>1307</v>
      </c>
      <c r="V133" s="48">
        <f t="shared" si="38"/>
        <v>1435</v>
      </c>
      <c r="W133" s="49">
        <f t="shared" si="39"/>
        <v>0.1545524101</v>
      </c>
      <c r="X133" s="49">
        <f t="shared" si="40"/>
        <v>0.8125478194</v>
      </c>
      <c r="Y133" s="49">
        <f t="shared" si="41"/>
        <v>0.03289977047</v>
      </c>
      <c r="Z133" s="32" t="str">
        <f t="shared" si="42"/>
        <v>Milton</v>
      </c>
      <c r="AA133" s="50" t="s">
        <v>77</v>
      </c>
      <c r="AB133" s="38">
        <v>2435.0</v>
      </c>
      <c r="AC133" s="48">
        <f t="shared" si="43"/>
        <v>1000</v>
      </c>
      <c r="AD133" s="51">
        <f t="shared" si="44"/>
        <v>0.5893223819</v>
      </c>
    </row>
    <row r="134">
      <c r="A134" s="61" t="s">
        <v>533</v>
      </c>
      <c r="B134" s="46" t="s">
        <v>1157</v>
      </c>
      <c r="C134" s="47"/>
      <c r="D134" s="38">
        <v>2312.0</v>
      </c>
      <c r="E134" s="38">
        <v>473.0</v>
      </c>
      <c r="F134" s="38">
        <v>168.0</v>
      </c>
      <c r="G134" s="38">
        <v>131.0</v>
      </c>
      <c r="H134" s="38">
        <v>222.0</v>
      </c>
      <c r="I134" s="48">
        <f t="shared" si="31"/>
        <v>2953</v>
      </c>
      <c r="J134" s="48">
        <f t="shared" si="32"/>
        <v>3306</v>
      </c>
      <c r="K134" s="49">
        <f t="shared" si="33"/>
        <v>0.7829326109</v>
      </c>
      <c r="L134" s="49">
        <f t="shared" si="34"/>
        <v>0.1601760921</v>
      </c>
      <c r="M134" s="49">
        <f t="shared" si="35"/>
        <v>0.05689129699</v>
      </c>
      <c r="N134" s="32" t="str">
        <f t="shared" si="36"/>
        <v>Jânio</v>
      </c>
      <c r="O134" s="50" t="s">
        <v>77</v>
      </c>
      <c r="P134" s="38">
        <v>505.0</v>
      </c>
      <c r="Q134" s="38">
        <v>2035.0</v>
      </c>
      <c r="R134" s="38">
        <v>140.0</v>
      </c>
      <c r="S134" s="38">
        <v>505.0</v>
      </c>
      <c r="T134" s="38">
        <v>121.0</v>
      </c>
      <c r="U134" s="48">
        <f t="shared" si="37"/>
        <v>2680</v>
      </c>
      <c r="V134" s="48">
        <f t="shared" si="38"/>
        <v>3306</v>
      </c>
      <c r="W134" s="49">
        <f t="shared" si="39"/>
        <v>0.1884328358</v>
      </c>
      <c r="X134" s="49">
        <f t="shared" si="40"/>
        <v>0.7593283582</v>
      </c>
      <c r="Y134" s="49">
        <f t="shared" si="41"/>
        <v>0.05223880597</v>
      </c>
      <c r="Z134" s="32" t="str">
        <f t="shared" si="42"/>
        <v>Milton</v>
      </c>
      <c r="AA134" s="50" t="s">
        <v>77</v>
      </c>
      <c r="AB134" s="38">
        <v>6001.0</v>
      </c>
      <c r="AC134" s="48">
        <f t="shared" si="43"/>
        <v>2695</v>
      </c>
      <c r="AD134" s="51">
        <f t="shared" si="44"/>
        <v>0.550908182</v>
      </c>
    </row>
    <row r="135">
      <c r="A135" s="24"/>
      <c r="B135" s="46" t="s">
        <v>1158</v>
      </c>
      <c r="C135" s="47"/>
      <c r="D135" s="38">
        <v>268.0</v>
      </c>
      <c r="E135" s="38">
        <v>400.0</v>
      </c>
      <c r="F135" s="38">
        <v>199.0</v>
      </c>
      <c r="G135" s="38">
        <v>39.0</v>
      </c>
      <c r="H135" s="38">
        <v>44.0</v>
      </c>
      <c r="I135" s="48">
        <f t="shared" si="31"/>
        <v>867</v>
      </c>
      <c r="J135" s="48">
        <f t="shared" si="32"/>
        <v>950</v>
      </c>
      <c r="K135" s="49">
        <f t="shared" si="33"/>
        <v>0.30911188</v>
      </c>
      <c r="L135" s="49">
        <f t="shared" si="34"/>
        <v>0.461361015</v>
      </c>
      <c r="M135" s="49">
        <f t="shared" si="35"/>
        <v>0.229527105</v>
      </c>
      <c r="N135" s="32" t="str">
        <f t="shared" si="36"/>
        <v>Mal. Lott</v>
      </c>
      <c r="O135" s="50" t="s">
        <v>77</v>
      </c>
      <c r="P135" s="38">
        <v>478.0</v>
      </c>
      <c r="Q135" s="38">
        <v>190.0</v>
      </c>
      <c r="R135" s="38">
        <v>159.0</v>
      </c>
      <c r="S135" s="38">
        <v>93.0</v>
      </c>
      <c r="T135" s="38">
        <v>30.0</v>
      </c>
      <c r="U135" s="48">
        <f t="shared" si="37"/>
        <v>827</v>
      </c>
      <c r="V135" s="48">
        <f t="shared" si="38"/>
        <v>950</v>
      </c>
      <c r="W135" s="49">
        <f t="shared" si="39"/>
        <v>0.5779927449</v>
      </c>
      <c r="X135" s="49">
        <f t="shared" si="40"/>
        <v>0.2297460701</v>
      </c>
      <c r="Y135" s="49">
        <f t="shared" si="41"/>
        <v>0.192261185</v>
      </c>
      <c r="Z135" s="32" t="str">
        <f t="shared" si="42"/>
        <v>Jango</v>
      </c>
      <c r="AA135" s="50" t="s">
        <v>77</v>
      </c>
      <c r="AB135" s="38">
        <v>1726.0</v>
      </c>
      <c r="AC135" s="48">
        <f t="shared" si="43"/>
        <v>776</v>
      </c>
      <c r="AD135" s="51">
        <f t="shared" si="44"/>
        <v>0.550405562</v>
      </c>
    </row>
    <row r="136">
      <c r="A136" s="61" t="s">
        <v>537</v>
      </c>
      <c r="B136" s="46" t="s">
        <v>1159</v>
      </c>
      <c r="C136" s="47"/>
      <c r="D136" s="38">
        <v>1698.0</v>
      </c>
      <c r="E136" s="55">
        <v>1369.0</v>
      </c>
      <c r="F136" s="38">
        <v>172.0</v>
      </c>
      <c r="G136" s="38">
        <v>159.0</v>
      </c>
      <c r="H136" s="38">
        <v>228.0</v>
      </c>
      <c r="I136" s="48">
        <f t="shared" si="31"/>
        <v>3239</v>
      </c>
      <c r="J136" s="114">
        <f t="shared" si="32"/>
        <v>3626</v>
      </c>
      <c r="K136" s="49">
        <f t="shared" si="33"/>
        <v>0.5242358753</v>
      </c>
      <c r="L136" s="49">
        <f t="shared" si="34"/>
        <v>0.4226613152</v>
      </c>
      <c r="M136" s="49">
        <f t="shared" si="35"/>
        <v>0.05310280951</v>
      </c>
      <c r="N136" s="32" t="str">
        <f t="shared" si="36"/>
        <v>Jânio</v>
      </c>
      <c r="O136" s="50" t="s">
        <v>77</v>
      </c>
      <c r="P136" s="38">
        <v>1419.0</v>
      </c>
      <c r="Q136" s="38">
        <v>1497.0</v>
      </c>
      <c r="R136" s="38">
        <v>136.0</v>
      </c>
      <c r="S136" s="38">
        <v>392.0</v>
      </c>
      <c r="T136" s="38">
        <v>182.0</v>
      </c>
      <c r="U136" s="48">
        <f t="shared" si="37"/>
        <v>3052</v>
      </c>
      <c r="V136" s="48">
        <f t="shared" si="38"/>
        <v>3626</v>
      </c>
      <c r="W136" s="49">
        <f t="shared" si="39"/>
        <v>0.4649410223</v>
      </c>
      <c r="X136" s="49">
        <f t="shared" si="40"/>
        <v>0.4904980341</v>
      </c>
      <c r="Y136" s="49">
        <f t="shared" si="41"/>
        <v>0.04456094364</v>
      </c>
      <c r="Z136" s="32" t="str">
        <f t="shared" si="42"/>
        <v>Milton</v>
      </c>
      <c r="AA136" s="50" t="s">
        <v>77</v>
      </c>
      <c r="AB136" s="38">
        <v>7792.0</v>
      </c>
      <c r="AC136" s="48">
        <f t="shared" si="43"/>
        <v>4166</v>
      </c>
      <c r="AD136" s="51">
        <f t="shared" si="44"/>
        <v>0.465349076</v>
      </c>
    </row>
    <row r="137">
      <c r="A137" s="24"/>
      <c r="B137" s="46" t="s">
        <v>1160</v>
      </c>
      <c r="C137" s="47"/>
      <c r="D137" s="38">
        <v>1458.0</v>
      </c>
      <c r="E137" s="38">
        <v>888.0</v>
      </c>
      <c r="F137" s="38">
        <v>78.0</v>
      </c>
      <c r="G137" s="38">
        <v>133.0</v>
      </c>
      <c r="H137" s="38">
        <v>181.0</v>
      </c>
      <c r="I137" s="48">
        <f t="shared" si="31"/>
        <v>2424</v>
      </c>
      <c r="J137" s="48">
        <f t="shared" si="32"/>
        <v>2738</v>
      </c>
      <c r="K137" s="49">
        <f t="shared" si="33"/>
        <v>0.6014851485</v>
      </c>
      <c r="L137" s="49">
        <f t="shared" si="34"/>
        <v>0.3663366337</v>
      </c>
      <c r="M137" s="49">
        <f t="shared" si="35"/>
        <v>0.03217821782</v>
      </c>
      <c r="N137" s="32" t="str">
        <f t="shared" si="36"/>
        <v>Jânio</v>
      </c>
      <c r="O137" s="50" t="s">
        <v>77</v>
      </c>
      <c r="P137" s="38">
        <v>1010.0</v>
      </c>
      <c r="Q137" s="38">
        <v>1083.0</v>
      </c>
      <c r="R137" s="38">
        <v>123.0</v>
      </c>
      <c r="S137" s="38">
        <v>380.0</v>
      </c>
      <c r="T137" s="38">
        <v>142.0</v>
      </c>
      <c r="U137" s="48">
        <f t="shared" si="37"/>
        <v>2216</v>
      </c>
      <c r="V137" s="48">
        <f t="shared" si="38"/>
        <v>2738</v>
      </c>
      <c r="W137" s="49">
        <f t="shared" si="39"/>
        <v>0.4557761733</v>
      </c>
      <c r="X137" s="49">
        <f t="shared" si="40"/>
        <v>0.4887184116</v>
      </c>
      <c r="Y137" s="49">
        <f t="shared" si="41"/>
        <v>0.05550541516</v>
      </c>
      <c r="Z137" s="32" t="str">
        <f t="shared" si="42"/>
        <v>Milton</v>
      </c>
      <c r="AA137" s="50" t="s">
        <v>77</v>
      </c>
      <c r="AB137" s="38">
        <v>4663.0</v>
      </c>
      <c r="AC137" s="48">
        <f t="shared" si="43"/>
        <v>1925</v>
      </c>
      <c r="AD137" s="51">
        <f t="shared" si="44"/>
        <v>0.587175638</v>
      </c>
    </row>
    <row r="138">
      <c r="A138" s="110" t="s">
        <v>540</v>
      </c>
      <c r="B138" s="46" t="s">
        <v>1161</v>
      </c>
      <c r="C138" s="47"/>
      <c r="D138" s="38">
        <v>2306.0</v>
      </c>
      <c r="E138" s="38">
        <v>109.0</v>
      </c>
      <c r="F138" s="38">
        <v>59.0</v>
      </c>
      <c r="G138" s="38">
        <v>61.0</v>
      </c>
      <c r="H138" s="38">
        <v>42.0</v>
      </c>
      <c r="I138" s="48">
        <f t="shared" si="31"/>
        <v>2474</v>
      </c>
      <c r="J138" s="48">
        <f t="shared" si="32"/>
        <v>2577</v>
      </c>
      <c r="K138" s="49">
        <f t="shared" si="33"/>
        <v>0.9320937753</v>
      </c>
      <c r="L138" s="49">
        <f t="shared" si="34"/>
        <v>0.04405820534</v>
      </c>
      <c r="M138" s="49">
        <f t="shared" si="35"/>
        <v>0.0238480194</v>
      </c>
      <c r="N138" s="32" t="str">
        <f t="shared" si="36"/>
        <v>Jânio</v>
      </c>
      <c r="O138" s="50" t="s">
        <v>77</v>
      </c>
      <c r="P138" s="38">
        <v>125.0</v>
      </c>
      <c r="Q138" s="38">
        <v>2225.0</v>
      </c>
      <c r="R138" s="38">
        <v>91.0</v>
      </c>
      <c r="S138" s="38">
        <v>112.0</v>
      </c>
      <c r="T138" s="38">
        <v>24.0</v>
      </c>
      <c r="U138" s="48">
        <f t="shared" si="37"/>
        <v>2441</v>
      </c>
      <c r="V138" s="48">
        <f t="shared" si="38"/>
        <v>2577</v>
      </c>
      <c r="W138" s="49">
        <f t="shared" si="39"/>
        <v>0.0512085211</v>
      </c>
      <c r="X138" s="49">
        <f t="shared" si="40"/>
        <v>0.9115116755</v>
      </c>
      <c r="Y138" s="49">
        <f t="shared" si="41"/>
        <v>0.03727980336</v>
      </c>
      <c r="Z138" s="32" t="str">
        <f t="shared" si="42"/>
        <v>Milton</v>
      </c>
      <c r="AA138" s="50" t="s">
        <v>77</v>
      </c>
      <c r="AB138" s="38">
        <v>4736.0</v>
      </c>
      <c r="AC138" s="48">
        <f t="shared" si="43"/>
        <v>2159</v>
      </c>
      <c r="AD138" s="51">
        <f t="shared" si="44"/>
        <v>0.5441300676</v>
      </c>
    </row>
    <row r="139">
      <c r="A139" s="61" t="s">
        <v>542</v>
      </c>
      <c r="B139" s="46" t="s">
        <v>1162</v>
      </c>
      <c r="C139" s="47"/>
      <c r="D139" s="38">
        <v>834.0</v>
      </c>
      <c r="E139" s="38">
        <v>1161.0</v>
      </c>
      <c r="F139" s="38">
        <v>62.0</v>
      </c>
      <c r="G139" s="38">
        <v>63.0</v>
      </c>
      <c r="H139" s="38">
        <v>89.0</v>
      </c>
      <c r="I139" s="48">
        <f t="shared" si="31"/>
        <v>2057</v>
      </c>
      <c r="J139" s="48">
        <f t="shared" si="32"/>
        <v>2209</v>
      </c>
      <c r="K139" s="49">
        <f t="shared" si="33"/>
        <v>0.4054448226</v>
      </c>
      <c r="L139" s="49">
        <f t="shared" si="34"/>
        <v>0.5644141954</v>
      </c>
      <c r="M139" s="49">
        <f t="shared" si="35"/>
        <v>0.03014098201</v>
      </c>
      <c r="N139" s="32" t="str">
        <f t="shared" si="36"/>
        <v>Mal. Lott</v>
      </c>
      <c r="O139" s="50" t="s">
        <v>77</v>
      </c>
      <c r="P139" s="38">
        <v>616.0</v>
      </c>
      <c r="Q139" s="38">
        <v>1089.0</v>
      </c>
      <c r="R139" s="38">
        <v>314.0</v>
      </c>
      <c r="S139" s="38">
        <v>110.0</v>
      </c>
      <c r="T139" s="38">
        <v>80.0</v>
      </c>
      <c r="U139" s="48">
        <f t="shared" si="37"/>
        <v>2019</v>
      </c>
      <c r="V139" s="48">
        <f t="shared" si="38"/>
        <v>2209</v>
      </c>
      <c r="W139" s="49">
        <f t="shared" si="39"/>
        <v>0.3051015354</v>
      </c>
      <c r="X139" s="49">
        <f t="shared" si="40"/>
        <v>0.5393759287</v>
      </c>
      <c r="Y139" s="49">
        <f t="shared" si="41"/>
        <v>0.1555225359</v>
      </c>
      <c r="Z139" s="32" t="str">
        <f t="shared" si="42"/>
        <v>Milton</v>
      </c>
      <c r="AA139" s="50" t="s">
        <v>77</v>
      </c>
      <c r="AB139" s="38">
        <v>4121.0</v>
      </c>
      <c r="AC139" s="48">
        <f t="shared" si="43"/>
        <v>1912</v>
      </c>
      <c r="AD139" s="51">
        <f t="shared" si="44"/>
        <v>0.536034943</v>
      </c>
    </row>
    <row r="140">
      <c r="A140" s="24"/>
      <c r="B140" s="46" t="s">
        <v>1163</v>
      </c>
      <c r="C140" s="47"/>
      <c r="D140" s="38">
        <v>306.0</v>
      </c>
      <c r="E140" s="38">
        <v>572.0</v>
      </c>
      <c r="F140" s="38">
        <v>54.0</v>
      </c>
      <c r="G140" s="38">
        <v>31.0</v>
      </c>
      <c r="H140" s="38">
        <v>45.0</v>
      </c>
      <c r="I140" s="48">
        <f t="shared" si="31"/>
        <v>932</v>
      </c>
      <c r="J140" s="48">
        <f t="shared" si="32"/>
        <v>1008</v>
      </c>
      <c r="K140" s="49">
        <f t="shared" si="33"/>
        <v>0.3283261803</v>
      </c>
      <c r="L140" s="49">
        <f t="shared" si="34"/>
        <v>0.6137339056</v>
      </c>
      <c r="M140" s="49">
        <f t="shared" si="35"/>
        <v>0.05793991416</v>
      </c>
      <c r="N140" s="32" t="str">
        <f t="shared" si="36"/>
        <v>Mal. Lott</v>
      </c>
      <c r="O140" s="50" t="s">
        <v>77</v>
      </c>
      <c r="P140" s="38">
        <v>558.0</v>
      </c>
      <c r="Q140" s="38">
        <v>217.0</v>
      </c>
      <c r="R140" s="38">
        <v>127.0</v>
      </c>
      <c r="S140" s="38">
        <v>73.0</v>
      </c>
      <c r="T140" s="38">
        <v>33.0</v>
      </c>
      <c r="U140" s="48">
        <f t="shared" si="37"/>
        <v>902</v>
      </c>
      <c r="V140" s="48">
        <f t="shared" si="38"/>
        <v>1008</v>
      </c>
      <c r="W140" s="49">
        <f t="shared" si="39"/>
        <v>0.6186252772</v>
      </c>
      <c r="X140" s="49">
        <f t="shared" si="40"/>
        <v>0.2405764967</v>
      </c>
      <c r="Y140" s="49">
        <f t="shared" si="41"/>
        <v>0.1407982262</v>
      </c>
      <c r="Z140" s="32" t="str">
        <f t="shared" si="42"/>
        <v>Jango</v>
      </c>
      <c r="AA140" s="50" t="s">
        <v>77</v>
      </c>
      <c r="AB140" s="38">
        <v>2421.0</v>
      </c>
      <c r="AC140" s="48">
        <f t="shared" si="43"/>
        <v>1413</v>
      </c>
      <c r="AD140" s="51">
        <f t="shared" si="44"/>
        <v>0.4163568773</v>
      </c>
    </row>
    <row r="141">
      <c r="A141" s="61" t="s">
        <v>544</v>
      </c>
      <c r="B141" s="46" t="s">
        <v>1164</v>
      </c>
      <c r="C141" s="47"/>
      <c r="D141" s="38">
        <v>814.0</v>
      </c>
      <c r="E141" s="38">
        <v>262.0</v>
      </c>
      <c r="F141" s="38">
        <v>29.0</v>
      </c>
      <c r="G141" s="38">
        <v>21.0</v>
      </c>
      <c r="H141" s="38">
        <v>26.0</v>
      </c>
      <c r="I141" s="48">
        <f t="shared" si="31"/>
        <v>1105</v>
      </c>
      <c r="J141" s="48">
        <f t="shared" si="32"/>
        <v>1152</v>
      </c>
      <c r="K141" s="49">
        <f t="shared" si="33"/>
        <v>0.7366515837</v>
      </c>
      <c r="L141" s="49">
        <f t="shared" si="34"/>
        <v>0.2371040724</v>
      </c>
      <c r="M141" s="49">
        <f t="shared" si="35"/>
        <v>0.02624434389</v>
      </c>
      <c r="N141" s="32" t="str">
        <f t="shared" si="36"/>
        <v>Jânio</v>
      </c>
      <c r="O141" s="50" t="s">
        <v>77</v>
      </c>
      <c r="P141" s="38">
        <v>365.0</v>
      </c>
      <c r="Q141" s="38">
        <v>596.0</v>
      </c>
      <c r="R141" s="38">
        <v>125.0</v>
      </c>
      <c r="S141" s="38">
        <v>49.0</v>
      </c>
      <c r="T141" s="38">
        <v>17.0</v>
      </c>
      <c r="U141" s="48">
        <f t="shared" si="37"/>
        <v>1086</v>
      </c>
      <c r="V141" s="48">
        <f t="shared" si="38"/>
        <v>1152</v>
      </c>
      <c r="W141" s="49">
        <f t="shared" si="39"/>
        <v>0.3360957643</v>
      </c>
      <c r="X141" s="49">
        <f t="shared" si="40"/>
        <v>0.5488029466</v>
      </c>
      <c r="Y141" s="49">
        <f t="shared" si="41"/>
        <v>0.1151012891</v>
      </c>
      <c r="Z141" s="32" t="str">
        <f t="shared" si="42"/>
        <v>Milton</v>
      </c>
      <c r="AA141" s="50" t="s">
        <v>77</v>
      </c>
      <c r="AB141" s="38">
        <v>3244.0</v>
      </c>
      <c r="AC141" s="48">
        <f t="shared" si="43"/>
        <v>2092</v>
      </c>
      <c r="AD141" s="51">
        <f t="shared" si="44"/>
        <v>0.3551171393</v>
      </c>
    </row>
    <row r="142">
      <c r="A142" s="23"/>
      <c r="B142" s="46" t="s">
        <v>1165</v>
      </c>
      <c r="C142" s="47"/>
      <c r="D142" s="38">
        <v>1340.0</v>
      </c>
      <c r="E142" s="38">
        <v>955.0</v>
      </c>
      <c r="F142" s="38">
        <v>72.0</v>
      </c>
      <c r="G142" s="38">
        <v>24.0</v>
      </c>
      <c r="H142" s="38">
        <v>48.0</v>
      </c>
      <c r="I142" s="48">
        <f t="shared" si="31"/>
        <v>2367</v>
      </c>
      <c r="J142" s="48">
        <f t="shared" si="32"/>
        <v>2439</v>
      </c>
      <c r="K142" s="49">
        <f t="shared" si="33"/>
        <v>0.5661174482</v>
      </c>
      <c r="L142" s="49">
        <f t="shared" si="34"/>
        <v>0.4034643008</v>
      </c>
      <c r="M142" s="49">
        <f t="shared" si="35"/>
        <v>0.03041825095</v>
      </c>
      <c r="N142" s="32" t="str">
        <f t="shared" si="36"/>
        <v>Jânio</v>
      </c>
      <c r="O142" s="50" t="s">
        <v>77</v>
      </c>
      <c r="P142" s="38">
        <v>1066.0</v>
      </c>
      <c r="Q142" s="38">
        <v>1173.0</v>
      </c>
      <c r="R142" s="38">
        <v>65.0</v>
      </c>
      <c r="S142" s="38">
        <v>105.0</v>
      </c>
      <c r="T142" s="38">
        <v>30.0</v>
      </c>
      <c r="U142" s="48">
        <f t="shared" si="37"/>
        <v>2304</v>
      </c>
      <c r="V142" s="48">
        <f t="shared" si="38"/>
        <v>2439</v>
      </c>
      <c r="W142" s="49">
        <f t="shared" si="39"/>
        <v>0.4626736111</v>
      </c>
      <c r="X142" s="49">
        <f t="shared" si="40"/>
        <v>0.5091145833</v>
      </c>
      <c r="Y142" s="49">
        <f t="shared" si="41"/>
        <v>0.02821180556</v>
      </c>
      <c r="Z142" s="32" t="str">
        <f t="shared" si="42"/>
        <v>Milton</v>
      </c>
      <c r="AA142" s="50" t="s">
        <v>77</v>
      </c>
      <c r="AB142" s="38">
        <v>4633.0</v>
      </c>
      <c r="AC142" s="48">
        <f t="shared" si="43"/>
        <v>2194</v>
      </c>
      <c r="AD142" s="51">
        <f t="shared" si="44"/>
        <v>0.5264407511</v>
      </c>
    </row>
    <row r="143">
      <c r="A143" s="24"/>
      <c r="B143" s="46" t="s">
        <v>1166</v>
      </c>
      <c r="C143" s="47"/>
      <c r="D143" s="38">
        <v>2094.0</v>
      </c>
      <c r="E143" s="38">
        <v>277.0</v>
      </c>
      <c r="F143" s="38">
        <v>72.0</v>
      </c>
      <c r="G143" s="38">
        <v>41.0</v>
      </c>
      <c r="H143" s="38">
        <v>78.0</v>
      </c>
      <c r="I143" s="48">
        <f t="shared" si="31"/>
        <v>2443</v>
      </c>
      <c r="J143" s="48">
        <f t="shared" si="32"/>
        <v>2562</v>
      </c>
      <c r="K143" s="49">
        <f t="shared" si="33"/>
        <v>0.8571428571</v>
      </c>
      <c r="L143" s="49">
        <f t="shared" si="34"/>
        <v>0.1133851822</v>
      </c>
      <c r="M143" s="49">
        <f t="shared" si="35"/>
        <v>0.0294719607</v>
      </c>
      <c r="N143" s="32" t="str">
        <f t="shared" si="36"/>
        <v>Jânio</v>
      </c>
      <c r="O143" s="50" t="s">
        <v>77</v>
      </c>
      <c r="P143" s="38">
        <v>1262.0</v>
      </c>
      <c r="Q143" s="38">
        <v>1088.0</v>
      </c>
      <c r="R143" s="38">
        <v>51.0</v>
      </c>
      <c r="S143" s="38">
        <v>104.0</v>
      </c>
      <c r="T143" s="38">
        <v>57.0</v>
      </c>
      <c r="U143" s="48">
        <f t="shared" si="37"/>
        <v>2401</v>
      </c>
      <c r="V143" s="48">
        <f t="shared" si="38"/>
        <v>2562</v>
      </c>
      <c r="W143" s="49">
        <f t="shared" si="39"/>
        <v>0.5256143274</v>
      </c>
      <c r="X143" s="49">
        <f t="shared" si="40"/>
        <v>0.4531445231</v>
      </c>
      <c r="Y143" s="49">
        <f t="shared" si="41"/>
        <v>0.02124114952</v>
      </c>
      <c r="Z143" s="32" t="str">
        <f t="shared" si="42"/>
        <v>Jango</v>
      </c>
      <c r="AA143" s="50" t="s">
        <v>77</v>
      </c>
      <c r="AB143" s="38">
        <v>4215.0</v>
      </c>
      <c r="AC143" s="48">
        <f t="shared" si="43"/>
        <v>1653</v>
      </c>
      <c r="AD143" s="51">
        <f t="shared" si="44"/>
        <v>0.6078291815</v>
      </c>
    </row>
    <row r="144">
      <c r="A144" s="61" t="s">
        <v>547</v>
      </c>
      <c r="B144" s="46" t="s">
        <v>1167</v>
      </c>
      <c r="C144" s="47"/>
      <c r="D144" s="38">
        <v>283.0</v>
      </c>
      <c r="E144" s="38">
        <v>207.0</v>
      </c>
      <c r="F144" s="38">
        <v>65.0</v>
      </c>
      <c r="G144" s="38">
        <v>29.0</v>
      </c>
      <c r="H144" s="38">
        <v>24.0</v>
      </c>
      <c r="I144" s="48">
        <f t="shared" si="31"/>
        <v>555</v>
      </c>
      <c r="J144" s="48">
        <f t="shared" si="32"/>
        <v>608</v>
      </c>
      <c r="K144" s="49">
        <f t="shared" si="33"/>
        <v>0.5099099099</v>
      </c>
      <c r="L144" s="49">
        <f t="shared" si="34"/>
        <v>0.372972973</v>
      </c>
      <c r="M144" s="49">
        <f t="shared" si="35"/>
        <v>0.1171171171</v>
      </c>
      <c r="N144" s="32" t="str">
        <f t="shared" si="36"/>
        <v>Jânio</v>
      </c>
      <c r="O144" s="50" t="s">
        <v>77</v>
      </c>
      <c r="P144" s="38">
        <v>215.0</v>
      </c>
      <c r="Q144" s="38">
        <v>278.0</v>
      </c>
      <c r="R144" s="38">
        <v>30.0</v>
      </c>
      <c r="S144" s="38">
        <v>72.0</v>
      </c>
      <c r="T144" s="38">
        <v>13.0</v>
      </c>
      <c r="U144" s="48">
        <f t="shared" si="37"/>
        <v>523</v>
      </c>
      <c r="V144" s="48">
        <f t="shared" si="38"/>
        <v>608</v>
      </c>
      <c r="W144" s="49">
        <f t="shared" si="39"/>
        <v>0.4110898662</v>
      </c>
      <c r="X144" s="49">
        <f t="shared" si="40"/>
        <v>0.5315487572</v>
      </c>
      <c r="Y144" s="49">
        <f t="shared" si="41"/>
        <v>0.05736137667</v>
      </c>
      <c r="Z144" s="32" t="str">
        <f t="shared" si="42"/>
        <v>Milton</v>
      </c>
      <c r="AA144" s="50" t="s">
        <v>77</v>
      </c>
      <c r="AB144" s="38">
        <v>1146.0</v>
      </c>
      <c r="AC144" s="48">
        <f t="shared" si="43"/>
        <v>538</v>
      </c>
      <c r="AD144" s="51">
        <f t="shared" si="44"/>
        <v>0.5305410122</v>
      </c>
    </row>
    <row r="145">
      <c r="A145" s="24"/>
      <c r="B145" s="46" t="s">
        <v>1168</v>
      </c>
      <c r="C145" s="47"/>
      <c r="D145" s="38">
        <v>307.0</v>
      </c>
      <c r="E145" s="38">
        <v>211.0</v>
      </c>
      <c r="F145" s="38">
        <v>22.0</v>
      </c>
      <c r="G145" s="38">
        <v>32.0</v>
      </c>
      <c r="H145" s="38">
        <v>29.0</v>
      </c>
      <c r="I145" s="48">
        <f t="shared" si="31"/>
        <v>540</v>
      </c>
      <c r="J145" s="48">
        <f t="shared" si="32"/>
        <v>601</v>
      </c>
      <c r="K145" s="49">
        <f t="shared" si="33"/>
        <v>0.5685185185</v>
      </c>
      <c r="L145" s="49">
        <f t="shared" si="34"/>
        <v>0.3907407407</v>
      </c>
      <c r="M145" s="49">
        <f t="shared" si="35"/>
        <v>0.04074074074</v>
      </c>
      <c r="N145" s="32" t="str">
        <f t="shared" si="36"/>
        <v>Jânio</v>
      </c>
      <c r="O145" s="50" t="s">
        <v>77</v>
      </c>
      <c r="P145" s="38">
        <v>214.0</v>
      </c>
      <c r="Q145" s="38">
        <v>261.0</v>
      </c>
      <c r="R145" s="38">
        <v>15.0</v>
      </c>
      <c r="S145" s="38">
        <v>82.0</v>
      </c>
      <c r="T145" s="38">
        <v>29.0</v>
      </c>
      <c r="U145" s="48">
        <f t="shared" si="37"/>
        <v>490</v>
      </c>
      <c r="V145" s="48">
        <f t="shared" si="38"/>
        <v>601</v>
      </c>
      <c r="W145" s="49">
        <f t="shared" si="39"/>
        <v>0.4367346939</v>
      </c>
      <c r="X145" s="49">
        <f t="shared" si="40"/>
        <v>0.5326530612</v>
      </c>
      <c r="Y145" s="49">
        <f t="shared" si="41"/>
        <v>0.0306122449</v>
      </c>
      <c r="Z145" s="32" t="str">
        <f t="shared" si="42"/>
        <v>Milton</v>
      </c>
      <c r="AA145" s="50" t="s">
        <v>77</v>
      </c>
      <c r="AB145" s="38">
        <v>1095.0</v>
      </c>
      <c r="AC145" s="48">
        <f t="shared" si="43"/>
        <v>494</v>
      </c>
      <c r="AD145" s="51">
        <f t="shared" si="44"/>
        <v>0.5488584475</v>
      </c>
    </row>
    <row r="146">
      <c r="A146" s="61" t="s">
        <v>549</v>
      </c>
      <c r="B146" s="46" t="s">
        <v>1169</v>
      </c>
      <c r="C146" s="47"/>
      <c r="D146" s="38">
        <v>1043.0</v>
      </c>
      <c r="E146" s="38">
        <v>1451.0</v>
      </c>
      <c r="F146" s="38">
        <v>121.0</v>
      </c>
      <c r="G146" s="38">
        <v>62.0</v>
      </c>
      <c r="H146" s="38">
        <v>85.0</v>
      </c>
      <c r="I146" s="48">
        <f t="shared" si="31"/>
        <v>2615</v>
      </c>
      <c r="J146" s="48">
        <f t="shared" si="32"/>
        <v>2762</v>
      </c>
      <c r="K146" s="49">
        <f t="shared" si="33"/>
        <v>0.3988527725</v>
      </c>
      <c r="L146" s="49">
        <f t="shared" si="34"/>
        <v>0.554875717</v>
      </c>
      <c r="M146" s="49">
        <f t="shared" si="35"/>
        <v>0.04627151052</v>
      </c>
      <c r="N146" s="32" t="str">
        <f t="shared" si="36"/>
        <v>Mal. Lott</v>
      </c>
      <c r="O146" s="50" t="s">
        <v>77</v>
      </c>
      <c r="P146" s="38">
        <v>1383.0</v>
      </c>
      <c r="Q146" s="38">
        <v>985.0</v>
      </c>
      <c r="R146" s="38">
        <v>180.0</v>
      </c>
      <c r="S146" s="38">
        <v>140.0</v>
      </c>
      <c r="T146" s="38">
        <v>74.0</v>
      </c>
      <c r="U146" s="48">
        <f t="shared" si="37"/>
        <v>2548</v>
      </c>
      <c r="V146" s="48">
        <f t="shared" si="38"/>
        <v>2762</v>
      </c>
      <c r="W146" s="49">
        <f t="shared" si="39"/>
        <v>0.5427786499</v>
      </c>
      <c r="X146" s="49">
        <f t="shared" si="40"/>
        <v>0.386577708</v>
      </c>
      <c r="Y146" s="49">
        <f t="shared" si="41"/>
        <v>0.07064364207</v>
      </c>
      <c r="Z146" s="32" t="str">
        <f t="shared" si="42"/>
        <v>Jango</v>
      </c>
      <c r="AA146" s="50" t="s">
        <v>77</v>
      </c>
      <c r="AB146" s="38">
        <v>4443.0</v>
      </c>
      <c r="AC146" s="48">
        <f t="shared" si="43"/>
        <v>1681</v>
      </c>
      <c r="AD146" s="51">
        <f t="shared" si="44"/>
        <v>0.6216520369</v>
      </c>
    </row>
    <row r="147">
      <c r="A147" s="24"/>
      <c r="B147" s="46" t="s">
        <v>1170</v>
      </c>
      <c r="C147" s="47"/>
      <c r="D147" s="38">
        <v>1071.0</v>
      </c>
      <c r="E147" s="38">
        <v>678.0</v>
      </c>
      <c r="F147" s="38">
        <v>100.0</v>
      </c>
      <c r="G147" s="38">
        <v>23.0</v>
      </c>
      <c r="H147" s="38">
        <v>49.0</v>
      </c>
      <c r="I147" s="48">
        <f t="shared" si="31"/>
        <v>1849</v>
      </c>
      <c r="J147" s="48">
        <f t="shared" si="32"/>
        <v>1921</v>
      </c>
      <c r="K147" s="49">
        <f t="shared" si="33"/>
        <v>0.5792320173</v>
      </c>
      <c r="L147" s="49">
        <f t="shared" si="34"/>
        <v>0.3666846944</v>
      </c>
      <c r="M147" s="49">
        <f t="shared" si="35"/>
        <v>0.05408328826</v>
      </c>
      <c r="N147" s="32" t="str">
        <f t="shared" si="36"/>
        <v>Jânio</v>
      </c>
      <c r="O147" s="50" t="s">
        <v>77</v>
      </c>
      <c r="P147" s="38">
        <v>682.0</v>
      </c>
      <c r="Q147" s="38">
        <v>1079.0</v>
      </c>
      <c r="R147" s="38">
        <v>43.0</v>
      </c>
      <c r="S147" s="38">
        <v>84.0</v>
      </c>
      <c r="T147" s="38">
        <v>33.0</v>
      </c>
      <c r="U147" s="48">
        <f t="shared" si="37"/>
        <v>1804</v>
      </c>
      <c r="V147" s="48">
        <f t="shared" si="38"/>
        <v>1921</v>
      </c>
      <c r="W147" s="49">
        <f t="shared" si="39"/>
        <v>0.3780487805</v>
      </c>
      <c r="X147" s="49">
        <f t="shared" si="40"/>
        <v>0.5981152993</v>
      </c>
      <c r="Y147" s="49">
        <f t="shared" si="41"/>
        <v>0.02383592018</v>
      </c>
      <c r="Z147" s="32" t="str">
        <f t="shared" si="42"/>
        <v>Milton</v>
      </c>
      <c r="AA147" s="50" t="s">
        <v>77</v>
      </c>
      <c r="AB147" s="38">
        <v>3279.0</v>
      </c>
      <c r="AC147" s="48">
        <f t="shared" si="43"/>
        <v>1358</v>
      </c>
      <c r="AD147" s="51">
        <f t="shared" si="44"/>
        <v>0.5858493443</v>
      </c>
    </row>
    <row r="148">
      <c r="A148" s="61" t="s">
        <v>554</v>
      </c>
      <c r="B148" s="46" t="s">
        <v>1171</v>
      </c>
      <c r="C148" s="47"/>
      <c r="D148" s="38">
        <v>1091.0</v>
      </c>
      <c r="E148" s="38">
        <v>765.0</v>
      </c>
      <c r="F148" s="38">
        <v>121.0</v>
      </c>
      <c r="G148" s="38">
        <v>96.0</v>
      </c>
      <c r="H148" s="38">
        <v>115.0</v>
      </c>
      <c r="I148" s="48">
        <f t="shared" si="31"/>
        <v>1977</v>
      </c>
      <c r="J148" s="48">
        <f t="shared" si="32"/>
        <v>2188</v>
      </c>
      <c r="K148" s="49">
        <f t="shared" si="33"/>
        <v>0.5518462317</v>
      </c>
      <c r="L148" s="49">
        <f t="shared" si="34"/>
        <v>0.3869499241</v>
      </c>
      <c r="M148" s="49">
        <f t="shared" si="35"/>
        <v>0.06120384421</v>
      </c>
      <c r="N148" s="32" t="str">
        <f t="shared" si="36"/>
        <v>Jânio</v>
      </c>
      <c r="O148" s="50" t="s">
        <v>77</v>
      </c>
      <c r="P148" s="38">
        <v>779.0</v>
      </c>
      <c r="Q148" s="38">
        <v>943.0</v>
      </c>
      <c r="R148" s="38">
        <v>107.0</v>
      </c>
      <c r="S148" s="38">
        <v>292.0</v>
      </c>
      <c r="T148" s="38">
        <v>67.0</v>
      </c>
      <c r="U148" s="48">
        <f t="shared" si="37"/>
        <v>1829</v>
      </c>
      <c r="V148" s="48">
        <f t="shared" si="38"/>
        <v>2188</v>
      </c>
      <c r="W148" s="49">
        <f t="shared" si="39"/>
        <v>0.425915801</v>
      </c>
      <c r="X148" s="49">
        <f t="shared" si="40"/>
        <v>0.5155822854</v>
      </c>
      <c r="Y148" s="49">
        <f t="shared" si="41"/>
        <v>0.05850191361</v>
      </c>
      <c r="Z148" s="32" t="str">
        <f t="shared" si="42"/>
        <v>Milton</v>
      </c>
      <c r="AA148" s="50" t="s">
        <v>77</v>
      </c>
      <c r="AB148" s="38">
        <v>5064.0</v>
      </c>
      <c r="AC148" s="48">
        <f t="shared" si="43"/>
        <v>2876</v>
      </c>
      <c r="AD148" s="51">
        <f t="shared" si="44"/>
        <v>0.4320695103</v>
      </c>
    </row>
    <row r="149">
      <c r="A149" s="23"/>
      <c r="B149" s="46" t="s">
        <v>1172</v>
      </c>
      <c r="C149" s="47"/>
      <c r="D149" s="38">
        <v>662.0</v>
      </c>
      <c r="E149" s="38">
        <v>416.0</v>
      </c>
      <c r="F149" s="38">
        <v>67.0</v>
      </c>
      <c r="G149" s="38">
        <v>64.0</v>
      </c>
      <c r="H149" s="38">
        <v>41.0</v>
      </c>
      <c r="I149" s="48">
        <f t="shared" si="31"/>
        <v>1145</v>
      </c>
      <c r="J149" s="48">
        <f t="shared" si="32"/>
        <v>1250</v>
      </c>
      <c r="K149" s="49">
        <f t="shared" si="33"/>
        <v>0.5781659389</v>
      </c>
      <c r="L149" s="49">
        <f t="shared" si="34"/>
        <v>0.3633187773</v>
      </c>
      <c r="M149" s="49">
        <f t="shared" si="35"/>
        <v>0.05851528384</v>
      </c>
      <c r="N149" s="32" t="str">
        <f t="shared" si="36"/>
        <v>Jânio</v>
      </c>
      <c r="O149" s="50" t="s">
        <v>77</v>
      </c>
      <c r="P149" s="38">
        <v>389.0</v>
      </c>
      <c r="Q149" s="38">
        <v>656.0</v>
      </c>
      <c r="R149" s="38">
        <v>57.0</v>
      </c>
      <c r="S149" s="38">
        <v>111.0</v>
      </c>
      <c r="T149" s="38">
        <v>37.0</v>
      </c>
      <c r="U149" s="48">
        <f t="shared" si="37"/>
        <v>1102</v>
      </c>
      <c r="V149" s="48">
        <f t="shared" si="38"/>
        <v>1250</v>
      </c>
      <c r="W149" s="49">
        <f t="shared" si="39"/>
        <v>0.3529945554</v>
      </c>
      <c r="X149" s="49">
        <f t="shared" si="40"/>
        <v>0.5952813067</v>
      </c>
      <c r="Y149" s="49">
        <f t="shared" si="41"/>
        <v>0.05172413793</v>
      </c>
      <c r="Z149" s="32" t="str">
        <f t="shared" si="42"/>
        <v>Milton</v>
      </c>
      <c r="AA149" s="50" t="s">
        <v>77</v>
      </c>
      <c r="AB149" s="38">
        <v>2663.0</v>
      </c>
      <c r="AC149" s="48">
        <f t="shared" si="43"/>
        <v>1413</v>
      </c>
      <c r="AD149" s="51">
        <f t="shared" si="44"/>
        <v>0.4693954187</v>
      </c>
    </row>
    <row r="150">
      <c r="A150" s="24"/>
      <c r="B150" s="46" t="s">
        <v>1173</v>
      </c>
      <c r="C150" s="47"/>
      <c r="D150" s="38">
        <v>400.0</v>
      </c>
      <c r="E150" s="38">
        <v>261.0</v>
      </c>
      <c r="F150" s="38">
        <v>12.0</v>
      </c>
      <c r="G150" s="38">
        <v>12.0</v>
      </c>
      <c r="H150" s="38">
        <v>32.0</v>
      </c>
      <c r="I150" s="48">
        <f t="shared" si="31"/>
        <v>673</v>
      </c>
      <c r="J150" s="48">
        <f t="shared" si="32"/>
        <v>717</v>
      </c>
      <c r="K150" s="49">
        <f t="shared" si="33"/>
        <v>0.5943536404</v>
      </c>
      <c r="L150" s="49">
        <f t="shared" si="34"/>
        <v>0.3878157504</v>
      </c>
      <c r="M150" s="49">
        <f t="shared" si="35"/>
        <v>0.01783060921</v>
      </c>
      <c r="N150" s="32" t="str">
        <f t="shared" si="36"/>
        <v>Jânio</v>
      </c>
      <c r="O150" s="50" t="s">
        <v>77</v>
      </c>
      <c r="P150" s="38">
        <v>97.0</v>
      </c>
      <c r="Q150" s="38">
        <v>503.0</v>
      </c>
      <c r="R150" s="38">
        <v>43.0</v>
      </c>
      <c r="S150" s="38">
        <v>50.0</v>
      </c>
      <c r="T150" s="38">
        <v>24.0</v>
      </c>
      <c r="U150" s="48">
        <f t="shared" si="37"/>
        <v>643</v>
      </c>
      <c r="V150" s="48">
        <f t="shared" si="38"/>
        <v>717</v>
      </c>
      <c r="W150" s="49">
        <f t="shared" si="39"/>
        <v>0.1508553655</v>
      </c>
      <c r="X150" s="49">
        <f t="shared" si="40"/>
        <v>0.7822706065</v>
      </c>
      <c r="Y150" s="49">
        <f t="shared" si="41"/>
        <v>0.06687402799</v>
      </c>
      <c r="Z150" s="32" t="str">
        <f t="shared" si="42"/>
        <v>Milton</v>
      </c>
      <c r="AA150" s="50" t="s">
        <v>77</v>
      </c>
      <c r="AB150" s="38">
        <v>1492.0</v>
      </c>
      <c r="AC150" s="48">
        <f t="shared" si="43"/>
        <v>775</v>
      </c>
      <c r="AD150" s="51">
        <f t="shared" si="44"/>
        <v>0.4805630027</v>
      </c>
    </row>
    <row r="151">
      <c r="A151" s="61" t="s">
        <v>557</v>
      </c>
      <c r="B151" s="46" t="s">
        <v>1174</v>
      </c>
      <c r="C151" s="47"/>
      <c r="D151" s="38">
        <v>608.0</v>
      </c>
      <c r="E151" s="38">
        <v>382.0</v>
      </c>
      <c r="F151" s="38">
        <v>145.0</v>
      </c>
      <c r="G151" s="38">
        <v>41.0</v>
      </c>
      <c r="H151" s="38">
        <v>70.0</v>
      </c>
      <c r="I151" s="48">
        <f t="shared" si="31"/>
        <v>1135</v>
      </c>
      <c r="J151" s="48">
        <f t="shared" si="32"/>
        <v>1246</v>
      </c>
      <c r="K151" s="49">
        <f t="shared" si="33"/>
        <v>0.5356828194</v>
      </c>
      <c r="L151" s="49">
        <f t="shared" si="34"/>
        <v>0.3365638767</v>
      </c>
      <c r="M151" s="49">
        <f t="shared" si="35"/>
        <v>0.127753304</v>
      </c>
      <c r="N151" s="32" t="str">
        <f t="shared" si="36"/>
        <v>Jânio</v>
      </c>
      <c r="O151" s="50" t="s">
        <v>77</v>
      </c>
      <c r="P151" s="38">
        <v>476.0</v>
      </c>
      <c r="Q151" s="38">
        <v>518.0</v>
      </c>
      <c r="R151" s="38">
        <v>57.0</v>
      </c>
      <c r="S151" s="48">
        <v>156.0</v>
      </c>
      <c r="T151" s="48">
        <v>39.0</v>
      </c>
      <c r="U151" s="48">
        <f t="shared" si="37"/>
        <v>1051</v>
      </c>
      <c r="V151" s="48">
        <f t="shared" si="38"/>
        <v>1246</v>
      </c>
      <c r="W151" s="49">
        <f t="shared" si="39"/>
        <v>0.4529019981</v>
      </c>
      <c r="X151" s="49">
        <f t="shared" si="40"/>
        <v>0.4928639391</v>
      </c>
      <c r="Y151" s="49">
        <f t="shared" si="41"/>
        <v>0.0542340628</v>
      </c>
      <c r="Z151" s="32" t="str">
        <f t="shared" si="42"/>
        <v>Milton</v>
      </c>
      <c r="AA151" s="50" t="s">
        <v>77</v>
      </c>
      <c r="AB151" s="38">
        <v>3394.0</v>
      </c>
      <c r="AC151" s="48">
        <f t="shared" si="43"/>
        <v>2148</v>
      </c>
      <c r="AD151" s="51">
        <f t="shared" si="44"/>
        <v>0.3671184443</v>
      </c>
    </row>
    <row r="152">
      <c r="A152" s="23"/>
      <c r="B152" s="46" t="s">
        <v>1175</v>
      </c>
      <c r="C152" s="47"/>
      <c r="D152" s="38">
        <v>587.0</v>
      </c>
      <c r="E152" s="38">
        <v>65.0</v>
      </c>
      <c r="F152" s="38">
        <v>22.0</v>
      </c>
      <c r="G152" s="38">
        <v>24.0</v>
      </c>
      <c r="H152" s="38">
        <v>58.0</v>
      </c>
      <c r="I152" s="48">
        <f t="shared" si="31"/>
        <v>674</v>
      </c>
      <c r="J152" s="48">
        <f t="shared" si="32"/>
        <v>756</v>
      </c>
      <c r="K152" s="49">
        <f t="shared" si="33"/>
        <v>0.8709198813</v>
      </c>
      <c r="L152" s="49">
        <f t="shared" si="34"/>
        <v>0.09643916914</v>
      </c>
      <c r="M152" s="49">
        <f t="shared" si="35"/>
        <v>0.03264094955</v>
      </c>
      <c r="N152" s="32" t="str">
        <f t="shared" si="36"/>
        <v>Jânio</v>
      </c>
      <c r="O152" s="50" t="s">
        <v>77</v>
      </c>
      <c r="P152" s="38">
        <v>150.0</v>
      </c>
      <c r="Q152" s="38">
        <v>446.0</v>
      </c>
      <c r="R152" s="38">
        <v>27.0</v>
      </c>
      <c r="S152" s="48">
        <v>113.0</v>
      </c>
      <c r="T152" s="48">
        <v>20.0</v>
      </c>
      <c r="U152" s="48">
        <f t="shared" si="37"/>
        <v>623</v>
      </c>
      <c r="V152" s="48">
        <f t="shared" si="38"/>
        <v>756</v>
      </c>
      <c r="W152" s="49">
        <f t="shared" si="39"/>
        <v>0.2407704655</v>
      </c>
      <c r="X152" s="49">
        <f t="shared" si="40"/>
        <v>0.7158908507</v>
      </c>
      <c r="Y152" s="49">
        <f t="shared" si="41"/>
        <v>0.04333868379</v>
      </c>
      <c r="Z152" s="32" t="str">
        <f t="shared" si="42"/>
        <v>Milton</v>
      </c>
      <c r="AA152" s="50" t="s">
        <v>77</v>
      </c>
      <c r="AB152" s="38">
        <v>1360.0</v>
      </c>
      <c r="AC152" s="48">
        <f t="shared" si="43"/>
        <v>604</v>
      </c>
      <c r="AD152" s="51">
        <f t="shared" si="44"/>
        <v>0.5558823529</v>
      </c>
    </row>
    <row r="153">
      <c r="A153" s="24"/>
      <c r="B153" s="46" t="s">
        <v>1176</v>
      </c>
      <c r="C153" s="47"/>
      <c r="D153" s="38">
        <v>529.0</v>
      </c>
      <c r="E153" s="38">
        <v>156.0</v>
      </c>
      <c r="F153" s="38">
        <v>42.0</v>
      </c>
      <c r="G153" s="38">
        <v>26.0</v>
      </c>
      <c r="H153" s="38">
        <v>53.0</v>
      </c>
      <c r="I153" s="48">
        <f t="shared" si="31"/>
        <v>727</v>
      </c>
      <c r="J153" s="48">
        <f t="shared" si="32"/>
        <v>806</v>
      </c>
      <c r="K153" s="49">
        <f t="shared" si="33"/>
        <v>0.727647868</v>
      </c>
      <c r="L153" s="49">
        <f t="shared" si="34"/>
        <v>0.2145804677</v>
      </c>
      <c r="M153" s="49">
        <f t="shared" si="35"/>
        <v>0.05777166437</v>
      </c>
      <c r="N153" s="32" t="str">
        <f t="shared" si="36"/>
        <v>Jânio</v>
      </c>
      <c r="O153" s="50" t="s">
        <v>77</v>
      </c>
      <c r="P153" s="38">
        <v>323.0</v>
      </c>
      <c r="Q153" s="38">
        <v>284.0</v>
      </c>
      <c r="R153" s="38">
        <v>40.0</v>
      </c>
      <c r="S153" s="48">
        <v>133.0</v>
      </c>
      <c r="T153" s="48">
        <v>26.0</v>
      </c>
      <c r="U153" s="48">
        <f t="shared" si="37"/>
        <v>647</v>
      </c>
      <c r="V153" s="48">
        <f t="shared" si="38"/>
        <v>806</v>
      </c>
      <c r="W153" s="49">
        <f t="shared" si="39"/>
        <v>0.4992272025</v>
      </c>
      <c r="X153" s="49">
        <f t="shared" si="40"/>
        <v>0.4389489954</v>
      </c>
      <c r="Y153" s="49">
        <f t="shared" si="41"/>
        <v>0.06182380216</v>
      </c>
      <c r="Z153" s="32" t="str">
        <f t="shared" si="42"/>
        <v>Jango</v>
      </c>
      <c r="AA153" s="50" t="s">
        <v>77</v>
      </c>
      <c r="AB153" s="38">
        <v>2425.0</v>
      </c>
      <c r="AC153" s="48">
        <f t="shared" si="43"/>
        <v>1619</v>
      </c>
      <c r="AD153" s="51">
        <f t="shared" si="44"/>
        <v>0.332371134</v>
      </c>
    </row>
    <row r="154">
      <c r="A154" s="110" t="s">
        <v>560</v>
      </c>
      <c r="B154" s="46" t="s">
        <v>1177</v>
      </c>
      <c r="C154" s="47"/>
      <c r="D154" s="38">
        <v>670.0</v>
      </c>
      <c r="E154" s="38">
        <v>1001.0</v>
      </c>
      <c r="F154" s="38">
        <v>161.0</v>
      </c>
      <c r="G154" s="38">
        <v>118.0</v>
      </c>
      <c r="H154" s="38">
        <v>113.0</v>
      </c>
      <c r="I154" s="48">
        <f t="shared" si="31"/>
        <v>1832</v>
      </c>
      <c r="J154" s="48">
        <f t="shared" si="32"/>
        <v>2063</v>
      </c>
      <c r="K154" s="49">
        <f t="shared" si="33"/>
        <v>0.365720524</v>
      </c>
      <c r="L154" s="49">
        <f t="shared" si="34"/>
        <v>0.5463973799</v>
      </c>
      <c r="M154" s="49">
        <f t="shared" si="35"/>
        <v>0.08788209607</v>
      </c>
      <c r="N154" s="32" t="str">
        <f t="shared" si="36"/>
        <v>Mal. Lott</v>
      </c>
      <c r="O154" s="50" t="s">
        <v>77</v>
      </c>
      <c r="P154" s="38">
        <v>1016.0</v>
      </c>
      <c r="Q154" s="38">
        <v>610.0</v>
      </c>
      <c r="R154" s="38">
        <v>130.0</v>
      </c>
      <c r="S154" s="48">
        <v>234.0</v>
      </c>
      <c r="T154" s="48">
        <v>73.0</v>
      </c>
      <c r="U154" s="48">
        <f t="shared" si="37"/>
        <v>1756</v>
      </c>
      <c r="V154" s="48">
        <f t="shared" si="38"/>
        <v>2063</v>
      </c>
      <c r="W154" s="49">
        <f t="shared" si="39"/>
        <v>0.5785876993</v>
      </c>
      <c r="X154" s="49">
        <f t="shared" si="40"/>
        <v>0.34738041</v>
      </c>
      <c r="Y154" s="49">
        <f t="shared" si="41"/>
        <v>0.07403189066</v>
      </c>
      <c r="Z154" s="32" t="str">
        <f t="shared" si="42"/>
        <v>Jango</v>
      </c>
      <c r="AA154" s="50" t="s">
        <v>77</v>
      </c>
      <c r="AB154" s="38">
        <v>3135.0</v>
      </c>
      <c r="AC154" s="48">
        <f t="shared" si="43"/>
        <v>1072</v>
      </c>
      <c r="AD154" s="51">
        <f t="shared" si="44"/>
        <v>0.6580542265</v>
      </c>
    </row>
    <row r="155">
      <c r="A155" s="110" t="s">
        <v>563</v>
      </c>
      <c r="B155" s="46" t="s">
        <v>1178</v>
      </c>
      <c r="C155" s="47"/>
      <c r="D155" s="38">
        <v>1598.0</v>
      </c>
      <c r="E155" s="38">
        <v>2459.0</v>
      </c>
      <c r="F155" s="38">
        <v>201.0</v>
      </c>
      <c r="G155" s="38">
        <v>170.0</v>
      </c>
      <c r="H155" s="38">
        <v>183.0</v>
      </c>
      <c r="I155" s="48">
        <f t="shared" si="31"/>
        <v>4258</v>
      </c>
      <c r="J155" s="48">
        <f t="shared" si="32"/>
        <v>4611</v>
      </c>
      <c r="K155" s="49">
        <f t="shared" si="33"/>
        <v>0.3752935651</v>
      </c>
      <c r="L155" s="49">
        <f t="shared" si="34"/>
        <v>0.5775011743</v>
      </c>
      <c r="M155" s="49">
        <f t="shared" si="35"/>
        <v>0.04720526069</v>
      </c>
      <c r="N155" s="32" t="str">
        <f t="shared" si="36"/>
        <v>Mal. Lott</v>
      </c>
      <c r="O155" s="50" t="s">
        <v>77</v>
      </c>
      <c r="P155" s="38">
        <v>1363.0</v>
      </c>
      <c r="Q155" s="38">
        <v>2341.0</v>
      </c>
      <c r="R155" s="38">
        <v>219.0</v>
      </c>
      <c r="S155" s="48">
        <v>544.0</v>
      </c>
      <c r="T155" s="48">
        <v>144.0</v>
      </c>
      <c r="U155" s="48">
        <f t="shared" si="37"/>
        <v>3923</v>
      </c>
      <c r="V155" s="48">
        <f t="shared" si="38"/>
        <v>4611</v>
      </c>
      <c r="W155" s="49">
        <f t="shared" si="39"/>
        <v>0.3474381851</v>
      </c>
      <c r="X155" s="49">
        <f t="shared" si="40"/>
        <v>0.5967371909</v>
      </c>
      <c r="Y155" s="49">
        <f t="shared" si="41"/>
        <v>0.05582462401</v>
      </c>
      <c r="Z155" s="32" t="str">
        <f t="shared" si="42"/>
        <v>Milton</v>
      </c>
      <c r="AA155" s="50" t="s">
        <v>77</v>
      </c>
      <c r="AB155" s="38">
        <v>7320.0</v>
      </c>
      <c r="AC155" s="48">
        <f t="shared" si="43"/>
        <v>2709</v>
      </c>
      <c r="AD155" s="51">
        <f t="shared" si="44"/>
        <v>0.6299180328</v>
      </c>
    </row>
    <row r="156">
      <c r="A156" s="110" t="s">
        <v>565</v>
      </c>
      <c r="B156" s="46" t="s">
        <v>1179</v>
      </c>
      <c r="C156" s="47"/>
      <c r="D156" s="38">
        <v>962.0</v>
      </c>
      <c r="E156" s="38">
        <v>278.0</v>
      </c>
      <c r="F156" s="38">
        <v>300.0</v>
      </c>
      <c r="G156" s="38">
        <v>47.0</v>
      </c>
      <c r="H156" s="38">
        <v>65.0</v>
      </c>
      <c r="I156" s="48">
        <f t="shared" si="31"/>
        <v>1540</v>
      </c>
      <c r="J156" s="48">
        <f t="shared" si="32"/>
        <v>1652</v>
      </c>
      <c r="K156" s="49">
        <f t="shared" si="33"/>
        <v>0.6246753247</v>
      </c>
      <c r="L156" s="49">
        <f t="shared" si="34"/>
        <v>0.1805194805</v>
      </c>
      <c r="M156" s="49">
        <f t="shared" si="35"/>
        <v>0.1948051948</v>
      </c>
      <c r="N156" s="32" t="str">
        <f t="shared" si="36"/>
        <v>Jânio</v>
      </c>
      <c r="O156" s="50" t="s">
        <v>77</v>
      </c>
      <c r="P156" s="38">
        <v>530.0</v>
      </c>
      <c r="Q156" s="38">
        <v>726.0</v>
      </c>
      <c r="R156" s="38">
        <v>129.0</v>
      </c>
      <c r="S156" s="48">
        <v>234.0</v>
      </c>
      <c r="T156" s="48">
        <v>33.0</v>
      </c>
      <c r="U156" s="48">
        <f t="shared" si="37"/>
        <v>1385</v>
      </c>
      <c r="V156" s="48">
        <f t="shared" si="38"/>
        <v>1652</v>
      </c>
      <c r="W156" s="49">
        <f t="shared" si="39"/>
        <v>0.3826714801</v>
      </c>
      <c r="X156" s="49">
        <f t="shared" si="40"/>
        <v>0.5241877256</v>
      </c>
      <c r="Y156" s="49">
        <f t="shared" si="41"/>
        <v>0.09314079422</v>
      </c>
      <c r="Z156" s="32" t="str">
        <f t="shared" si="42"/>
        <v>Milton</v>
      </c>
      <c r="AA156" s="50" t="s">
        <v>77</v>
      </c>
      <c r="AB156" s="38">
        <v>2749.0</v>
      </c>
      <c r="AC156" s="48">
        <f t="shared" si="43"/>
        <v>1097</v>
      </c>
      <c r="AD156" s="51">
        <f t="shared" si="44"/>
        <v>0.6009457985</v>
      </c>
    </row>
    <row r="157">
      <c r="A157" s="61" t="s">
        <v>568</v>
      </c>
      <c r="B157" s="46" t="s">
        <v>1180</v>
      </c>
      <c r="C157" s="47"/>
      <c r="D157" s="38">
        <v>1018.0</v>
      </c>
      <c r="E157" s="38">
        <v>980.0</v>
      </c>
      <c r="F157" s="38">
        <v>83.0</v>
      </c>
      <c r="G157" s="38">
        <v>84.0</v>
      </c>
      <c r="H157" s="38">
        <v>105.0</v>
      </c>
      <c r="I157" s="48">
        <f t="shared" si="31"/>
        <v>2081</v>
      </c>
      <c r="J157" s="48">
        <f t="shared" si="32"/>
        <v>2270</v>
      </c>
      <c r="K157" s="49">
        <f t="shared" si="33"/>
        <v>0.4891878904</v>
      </c>
      <c r="L157" s="49">
        <f t="shared" si="34"/>
        <v>0.4709274387</v>
      </c>
      <c r="M157" s="49">
        <f t="shared" si="35"/>
        <v>0.03988467083</v>
      </c>
      <c r="N157" s="32" t="str">
        <f t="shared" si="36"/>
        <v>Jânio</v>
      </c>
      <c r="O157" s="50" t="s">
        <v>77</v>
      </c>
      <c r="P157" s="38">
        <v>952.0</v>
      </c>
      <c r="Q157" s="38">
        <v>501.0</v>
      </c>
      <c r="R157" s="38">
        <v>542.0</v>
      </c>
      <c r="S157" s="48">
        <v>190.0</v>
      </c>
      <c r="T157" s="48">
        <v>85.0</v>
      </c>
      <c r="U157" s="48">
        <f t="shared" si="37"/>
        <v>1995</v>
      </c>
      <c r="V157" s="48">
        <f t="shared" si="38"/>
        <v>2270</v>
      </c>
      <c r="W157" s="49">
        <f t="shared" si="39"/>
        <v>0.4771929825</v>
      </c>
      <c r="X157" s="49">
        <f t="shared" si="40"/>
        <v>0.2511278195</v>
      </c>
      <c r="Y157" s="49">
        <f t="shared" si="41"/>
        <v>0.271679198</v>
      </c>
      <c r="Z157" s="32" t="str">
        <f t="shared" si="42"/>
        <v>Jango</v>
      </c>
      <c r="AA157" s="50" t="s">
        <v>77</v>
      </c>
      <c r="AB157" s="38">
        <v>3534.0</v>
      </c>
      <c r="AC157" s="48">
        <f t="shared" si="43"/>
        <v>1264</v>
      </c>
      <c r="AD157" s="51">
        <f t="shared" si="44"/>
        <v>0.6423316355</v>
      </c>
    </row>
    <row r="158">
      <c r="A158" s="23"/>
      <c r="B158" s="46" t="s">
        <v>1181</v>
      </c>
      <c r="C158" s="47"/>
      <c r="D158" s="38">
        <v>231.0</v>
      </c>
      <c r="E158" s="38">
        <v>179.0</v>
      </c>
      <c r="F158" s="38">
        <v>35.0</v>
      </c>
      <c r="G158" s="38">
        <v>24.0</v>
      </c>
      <c r="H158" s="38">
        <v>13.0</v>
      </c>
      <c r="I158" s="48">
        <f t="shared" si="31"/>
        <v>445</v>
      </c>
      <c r="J158" s="48">
        <f t="shared" si="32"/>
        <v>482</v>
      </c>
      <c r="K158" s="49">
        <f t="shared" si="33"/>
        <v>0.5191011236</v>
      </c>
      <c r="L158" s="49">
        <f t="shared" si="34"/>
        <v>0.402247191</v>
      </c>
      <c r="M158" s="49">
        <f t="shared" si="35"/>
        <v>0.07865168539</v>
      </c>
      <c r="N158" s="32" t="str">
        <f t="shared" si="36"/>
        <v>Jânio</v>
      </c>
      <c r="O158" s="50" t="s">
        <v>77</v>
      </c>
      <c r="P158" s="38">
        <v>158.0</v>
      </c>
      <c r="Q158" s="38">
        <v>169.0</v>
      </c>
      <c r="R158" s="38">
        <v>65.0</v>
      </c>
      <c r="S158" s="48">
        <v>76.0</v>
      </c>
      <c r="T158" s="48">
        <v>14.0</v>
      </c>
      <c r="U158" s="48">
        <f t="shared" si="37"/>
        <v>392</v>
      </c>
      <c r="V158" s="48">
        <f t="shared" si="38"/>
        <v>482</v>
      </c>
      <c r="W158" s="49">
        <f t="shared" si="39"/>
        <v>0.4030612245</v>
      </c>
      <c r="X158" s="49">
        <f t="shared" si="40"/>
        <v>0.431122449</v>
      </c>
      <c r="Y158" s="49">
        <f t="shared" si="41"/>
        <v>0.1658163265</v>
      </c>
      <c r="Z158" s="32" t="str">
        <f t="shared" si="42"/>
        <v>Milton</v>
      </c>
      <c r="AA158" s="50" t="s">
        <v>77</v>
      </c>
      <c r="AB158" s="38">
        <v>810.0</v>
      </c>
      <c r="AC158" s="48">
        <f t="shared" si="43"/>
        <v>328</v>
      </c>
      <c r="AD158" s="51">
        <f t="shared" si="44"/>
        <v>0.5950617284</v>
      </c>
    </row>
    <row r="159">
      <c r="A159" s="24"/>
      <c r="B159" s="46" t="s">
        <v>1182</v>
      </c>
      <c r="C159" s="47"/>
      <c r="D159" s="38">
        <v>788.0</v>
      </c>
      <c r="E159" s="38">
        <v>233.0</v>
      </c>
      <c r="F159" s="38">
        <v>100.0</v>
      </c>
      <c r="G159" s="38">
        <v>81.0</v>
      </c>
      <c r="H159" s="38">
        <v>77.0</v>
      </c>
      <c r="I159" s="48">
        <f t="shared" si="31"/>
        <v>1121</v>
      </c>
      <c r="J159" s="48">
        <f t="shared" si="32"/>
        <v>1279</v>
      </c>
      <c r="K159" s="49">
        <f t="shared" si="33"/>
        <v>0.7029438002</v>
      </c>
      <c r="L159" s="49">
        <f t="shared" si="34"/>
        <v>0.2078501338</v>
      </c>
      <c r="M159" s="49">
        <f t="shared" si="35"/>
        <v>0.08920606601</v>
      </c>
      <c r="N159" s="32" t="str">
        <f t="shared" si="36"/>
        <v>Jânio</v>
      </c>
      <c r="O159" s="50" t="s">
        <v>77</v>
      </c>
      <c r="P159" s="38">
        <v>205.0</v>
      </c>
      <c r="Q159" s="38">
        <v>467.0</v>
      </c>
      <c r="R159" s="38">
        <v>348.0</v>
      </c>
      <c r="S159" s="48">
        <v>203.0</v>
      </c>
      <c r="T159" s="48">
        <v>56.0</v>
      </c>
      <c r="U159" s="48">
        <f t="shared" si="37"/>
        <v>1020</v>
      </c>
      <c r="V159" s="48">
        <f t="shared" si="38"/>
        <v>1279</v>
      </c>
      <c r="W159" s="49">
        <f t="shared" si="39"/>
        <v>0.2009803922</v>
      </c>
      <c r="X159" s="49">
        <f t="shared" si="40"/>
        <v>0.4578431373</v>
      </c>
      <c r="Y159" s="49">
        <f t="shared" si="41"/>
        <v>0.3411764706</v>
      </c>
      <c r="Z159" s="32" t="str">
        <f t="shared" si="42"/>
        <v>Milton</v>
      </c>
      <c r="AA159" s="50" t="s">
        <v>77</v>
      </c>
      <c r="AB159" s="38">
        <v>2440.0</v>
      </c>
      <c r="AC159" s="48">
        <f t="shared" si="43"/>
        <v>1161</v>
      </c>
      <c r="AD159" s="51">
        <f t="shared" si="44"/>
        <v>0.5241803279</v>
      </c>
    </row>
    <row r="160">
      <c r="A160" s="110" t="s">
        <v>570</v>
      </c>
      <c r="B160" s="46" t="s">
        <v>721</v>
      </c>
      <c r="C160" s="47"/>
      <c r="D160" s="38">
        <v>686.0</v>
      </c>
      <c r="E160" s="38">
        <v>632.0</v>
      </c>
      <c r="F160" s="38">
        <v>51.0</v>
      </c>
      <c r="G160" s="38">
        <v>58.0</v>
      </c>
      <c r="H160" s="38">
        <v>56.0</v>
      </c>
      <c r="I160" s="48">
        <f t="shared" si="31"/>
        <v>1369</v>
      </c>
      <c r="J160" s="48">
        <f t="shared" si="32"/>
        <v>1483</v>
      </c>
      <c r="K160" s="49">
        <f t="shared" si="33"/>
        <v>0.5010956903</v>
      </c>
      <c r="L160" s="49">
        <f t="shared" si="34"/>
        <v>0.46165084</v>
      </c>
      <c r="M160" s="49">
        <f t="shared" si="35"/>
        <v>0.03725346969</v>
      </c>
      <c r="N160" s="32" t="str">
        <f t="shared" si="36"/>
        <v>Jânio</v>
      </c>
      <c r="O160" s="50" t="s">
        <v>77</v>
      </c>
      <c r="P160" s="38">
        <v>600.0</v>
      </c>
      <c r="Q160" s="38">
        <v>648.0</v>
      </c>
      <c r="R160" s="38">
        <v>52.0</v>
      </c>
      <c r="S160" s="48">
        <v>145.0</v>
      </c>
      <c r="T160" s="48">
        <v>38.0</v>
      </c>
      <c r="U160" s="48">
        <f t="shared" si="37"/>
        <v>1300</v>
      </c>
      <c r="V160" s="48">
        <f t="shared" si="38"/>
        <v>1483</v>
      </c>
      <c r="W160" s="49">
        <f t="shared" si="39"/>
        <v>0.4615384615</v>
      </c>
      <c r="X160" s="49">
        <f t="shared" si="40"/>
        <v>0.4984615385</v>
      </c>
      <c r="Y160" s="49">
        <f t="shared" si="41"/>
        <v>0.04</v>
      </c>
      <c r="Z160" s="32" t="str">
        <f t="shared" si="42"/>
        <v>Milton</v>
      </c>
      <c r="AA160" s="50" t="s">
        <v>77</v>
      </c>
      <c r="AB160" s="38">
        <v>1823.0</v>
      </c>
      <c r="AC160" s="48">
        <f t="shared" si="43"/>
        <v>340</v>
      </c>
      <c r="AD160" s="51">
        <f t="shared" si="44"/>
        <v>0.8134942403</v>
      </c>
    </row>
    <row r="161">
      <c r="A161" s="110" t="s">
        <v>575</v>
      </c>
      <c r="B161" s="46" t="s">
        <v>1183</v>
      </c>
      <c r="C161" s="47"/>
      <c r="D161" s="38">
        <v>1323.0</v>
      </c>
      <c r="E161" s="38">
        <v>965.0</v>
      </c>
      <c r="F161" s="38">
        <v>191.0</v>
      </c>
      <c r="G161" s="38">
        <v>141.0</v>
      </c>
      <c r="H161" s="38">
        <v>196.0</v>
      </c>
      <c r="I161" s="48">
        <f t="shared" si="31"/>
        <v>2479</v>
      </c>
      <c r="J161" s="48">
        <f t="shared" si="32"/>
        <v>2816</v>
      </c>
      <c r="K161" s="49">
        <f t="shared" si="33"/>
        <v>0.5336829367</v>
      </c>
      <c r="L161" s="49">
        <f t="shared" si="34"/>
        <v>0.3892698669</v>
      </c>
      <c r="M161" s="49">
        <f t="shared" si="35"/>
        <v>0.07704719645</v>
      </c>
      <c r="N161" s="32" t="str">
        <f t="shared" si="36"/>
        <v>Jânio</v>
      </c>
      <c r="O161" s="50" t="s">
        <v>77</v>
      </c>
      <c r="P161" s="38">
        <v>1045.0</v>
      </c>
      <c r="Q161" s="38">
        <v>1234.0</v>
      </c>
      <c r="R161" s="38">
        <v>131.0</v>
      </c>
      <c r="S161" s="48">
        <v>226.0</v>
      </c>
      <c r="T161" s="48">
        <v>180.0</v>
      </c>
      <c r="U161" s="48">
        <f t="shared" si="37"/>
        <v>2410</v>
      </c>
      <c r="V161" s="48">
        <f t="shared" si="38"/>
        <v>2816</v>
      </c>
      <c r="W161" s="49">
        <f t="shared" si="39"/>
        <v>0.4336099585</v>
      </c>
      <c r="X161" s="49">
        <f t="shared" si="40"/>
        <v>0.512033195</v>
      </c>
      <c r="Y161" s="49">
        <f t="shared" si="41"/>
        <v>0.05435684647</v>
      </c>
      <c r="Z161" s="32" t="str">
        <f t="shared" si="42"/>
        <v>Milton</v>
      </c>
      <c r="AA161" s="50" t="s">
        <v>77</v>
      </c>
      <c r="AB161" s="38">
        <v>4157.0</v>
      </c>
      <c r="AC161" s="48">
        <f t="shared" si="43"/>
        <v>1341</v>
      </c>
      <c r="AD161" s="51">
        <f t="shared" si="44"/>
        <v>0.6774115949</v>
      </c>
    </row>
    <row r="162">
      <c r="A162" s="61" t="s">
        <v>578</v>
      </c>
      <c r="B162" s="46" t="s">
        <v>1184</v>
      </c>
      <c r="C162" s="47"/>
      <c r="D162" s="38">
        <v>231.0</v>
      </c>
      <c r="E162" s="38">
        <v>446.0</v>
      </c>
      <c r="F162" s="38">
        <v>21.0</v>
      </c>
      <c r="G162" s="38">
        <v>32.0</v>
      </c>
      <c r="H162" s="38">
        <v>31.0</v>
      </c>
      <c r="I162" s="48">
        <f t="shared" si="31"/>
        <v>698</v>
      </c>
      <c r="J162" s="48">
        <f t="shared" si="32"/>
        <v>761</v>
      </c>
      <c r="K162" s="49">
        <f t="shared" si="33"/>
        <v>0.3309455587</v>
      </c>
      <c r="L162" s="49">
        <f t="shared" si="34"/>
        <v>0.6389684814</v>
      </c>
      <c r="M162" s="49">
        <f t="shared" si="35"/>
        <v>0.03008595989</v>
      </c>
      <c r="N162" s="32" t="str">
        <f t="shared" si="36"/>
        <v>Mal. Lott</v>
      </c>
      <c r="O162" s="50" t="s">
        <v>77</v>
      </c>
      <c r="P162" s="38">
        <v>402.0</v>
      </c>
      <c r="Q162" s="38">
        <v>227.0</v>
      </c>
      <c r="R162" s="38">
        <v>25.0</v>
      </c>
      <c r="S162" s="48">
        <v>80.0</v>
      </c>
      <c r="T162" s="48">
        <v>27.0</v>
      </c>
      <c r="U162" s="48">
        <f t="shared" si="37"/>
        <v>654</v>
      </c>
      <c r="V162" s="48">
        <f t="shared" si="38"/>
        <v>761</v>
      </c>
      <c r="W162" s="49">
        <f t="shared" si="39"/>
        <v>0.6146788991</v>
      </c>
      <c r="X162" s="49">
        <f t="shared" si="40"/>
        <v>0.3470948012</v>
      </c>
      <c r="Y162" s="49">
        <f t="shared" si="41"/>
        <v>0.03822629969</v>
      </c>
      <c r="Z162" s="32" t="str">
        <f t="shared" si="42"/>
        <v>Jango</v>
      </c>
      <c r="AA162" s="50" t="s">
        <v>77</v>
      </c>
      <c r="AB162" s="38">
        <v>1308.0</v>
      </c>
      <c r="AC162" s="48">
        <f t="shared" si="43"/>
        <v>547</v>
      </c>
      <c r="AD162" s="51">
        <f t="shared" si="44"/>
        <v>0.5818042813</v>
      </c>
    </row>
    <row r="163">
      <c r="A163" s="23"/>
      <c r="B163" s="46" t="s">
        <v>1185</v>
      </c>
      <c r="C163" s="47"/>
      <c r="D163" s="38">
        <v>766.0</v>
      </c>
      <c r="E163" s="38">
        <v>445.0</v>
      </c>
      <c r="F163" s="38">
        <v>28.0</v>
      </c>
      <c r="G163" s="38">
        <v>101.0</v>
      </c>
      <c r="H163" s="38">
        <v>0.0</v>
      </c>
      <c r="I163" s="48">
        <f t="shared" si="31"/>
        <v>1239</v>
      </c>
      <c r="J163" s="48">
        <f t="shared" si="32"/>
        <v>1340</v>
      </c>
      <c r="K163" s="49">
        <f t="shared" si="33"/>
        <v>0.6182405165</v>
      </c>
      <c r="L163" s="49">
        <f t="shared" si="34"/>
        <v>0.3591606134</v>
      </c>
      <c r="M163" s="49">
        <f t="shared" si="35"/>
        <v>0.02259887006</v>
      </c>
      <c r="N163" s="32" t="str">
        <f t="shared" si="36"/>
        <v>Jânio</v>
      </c>
      <c r="O163" s="50" t="s">
        <v>77</v>
      </c>
      <c r="P163" s="38">
        <v>462.0</v>
      </c>
      <c r="Q163" s="38">
        <v>739.0</v>
      </c>
      <c r="R163" s="38">
        <v>15.0</v>
      </c>
      <c r="S163" s="48">
        <v>124.0</v>
      </c>
      <c r="T163" s="48">
        <v>0.0</v>
      </c>
      <c r="U163" s="48">
        <f t="shared" si="37"/>
        <v>1216</v>
      </c>
      <c r="V163" s="48">
        <f t="shared" si="38"/>
        <v>1340</v>
      </c>
      <c r="W163" s="49">
        <f t="shared" si="39"/>
        <v>0.3799342105</v>
      </c>
      <c r="X163" s="49">
        <f t="shared" si="40"/>
        <v>0.6077302632</v>
      </c>
      <c r="Y163" s="49">
        <f t="shared" si="41"/>
        <v>0.01233552632</v>
      </c>
      <c r="Z163" s="32" t="str">
        <f t="shared" si="42"/>
        <v>Milton</v>
      </c>
      <c r="AA163" s="50" t="s">
        <v>77</v>
      </c>
      <c r="AB163" s="38">
        <v>2703.0</v>
      </c>
      <c r="AC163" s="48">
        <f t="shared" si="43"/>
        <v>1363</v>
      </c>
      <c r="AD163" s="51">
        <f t="shared" si="44"/>
        <v>0.495745468</v>
      </c>
    </row>
    <row r="164">
      <c r="A164" s="24"/>
      <c r="B164" s="46" t="s">
        <v>1186</v>
      </c>
      <c r="C164" s="47"/>
      <c r="D164" s="38">
        <v>501.0</v>
      </c>
      <c r="E164" s="38">
        <v>725.0</v>
      </c>
      <c r="F164" s="38">
        <v>35.0</v>
      </c>
      <c r="G164" s="38">
        <v>34.0</v>
      </c>
      <c r="H164" s="38">
        <v>11.0</v>
      </c>
      <c r="I164" s="48">
        <f t="shared" si="31"/>
        <v>1261</v>
      </c>
      <c r="J164" s="48">
        <f t="shared" si="32"/>
        <v>1306</v>
      </c>
      <c r="K164" s="49">
        <f t="shared" si="33"/>
        <v>0.3973037272</v>
      </c>
      <c r="L164" s="49">
        <f t="shared" si="34"/>
        <v>0.5749405234</v>
      </c>
      <c r="M164" s="49">
        <f t="shared" si="35"/>
        <v>0.02775574941</v>
      </c>
      <c r="N164" s="32" t="str">
        <f t="shared" si="36"/>
        <v>Mal. Lott</v>
      </c>
      <c r="O164" s="50" t="s">
        <v>77</v>
      </c>
      <c r="P164" s="38">
        <v>738.0</v>
      </c>
      <c r="Q164" s="38">
        <v>491.0</v>
      </c>
      <c r="R164" s="38">
        <v>16.0</v>
      </c>
      <c r="S164" s="38">
        <v>49.0</v>
      </c>
      <c r="T164" s="38">
        <v>12.0</v>
      </c>
      <c r="U164" s="48">
        <f t="shared" si="37"/>
        <v>1245</v>
      </c>
      <c r="V164" s="48">
        <f t="shared" si="38"/>
        <v>1306</v>
      </c>
      <c r="W164" s="49">
        <f t="shared" si="39"/>
        <v>0.5927710843</v>
      </c>
      <c r="X164" s="49">
        <f t="shared" si="40"/>
        <v>0.39437751</v>
      </c>
      <c r="Y164" s="49">
        <f t="shared" si="41"/>
        <v>0.01285140562</v>
      </c>
      <c r="Z164" s="32" t="str">
        <f t="shared" si="42"/>
        <v>Jango</v>
      </c>
      <c r="AA164" s="50" t="s">
        <v>77</v>
      </c>
      <c r="AB164" s="38">
        <v>2020.0</v>
      </c>
      <c r="AC164" s="48">
        <f t="shared" si="43"/>
        <v>714</v>
      </c>
      <c r="AD164" s="51">
        <f t="shared" si="44"/>
        <v>0.6465346535</v>
      </c>
    </row>
    <row r="165">
      <c r="A165" s="110" t="s">
        <v>580</v>
      </c>
      <c r="B165" s="46" t="s">
        <v>1187</v>
      </c>
      <c r="C165" s="47"/>
      <c r="D165" s="38">
        <v>1177.0</v>
      </c>
      <c r="E165" s="38">
        <v>1611.0</v>
      </c>
      <c r="F165" s="38">
        <v>138.0</v>
      </c>
      <c r="G165" s="38">
        <v>130.0</v>
      </c>
      <c r="H165" s="38">
        <v>97.0</v>
      </c>
      <c r="I165" s="48">
        <f t="shared" si="31"/>
        <v>2926</v>
      </c>
      <c r="J165" s="48">
        <f t="shared" si="32"/>
        <v>3153</v>
      </c>
      <c r="K165" s="49">
        <f t="shared" si="33"/>
        <v>0.4022556391</v>
      </c>
      <c r="L165" s="49">
        <f t="shared" si="34"/>
        <v>0.5505809979</v>
      </c>
      <c r="M165" s="49">
        <f t="shared" si="35"/>
        <v>0.04716336295</v>
      </c>
      <c r="N165" s="32" t="str">
        <f t="shared" si="36"/>
        <v>Mal. Lott</v>
      </c>
      <c r="O165" s="50" t="s">
        <v>77</v>
      </c>
      <c r="P165" s="38">
        <v>1532.0</v>
      </c>
      <c r="Q165" s="38">
        <v>1115.0</v>
      </c>
      <c r="R165" s="38">
        <v>75.0</v>
      </c>
      <c r="S165" s="38">
        <v>368.0</v>
      </c>
      <c r="T165" s="38">
        <v>63.0</v>
      </c>
      <c r="U165" s="48">
        <f t="shared" si="37"/>
        <v>2722</v>
      </c>
      <c r="V165" s="48">
        <f t="shared" si="38"/>
        <v>3153</v>
      </c>
      <c r="W165" s="49">
        <f t="shared" si="39"/>
        <v>0.5628214548</v>
      </c>
      <c r="X165" s="49">
        <f t="shared" si="40"/>
        <v>0.4096252755</v>
      </c>
      <c r="Y165" s="49">
        <f t="shared" si="41"/>
        <v>0.02755326965</v>
      </c>
      <c r="Z165" s="32" t="str">
        <f t="shared" si="42"/>
        <v>Jango</v>
      </c>
      <c r="AA165" s="50" t="s">
        <v>77</v>
      </c>
      <c r="AB165" s="38">
        <v>4657.0</v>
      </c>
      <c r="AC165" s="48">
        <f t="shared" si="43"/>
        <v>1504</v>
      </c>
      <c r="AD165" s="51">
        <f t="shared" si="44"/>
        <v>0.6770453081</v>
      </c>
    </row>
    <row r="166">
      <c r="A166" s="61" t="s">
        <v>585</v>
      </c>
      <c r="B166" s="46" t="s">
        <v>1188</v>
      </c>
      <c r="C166" s="47"/>
      <c r="D166" s="38">
        <v>1173.0</v>
      </c>
      <c r="E166" s="38">
        <v>135.0</v>
      </c>
      <c r="F166" s="38">
        <v>24.0</v>
      </c>
      <c r="G166" s="38">
        <v>43.0</v>
      </c>
      <c r="H166" s="38">
        <v>43.0</v>
      </c>
      <c r="I166" s="48">
        <f t="shared" si="31"/>
        <v>1332</v>
      </c>
      <c r="J166" s="48">
        <f t="shared" si="32"/>
        <v>1418</v>
      </c>
      <c r="K166" s="49">
        <f t="shared" si="33"/>
        <v>0.8806306306</v>
      </c>
      <c r="L166" s="49">
        <f t="shared" si="34"/>
        <v>0.1013513514</v>
      </c>
      <c r="M166" s="49">
        <f t="shared" si="35"/>
        <v>0.01801801802</v>
      </c>
      <c r="N166" s="32" t="str">
        <f t="shared" si="36"/>
        <v>Jânio</v>
      </c>
      <c r="O166" s="50" t="s">
        <v>77</v>
      </c>
      <c r="P166" s="38">
        <v>130.0</v>
      </c>
      <c r="Q166" s="38">
        <v>1128.0</v>
      </c>
      <c r="R166" s="38">
        <v>46.0</v>
      </c>
      <c r="S166" s="38">
        <v>92.0</v>
      </c>
      <c r="T166" s="38">
        <v>22.0</v>
      </c>
      <c r="U166" s="48">
        <f t="shared" si="37"/>
        <v>1304</v>
      </c>
      <c r="V166" s="48">
        <f t="shared" si="38"/>
        <v>1418</v>
      </c>
      <c r="W166" s="49">
        <f t="shared" si="39"/>
        <v>0.09969325153</v>
      </c>
      <c r="X166" s="49">
        <f t="shared" si="40"/>
        <v>0.8650306748</v>
      </c>
      <c r="Y166" s="49">
        <f t="shared" si="41"/>
        <v>0.03527607362</v>
      </c>
      <c r="Z166" s="32" t="str">
        <f t="shared" si="42"/>
        <v>Milton</v>
      </c>
      <c r="AA166" s="50" t="s">
        <v>77</v>
      </c>
      <c r="AB166" s="38">
        <v>3905.0</v>
      </c>
      <c r="AC166" s="48">
        <f t="shared" si="43"/>
        <v>2487</v>
      </c>
      <c r="AD166" s="51">
        <f t="shared" si="44"/>
        <v>0.3631241997</v>
      </c>
    </row>
    <row r="167">
      <c r="A167" s="24"/>
      <c r="B167" s="46" t="s">
        <v>1189</v>
      </c>
      <c r="C167" s="47"/>
      <c r="D167" s="38">
        <v>189.0</v>
      </c>
      <c r="E167" s="38">
        <v>302.0</v>
      </c>
      <c r="F167" s="38">
        <v>37.0</v>
      </c>
      <c r="G167" s="38">
        <v>9.0</v>
      </c>
      <c r="H167" s="38">
        <v>16.0</v>
      </c>
      <c r="I167" s="48">
        <f t="shared" si="31"/>
        <v>528</v>
      </c>
      <c r="J167" s="48">
        <f t="shared" si="32"/>
        <v>553</v>
      </c>
      <c r="K167" s="49">
        <f t="shared" si="33"/>
        <v>0.3579545455</v>
      </c>
      <c r="L167" s="49">
        <f t="shared" si="34"/>
        <v>0.571969697</v>
      </c>
      <c r="M167" s="49">
        <f t="shared" si="35"/>
        <v>0.07007575758</v>
      </c>
      <c r="N167" s="32" t="str">
        <f t="shared" si="36"/>
        <v>Mal. Lott</v>
      </c>
      <c r="O167" s="50" t="s">
        <v>77</v>
      </c>
      <c r="P167" s="38">
        <v>282.0</v>
      </c>
      <c r="Q167" s="38">
        <v>200.0</v>
      </c>
      <c r="R167" s="38">
        <v>26.0</v>
      </c>
      <c r="S167" s="38">
        <v>33.0</v>
      </c>
      <c r="T167" s="38">
        <v>12.0</v>
      </c>
      <c r="U167" s="48">
        <f t="shared" si="37"/>
        <v>508</v>
      </c>
      <c r="V167" s="48">
        <f t="shared" si="38"/>
        <v>553</v>
      </c>
      <c r="W167" s="49">
        <f t="shared" si="39"/>
        <v>0.5551181102</v>
      </c>
      <c r="X167" s="49">
        <f t="shared" si="40"/>
        <v>0.3937007874</v>
      </c>
      <c r="Y167" s="49">
        <f t="shared" si="41"/>
        <v>0.05118110236</v>
      </c>
      <c r="Z167" s="32" t="str">
        <f t="shared" si="42"/>
        <v>Jango</v>
      </c>
      <c r="AA167" s="50" t="s">
        <v>77</v>
      </c>
      <c r="AB167" s="38">
        <v>1340.0</v>
      </c>
      <c r="AC167" s="48">
        <f t="shared" si="43"/>
        <v>787</v>
      </c>
      <c r="AD167" s="51">
        <f t="shared" si="44"/>
        <v>0.4126865672</v>
      </c>
    </row>
    <row r="168">
      <c r="A168" s="61" t="s">
        <v>410</v>
      </c>
      <c r="B168" s="46" t="s">
        <v>1190</v>
      </c>
      <c r="C168" s="47"/>
      <c r="D168" s="38">
        <v>1127.0</v>
      </c>
      <c r="E168" s="38">
        <v>674.0</v>
      </c>
      <c r="F168" s="38">
        <v>37.0</v>
      </c>
      <c r="G168" s="38">
        <v>53.0</v>
      </c>
      <c r="H168" s="38">
        <v>55.0</v>
      </c>
      <c r="I168" s="48">
        <f t="shared" si="31"/>
        <v>1838</v>
      </c>
      <c r="J168" s="48">
        <f t="shared" si="32"/>
        <v>1946</v>
      </c>
      <c r="K168" s="49">
        <f t="shared" si="33"/>
        <v>0.6131664853</v>
      </c>
      <c r="L168" s="49">
        <f t="shared" si="34"/>
        <v>0.366702938</v>
      </c>
      <c r="M168" s="49">
        <f t="shared" si="35"/>
        <v>0.02013057671</v>
      </c>
      <c r="N168" s="32" t="str">
        <f t="shared" si="36"/>
        <v>Jânio</v>
      </c>
      <c r="O168" s="50" t="s">
        <v>77</v>
      </c>
      <c r="P168" s="38">
        <v>658.0</v>
      </c>
      <c r="Q168" s="38">
        <v>1072.0</v>
      </c>
      <c r="R168" s="38">
        <v>72.0</v>
      </c>
      <c r="S168" s="38">
        <v>90.0</v>
      </c>
      <c r="T168" s="38">
        <v>54.0</v>
      </c>
      <c r="U168" s="48">
        <f t="shared" si="37"/>
        <v>1802</v>
      </c>
      <c r="V168" s="48">
        <f t="shared" si="38"/>
        <v>1946</v>
      </c>
      <c r="W168" s="49">
        <f t="shared" si="39"/>
        <v>0.3651498335</v>
      </c>
      <c r="X168" s="49">
        <f t="shared" si="40"/>
        <v>0.5948945616</v>
      </c>
      <c r="Y168" s="49">
        <f t="shared" si="41"/>
        <v>0.03995560488</v>
      </c>
      <c r="Z168" s="32" t="str">
        <f t="shared" si="42"/>
        <v>Milton</v>
      </c>
      <c r="AA168" s="50" t="s">
        <v>77</v>
      </c>
      <c r="AB168" s="38">
        <v>3039.0</v>
      </c>
      <c r="AC168" s="48">
        <f t="shared" si="43"/>
        <v>1093</v>
      </c>
      <c r="AD168" s="51">
        <f t="shared" si="44"/>
        <v>0.6403422178</v>
      </c>
    </row>
    <row r="169">
      <c r="A169" s="24"/>
      <c r="B169" s="46" t="s">
        <v>1191</v>
      </c>
      <c r="C169" s="47"/>
      <c r="D169" s="38">
        <v>1338.0</v>
      </c>
      <c r="E169" s="38">
        <v>489.0</v>
      </c>
      <c r="F169" s="38">
        <v>46.0</v>
      </c>
      <c r="G169" s="38">
        <v>28.0</v>
      </c>
      <c r="H169" s="38">
        <v>53.0</v>
      </c>
      <c r="I169" s="48">
        <f t="shared" si="31"/>
        <v>1873</v>
      </c>
      <c r="J169" s="48">
        <f t="shared" si="32"/>
        <v>1954</v>
      </c>
      <c r="K169" s="49">
        <f t="shared" si="33"/>
        <v>0.7143619861</v>
      </c>
      <c r="L169" s="49">
        <f t="shared" si="34"/>
        <v>0.2610784837</v>
      </c>
      <c r="M169" s="49">
        <f t="shared" si="35"/>
        <v>0.02455953017</v>
      </c>
      <c r="N169" s="32" t="str">
        <f t="shared" si="36"/>
        <v>Jânio</v>
      </c>
      <c r="O169" s="50" t="s">
        <v>77</v>
      </c>
      <c r="P169" s="38">
        <v>989.0</v>
      </c>
      <c r="Q169" s="38">
        <v>851.0</v>
      </c>
      <c r="R169" s="38">
        <v>24.0</v>
      </c>
      <c r="S169" s="38">
        <v>47.0</v>
      </c>
      <c r="T169" s="38">
        <v>43.0</v>
      </c>
      <c r="U169" s="48">
        <f t="shared" si="37"/>
        <v>1864</v>
      </c>
      <c r="V169" s="48">
        <f t="shared" si="38"/>
        <v>1954</v>
      </c>
      <c r="W169" s="49">
        <f t="shared" si="39"/>
        <v>0.5305793991</v>
      </c>
      <c r="X169" s="49">
        <f t="shared" si="40"/>
        <v>0.4565450644</v>
      </c>
      <c r="Y169" s="49">
        <f t="shared" si="41"/>
        <v>0.01287553648</v>
      </c>
      <c r="Z169" s="32" t="str">
        <f t="shared" si="42"/>
        <v>Jango</v>
      </c>
      <c r="AA169" s="50" t="s">
        <v>77</v>
      </c>
      <c r="AB169" s="38">
        <v>3458.0</v>
      </c>
      <c r="AC169" s="48">
        <f t="shared" si="43"/>
        <v>1504</v>
      </c>
      <c r="AD169" s="51">
        <f t="shared" si="44"/>
        <v>0.5650665124</v>
      </c>
    </row>
    <row r="170">
      <c r="A170" s="110" t="s">
        <v>412</v>
      </c>
      <c r="B170" s="46" t="s">
        <v>1192</v>
      </c>
      <c r="C170" s="47"/>
      <c r="D170" s="38">
        <v>666.0</v>
      </c>
      <c r="E170" s="38">
        <v>728.0</v>
      </c>
      <c r="F170" s="38">
        <v>62.0</v>
      </c>
      <c r="G170" s="38">
        <v>44.0</v>
      </c>
      <c r="H170" s="38">
        <v>63.0</v>
      </c>
      <c r="I170" s="48">
        <f t="shared" si="31"/>
        <v>1456</v>
      </c>
      <c r="J170" s="48">
        <f t="shared" si="32"/>
        <v>1563</v>
      </c>
      <c r="K170" s="49">
        <f t="shared" si="33"/>
        <v>0.4574175824</v>
      </c>
      <c r="L170" s="49">
        <f t="shared" si="34"/>
        <v>0.5</v>
      </c>
      <c r="M170" s="49">
        <f t="shared" si="35"/>
        <v>0.04258241758</v>
      </c>
      <c r="N170" s="32" t="str">
        <f t="shared" si="36"/>
        <v>Mal. Lott</v>
      </c>
      <c r="O170" s="50" t="s">
        <v>77</v>
      </c>
      <c r="P170" s="38">
        <v>720.0</v>
      </c>
      <c r="Q170" s="38">
        <v>688.0</v>
      </c>
      <c r="R170" s="38">
        <v>22.0</v>
      </c>
      <c r="S170" s="38">
        <v>75.0</v>
      </c>
      <c r="T170" s="38">
        <v>58.0</v>
      </c>
      <c r="U170" s="48">
        <f t="shared" si="37"/>
        <v>1430</v>
      </c>
      <c r="V170" s="48">
        <f t="shared" si="38"/>
        <v>1563</v>
      </c>
      <c r="W170" s="49">
        <f t="shared" si="39"/>
        <v>0.5034965035</v>
      </c>
      <c r="X170" s="49">
        <f t="shared" si="40"/>
        <v>0.4811188811</v>
      </c>
      <c r="Y170" s="49">
        <f t="shared" si="41"/>
        <v>0.01538461538</v>
      </c>
      <c r="Z170" s="32" t="str">
        <f t="shared" si="42"/>
        <v>Jango</v>
      </c>
      <c r="AA170" s="50" t="s">
        <v>77</v>
      </c>
      <c r="AB170" s="38">
        <v>2874.0</v>
      </c>
      <c r="AC170" s="48">
        <f t="shared" si="43"/>
        <v>1311</v>
      </c>
      <c r="AD170" s="51">
        <f t="shared" si="44"/>
        <v>0.5438413361</v>
      </c>
    </row>
    <row r="171">
      <c r="A171" s="61" t="s">
        <v>846</v>
      </c>
      <c r="B171" s="46" t="s">
        <v>1193</v>
      </c>
      <c r="C171" s="47"/>
      <c r="D171" s="38">
        <v>832.0</v>
      </c>
      <c r="E171" s="38">
        <v>506.0</v>
      </c>
      <c r="F171" s="38">
        <v>87.0</v>
      </c>
      <c r="G171" s="38">
        <v>49.0</v>
      </c>
      <c r="H171" s="38">
        <v>51.0</v>
      </c>
      <c r="I171" s="48">
        <f t="shared" si="31"/>
        <v>1425</v>
      </c>
      <c r="J171" s="48">
        <f t="shared" si="32"/>
        <v>1525</v>
      </c>
      <c r="K171" s="49">
        <f t="shared" si="33"/>
        <v>0.5838596491</v>
      </c>
      <c r="L171" s="49">
        <f t="shared" si="34"/>
        <v>0.3550877193</v>
      </c>
      <c r="M171" s="49">
        <f t="shared" si="35"/>
        <v>0.06105263158</v>
      </c>
      <c r="N171" s="32" t="str">
        <f t="shared" si="36"/>
        <v>Jânio</v>
      </c>
      <c r="O171" s="50" t="s">
        <v>77</v>
      </c>
      <c r="P171" s="38">
        <v>515.0</v>
      </c>
      <c r="Q171" s="38">
        <v>751.0</v>
      </c>
      <c r="R171" s="38">
        <v>75.0</v>
      </c>
      <c r="S171" s="38">
        <v>154.0</v>
      </c>
      <c r="T171" s="38">
        <v>30.0</v>
      </c>
      <c r="U171" s="48">
        <f t="shared" si="37"/>
        <v>1341</v>
      </c>
      <c r="V171" s="48">
        <f t="shared" si="38"/>
        <v>1525</v>
      </c>
      <c r="W171" s="49">
        <f t="shared" si="39"/>
        <v>0.3840417599</v>
      </c>
      <c r="X171" s="49">
        <f t="shared" si="40"/>
        <v>0.5600298285</v>
      </c>
      <c r="Y171" s="49">
        <f t="shared" si="41"/>
        <v>0.05592841163</v>
      </c>
      <c r="Z171" s="32" t="str">
        <f t="shared" si="42"/>
        <v>Milton</v>
      </c>
      <c r="AA171" s="50" t="s">
        <v>77</v>
      </c>
      <c r="AB171" s="38">
        <v>1985.0</v>
      </c>
      <c r="AC171" s="48">
        <f t="shared" si="43"/>
        <v>460</v>
      </c>
      <c r="AD171" s="51">
        <f t="shared" si="44"/>
        <v>0.7682619647</v>
      </c>
    </row>
    <row r="172">
      <c r="A172" s="24"/>
      <c r="B172" s="46" t="s">
        <v>1194</v>
      </c>
      <c r="C172" s="47"/>
      <c r="D172" s="38">
        <v>663.0</v>
      </c>
      <c r="E172" s="38">
        <v>1384.0</v>
      </c>
      <c r="F172" s="38">
        <v>94.0</v>
      </c>
      <c r="G172" s="38">
        <v>85.0</v>
      </c>
      <c r="H172" s="38">
        <v>88.0</v>
      </c>
      <c r="I172" s="48">
        <f t="shared" si="31"/>
        <v>2141</v>
      </c>
      <c r="J172" s="48">
        <f t="shared" si="32"/>
        <v>2314</v>
      </c>
      <c r="K172" s="49">
        <f t="shared" si="33"/>
        <v>0.3096683793</v>
      </c>
      <c r="L172" s="49">
        <f t="shared" si="34"/>
        <v>0.6464269033</v>
      </c>
      <c r="M172" s="49">
        <f t="shared" si="35"/>
        <v>0.04390471742</v>
      </c>
      <c r="N172" s="32" t="str">
        <f t="shared" si="36"/>
        <v>Mal. Lott</v>
      </c>
      <c r="O172" s="50" t="s">
        <v>77</v>
      </c>
      <c r="P172" s="38">
        <v>1345.0</v>
      </c>
      <c r="Q172" s="38">
        <v>553.0</v>
      </c>
      <c r="R172" s="38">
        <v>159.0</v>
      </c>
      <c r="S172" s="38">
        <v>181.0</v>
      </c>
      <c r="T172" s="38">
        <v>76.0</v>
      </c>
      <c r="U172" s="48">
        <f t="shared" si="37"/>
        <v>2057</v>
      </c>
      <c r="V172" s="48">
        <f t="shared" si="38"/>
        <v>2314</v>
      </c>
      <c r="W172" s="49">
        <f t="shared" si="39"/>
        <v>0.6538648517</v>
      </c>
      <c r="X172" s="49">
        <f t="shared" si="40"/>
        <v>0.2688381138</v>
      </c>
      <c r="Y172" s="49">
        <f t="shared" si="41"/>
        <v>0.07729703452</v>
      </c>
      <c r="Z172" s="32" t="str">
        <f t="shared" si="42"/>
        <v>Jango</v>
      </c>
      <c r="AA172" s="50" t="s">
        <v>77</v>
      </c>
      <c r="AB172" s="38">
        <v>3350.0</v>
      </c>
      <c r="AC172" s="48">
        <f t="shared" si="43"/>
        <v>1036</v>
      </c>
      <c r="AD172" s="51">
        <f t="shared" si="44"/>
        <v>0.6907462687</v>
      </c>
    </row>
    <row r="173">
      <c r="A173" s="61" t="s">
        <v>848</v>
      </c>
      <c r="B173" s="46" t="s">
        <v>1195</v>
      </c>
      <c r="C173" s="47"/>
      <c r="D173" s="38">
        <v>1211.0</v>
      </c>
      <c r="E173" s="38">
        <v>574.0</v>
      </c>
      <c r="F173" s="38">
        <v>96.0</v>
      </c>
      <c r="G173" s="38">
        <v>73.0</v>
      </c>
      <c r="H173" s="38">
        <v>48.0</v>
      </c>
      <c r="I173" s="48">
        <f t="shared" si="31"/>
        <v>1881</v>
      </c>
      <c r="J173" s="48">
        <f t="shared" si="32"/>
        <v>2002</v>
      </c>
      <c r="K173" s="49">
        <f t="shared" si="33"/>
        <v>0.6438064859</v>
      </c>
      <c r="L173" s="49">
        <f t="shared" si="34"/>
        <v>0.3051568315</v>
      </c>
      <c r="M173" s="49">
        <f t="shared" si="35"/>
        <v>0.05103668262</v>
      </c>
      <c r="N173" s="32" t="str">
        <f t="shared" si="36"/>
        <v>Jânio</v>
      </c>
      <c r="O173" s="50" t="s">
        <v>77</v>
      </c>
      <c r="P173" s="38">
        <v>809.0</v>
      </c>
      <c r="Q173" s="38">
        <v>814.0</v>
      </c>
      <c r="R173" s="38">
        <v>199.0</v>
      </c>
      <c r="S173" s="38">
        <v>138.0</v>
      </c>
      <c r="T173" s="38">
        <v>42.0</v>
      </c>
      <c r="U173" s="48">
        <f t="shared" si="37"/>
        <v>1822</v>
      </c>
      <c r="V173" s="48">
        <f t="shared" si="38"/>
        <v>2002</v>
      </c>
      <c r="W173" s="49">
        <f t="shared" si="39"/>
        <v>0.4440175631</v>
      </c>
      <c r="X173" s="49">
        <f t="shared" si="40"/>
        <v>0.4467618002</v>
      </c>
      <c r="Y173" s="49">
        <f t="shared" si="41"/>
        <v>0.1092206367</v>
      </c>
      <c r="Z173" s="32" t="str">
        <f t="shared" si="42"/>
        <v>Milton</v>
      </c>
      <c r="AA173" s="50" t="s">
        <v>77</v>
      </c>
      <c r="AB173" s="38">
        <v>3672.0</v>
      </c>
      <c r="AC173" s="48">
        <f t="shared" si="43"/>
        <v>1670</v>
      </c>
      <c r="AD173" s="51">
        <f t="shared" si="44"/>
        <v>0.5452069717</v>
      </c>
    </row>
    <row r="174">
      <c r="A174" s="24"/>
      <c r="B174" s="46" t="s">
        <v>1196</v>
      </c>
      <c r="C174" s="47"/>
      <c r="D174" s="38">
        <v>838.0</v>
      </c>
      <c r="E174" s="38">
        <v>641.0</v>
      </c>
      <c r="F174" s="38">
        <v>84.0</v>
      </c>
      <c r="G174" s="38">
        <v>41.0</v>
      </c>
      <c r="H174" s="38">
        <v>61.0</v>
      </c>
      <c r="I174" s="48">
        <f t="shared" si="31"/>
        <v>1563</v>
      </c>
      <c r="J174" s="48">
        <f t="shared" si="32"/>
        <v>1665</v>
      </c>
      <c r="K174" s="49">
        <f t="shared" si="33"/>
        <v>0.5361484325</v>
      </c>
      <c r="L174" s="49">
        <f t="shared" si="34"/>
        <v>0.4101087652</v>
      </c>
      <c r="M174" s="49">
        <f t="shared" si="35"/>
        <v>0.0537428023</v>
      </c>
      <c r="N174" s="32" t="str">
        <f t="shared" si="36"/>
        <v>Jânio</v>
      </c>
      <c r="O174" s="50" t="s">
        <v>77</v>
      </c>
      <c r="P174" s="38">
        <v>809.0</v>
      </c>
      <c r="Q174" s="38">
        <v>624.0</v>
      </c>
      <c r="R174" s="38">
        <v>103.0</v>
      </c>
      <c r="S174" s="38">
        <v>97.0</v>
      </c>
      <c r="T174" s="38">
        <v>32.0</v>
      </c>
      <c r="U174" s="48">
        <f t="shared" si="37"/>
        <v>1536</v>
      </c>
      <c r="V174" s="48">
        <f t="shared" si="38"/>
        <v>1665</v>
      </c>
      <c r="W174" s="49">
        <f t="shared" si="39"/>
        <v>0.5266927083</v>
      </c>
      <c r="X174" s="49">
        <f t="shared" si="40"/>
        <v>0.40625</v>
      </c>
      <c r="Y174" s="49">
        <f t="shared" si="41"/>
        <v>0.06705729167</v>
      </c>
      <c r="Z174" s="32" t="str">
        <f t="shared" si="42"/>
        <v>Jango</v>
      </c>
      <c r="AA174" s="50" t="s">
        <v>77</v>
      </c>
      <c r="AB174" s="38">
        <v>2792.0</v>
      </c>
      <c r="AC174" s="48">
        <f t="shared" si="43"/>
        <v>1127</v>
      </c>
      <c r="AD174" s="51">
        <f t="shared" si="44"/>
        <v>0.5963467049</v>
      </c>
    </row>
    <row r="175">
      <c r="A175" s="110" t="s">
        <v>850</v>
      </c>
      <c r="B175" s="46" t="s">
        <v>1197</v>
      </c>
      <c r="C175" s="47"/>
      <c r="D175" s="38">
        <v>980.0</v>
      </c>
      <c r="E175" s="38">
        <v>769.0</v>
      </c>
      <c r="F175" s="38">
        <v>66.0</v>
      </c>
      <c r="G175" s="38">
        <v>88.0</v>
      </c>
      <c r="H175" s="38">
        <v>90.0</v>
      </c>
      <c r="I175" s="48">
        <f t="shared" si="31"/>
        <v>1815</v>
      </c>
      <c r="J175" s="48">
        <f t="shared" si="32"/>
        <v>1993</v>
      </c>
      <c r="K175" s="49">
        <f t="shared" si="33"/>
        <v>0.5399449036</v>
      </c>
      <c r="L175" s="49">
        <f t="shared" si="34"/>
        <v>0.4236914601</v>
      </c>
      <c r="M175" s="49">
        <f t="shared" si="35"/>
        <v>0.03636363636</v>
      </c>
      <c r="N175" s="32" t="str">
        <f t="shared" si="36"/>
        <v>Jânio</v>
      </c>
      <c r="O175" s="50" t="s">
        <v>77</v>
      </c>
      <c r="P175" s="38">
        <v>725.0</v>
      </c>
      <c r="Q175" s="38">
        <v>867.0</v>
      </c>
      <c r="R175" s="38">
        <v>130.0</v>
      </c>
      <c r="S175" s="38">
        <v>192.0</v>
      </c>
      <c r="T175" s="38">
        <v>79.0</v>
      </c>
      <c r="U175" s="48">
        <f t="shared" si="37"/>
        <v>1722</v>
      </c>
      <c r="V175" s="48">
        <f t="shared" si="38"/>
        <v>1993</v>
      </c>
      <c r="W175" s="49">
        <f t="shared" si="39"/>
        <v>0.4210220674</v>
      </c>
      <c r="X175" s="49">
        <f t="shared" si="40"/>
        <v>0.5034843206</v>
      </c>
      <c r="Y175" s="49">
        <f t="shared" si="41"/>
        <v>0.07549361208</v>
      </c>
      <c r="Z175" s="32" t="str">
        <f t="shared" si="42"/>
        <v>Milton</v>
      </c>
      <c r="AA175" s="50" t="s">
        <v>77</v>
      </c>
      <c r="AB175" s="38">
        <v>3493.0</v>
      </c>
      <c r="AC175" s="48">
        <f t="shared" si="43"/>
        <v>1500</v>
      </c>
      <c r="AD175" s="51">
        <f t="shared" si="44"/>
        <v>0.5705697109</v>
      </c>
    </row>
    <row r="176">
      <c r="A176" s="61" t="s">
        <v>852</v>
      </c>
      <c r="B176" s="46" t="s">
        <v>1198</v>
      </c>
      <c r="C176" s="47"/>
      <c r="D176" s="38">
        <v>1918.0</v>
      </c>
      <c r="E176" s="38">
        <v>902.0</v>
      </c>
      <c r="F176" s="38">
        <v>104.0</v>
      </c>
      <c r="G176" s="38">
        <v>131.0</v>
      </c>
      <c r="H176" s="38">
        <v>122.0</v>
      </c>
      <c r="I176" s="48">
        <f t="shared" si="31"/>
        <v>2924</v>
      </c>
      <c r="J176" s="48">
        <f t="shared" si="32"/>
        <v>3177</v>
      </c>
      <c r="K176" s="49">
        <f t="shared" si="33"/>
        <v>0.6559507524</v>
      </c>
      <c r="L176" s="49">
        <f t="shared" si="34"/>
        <v>0.3084815321</v>
      </c>
      <c r="M176" s="49">
        <f t="shared" si="35"/>
        <v>0.03556771546</v>
      </c>
      <c r="N176" s="32" t="str">
        <f t="shared" si="36"/>
        <v>Jânio</v>
      </c>
      <c r="O176" s="50" t="s">
        <v>77</v>
      </c>
      <c r="P176" s="38">
        <v>869.0</v>
      </c>
      <c r="Q176" s="38">
        <v>1846.0</v>
      </c>
      <c r="R176" s="38">
        <v>119.0</v>
      </c>
      <c r="S176" s="38">
        <v>263.0</v>
      </c>
      <c r="T176" s="38">
        <v>80.0</v>
      </c>
      <c r="U176" s="48">
        <f t="shared" si="37"/>
        <v>2834</v>
      </c>
      <c r="V176" s="48">
        <f t="shared" si="38"/>
        <v>3177</v>
      </c>
      <c r="W176" s="49">
        <f t="shared" si="39"/>
        <v>0.3066337332</v>
      </c>
      <c r="X176" s="49">
        <f t="shared" si="40"/>
        <v>0.6513761468</v>
      </c>
      <c r="Y176" s="49">
        <f t="shared" si="41"/>
        <v>0.04199011997</v>
      </c>
      <c r="Z176" s="32" t="str">
        <f t="shared" si="42"/>
        <v>Milton</v>
      </c>
      <c r="AA176" s="50" t="s">
        <v>77</v>
      </c>
      <c r="AB176" s="38">
        <v>5253.0</v>
      </c>
      <c r="AC176" s="48">
        <f t="shared" si="43"/>
        <v>2076</v>
      </c>
      <c r="AD176" s="51">
        <f t="shared" si="44"/>
        <v>0.6047972587</v>
      </c>
    </row>
    <row r="177">
      <c r="A177" s="24"/>
      <c r="B177" s="46" t="s">
        <v>1199</v>
      </c>
      <c r="C177" s="47"/>
      <c r="D177" s="38">
        <v>594.0</v>
      </c>
      <c r="E177" s="38">
        <v>53.0</v>
      </c>
      <c r="F177" s="38">
        <v>8.0</v>
      </c>
      <c r="G177" s="38">
        <v>15.0</v>
      </c>
      <c r="H177" s="38">
        <v>20.0</v>
      </c>
      <c r="I177" s="48">
        <f t="shared" si="31"/>
        <v>655</v>
      </c>
      <c r="J177" s="48">
        <f t="shared" si="32"/>
        <v>690</v>
      </c>
      <c r="K177" s="49">
        <f t="shared" si="33"/>
        <v>0.906870229</v>
      </c>
      <c r="L177" s="49">
        <f t="shared" si="34"/>
        <v>0.08091603053</v>
      </c>
      <c r="M177" s="49">
        <f t="shared" si="35"/>
        <v>0.01221374046</v>
      </c>
      <c r="N177" s="32" t="str">
        <f t="shared" si="36"/>
        <v>Jânio</v>
      </c>
      <c r="O177" s="50" t="s">
        <v>77</v>
      </c>
      <c r="P177" s="38">
        <v>57.0</v>
      </c>
      <c r="Q177" s="38">
        <v>559.0</v>
      </c>
      <c r="R177" s="38">
        <v>18.0</v>
      </c>
      <c r="S177" s="38">
        <v>47.0</v>
      </c>
      <c r="T177" s="38">
        <v>9.0</v>
      </c>
      <c r="U177" s="48">
        <f t="shared" si="37"/>
        <v>634</v>
      </c>
      <c r="V177" s="48">
        <f t="shared" si="38"/>
        <v>690</v>
      </c>
      <c r="W177" s="49">
        <f t="shared" si="39"/>
        <v>0.08990536278</v>
      </c>
      <c r="X177" s="49">
        <f t="shared" si="40"/>
        <v>0.88170347</v>
      </c>
      <c r="Y177" s="49">
        <f t="shared" si="41"/>
        <v>0.02839116719</v>
      </c>
      <c r="Z177" s="32" t="str">
        <f t="shared" si="42"/>
        <v>Milton</v>
      </c>
      <c r="AA177" s="50" t="s">
        <v>77</v>
      </c>
      <c r="AB177" s="38">
        <v>1874.0</v>
      </c>
      <c r="AC177" s="48">
        <f t="shared" si="43"/>
        <v>1184</v>
      </c>
      <c r="AD177" s="51">
        <f t="shared" si="44"/>
        <v>0.3681963714</v>
      </c>
    </row>
    <row r="178">
      <c r="A178" s="110" t="s">
        <v>854</v>
      </c>
      <c r="B178" s="46" t="s">
        <v>1200</v>
      </c>
      <c r="C178" s="47"/>
      <c r="D178" s="38">
        <v>1843.0</v>
      </c>
      <c r="E178" s="38">
        <v>764.0</v>
      </c>
      <c r="F178" s="38">
        <v>140.0</v>
      </c>
      <c r="G178" s="38">
        <v>290.0</v>
      </c>
      <c r="H178" s="38">
        <v>162.0</v>
      </c>
      <c r="I178" s="48">
        <f t="shared" si="31"/>
        <v>2747</v>
      </c>
      <c r="J178" s="48">
        <f t="shared" si="32"/>
        <v>3199</v>
      </c>
      <c r="K178" s="49">
        <f t="shared" si="33"/>
        <v>0.6709137241</v>
      </c>
      <c r="L178" s="49">
        <f t="shared" si="34"/>
        <v>0.2781215872</v>
      </c>
      <c r="M178" s="49">
        <f t="shared" si="35"/>
        <v>0.05096468875</v>
      </c>
      <c r="N178" s="32" t="str">
        <f t="shared" si="36"/>
        <v>Jânio</v>
      </c>
      <c r="O178" s="50" t="s">
        <v>77</v>
      </c>
      <c r="P178" s="38">
        <v>1285.0</v>
      </c>
      <c r="Q178" s="38">
        <v>1048.0</v>
      </c>
      <c r="R178" s="38">
        <v>149.0</v>
      </c>
      <c r="S178" s="38">
        <v>466.0</v>
      </c>
      <c r="T178" s="38">
        <v>251.0</v>
      </c>
      <c r="U178" s="48">
        <f t="shared" si="37"/>
        <v>2482</v>
      </c>
      <c r="V178" s="48">
        <f t="shared" si="38"/>
        <v>3199</v>
      </c>
      <c r="W178" s="49">
        <f t="shared" si="39"/>
        <v>0.517727639</v>
      </c>
      <c r="X178" s="49">
        <f t="shared" si="40"/>
        <v>0.4222401289</v>
      </c>
      <c r="Y178" s="49">
        <f t="shared" si="41"/>
        <v>0.06003223207</v>
      </c>
      <c r="Z178" s="32" t="str">
        <f t="shared" si="42"/>
        <v>Jango</v>
      </c>
      <c r="AA178" s="50" t="s">
        <v>77</v>
      </c>
      <c r="AB178" s="38">
        <v>3797.0</v>
      </c>
      <c r="AC178" s="48">
        <f t="shared" si="43"/>
        <v>598</v>
      </c>
      <c r="AD178" s="51">
        <f t="shared" si="44"/>
        <v>0.8425072426</v>
      </c>
    </row>
    <row r="179">
      <c r="A179" s="110" t="s">
        <v>856</v>
      </c>
      <c r="B179" s="46" t="s">
        <v>1201</v>
      </c>
      <c r="C179" s="47"/>
      <c r="D179" s="38">
        <v>463.0</v>
      </c>
      <c r="E179" s="38">
        <v>285.0</v>
      </c>
      <c r="F179" s="38">
        <v>30.0</v>
      </c>
      <c r="G179" s="38">
        <v>20.0</v>
      </c>
      <c r="H179" s="38">
        <v>54.0</v>
      </c>
      <c r="I179" s="48">
        <f t="shared" si="31"/>
        <v>778</v>
      </c>
      <c r="J179" s="48">
        <f t="shared" si="32"/>
        <v>852</v>
      </c>
      <c r="K179" s="49">
        <f t="shared" si="33"/>
        <v>0.5951156812</v>
      </c>
      <c r="L179" s="49">
        <f t="shared" si="34"/>
        <v>0.3663239075</v>
      </c>
      <c r="M179" s="49">
        <f t="shared" si="35"/>
        <v>0.03856041131</v>
      </c>
      <c r="N179" s="32" t="str">
        <f t="shared" si="36"/>
        <v>Jânio</v>
      </c>
      <c r="O179" s="50" t="s">
        <v>77</v>
      </c>
      <c r="P179" s="38">
        <v>286.0</v>
      </c>
      <c r="Q179" s="38">
        <v>441.0</v>
      </c>
      <c r="R179" s="38">
        <v>23.0</v>
      </c>
      <c r="S179" s="38">
        <v>59.0</v>
      </c>
      <c r="T179" s="38">
        <v>43.0</v>
      </c>
      <c r="U179" s="48">
        <f t="shared" si="37"/>
        <v>750</v>
      </c>
      <c r="V179" s="48">
        <f t="shared" si="38"/>
        <v>852</v>
      </c>
      <c r="W179" s="49">
        <f t="shared" si="39"/>
        <v>0.3813333333</v>
      </c>
      <c r="X179" s="49">
        <f t="shared" si="40"/>
        <v>0.588</v>
      </c>
      <c r="Y179" s="49">
        <f t="shared" si="41"/>
        <v>0.03066666667</v>
      </c>
      <c r="Z179" s="32" t="str">
        <f t="shared" si="42"/>
        <v>Milton</v>
      </c>
      <c r="AA179" s="50" t="s">
        <v>77</v>
      </c>
      <c r="AB179" s="38">
        <v>1302.0</v>
      </c>
      <c r="AC179" s="48">
        <f t="shared" si="43"/>
        <v>450</v>
      </c>
      <c r="AD179" s="51">
        <f t="shared" si="44"/>
        <v>0.6543778802</v>
      </c>
    </row>
    <row r="180">
      <c r="A180" s="110" t="s">
        <v>858</v>
      </c>
      <c r="B180" s="46" t="s">
        <v>1202</v>
      </c>
      <c r="C180" s="47"/>
      <c r="D180" s="38">
        <v>1438.0</v>
      </c>
      <c r="E180" s="38">
        <v>1177.0</v>
      </c>
      <c r="F180" s="38">
        <v>137.0</v>
      </c>
      <c r="G180" s="38">
        <v>121.0</v>
      </c>
      <c r="H180" s="38">
        <v>78.0</v>
      </c>
      <c r="I180" s="48">
        <f t="shared" si="31"/>
        <v>2752</v>
      </c>
      <c r="J180" s="48">
        <f t="shared" si="32"/>
        <v>2951</v>
      </c>
      <c r="K180" s="49">
        <f t="shared" si="33"/>
        <v>0.5225290698</v>
      </c>
      <c r="L180" s="49">
        <f t="shared" si="34"/>
        <v>0.4276889535</v>
      </c>
      <c r="M180" s="49">
        <f t="shared" si="35"/>
        <v>0.04978197674</v>
      </c>
      <c r="N180" s="32" t="str">
        <f t="shared" si="36"/>
        <v>Jânio</v>
      </c>
      <c r="O180" s="50" t="s">
        <v>77</v>
      </c>
      <c r="P180" s="38">
        <v>1418.0</v>
      </c>
      <c r="Q180" s="38">
        <v>1188.0</v>
      </c>
      <c r="R180" s="38">
        <v>85.0</v>
      </c>
      <c r="S180" s="38">
        <v>192.0</v>
      </c>
      <c r="T180" s="38">
        <v>68.0</v>
      </c>
      <c r="U180" s="48">
        <f t="shared" si="37"/>
        <v>2691</v>
      </c>
      <c r="V180" s="48">
        <f t="shared" si="38"/>
        <v>2951</v>
      </c>
      <c r="W180" s="49">
        <f t="shared" si="39"/>
        <v>0.5269416574</v>
      </c>
      <c r="X180" s="49">
        <f t="shared" si="40"/>
        <v>0.4414715719</v>
      </c>
      <c r="Y180" s="49">
        <f t="shared" si="41"/>
        <v>0.03158677072</v>
      </c>
      <c r="Z180" s="32" t="str">
        <f t="shared" si="42"/>
        <v>Jango</v>
      </c>
      <c r="AA180" s="50" t="s">
        <v>77</v>
      </c>
      <c r="AB180" s="38">
        <v>4614.0</v>
      </c>
      <c r="AC180" s="48">
        <f t="shared" si="43"/>
        <v>1663</v>
      </c>
      <c r="AD180" s="51">
        <f t="shared" si="44"/>
        <v>0.6395752059</v>
      </c>
    </row>
    <row r="181">
      <c r="A181" s="61" t="s">
        <v>860</v>
      </c>
      <c r="B181" s="46" t="s">
        <v>1203</v>
      </c>
      <c r="C181" s="47"/>
      <c r="D181" s="38">
        <v>1525.0</v>
      </c>
      <c r="E181" s="38">
        <v>578.0</v>
      </c>
      <c r="F181" s="38">
        <v>76.0</v>
      </c>
      <c r="G181" s="38">
        <v>98.0</v>
      </c>
      <c r="H181" s="38">
        <v>465.0</v>
      </c>
      <c r="I181" s="48">
        <f t="shared" si="31"/>
        <v>2179</v>
      </c>
      <c r="J181" s="48">
        <f t="shared" si="32"/>
        <v>2742</v>
      </c>
      <c r="K181" s="49">
        <f t="shared" si="33"/>
        <v>0.6998623222</v>
      </c>
      <c r="L181" s="49">
        <f t="shared" si="34"/>
        <v>0.2652592933</v>
      </c>
      <c r="M181" s="49">
        <f t="shared" si="35"/>
        <v>0.03487838458</v>
      </c>
      <c r="N181" s="32" t="str">
        <f t="shared" si="36"/>
        <v>Jânio</v>
      </c>
      <c r="O181" s="50" t="s">
        <v>77</v>
      </c>
      <c r="P181" s="38">
        <v>639.0</v>
      </c>
      <c r="Q181" s="38">
        <v>1333.0</v>
      </c>
      <c r="R181" s="38">
        <v>88.0</v>
      </c>
      <c r="S181" s="38">
        <v>285.0</v>
      </c>
      <c r="T181" s="38">
        <v>397.0</v>
      </c>
      <c r="U181" s="48">
        <f t="shared" si="37"/>
        <v>2060</v>
      </c>
      <c r="V181" s="48">
        <f t="shared" si="38"/>
        <v>2742</v>
      </c>
      <c r="W181" s="49">
        <f t="shared" si="39"/>
        <v>0.3101941748</v>
      </c>
      <c r="X181" s="49">
        <f t="shared" si="40"/>
        <v>0.6470873786</v>
      </c>
      <c r="Y181" s="49">
        <f t="shared" si="41"/>
        <v>0.0427184466</v>
      </c>
      <c r="Z181" s="32" t="str">
        <f t="shared" si="42"/>
        <v>Milton</v>
      </c>
      <c r="AA181" s="50" t="s">
        <v>77</v>
      </c>
      <c r="AB181" s="38">
        <v>4598.0</v>
      </c>
      <c r="AC181" s="48">
        <f t="shared" si="43"/>
        <v>1856</v>
      </c>
      <c r="AD181" s="51">
        <f t="shared" si="44"/>
        <v>0.5963462375</v>
      </c>
    </row>
    <row r="182">
      <c r="A182" s="24"/>
      <c r="B182" s="46" t="s">
        <v>1204</v>
      </c>
      <c r="C182" s="47"/>
      <c r="D182" s="38">
        <v>705.0</v>
      </c>
      <c r="E182" s="38">
        <v>319.0</v>
      </c>
      <c r="F182" s="38">
        <v>32.0</v>
      </c>
      <c r="G182" s="38">
        <v>28.0</v>
      </c>
      <c r="H182" s="38">
        <v>30.0</v>
      </c>
      <c r="I182" s="48">
        <f t="shared" si="31"/>
        <v>1056</v>
      </c>
      <c r="J182" s="48">
        <f t="shared" si="32"/>
        <v>1114</v>
      </c>
      <c r="K182" s="49">
        <f t="shared" si="33"/>
        <v>0.6676136364</v>
      </c>
      <c r="L182" s="49">
        <f t="shared" si="34"/>
        <v>0.3020833333</v>
      </c>
      <c r="M182" s="49">
        <f t="shared" si="35"/>
        <v>0.0303030303</v>
      </c>
      <c r="N182" s="32" t="str">
        <f t="shared" si="36"/>
        <v>Jânio</v>
      </c>
      <c r="O182" s="50" t="s">
        <v>77</v>
      </c>
      <c r="P182" s="38">
        <v>290.0</v>
      </c>
      <c r="Q182" s="38">
        <v>631.0</v>
      </c>
      <c r="R182" s="38">
        <v>116.0</v>
      </c>
      <c r="S182" s="38">
        <v>65.0</v>
      </c>
      <c r="T182" s="38">
        <v>12.0</v>
      </c>
      <c r="U182" s="48">
        <f t="shared" si="37"/>
        <v>1037</v>
      </c>
      <c r="V182" s="48">
        <f t="shared" si="38"/>
        <v>1114</v>
      </c>
      <c r="W182" s="49">
        <f t="shared" si="39"/>
        <v>0.2796528447</v>
      </c>
      <c r="X182" s="49">
        <f t="shared" si="40"/>
        <v>0.6084860174</v>
      </c>
      <c r="Y182" s="49">
        <f t="shared" si="41"/>
        <v>0.1118611379</v>
      </c>
      <c r="Z182" s="32" t="str">
        <f t="shared" si="42"/>
        <v>Milton</v>
      </c>
      <c r="AA182" s="50" t="s">
        <v>77</v>
      </c>
      <c r="AB182" s="38">
        <v>1793.0</v>
      </c>
      <c r="AC182" s="48">
        <f t="shared" si="43"/>
        <v>679</v>
      </c>
      <c r="AD182" s="51">
        <f t="shared" si="44"/>
        <v>0.6213050753</v>
      </c>
    </row>
    <row r="183">
      <c r="A183" s="110" t="s">
        <v>862</v>
      </c>
      <c r="B183" s="46" t="s">
        <v>1205</v>
      </c>
      <c r="C183" s="47"/>
      <c r="D183" s="38">
        <v>772.0</v>
      </c>
      <c r="E183" s="38">
        <v>1114.0</v>
      </c>
      <c r="F183" s="38">
        <v>52.0</v>
      </c>
      <c r="G183" s="38">
        <v>72.0</v>
      </c>
      <c r="H183" s="38">
        <v>75.0</v>
      </c>
      <c r="I183" s="48">
        <f t="shared" si="31"/>
        <v>1938</v>
      </c>
      <c r="J183" s="48">
        <f t="shared" si="32"/>
        <v>2085</v>
      </c>
      <c r="K183" s="49">
        <f t="shared" si="33"/>
        <v>0.3983488132</v>
      </c>
      <c r="L183" s="49">
        <f t="shared" si="34"/>
        <v>0.5748194014</v>
      </c>
      <c r="M183" s="49">
        <f t="shared" si="35"/>
        <v>0.02683178535</v>
      </c>
      <c r="N183" s="32" t="str">
        <f t="shared" si="36"/>
        <v>Mal. Lott</v>
      </c>
      <c r="O183" s="50" t="s">
        <v>77</v>
      </c>
      <c r="P183" s="38">
        <v>1114.0</v>
      </c>
      <c r="Q183" s="38">
        <v>751.0</v>
      </c>
      <c r="R183" s="38">
        <v>44.0</v>
      </c>
      <c r="S183" s="38">
        <v>105.0</v>
      </c>
      <c r="T183" s="38">
        <v>71.0</v>
      </c>
      <c r="U183" s="48">
        <f t="shared" si="37"/>
        <v>1909</v>
      </c>
      <c r="V183" s="48">
        <f t="shared" si="38"/>
        <v>2085</v>
      </c>
      <c r="W183" s="49">
        <f t="shared" si="39"/>
        <v>0.5835515977</v>
      </c>
      <c r="X183" s="49">
        <f t="shared" si="40"/>
        <v>0.3933996857</v>
      </c>
      <c r="Y183" s="49">
        <f t="shared" si="41"/>
        <v>0.02304871661</v>
      </c>
      <c r="Z183" s="32" t="str">
        <f t="shared" si="42"/>
        <v>Jango</v>
      </c>
      <c r="AA183" s="50" t="s">
        <v>77</v>
      </c>
      <c r="AB183" s="38">
        <v>2791.0</v>
      </c>
      <c r="AC183" s="48">
        <f t="shared" si="43"/>
        <v>706</v>
      </c>
      <c r="AD183" s="51">
        <f t="shared" si="44"/>
        <v>0.7470440702</v>
      </c>
    </row>
    <row r="184">
      <c r="A184" s="110" t="s">
        <v>864</v>
      </c>
      <c r="B184" s="46" t="s">
        <v>1206</v>
      </c>
      <c r="C184" s="47"/>
      <c r="D184" s="38">
        <v>1173.0</v>
      </c>
      <c r="E184" s="38">
        <v>1391.0</v>
      </c>
      <c r="F184" s="38">
        <v>115.0</v>
      </c>
      <c r="G184" s="38">
        <v>146.0</v>
      </c>
      <c r="H184" s="38">
        <v>89.0</v>
      </c>
      <c r="I184" s="48">
        <f t="shared" si="31"/>
        <v>2679</v>
      </c>
      <c r="J184" s="48">
        <f t="shared" si="32"/>
        <v>2914</v>
      </c>
      <c r="K184" s="49">
        <f t="shared" si="33"/>
        <v>0.437849944</v>
      </c>
      <c r="L184" s="49">
        <f t="shared" si="34"/>
        <v>0.5192235909</v>
      </c>
      <c r="M184" s="49">
        <f t="shared" si="35"/>
        <v>0.0429264651</v>
      </c>
      <c r="N184" s="32" t="str">
        <f t="shared" si="36"/>
        <v>Mal. Lott</v>
      </c>
      <c r="O184" s="50" t="s">
        <v>77</v>
      </c>
      <c r="P184" s="38">
        <v>1319.0</v>
      </c>
      <c r="Q184" s="38">
        <v>1152.0</v>
      </c>
      <c r="R184" s="38">
        <v>98.0</v>
      </c>
      <c r="S184" s="38">
        <v>263.0</v>
      </c>
      <c r="T184" s="38">
        <v>82.0</v>
      </c>
      <c r="U184" s="48">
        <f t="shared" si="37"/>
        <v>2569</v>
      </c>
      <c r="V184" s="48">
        <f t="shared" si="38"/>
        <v>2914</v>
      </c>
      <c r="W184" s="49">
        <f t="shared" si="39"/>
        <v>0.5134293499</v>
      </c>
      <c r="X184" s="49">
        <f t="shared" si="40"/>
        <v>0.4484235111</v>
      </c>
      <c r="Y184" s="49">
        <f t="shared" si="41"/>
        <v>0.03814713896</v>
      </c>
      <c r="Z184" s="32" t="str">
        <f t="shared" si="42"/>
        <v>Jango</v>
      </c>
      <c r="AA184" s="50" t="s">
        <v>77</v>
      </c>
      <c r="AB184" s="38">
        <v>4082.0</v>
      </c>
      <c r="AC184" s="48">
        <f t="shared" si="43"/>
        <v>1168</v>
      </c>
      <c r="AD184" s="51">
        <f t="shared" si="44"/>
        <v>0.7138657521</v>
      </c>
    </row>
    <row r="185">
      <c r="A185" s="61" t="s">
        <v>866</v>
      </c>
      <c r="B185" s="46" t="s">
        <v>1207</v>
      </c>
      <c r="C185" s="47"/>
      <c r="D185" s="38">
        <v>1023.0</v>
      </c>
      <c r="E185" s="38">
        <v>521.0</v>
      </c>
      <c r="F185" s="38">
        <v>64.0</v>
      </c>
      <c r="G185" s="38">
        <v>25.0</v>
      </c>
      <c r="H185" s="38">
        <v>34.0</v>
      </c>
      <c r="I185" s="48">
        <f t="shared" si="31"/>
        <v>1608</v>
      </c>
      <c r="J185" s="48">
        <f t="shared" si="32"/>
        <v>1667</v>
      </c>
      <c r="K185" s="49">
        <f t="shared" si="33"/>
        <v>0.6361940299</v>
      </c>
      <c r="L185" s="49">
        <f t="shared" si="34"/>
        <v>0.3240049751</v>
      </c>
      <c r="M185" s="49">
        <f t="shared" si="35"/>
        <v>0.03980099502</v>
      </c>
      <c r="N185" s="32" t="str">
        <f t="shared" si="36"/>
        <v>Jânio</v>
      </c>
      <c r="O185" s="50" t="s">
        <v>77</v>
      </c>
      <c r="P185" s="38">
        <v>611.0</v>
      </c>
      <c r="Q185" s="38">
        <v>941.0</v>
      </c>
      <c r="R185" s="38">
        <v>35.0</v>
      </c>
      <c r="S185" s="38">
        <v>49.0</v>
      </c>
      <c r="T185" s="38">
        <v>31.0</v>
      </c>
      <c r="U185" s="48">
        <f t="shared" si="37"/>
        <v>1587</v>
      </c>
      <c r="V185" s="48">
        <f t="shared" si="38"/>
        <v>1667</v>
      </c>
      <c r="W185" s="49">
        <f t="shared" si="39"/>
        <v>0.3850031506</v>
      </c>
      <c r="X185" s="49">
        <f t="shared" si="40"/>
        <v>0.5929426591</v>
      </c>
      <c r="Y185" s="49">
        <f t="shared" si="41"/>
        <v>0.0220541903</v>
      </c>
      <c r="Z185" s="32" t="str">
        <f t="shared" si="42"/>
        <v>Milton</v>
      </c>
      <c r="AA185" s="50" t="s">
        <v>77</v>
      </c>
      <c r="AB185" s="38">
        <v>2685.0</v>
      </c>
      <c r="AC185" s="48">
        <f t="shared" si="43"/>
        <v>1018</v>
      </c>
      <c r="AD185" s="51">
        <f t="shared" si="44"/>
        <v>0.6208566108</v>
      </c>
    </row>
    <row r="186">
      <c r="A186" s="23"/>
      <c r="B186" s="46" t="s">
        <v>1208</v>
      </c>
      <c r="C186" s="47"/>
      <c r="D186" s="38">
        <v>823.0</v>
      </c>
      <c r="E186" s="38">
        <v>17.0</v>
      </c>
      <c r="F186" s="38">
        <v>10.0</v>
      </c>
      <c r="G186" s="38">
        <v>12.0</v>
      </c>
      <c r="H186" s="38">
        <v>22.0</v>
      </c>
      <c r="I186" s="48">
        <f t="shared" si="31"/>
        <v>850</v>
      </c>
      <c r="J186" s="48">
        <f t="shared" si="32"/>
        <v>884</v>
      </c>
      <c r="K186" s="49">
        <f t="shared" si="33"/>
        <v>0.9682352941</v>
      </c>
      <c r="L186" s="49">
        <f t="shared" si="34"/>
        <v>0.02</v>
      </c>
      <c r="M186" s="49">
        <f t="shared" si="35"/>
        <v>0.01176470588</v>
      </c>
      <c r="N186" s="32" t="str">
        <f t="shared" si="36"/>
        <v>Jânio</v>
      </c>
      <c r="O186" s="50" t="s">
        <v>77</v>
      </c>
      <c r="P186" s="38">
        <v>521.0</v>
      </c>
      <c r="Q186" s="38">
        <v>311.0</v>
      </c>
      <c r="R186" s="38">
        <v>4.0</v>
      </c>
      <c r="S186" s="38">
        <v>28.0</v>
      </c>
      <c r="T186" s="38">
        <v>20.0</v>
      </c>
      <c r="U186" s="48">
        <f t="shared" si="37"/>
        <v>836</v>
      </c>
      <c r="V186" s="48">
        <f t="shared" si="38"/>
        <v>884</v>
      </c>
      <c r="W186" s="49">
        <f t="shared" si="39"/>
        <v>0.6232057416</v>
      </c>
      <c r="X186" s="49">
        <f t="shared" si="40"/>
        <v>0.3720095694</v>
      </c>
      <c r="Y186" s="49">
        <f t="shared" si="41"/>
        <v>0.004784688995</v>
      </c>
      <c r="Z186" s="32" t="str">
        <f t="shared" si="42"/>
        <v>Jango</v>
      </c>
      <c r="AA186" s="50" t="s">
        <v>77</v>
      </c>
      <c r="AB186" s="38">
        <v>1397.0</v>
      </c>
      <c r="AC186" s="48">
        <f t="shared" si="43"/>
        <v>513</v>
      </c>
      <c r="AD186" s="51">
        <f t="shared" si="44"/>
        <v>0.6327845383</v>
      </c>
    </row>
    <row r="187">
      <c r="A187" s="24"/>
      <c r="B187" s="46" t="s">
        <v>1209</v>
      </c>
      <c r="C187" s="47"/>
      <c r="D187" s="38">
        <v>622.0</v>
      </c>
      <c r="E187" s="38">
        <v>128.0</v>
      </c>
      <c r="F187" s="38">
        <v>26.0</v>
      </c>
      <c r="G187" s="38">
        <v>11.0</v>
      </c>
      <c r="H187" s="38">
        <v>22.0</v>
      </c>
      <c r="I187" s="48">
        <f t="shared" si="31"/>
        <v>776</v>
      </c>
      <c r="J187" s="48">
        <f t="shared" si="32"/>
        <v>809</v>
      </c>
      <c r="K187" s="49">
        <f t="shared" si="33"/>
        <v>0.8015463918</v>
      </c>
      <c r="L187" s="49">
        <f t="shared" si="34"/>
        <v>0.1649484536</v>
      </c>
      <c r="M187" s="49">
        <f t="shared" si="35"/>
        <v>0.03350515464</v>
      </c>
      <c r="N187" s="32" t="str">
        <f t="shared" si="36"/>
        <v>Jânio</v>
      </c>
      <c r="O187" s="50" t="s">
        <v>77</v>
      </c>
      <c r="P187" s="38">
        <v>296.0</v>
      </c>
      <c r="Q187" s="38">
        <v>434.0</v>
      </c>
      <c r="R187" s="38">
        <v>22.0</v>
      </c>
      <c r="S187" s="38">
        <v>44.0</v>
      </c>
      <c r="T187" s="38">
        <v>13.0</v>
      </c>
      <c r="U187" s="48">
        <f t="shared" si="37"/>
        <v>752</v>
      </c>
      <c r="V187" s="48">
        <f t="shared" si="38"/>
        <v>809</v>
      </c>
      <c r="W187" s="49">
        <f t="shared" si="39"/>
        <v>0.3936170213</v>
      </c>
      <c r="X187" s="49">
        <f t="shared" si="40"/>
        <v>0.5771276596</v>
      </c>
      <c r="Y187" s="49">
        <f t="shared" si="41"/>
        <v>0.02925531915</v>
      </c>
      <c r="Z187" s="32" t="str">
        <f t="shared" si="42"/>
        <v>Milton</v>
      </c>
      <c r="AA187" s="50" t="s">
        <v>77</v>
      </c>
      <c r="AB187" s="38">
        <v>1475.0</v>
      </c>
      <c r="AC187" s="48">
        <f t="shared" si="43"/>
        <v>666</v>
      </c>
      <c r="AD187" s="51">
        <f t="shared" si="44"/>
        <v>0.5484745763</v>
      </c>
    </row>
    <row r="188">
      <c r="A188" s="110" t="s">
        <v>868</v>
      </c>
      <c r="B188" s="46" t="s">
        <v>1210</v>
      </c>
      <c r="C188" s="47"/>
      <c r="D188" s="38">
        <v>3039.0</v>
      </c>
      <c r="E188" s="38">
        <v>1651.0</v>
      </c>
      <c r="F188" s="38">
        <v>190.0</v>
      </c>
      <c r="G188" s="38">
        <v>136.0</v>
      </c>
      <c r="H188" s="38">
        <v>216.0</v>
      </c>
      <c r="I188" s="48">
        <f t="shared" si="31"/>
        <v>4880</v>
      </c>
      <c r="J188" s="48">
        <f t="shared" si="32"/>
        <v>5232</v>
      </c>
      <c r="K188" s="49">
        <f t="shared" si="33"/>
        <v>0.6227459016</v>
      </c>
      <c r="L188" s="49">
        <f t="shared" si="34"/>
        <v>0.3383196721</v>
      </c>
      <c r="M188" s="49">
        <f t="shared" si="35"/>
        <v>0.03893442623</v>
      </c>
      <c r="N188" s="32" t="str">
        <f t="shared" si="36"/>
        <v>Jânio</v>
      </c>
      <c r="O188" s="50" t="s">
        <v>77</v>
      </c>
      <c r="P188" s="38">
        <v>2849.0</v>
      </c>
      <c r="Q188" s="38">
        <v>1684.0</v>
      </c>
      <c r="R188" s="38">
        <v>201.0</v>
      </c>
      <c r="S188" s="38">
        <v>380.0</v>
      </c>
      <c r="T188" s="38">
        <v>118.0</v>
      </c>
      <c r="U188" s="48">
        <f t="shared" si="37"/>
        <v>4734</v>
      </c>
      <c r="V188" s="48">
        <f t="shared" si="38"/>
        <v>5232</v>
      </c>
      <c r="W188" s="49">
        <f t="shared" si="39"/>
        <v>0.6018166455</v>
      </c>
      <c r="X188" s="49">
        <f t="shared" si="40"/>
        <v>0.3557245458</v>
      </c>
      <c r="Y188" s="49">
        <f t="shared" si="41"/>
        <v>0.04245880862</v>
      </c>
      <c r="Z188" s="32" t="str">
        <f t="shared" si="42"/>
        <v>Jango</v>
      </c>
      <c r="AA188" s="50" t="s">
        <v>77</v>
      </c>
      <c r="AB188" s="38">
        <v>7208.0</v>
      </c>
      <c r="AC188" s="48">
        <f t="shared" si="43"/>
        <v>1976</v>
      </c>
      <c r="AD188" s="51">
        <f t="shared" si="44"/>
        <v>0.7258601554</v>
      </c>
    </row>
    <row r="189">
      <c r="A189" s="110" t="s">
        <v>870</v>
      </c>
      <c r="B189" s="46" t="s">
        <v>1211</v>
      </c>
      <c r="C189" s="47"/>
      <c r="D189" s="38">
        <v>414.0</v>
      </c>
      <c r="E189" s="38">
        <v>1258.0</v>
      </c>
      <c r="F189" s="38">
        <v>119.0</v>
      </c>
      <c r="G189" s="38">
        <v>28.0</v>
      </c>
      <c r="H189" s="38">
        <v>109.0</v>
      </c>
      <c r="I189" s="48">
        <f t="shared" si="31"/>
        <v>1791</v>
      </c>
      <c r="J189" s="48">
        <f t="shared" si="32"/>
        <v>1928</v>
      </c>
      <c r="K189" s="49">
        <f t="shared" si="33"/>
        <v>0.2311557789</v>
      </c>
      <c r="L189" s="49">
        <f t="shared" si="34"/>
        <v>0.7024008934</v>
      </c>
      <c r="M189" s="49">
        <f t="shared" si="35"/>
        <v>0.06644332775</v>
      </c>
      <c r="N189" s="32" t="str">
        <f t="shared" si="36"/>
        <v>Mal. Lott</v>
      </c>
      <c r="O189" s="50" t="s">
        <v>77</v>
      </c>
      <c r="P189" s="38">
        <v>1324.0</v>
      </c>
      <c r="Q189" s="38">
        <v>358.0</v>
      </c>
      <c r="R189" s="38">
        <v>71.0</v>
      </c>
      <c r="S189" s="38">
        <v>87.0</v>
      </c>
      <c r="T189" s="38">
        <v>88.0</v>
      </c>
      <c r="U189" s="48">
        <f t="shared" si="37"/>
        <v>1753</v>
      </c>
      <c r="V189" s="48">
        <f t="shared" si="38"/>
        <v>1928</v>
      </c>
      <c r="W189" s="49">
        <f t="shared" si="39"/>
        <v>0.7552766686</v>
      </c>
      <c r="X189" s="49">
        <f t="shared" si="40"/>
        <v>0.2042213349</v>
      </c>
      <c r="Y189" s="49">
        <f t="shared" si="41"/>
        <v>0.04050199658</v>
      </c>
      <c r="Z189" s="32" t="str">
        <f t="shared" si="42"/>
        <v>Jango</v>
      </c>
      <c r="AA189" s="50" t="s">
        <v>77</v>
      </c>
      <c r="AB189" s="38">
        <v>4557.0</v>
      </c>
      <c r="AC189" s="48">
        <f t="shared" si="43"/>
        <v>2629</v>
      </c>
      <c r="AD189" s="51">
        <f t="shared" si="44"/>
        <v>0.4230853632</v>
      </c>
    </row>
    <row r="190">
      <c r="A190" s="110" t="s">
        <v>872</v>
      </c>
      <c r="B190" s="46" t="s">
        <v>1212</v>
      </c>
      <c r="C190" s="47"/>
      <c r="D190" s="38">
        <v>1126.0</v>
      </c>
      <c r="E190" s="38">
        <v>888.0</v>
      </c>
      <c r="F190" s="38">
        <v>244.0</v>
      </c>
      <c r="G190" s="38">
        <v>255.0</v>
      </c>
      <c r="H190" s="38">
        <v>285.0</v>
      </c>
      <c r="I190" s="48">
        <f t="shared" si="31"/>
        <v>2258</v>
      </c>
      <c r="J190" s="48">
        <f t="shared" si="32"/>
        <v>2798</v>
      </c>
      <c r="K190" s="49">
        <f t="shared" si="33"/>
        <v>0.4986713906</v>
      </c>
      <c r="L190" s="49">
        <f t="shared" si="34"/>
        <v>0.3932683791</v>
      </c>
      <c r="M190" s="49">
        <f t="shared" si="35"/>
        <v>0.1080602303</v>
      </c>
      <c r="N190" s="32" t="str">
        <f t="shared" si="36"/>
        <v>Jânio</v>
      </c>
      <c r="O190" s="50" t="s">
        <v>77</v>
      </c>
      <c r="P190" s="38">
        <v>878.0</v>
      </c>
      <c r="Q190" s="38">
        <v>732.0</v>
      </c>
      <c r="R190" s="38">
        <v>194.0</v>
      </c>
      <c r="S190" s="38">
        <v>596.0</v>
      </c>
      <c r="T190" s="38">
        <v>398.0</v>
      </c>
      <c r="U190" s="48">
        <f t="shared" si="37"/>
        <v>1804</v>
      </c>
      <c r="V190" s="48">
        <f t="shared" si="38"/>
        <v>2798</v>
      </c>
      <c r="W190" s="49">
        <f t="shared" si="39"/>
        <v>0.4866962306</v>
      </c>
      <c r="X190" s="49">
        <f t="shared" si="40"/>
        <v>0.4057649667</v>
      </c>
      <c r="Y190" s="49">
        <f t="shared" si="41"/>
        <v>0.1075388027</v>
      </c>
      <c r="Z190" s="32" t="str">
        <f t="shared" si="42"/>
        <v>Jango</v>
      </c>
      <c r="AA190" s="50" t="s">
        <v>77</v>
      </c>
      <c r="AB190" s="38">
        <v>3887.0</v>
      </c>
      <c r="AC190" s="48">
        <f t="shared" si="43"/>
        <v>1089</v>
      </c>
      <c r="AD190" s="51">
        <f t="shared" si="44"/>
        <v>0.7198353486</v>
      </c>
    </row>
    <row r="191">
      <c r="A191" s="110" t="s">
        <v>874</v>
      </c>
      <c r="B191" s="46" t="s">
        <v>1213</v>
      </c>
      <c r="C191" s="47"/>
      <c r="D191" s="38">
        <v>1378.0</v>
      </c>
      <c r="E191" s="38">
        <v>283.0</v>
      </c>
      <c r="F191" s="38">
        <v>40.0</v>
      </c>
      <c r="G191" s="38">
        <v>32.0</v>
      </c>
      <c r="H191" s="38">
        <v>68.0</v>
      </c>
      <c r="I191" s="48">
        <f t="shared" si="31"/>
        <v>1701</v>
      </c>
      <c r="J191" s="48">
        <f t="shared" si="32"/>
        <v>1801</v>
      </c>
      <c r="K191" s="49">
        <f t="shared" si="33"/>
        <v>0.810111699</v>
      </c>
      <c r="L191" s="49">
        <f t="shared" si="34"/>
        <v>0.1663727219</v>
      </c>
      <c r="M191" s="49">
        <f t="shared" si="35"/>
        <v>0.02351557907</v>
      </c>
      <c r="N191" s="32" t="str">
        <f t="shared" si="36"/>
        <v>Jânio</v>
      </c>
      <c r="O191" s="50" t="s">
        <v>77</v>
      </c>
      <c r="P191" s="38">
        <v>282.0</v>
      </c>
      <c r="Q191" s="38">
        <v>1332.0</v>
      </c>
      <c r="R191" s="38">
        <v>42.0</v>
      </c>
      <c r="S191" s="38">
        <v>89.0</v>
      </c>
      <c r="T191" s="38">
        <v>56.0</v>
      </c>
      <c r="U191" s="48">
        <f t="shared" si="37"/>
        <v>1656</v>
      </c>
      <c r="V191" s="48">
        <f t="shared" si="38"/>
        <v>1801</v>
      </c>
      <c r="W191" s="49">
        <f t="shared" si="39"/>
        <v>0.1702898551</v>
      </c>
      <c r="X191" s="49">
        <f t="shared" si="40"/>
        <v>0.8043478261</v>
      </c>
      <c r="Y191" s="49">
        <f t="shared" si="41"/>
        <v>0.02536231884</v>
      </c>
      <c r="Z191" s="32" t="str">
        <f t="shared" si="42"/>
        <v>Milton</v>
      </c>
      <c r="AA191" s="50" t="s">
        <v>77</v>
      </c>
      <c r="AB191" s="38">
        <v>3470.0</v>
      </c>
      <c r="AC191" s="48">
        <f t="shared" si="43"/>
        <v>1669</v>
      </c>
      <c r="AD191" s="51">
        <f t="shared" si="44"/>
        <v>0.5190201729</v>
      </c>
    </row>
    <row r="192">
      <c r="A192" s="110" t="s">
        <v>876</v>
      </c>
      <c r="B192" s="46" t="s">
        <v>1214</v>
      </c>
      <c r="C192" s="47"/>
      <c r="D192" s="38">
        <v>829.0</v>
      </c>
      <c r="E192" s="38">
        <v>383.0</v>
      </c>
      <c r="F192" s="38">
        <v>144.0</v>
      </c>
      <c r="G192" s="38">
        <v>43.0</v>
      </c>
      <c r="H192" s="38">
        <v>61.0</v>
      </c>
      <c r="I192" s="48">
        <f t="shared" si="31"/>
        <v>1356</v>
      </c>
      <c r="J192" s="48">
        <f t="shared" si="32"/>
        <v>1460</v>
      </c>
      <c r="K192" s="49">
        <f t="shared" si="33"/>
        <v>0.6113569322</v>
      </c>
      <c r="L192" s="49">
        <f t="shared" si="34"/>
        <v>0.2824483776</v>
      </c>
      <c r="M192" s="49">
        <f t="shared" si="35"/>
        <v>0.1061946903</v>
      </c>
      <c r="N192" s="32" t="str">
        <f t="shared" si="36"/>
        <v>Jânio</v>
      </c>
      <c r="O192" s="50" t="s">
        <v>77</v>
      </c>
      <c r="P192" s="38">
        <v>391.0</v>
      </c>
      <c r="Q192" s="38">
        <v>739.0</v>
      </c>
      <c r="R192" s="38">
        <v>110.0</v>
      </c>
      <c r="S192" s="38">
        <v>176.0</v>
      </c>
      <c r="T192" s="38">
        <v>44.0</v>
      </c>
      <c r="U192" s="48">
        <f t="shared" si="37"/>
        <v>1240</v>
      </c>
      <c r="V192" s="48">
        <f t="shared" si="38"/>
        <v>1460</v>
      </c>
      <c r="W192" s="49">
        <f t="shared" si="39"/>
        <v>0.3153225806</v>
      </c>
      <c r="X192" s="49">
        <f t="shared" si="40"/>
        <v>0.5959677419</v>
      </c>
      <c r="Y192" s="49">
        <f t="shared" si="41"/>
        <v>0.08870967742</v>
      </c>
      <c r="Z192" s="32" t="str">
        <f t="shared" si="42"/>
        <v>Milton</v>
      </c>
      <c r="AA192" s="50" t="s">
        <v>77</v>
      </c>
      <c r="AB192" s="38">
        <v>4428.0</v>
      </c>
      <c r="AC192" s="48">
        <f t="shared" si="43"/>
        <v>2968</v>
      </c>
      <c r="AD192" s="51">
        <f t="shared" si="44"/>
        <v>0.3297199639</v>
      </c>
    </row>
    <row r="193">
      <c r="A193" s="61" t="s">
        <v>878</v>
      </c>
      <c r="B193" s="46" t="s">
        <v>1215</v>
      </c>
      <c r="C193" s="47"/>
      <c r="D193" s="38">
        <v>1126.0</v>
      </c>
      <c r="E193" s="38">
        <v>825.0</v>
      </c>
      <c r="F193" s="38">
        <v>130.0</v>
      </c>
      <c r="G193" s="38">
        <v>94.0</v>
      </c>
      <c r="H193" s="38">
        <v>126.0</v>
      </c>
      <c r="I193" s="48">
        <f t="shared" si="31"/>
        <v>2081</v>
      </c>
      <c r="J193" s="48">
        <f t="shared" si="32"/>
        <v>2301</v>
      </c>
      <c r="K193" s="49">
        <f t="shared" si="33"/>
        <v>0.5410860163</v>
      </c>
      <c r="L193" s="49">
        <f t="shared" si="34"/>
        <v>0.3964440173</v>
      </c>
      <c r="M193" s="49">
        <f t="shared" si="35"/>
        <v>0.06246996636</v>
      </c>
      <c r="N193" s="32" t="str">
        <f t="shared" si="36"/>
        <v>Jânio</v>
      </c>
      <c r="O193" s="50" t="s">
        <v>77</v>
      </c>
      <c r="P193" s="38">
        <v>879.0</v>
      </c>
      <c r="Q193" s="38">
        <v>986.0</v>
      </c>
      <c r="R193" s="38">
        <v>86.0</v>
      </c>
      <c r="S193" s="38">
        <v>261.0</v>
      </c>
      <c r="T193" s="38">
        <v>89.0</v>
      </c>
      <c r="U193" s="48">
        <f t="shared" si="37"/>
        <v>1951</v>
      </c>
      <c r="V193" s="48">
        <f t="shared" si="38"/>
        <v>2301</v>
      </c>
      <c r="W193" s="49">
        <f t="shared" si="39"/>
        <v>0.4505381855</v>
      </c>
      <c r="X193" s="49">
        <f t="shared" si="40"/>
        <v>0.5053818555</v>
      </c>
      <c r="Y193" s="49">
        <f t="shared" si="41"/>
        <v>0.044079959</v>
      </c>
      <c r="Z193" s="32" t="str">
        <f t="shared" si="42"/>
        <v>Milton</v>
      </c>
      <c r="AA193" s="50" t="s">
        <v>77</v>
      </c>
      <c r="AB193" s="38">
        <v>3836.0</v>
      </c>
      <c r="AC193" s="48">
        <f t="shared" si="43"/>
        <v>1535</v>
      </c>
      <c r="AD193" s="51">
        <f t="shared" si="44"/>
        <v>0.5998435871</v>
      </c>
    </row>
    <row r="194">
      <c r="A194" s="24"/>
      <c r="B194" s="46" t="s">
        <v>1216</v>
      </c>
      <c r="C194" s="47"/>
      <c r="D194" s="38">
        <v>414.0</v>
      </c>
      <c r="E194" s="38">
        <v>231.0</v>
      </c>
      <c r="F194" s="38">
        <v>42.0</v>
      </c>
      <c r="G194" s="38">
        <v>34.0</v>
      </c>
      <c r="H194" s="38">
        <v>37.0</v>
      </c>
      <c r="I194" s="48">
        <f t="shared" si="31"/>
        <v>687</v>
      </c>
      <c r="J194" s="48">
        <f t="shared" si="32"/>
        <v>758</v>
      </c>
      <c r="K194" s="49">
        <f t="shared" si="33"/>
        <v>0.6026200873</v>
      </c>
      <c r="L194" s="49">
        <f t="shared" si="34"/>
        <v>0.3362445415</v>
      </c>
      <c r="M194" s="49">
        <f t="shared" si="35"/>
        <v>0.06113537118</v>
      </c>
      <c r="N194" s="32" t="str">
        <f t="shared" si="36"/>
        <v>Jânio</v>
      </c>
      <c r="O194" s="50" t="s">
        <v>77</v>
      </c>
      <c r="P194" s="38">
        <v>250.0</v>
      </c>
      <c r="Q194" s="38">
        <v>366.0</v>
      </c>
      <c r="R194" s="38">
        <v>35.0</v>
      </c>
      <c r="S194" s="38">
        <v>81.0</v>
      </c>
      <c r="T194" s="38">
        <v>26.0</v>
      </c>
      <c r="U194" s="48">
        <f t="shared" si="37"/>
        <v>651</v>
      </c>
      <c r="V194" s="48">
        <f t="shared" si="38"/>
        <v>758</v>
      </c>
      <c r="W194" s="49">
        <f t="shared" si="39"/>
        <v>0.3840245776</v>
      </c>
      <c r="X194" s="49">
        <f t="shared" si="40"/>
        <v>0.5622119816</v>
      </c>
      <c r="Y194" s="49">
        <f t="shared" si="41"/>
        <v>0.05376344086</v>
      </c>
      <c r="Z194" s="32" t="str">
        <f t="shared" si="42"/>
        <v>Milton</v>
      </c>
      <c r="AA194" s="50" t="s">
        <v>77</v>
      </c>
      <c r="AB194" s="38">
        <v>1193.0</v>
      </c>
      <c r="AC194" s="48">
        <f t="shared" si="43"/>
        <v>435</v>
      </c>
      <c r="AD194" s="51">
        <f t="shared" si="44"/>
        <v>0.6353730092</v>
      </c>
    </row>
    <row r="195">
      <c r="A195" s="110" t="s">
        <v>880</v>
      </c>
      <c r="B195" s="46" t="s">
        <v>1217</v>
      </c>
      <c r="C195" s="47"/>
      <c r="D195" s="38">
        <v>1247.0</v>
      </c>
      <c r="E195" s="38">
        <v>848.0</v>
      </c>
      <c r="F195" s="38">
        <v>57.0</v>
      </c>
      <c r="G195" s="38">
        <v>93.0</v>
      </c>
      <c r="H195" s="38">
        <v>104.0</v>
      </c>
      <c r="I195" s="48">
        <f t="shared" si="31"/>
        <v>2152</v>
      </c>
      <c r="J195" s="48">
        <f t="shared" si="32"/>
        <v>2349</v>
      </c>
      <c r="K195" s="49">
        <f t="shared" si="33"/>
        <v>0.5794609665</v>
      </c>
      <c r="L195" s="49">
        <f t="shared" si="34"/>
        <v>0.3940520446</v>
      </c>
      <c r="M195" s="49">
        <f t="shared" si="35"/>
        <v>0.02648698885</v>
      </c>
      <c r="N195" s="32" t="str">
        <f t="shared" si="36"/>
        <v>Jânio</v>
      </c>
      <c r="O195" s="50" t="s">
        <v>77</v>
      </c>
      <c r="P195" s="38">
        <v>911.0</v>
      </c>
      <c r="Q195" s="38">
        <v>1127.0</v>
      </c>
      <c r="R195" s="38">
        <v>67.0</v>
      </c>
      <c r="S195" s="38">
        <v>182.0</v>
      </c>
      <c r="T195" s="38">
        <v>62.0</v>
      </c>
      <c r="U195" s="48">
        <f t="shared" si="37"/>
        <v>2105</v>
      </c>
      <c r="V195" s="48">
        <f t="shared" si="38"/>
        <v>2349</v>
      </c>
      <c r="W195" s="49">
        <f t="shared" si="39"/>
        <v>0.4327790974</v>
      </c>
      <c r="X195" s="49">
        <f t="shared" si="40"/>
        <v>0.535391924</v>
      </c>
      <c r="Y195" s="49">
        <f t="shared" si="41"/>
        <v>0.03182897862</v>
      </c>
      <c r="Z195" s="32" t="str">
        <f t="shared" si="42"/>
        <v>Milton</v>
      </c>
      <c r="AA195" s="50" t="s">
        <v>77</v>
      </c>
      <c r="AB195" s="38">
        <v>3334.0</v>
      </c>
      <c r="AC195" s="48">
        <f t="shared" si="43"/>
        <v>985</v>
      </c>
      <c r="AD195" s="51">
        <f t="shared" si="44"/>
        <v>0.7045590882</v>
      </c>
    </row>
    <row r="196">
      <c r="A196" s="110" t="s">
        <v>882</v>
      </c>
      <c r="B196" s="46" t="s">
        <v>1218</v>
      </c>
      <c r="C196" s="47"/>
      <c r="D196" s="38">
        <v>1304.0</v>
      </c>
      <c r="E196" s="38">
        <v>1731.0</v>
      </c>
      <c r="F196" s="38">
        <v>202.0</v>
      </c>
      <c r="G196" s="38">
        <v>104.0</v>
      </c>
      <c r="H196" s="38">
        <v>102.0</v>
      </c>
      <c r="I196" s="48">
        <f t="shared" si="31"/>
        <v>3237</v>
      </c>
      <c r="J196" s="48">
        <f t="shared" si="32"/>
        <v>3443</v>
      </c>
      <c r="K196" s="49">
        <f t="shared" si="33"/>
        <v>0.4028421378</v>
      </c>
      <c r="L196" s="49">
        <f t="shared" si="34"/>
        <v>0.5347544022</v>
      </c>
      <c r="M196" s="49">
        <f t="shared" si="35"/>
        <v>0.06240345999</v>
      </c>
      <c r="N196" s="32" t="str">
        <f t="shared" si="36"/>
        <v>Mal. Lott</v>
      </c>
      <c r="O196" s="50" t="s">
        <v>77</v>
      </c>
      <c r="P196" s="38">
        <v>1753.0</v>
      </c>
      <c r="Q196" s="38">
        <v>1194.0</v>
      </c>
      <c r="R196" s="38">
        <v>174.0</v>
      </c>
      <c r="S196" s="38">
        <v>248.0</v>
      </c>
      <c r="T196" s="38">
        <v>74.0</v>
      </c>
      <c r="U196" s="48">
        <f t="shared" si="37"/>
        <v>3121</v>
      </c>
      <c r="V196" s="48">
        <f t="shared" si="38"/>
        <v>3443</v>
      </c>
      <c r="W196" s="49">
        <f t="shared" si="39"/>
        <v>0.5616789491</v>
      </c>
      <c r="X196" s="49">
        <f t="shared" si="40"/>
        <v>0.3825696892</v>
      </c>
      <c r="Y196" s="49">
        <f t="shared" si="41"/>
        <v>0.05575136174</v>
      </c>
      <c r="Z196" s="32" t="str">
        <f t="shared" si="42"/>
        <v>Jango</v>
      </c>
      <c r="AA196" s="50" t="s">
        <v>77</v>
      </c>
      <c r="AB196" s="38">
        <v>4769.0</v>
      </c>
      <c r="AC196" s="48">
        <f t="shared" si="43"/>
        <v>1326</v>
      </c>
      <c r="AD196" s="51">
        <f t="shared" si="44"/>
        <v>0.7219542881</v>
      </c>
    </row>
    <row r="197">
      <c r="A197" s="110" t="s">
        <v>884</v>
      </c>
      <c r="B197" s="46" t="s">
        <v>1219</v>
      </c>
      <c r="C197" s="47"/>
      <c r="D197" s="38">
        <v>1940.0</v>
      </c>
      <c r="E197" s="38">
        <v>865.0</v>
      </c>
      <c r="F197" s="38">
        <v>180.0</v>
      </c>
      <c r="G197" s="38">
        <v>122.0</v>
      </c>
      <c r="H197" s="38">
        <v>112.0</v>
      </c>
      <c r="I197" s="48">
        <f t="shared" si="31"/>
        <v>2985</v>
      </c>
      <c r="J197" s="48">
        <f t="shared" si="32"/>
        <v>3219</v>
      </c>
      <c r="K197" s="49">
        <f t="shared" si="33"/>
        <v>0.6499162479</v>
      </c>
      <c r="L197" s="49">
        <f t="shared" si="34"/>
        <v>0.2897822446</v>
      </c>
      <c r="M197" s="49">
        <f t="shared" si="35"/>
        <v>0.06030150754</v>
      </c>
      <c r="N197" s="32" t="str">
        <f t="shared" si="36"/>
        <v>Jânio</v>
      </c>
      <c r="O197" s="50" t="s">
        <v>77</v>
      </c>
      <c r="P197" s="38">
        <v>856.0</v>
      </c>
      <c r="Q197" s="38">
        <v>1905.0</v>
      </c>
      <c r="R197" s="38">
        <v>93.0</v>
      </c>
      <c r="S197" s="38">
        <v>294.0</v>
      </c>
      <c r="T197" s="38">
        <v>71.0</v>
      </c>
      <c r="U197" s="48">
        <f t="shared" si="37"/>
        <v>2854</v>
      </c>
      <c r="V197" s="48">
        <f t="shared" si="38"/>
        <v>3219</v>
      </c>
      <c r="W197" s="49">
        <f t="shared" si="39"/>
        <v>0.2999299229</v>
      </c>
      <c r="X197" s="49">
        <f t="shared" si="40"/>
        <v>0.6674842327</v>
      </c>
      <c r="Y197" s="49">
        <f t="shared" si="41"/>
        <v>0.03258584443</v>
      </c>
      <c r="Z197" s="32" t="str">
        <f t="shared" si="42"/>
        <v>Milton</v>
      </c>
      <c r="AA197" s="50" t="s">
        <v>77</v>
      </c>
      <c r="AB197" s="38">
        <v>4995.0</v>
      </c>
      <c r="AC197" s="48">
        <f t="shared" si="43"/>
        <v>1776</v>
      </c>
      <c r="AD197" s="51">
        <f t="shared" si="44"/>
        <v>0.6444444444</v>
      </c>
    </row>
    <row r="198">
      <c r="A198" s="110" t="s">
        <v>886</v>
      </c>
      <c r="B198" s="46" t="s">
        <v>1220</v>
      </c>
      <c r="C198" s="47"/>
      <c r="D198" s="38">
        <v>646.0</v>
      </c>
      <c r="E198" s="38">
        <v>397.0</v>
      </c>
      <c r="F198" s="38">
        <v>90.0</v>
      </c>
      <c r="G198" s="38">
        <v>41.0</v>
      </c>
      <c r="H198" s="38">
        <v>61.0</v>
      </c>
      <c r="I198" s="48">
        <f t="shared" si="31"/>
        <v>1133</v>
      </c>
      <c r="J198" s="48">
        <f t="shared" si="32"/>
        <v>1235</v>
      </c>
      <c r="K198" s="49">
        <f t="shared" si="33"/>
        <v>0.5701676964</v>
      </c>
      <c r="L198" s="49">
        <f t="shared" si="34"/>
        <v>0.3503971756</v>
      </c>
      <c r="M198" s="49">
        <f t="shared" si="35"/>
        <v>0.07943512798</v>
      </c>
      <c r="N198" s="32" t="str">
        <f t="shared" si="36"/>
        <v>Jânio</v>
      </c>
      <c r="O198" s="50" t="s">
        <v>77</v>
      </c>
      <c r="P198" s="38">
        <v>399.0</v>
      </c>
      <c r="Q198" s="38">
        <v>627.0</v>
      </c>
      <c r="R198" s="38">
        <v>72.0</v>
      </c>
      <c r="S198" s="38">
        <v>99.0</v>
      </c>
      <c r="T198" s="38">
        <v>38.0</v>
      </c>
      <c r="U198" s="48">
        <f t="shared" si="37"/>
        <v>1098</v>
      </c>
      <c r="V198" s="48">
        <f t="shared" si="38"/>
        <v>1235</v>
      </c>
      <c r="W198" s="49">
        <f t="shared" si="39"/>
        <v>0.3633879781</v>
      </c>
      <c r="X198" s="49">
        <f t="shared" si="40"/>
        <v>0.5710382514</v>
      </c>
      <c r="Y198" s="49">
        <f t="shared" si="41"/>
        <v>0.06557377049</v>
      </c>
      <c r="Z198" s="32" t="str">
        <f t="shared" si="42"/>
        <v>Milton</v>
      </c>
      <c r="AA198" s="50" t="s">
        <v>77</v>
      </c>
      <c r="AB198" s="38">
        <v>2388.0</v>
      </c>
      <c r="AC198" s="48">
        <f t="shared" si="43"/>
        <v>1153</v>
      </c>
      <c r="AD198" s="51">
        <f t="shared" si="44"/>
        <v>0.5171691792</v>
      </c>
    </row>
    <row r="199">
      <c r="A199" s="110" t="s">
        <v>888</v>
      </c>
      <c r="B199" s="46" t="s">
        <v>1221</v>
      </c>
      <c r="C199" s="47"/>
      <c r="D199" s="38">
        <v>2528.0</v>
      </c>
      <c r="E199" s="38">
        <v>654.0</v>
      </c>
      <c r="F199" s="38">
        <v>131.0</v>
      </c>
      <c r="G199" s="38">
        <v>186.0</v>
      </c>
      <c r="H199" s="38">
        <v>211.0</v>
      </c>
      <c r="I199" s="48">
        <f t="shared" si="31"/>
        <v>3313</v>
      </c>
      <c r="J199" s="48">
        <f t="shared" si="32"/>
        <v>3710</v>
      </c>
      <c r="K199" s="49">
        <f t="shared" si="33"/>
        <v>0.7630546333</v>
      </c>
      <c r="L199" s="49">
        <f t="shared" si="34"/>
        <v>0.1974041654</v>
      </c>
      <c r="M199" s="49">
        <f t="shared" si="35"/>
        <v>0.03954120133</v>
      </c>
      <c r="N199" s="32" t="str">
        <f t="shared" si="36"/>
        <v>Jânio</v>
      </c>
      <c r="O199" s="50" t="s">
        <v>77</v>
      </c>
      <c r="P199" s="38">
        <v>878.0</v>
      </c>
      <c r="Q199" s="38">
        <v>2080.0</v>
      </c>
      <c r="R199" s="38">
        <v>186.0</v>
      </c>
      <c r="S199" s="38">
        <v>447.0</v>
      </c>
      <c r="T199" s="38">
        <v>119.0</v>
      </c>
      <c r="U199" s="48">
        <f t="shared" si="37"/>
        <v>3144</v>
      </c>
      <c r="V199" s="48">
        <f t="shared" si="38"/>
        <v>3710</v>
      </c>
      <c r="W199" s="49">
        <f t="shared" si="39"/>
        <v>0.2792620865</v>
      </c>
      <c r="X199" s="49">
        <f t="shared" si="40"/>
        <v>0.6615776081</v>
      </c>
      <c r="Y199" s="49">
        <f t="shared" si="41"/>
        <v>0.05916030534</v>
      </c>
      <c r="Z199" s="32" t="str">
        <f t="shared" si="42"/>
        <v>Milton</v>
      </c>
      <c r="AA199" s="50" t="s">
        <v>77</v>
      </c>
      <c r="AB199" s="38">
        <v>5464.0</v>
      </c>
      <c r="AC199" s="48">
        <f t="shared" si="43"/>
        <v>1754</v>
      </c>
      <c r="AD199" s="51">
        <f t="shared" si="44"/>
        <v>0.6789897511</v>
      </c>
    </row>
    <row r="200">
      <c r="A200" s="61" t="s">
        <v>890</v>
      </c>
      <c r="B200" s="46" t="s">
        <v>1222</v>
      </c>
      <c r="C200" s="47"/>
      <c r="D200" s="38">
        <v>933.0</v>
      </c>
      <c r="E200" s="38">
        <v>717.0</v>
      </c>
      <c r="F200" s="38">
        <v>95.0</v>
      </c>
      <c r="G200" s="38">
        <v>48.0</v>
      </c>
      <c r="H200" s="38">
        <v>75.0</v>
      </c>
      <c r="I200" s="48">
        <f t="shared" si="31"/>
        <v>1745</v>
      </c>
      <c r="J200" s="48">
        <f t="shared" si="32"/>
        <v>1868</v>
      </c>
      <c r="K200" s="49">
        <f t="shared" si="33"/>
        <v>0.5346704871</v>
      </c>
      <c r="L200" s="49">
        <f t="shared" si="34"/>
        <v>0.4108882521</v>
      </c>
      <c r="M200" s="49">
        <f t="shared" si="35"/>
        <v>0.05444126074</v>
      </c>
      <c r="N200" s="32" t="str">
        <f t="shared" si="36"/>
        <v>Jânio</v>
      </c>
      <c r="O200" s="50" t="s">
        <v>77</v>
      </c>
      <c r="P200" s="38">
        <v>724.0</v>
      </c>
      <c r="Q200" s="38">
        <v>795.0</v>
      </c>
      <c r="R200" s="38">
        <v>125.0</v>
      </c>
      <c r="S200" s="38">
        <v>111.0</v>
      </c>
      <c r="T200" s="38">
        <v>113.0</v>
      </c>
      <c r="U200" s="48">
        <f t="shared" si="37"/>
        <v>1644</v>
      </c>
      <c r="V200" s="48">
        <f t="shared" si="38"/>
        <v>1868</v>
      </c>
      <c r="W200" s="49">
        <f t="shared" si="39"/>
        <v>0.4403892944</v>
      </c>
      <c r="X200" s="49">
        <f t="shared" si="40"/>
        <v>0.4835766423</v>
      </c>
      <c r="Y200" s="49">
        <f t="shared" si="41"/>
        <v>0.07603406326</v>
      </c>
      <c r="Z200" s="32" t="str">
        <f t="shared" si="42"/>
        <v>Milton</v>
      </c>
      <c r="AA200" s="50" t="s">
        <v>77</v>
      </c>
      <c r="AB200" s="38">
        <v>3741.0</v>
      </c>
      <c r="AC200" s="48">
        <f t="shared" si="43"/>
        <v>1873</v>
      </c>
      <c r="AD200" s="51">
        <f t="shared" si="44"/>
        <v>0.4993317295</v>
      </c>
    </row>
    <row r="201">
      <c r="A201" s="24"/>
      <c r="B201" s="46" t="s">
        <v>1223</v>
      </c>
      <c r="C201" s="47"/>
      <c r="D201" s="38">
        <v>865.0</v>
      </c>
      <c r="E201" s="38">
        <v>568.0</v>
      </c>
      <c r="F201" s="38">
        <v>62.0</v>
      </c>
      <c r="G201" s="38">
        <v>64.0</v>
      </c>
      <c r="H201" s="38">
        <v>70.0</v>
      </c>
      <c r="I201" s="48">
        <f t="shared" si="31"/>
        <v>1495</v>
      </c>
      <c r="J201" s="48">
        <f t="shared" si="32"/>
        <v>1629</v>
      </c>
      <c r="K201" s="49">
        <f t="shared" si="33"/>
        <v>0.5785953177</v>
      </c>
      <c r="L201" s="49">
        <f t="shared" si="34"/>
        <v>0.3799331104</v>
      </c>
      <c r="M201" s="49">
        <f t="shared" si="35"/>
        <v>0.04147157191</v>
      </c>
      <c r="N201" s="32" t="str">
        <f t="shared" si="36"/>
        <v>Jânio</v>
      </c>
      <c r="O201" s="50" t="s">
        <v>77</v>
      </c>
      <c r="P201" s="38">
        <v>516.0</v>
      </c>
      <c r="Q201" s="38">
        <v>817.0</v>
      </c>
      <c r="R201" s="38">
        <v>69.0</v>
      </c>
      <c r="S201" s="38">
        <v>102.0</v>
      </c>
      <c r="T201" s="38">
        <v>125.0</v>
      </c>
      <c r="U201" s="48">
        <f t="shared" si="37"/>
        <v>1402</v>
      </c>
      <c r="V201" s="48">
        <f t="shared" si="38"/>
        <v>1629</v>
      </c>
      <c r="W201" s="49">
        <f t="shared" si="39"/>
        <v>0.3680456491</v>
      </c>
      <c r="X201" s="49">
        <f t="shared" si="40"/>
        <v>0.5827389444</v>
      </c>
      <c r="Y201" s="49">
        <f t="shared" si="41"/>
        <v>0.04921540656</v>
      </c>
      <c r="Z201" s="32" t="str">
        <f t="shared" si="42"/>
        <v>Milton</v>
      </c>
      <c r="AA201" s="50" t="s">
        <v>77</v>
      </c>
      <c r="AB201" s="38">
        <v>3008.0</v>
      </c>
      <c r="AC201" s="48">
        <f t="shared" si="43"/>
        <v>1379</v>
      </c>
      <c r="AD201" s="51">
        <f t="shared" si="44"/>
        <v>0.5415558511</v>
      </c>
    </row>
    <row r="202">
      <c r="A202" s="61" t="s">
        <v>892</v>
      </c>
      <c r="B202" s="46" t="s">
        <v>1224</v>
      </c>
      <c r="C202" s="47"/>
      <c r="D202" s="38">
        <v>1192.0</v>
      </c>
      <c r="E202" s="38">
        <v>365.0</v>
      </c>
      <c r="F202" s="38">
        <v>106.0</v>
      </c>
      <c r="G202" s="38">
        <v>60.0</v>
      </c>
      <c r="H202" s="38">
        <v>90.0</v>
      </c>
      <c r="I202" s="48">
        <f t="shared" si="31"/>
        <v>1663</v>
      </c>
      <c r="J202" s="48">
        <f t="shared" si="32"/>
        <v>1813</v>
      </c>
      <c r="K202" s="49">
        <f t="shared" si="33"/>
        <v>0.7167769092</v>
      </c>
      <c r="L202" s="49">
        <f t="shared" si="34"/>
        <v>0.2194828623</v>
      </c>
      <c r="M202" s="49">
        <f t="shared" si="35"/>
        <v>0.0637402285</v>
      </c>
      <c r="N202" s="32" t="str">
        <f t="shared" si="36"/>
        <v>Jânio</v>
      </c>
      <c r="O202" s="50" t="s">
        <v>77</v>
      </c>
      <c r="P202" s="38">
        <v>366.0</v>
      </c>
      <c r="Q202" s="38">
        <v>1125.0</v>
      </c>
      <c r="R202" s="38">
        <v>94.0</v>
      </c>
      <c r="S202" s="38">
        <v>167.0</v>
      </c>
      <c r="T202" s="38">
        <v>61.0</v>
      </c>
      <c r="U202" s="48">
        <f t="shared" si="37"/>
        <v>1585</v>
      </c>
      <c r="V202" s="48">
        <f t="shared" si="38"/>
        <v>1813</v>
      </c>
      <c r="W202" s="49">
        <f t="shared" si="39"/>
        <v>0.2309148265</v>
      </c>
      <c r="X202" s="49">
        <f t="shared" si="40"/>
        <v>0.7097791798</v>
      </c>
      <c r="Y202" s="49">
        <f t="shared" si="41"/>
        <v>0.05930599369</v>
      </c>
      <c r="Z202" s="32" t="str">
        <f t="shared" si="42"/>
        <v>Milton</v>
      </c>
      <c r="AA202" s="50" t="s">
        <v>77</v>
      </c>
      <c r="AB202" s="38">
        <v>3603.0</v>
      </c>
      <c r="AC202" s="48">
        <f t="shared" si="43"/>
        <v>1790</v>
      </c>
      <c r="AD202" s="51">
        <f t="shared" si="44"/>
        <v>0.5031917846</v>
      </c>
    </row>
    <row r="203">
      <c r="A203" s="24"/>
      <c r="B203" s="46" t="s">
        <v>1225</v>
      </c>
      <c r="C203" s="47"/>
      <c r="D203" s="38">
        <v>490.0</v>
      </c>
      <c r="E203" s="38">
        <v>226.0</v>
      </c>
      <c r="F203" s="38">
        <v>86.0</v>
      </c>
      <c r="G203" s="38">
        <v>47.0</v>
      </c>
      <c r="H203" s="38">
        <v>44.0</v>
      </c>
      <c r="I203" s="48">
        <f t="shared" si="31"/>
        <v>802</v>
      </c>
      <c r="J203" s="48">
        <f t="shared" si="32"/>
        <v>893</v>
      </c>
      <c r="K203" s="49">
        <f t="shared" si="33"/>
        <v>0.6109725686</v>
      </c>
      <c r="L203" s="49">
        <f t="shared" si="34"/>
        <v>0.2817955112</v>
      </c>
      <c r="M203" s="49">
        <f t="shared" si="35"/>
        <v>0.1072319202</v>
      </c>
      <c r="N203" s="32" t="str">
        <f t="shared" si="36"/>
        <v>Jânio</v>
      </c>
      <c r="O203" s="50" t="s">
        <v>77</v>
      </c>
      <c r="P203" s="38">
        <v>222.0</v>
      </c>
      <c r="Q203" s="38">
        <v>476.0</v>
      </c>
      <c r="R203" s="38">
        <v>60.0</v>
      </c>
      <c r="S203" s="38">
        <v>91.0</v>
      </c>
      <c r="T203" s="38">
        <v>44.0</v>
      </c>
      <c r="U203" s="48">
        <f t="shared" si="37"/>
        <v>758</v>
      </c>
      <c r="V203" s="48">
        <f t="shared" si="38"/>
        <v>893</v>
      </c>
      <c r="W203" s="49">
        <f t="shared" si="39"/>
        <v>0.2928759894</v>
      </c>
      <c r="X203" s="49">
        <f t="shared" si="40"/>
        <v>0.6279683377</v>
      </c>
      <c r="Y203" s="49">
        <f t="shared" si="41"/>
        <v>0.07915567282</v>
      </c>
      <c r="Z203" s="32" t="str">
        <f t="shared" si="42"/>
        <v>Milton</v>
      </c>
      <c r="AA203" s="50" t="s">
        <v>77</v>
      </c>
      <c r="AB203" s="38">
        <v>1672.0</v>
      </c>
      <c r="AC203" s="48">
        <f t="shared" si="43"/>
        <v>779</v>
      </c>
      <c r="AD203" s="51">
        <f t="shared" si="44"/>
        <v>0.5340909091</v>
      </c>
    </row>
    <row r="204">
      <c r="A204" s="110" t="s">
        <v>894</v>
      </c>
      <c r="B204" s="46" t="s">
        <v>1226</v>
      </c>
      <c r="C204" s="47"/>
      <c r="D204" s="38">
        <v>1159.0</v>
      </c>
      <c r="E204" s="38">
        <v>1127.0</v>
      </c>
      <c r="F204" s="38">
        <v>123.0</v>
      </c>
      <c r="G204" s="38">
        <v>78.0</v>
      </c>
      <c r="H204" s="38">
        <v>95.0</v>
      </c>
      <c r="I204" s="48">
        <f t="shared" si="31"/>
        <v>2409</v>
      </c>
      <c r="J204" s="48">
        <f t="shared" si="32"/>
        <v>2582</v>
      </c>
      <c r="K204" s="49">
        <f t="shared" si="33"/>
        <v>0.4811124948</v>
      </c>
      <c r="L204" s="49">
        <f t="shared" si="34"/>
        <v>0.4678289747</v>
      </c>
      <c r="M204" s="49">
        <f t="shared" si="35"/>
        <v>0.05105853051</v>
      </c>
      <c r="N204" s="32" t="str">
        <f t="shared" si="36"/>
        <v>Jânio</v>
      </c>
      <c r="O204" s="50" t="s">
        <v>77</v>
      </c>
      <c r="P204" s="38">
        <v>866.0</v>
      </c>
      <c r="Q204" s="38">
        <v>907.0</v>
      </c>
      <c r="R204" s="38">
        <v>625.0</v>
      </c>
      <c r="S204" s="38">
        <v>105.0</v>
      </c>
      <c r="T204" s="38">
        <v>79.0</v>
      </c>
      <c r="U204" s="48">
        <f t="shared" si="37"/>
        <v>2398</v>
      </c>
      <c r="V204" s="48">
        <f t="shared" si="38"/>
        <v>2582</v>
      </c>
      <c r="W204" s="49">
        <f t="shared" si="39"/>
        <v>0.3611342786</v>
      </c>
      <c r="X204" s="49">
        <f t="shared" si="40"/>
        <v>0.3782318599</v>
      </c>
      <c r="Y204" s="49">
        <f t="shared" si="41"/>
        <v>0.2606338616</v>
      </c>
      <c r="Z204" s="32" t="str">
        <f t="shared" si="42"/>
        <v>Milton</v>
      </c>
      <c r="AA204" s="50" t="s">
        <v>77</v>
      </c>
      <c r="AB204" s="38">
        <v>3535.0</v>
      </c>
      <c r="AC204" s="48">
        <f t="shared" si="43"/>
        <v>953</v>
      </c>
      <c r="AD204" s="51">
        <f t="shared" si="44"/>
        <v>0.7304101839</v>
      </c>
    </row>
    <row r="205">
      <c r="A205" s="110" t="s">
        <v>896</v>
      </c>
      <c r="B205" s="46" t="s">
        <v>1227</v>
      </c>
      <c r="C205" s="47"/>
      <c r="D205" s="38">
        <v>301.0</v>
      </c>
      <c r="E205" s="38">
        <v>795.0</v>
      </c>
      <c r="F205" s="38">
        <v>39.0</v>
      </c>
      <c r="G205" s="38">
        <v>29.0</v>
      </c>
      <c r="H205" s="38">
        <v>47.0</v>
      </c>
      <c r="I205" s="48">
        <f t="shared" si="31"/>
        <v>1135</v>
      </c>
      <c r="J205" s="48">
        <f t="shared" si="32"/>
        <v>1211</v>
      </c>
      <c r="K205" s="49">
        <f t="shared" si="33"/>
        <v>0.2651982379</v>
      </c>
      <c r="L205" s="49">
        <f t="shared" si="34"/>
        <v>0.7004405286</v>
      </c>
      <c r="M205" s="49">
        <f t="shared" si="35"/>
        <v>0.03436123348</v>
      </c>
      <c r="N205" s="32" t="str">
        <f t="shared" si="36"/>
        <v>Mal. Lott</v>
      </c>
      <c r="O205" s="50" t="s">
        <v>77</v>
      </c>
      <c r="P205" s="38">
        <v>802.0</v>
      </c>
      <c r="Q205" s="38">
        <v>298.0</v>
      </c>
      <c r="R205" s="38">
        <v>27.0</v>
      </c>
      <c r="S205" s="38">
        <v>55.0</v>
      </c>
      <c r="T205" s="38">
        <v>29.0</v>
      </c>
      <c r="U205" s="48">
        <f t="shared" si="37"/>
        <v>1127</v>
      </c>
      <c r="V205" s="48">
        <f t="shared" si="38"/>
        <v>1211</v>
      </c>
      <c r="W205" s="49">
        <f t="shared" si="39"/>
        <v>0.7116237799</v>
      </c>
      <c r="X205" s="49">
        <f t="shared" si="40"/>
        <v>0.264418811</v>
      </c>
      <c r="Y205" s="49">
        <f t="shared" si="41"/>
        <v>0.02395740905</v>
      </c>
      <c r="Z205" s="32" t="str">
        <f t="shared" si="42"/>
        <v>Jango</v>
      </c>
      <c r="AA205" s="50" t="s">
        <v>77</v>
      </c>
      <c r="AB205" s="38">
        <v>1664.0</v>
      </c>
      <c r="AC205" s="48">
        <f t="shared" si="43"/>
        <v>453</v>
      </c>
      <c r="AD205" s="51">
        <f t="shared" si="44"/>
        <v>0.7277644231</v>
      </c>
    </row>
    <row r="206">
      <c r="A206" s="110" t="s">
        <v>898</v>
      </c>
      <c r="B206" s="46" t="s">
        <v>1228</v>
      </c>
      <c r="C206" s="47"/>
      <c r="D206" s="38">
        <v>783.0</v>
      </c>
      <c r="E206" s="38">
        <v>1495.0</v>
      </c>
      <c r="F206" s="38">
        <v>94.0</v>
      </c>
      <c r="G206" s="38">
        <v>86.0</v>
      </c>
      <c r="H206" s="38">
        <v>63.0</v>
      </c>
      <c r="I206" s="48">
        <f t="shared" si="31"/>
        <v>2372</v>
      </c>
      <c r="J206" s="48">
        <f t="shared" si="32"/>
        <v>2521</v>
      </c>
      <c r="K206" s="49">
        <f t="shared" si="33"/>
        <v>0.3301011804</v>
      </c>
      <c r="L206" s="49">
        <f t="shared" si="34"/>
        <v>0.6302698145</v>
      </c>
      <c r="M206" s="49">
        <f t="shared" si="35"/>
        <v>0.03962900506</v>
      </c>
      <c r="N206" s="32" t="str">
        <f t="shared" si="36"/>
        <v>Mal. Lott</v>
      </c>
      <c r="O206" s="50" t="s">
        <v>77</v>
      </c>
      <c r="P206" s="38">
        <v>1548.0</v>
      </c>
      <c r="Q206" s="38">
        <v>752.0</v>
      </c>
      <c r="R206" s="38">
        <v>57.0</v>
      </c>
      <c r="S206" s="38">
        <v>125.0</v>
      </c>
      <c r="T206" s="38">
        <v>39.0</v>
      </c>
      <c r="U206" s="48">
        <f t="shared" si="37"/>
        <v>2357</v>
      </c>
      <c r="V206" s="48">
        <f t="shared" si="38"/>
        <v>2521</v>
      </c>
      <c r="W206" s="49">
        <f t="shared" si="39"/>
        <v>0.6567670768</v>
      </c>
      <c r="X206" s="49">
        <f t="shared" si="40"/>
        <v>0.3190496394</v>
      </c>
      <c r="Y206" s="49">
        <f t="shared" si="41"/>
        <v>0.02418328384</v>
      </c>
      <c r="Z206" s="32" t="str">
        <f t="shared" si="42"/>
        <v>Jango</v>
      </c>
      <c r="AA206" s="50" t="s">
        <v>77</v>
      </c>
      <c r="AB206" s="38">
        <v>4172.0</v>
      </c>
      <c r="AC206" s="48">
        <f t="shared" si="43"/>
        <v>1651</v>
      </c>
      <c r="AD206" s="51">
        <f t="shared" si="44"/>
        <v>0.6042665388</v>
      </c>
    </row>
    <row r="207">
      <c r="A207" s="110" t="s">
        <v>817</v>
      </c>
      <c r="B207" s="46" t="s">
        <v>592</v>
      </c>
      <c r="C207" s="47"/>
      <c r="D207" s="38">
        <v>1251.0</v>
      </c>
      <c r="E207" s="38">
        <v>945.0</v>
      </c>
      <c r="F207" s="38">
        <v>117.0</v>
      </c>
      <c r="G207" s="38">
        <v>131.0</v>
      </c>
      <c r="H207" s="38">
        <v>126.0</v>
      </c>
      <c r="I207" s="48">
        <f t="shared" si="31"/>
        <v>2313</v>
      </c>
      <c r="J207" s="48">
        <f t="shared" si="32"/>
        <v>2570</v>
      </c>
      <c r="K207" s="49">
        <f t="shared" si="33"/>
        <v>0.5408560311</v>
      </c>
      <c r="L207" s="49">
        <f t="shared" si="34"/>
        <v>0.4085603113</v>
      </c>
      <c r="M207" s="49">
        <f t="shared" si="35"/>
        <v>0.05058365759</v>
      </c>
      <c r="N207" s="32" t="str">
        <f t="shared" si="36"/>
        <v>Jânio</v>
      </c>
      <c r="O207" s="50" t="s">
        <v>77</v>
      </c>
      <c r="P207" s="38">
        <v>1291.0</v>
      </c>
      <c r="Q207" s="38">
        <v>867.0</v>
      </c>
      <c r="R207" s="38">
        <v>60.0</v>
      </c>
      <c r="S207" s="38">
        <v>271.0</v>
      </c>
      <c r="T207" s="38">
        <v>81.0</v>
      </c>
      <c r="U207" s="48">
        <f t="shared" si="37"/>
        <v>2218</v>
      </c>
      <c r="V207" s="48">
        <f t="shared" si="38"/>
        <v>2570</v>
      </c>
      <c r="W207" s="49">
        <f t="shared" si="39"/>
        <v>0.5820559062</v>
      </c>
      <c r="X207" s="49">
        <f t="shared" si="40"/>
        <v>0.3908926961</v>
      </c>
      <c r="Y207" s="49">
        <f t="shared" si="41"/>
        <v>0.02705139766</v>
      </c>
      <c r="Z207" s="32" t="str">
        <f t="shared" si="42"/>
        <v>Jango</v>
      </c>
      <c r="AA207" s="50" t="s">
        <v>77</v>
      </c>
      <c r="AB207" s="38">
        <v>3034.0</v>
      </c>
      <c r="AC207" s="48">
        <f t="shared" si="43"/>
        <v>464</v>
      </c>
      <c r="AD207" s="51">
        <f t="shared" si="44"/>
        <v>0.8470665788</v>
      </c>
    </row>
    <row r="208">
      <c r="A208" s="61" t="s">
        <v>1229</v>
      </c>
      <c r="B208" s="46" t="s">
        <v>1230</v>
      </c>
      <c r="C208" s="47"/>
      <c r="D208" s="38">
        <v>1008.0</v>
      </c>
      <c r="E208" s="38">
        <v>946.0</v>
      </c>
      <c r="F208" s="38">
        <v>72.0</v>
      </c>
      <c r="G208" s="38">
        <v>104.0</v>
      </c>
      <c r="H208" s="38">
        <v>85.0</v>
      </c>
      <c r="I208" s="48">
        <f t="shared" si="31"/>
        <v>2026</v>
      </c>
      <c r="J208" s="48">
        <f t="shared" si="32"/>
        <v>2215</v>
      </c>
      <c r="K208" s="49">
        <f t="shared" si="33"/>
        <v>0.4975320829</v>
      </c>
      <c r="L208" s="49">
        <f t="shared" si="34"/>
        <v>0.4669299112</v>
      </c>
      <c r="M208" s="49">
        <f t="shared" si="35"/>
        <v>0.03553800592</v>
      </c>
      <c r="N208" s="32" t="str">
        <f t="shared" si="36"/>
        <v>Jânio</v>
      </c>
      <c r="O208" s="50" t="s">
        <v>77</v>
      </c>
      <c r="P208" s="38">
        <v>905.0</v>
      </c>
      <c r="Q208" s="38">
        <v>951.0</v>
      </c>
      <c r="R208" s="38">
        <v>124.0</v>
      </c>
      <c r="S208" s="38">
        <v>158.0</v>
      </c>
      <c r="T208" s="38">
        <v>77.0</v>
      </c>
      <c r="U208" s="48">
        <f t="shared" si="37"/>
        <v>1980</v>
      </c>
      <c r="V208" s="48">
        <f t="shared" si="38"/>
        <v>2215</v>
      </c>
      <c r="W208" s="49">
        <f t="shared" si="39"/>
        <v>0.4570707071</v>
      </c>
      <c r="X208" s="49">
        <f t="shared" si="40"/>
        <v>0.4803030303</v>
      </c>
      <c r="Y208" s="49">
        <f t="shared" si="41"/>
        <v>0.06262626263</v>
      </c>
      <c r="Z208" s="32" t="str">
        <f t="shared" si="42"/>
        <v>Milton</v>
      </c>
      <c r="AA208" s="50" t="s">
        <v>77</v>
      </c>
      <c r="AB208" s="38">
        <v>4274.0</v>
      </c>
      <c r="AC208" s="48">
        <f t="shared" si="43"/>
        <v>2059</v>
      </c>
      <c r="AD208" s="51">
        <f t="shared" si="44"/>
        <v>0.518249883</v>
      </c>
    </row>
    <row r="209">
      <c r="A209" s="23"/>
      <c r="B209" s="46" t="s">
        <v>1231</v>
      </c>
      <c r="C209" s="47"/>
      <c r="D209" s="38">
        <v>807.0</v>
      </c>
      <c r="E209" s="48">
        <v>257.0</v>
      </c>
      <c r="F209" s="48">
        <v>41.0</v>
      </c>
      <c r="G209" s="38">
        <v>22.0</v>
      </c>
      <c r="H209" s="38">
        <v>67.0</v>
      </c>
      <c r="I209" s="48">
        <f t="shared" si="31"/>
        <v>1105</v>
      </c>
      <c r="J209" s="48">
        <f t="shared" si="32"/>
        <v>1194</v>
      </c>
      <c r="K209" s="49">
        <f t="shared" si="33"/>
        <v>0.7303167421</v>
      </c>
      <c r="L209" s="49">
        <f t="shared" si="34"/>
        <v>0.2325791855</v>
      </c>
      <c r="M209" s="49">
        <f t="shared" si="35"/>
        <v>0.0371040724</v>
      </c>
      <c r="N209" s="32" t="str">
        <f t="shared" si="36"/>
        <v>Jânio</v>
      </c>
      <c r="O209" s="50" t="s">
        <v>77</v>
      </c>
      <c r="P209" s="38">
        <v>266.0</v>
      </c>
      <c r="Q209" s="38">
        <v>786.0</v>
      </c>
      <c r="R209" s="38">
        <v>25.0</v>
      </c>
      <c r="S209" s="48">
        <v>65.0</v>
      </c>
      <c r="T209" s="38">
        <v>52.0</v>
      </c>
      <c r="U209" s="48">
        <f t="shared" si="37"/>
        <v>1077</v>
      </c>
      <c r="V209" s="48">
        <f t="shared" si="38"/>
        <v>1194</v>
      </c>
      <c r="W209" s="49">
        <f t="shared" si="39"/>
        <v>0.2469823584</v>
      </c>
      <c r="X209" s="49">
        <f t="shared" si="40"/>
        <v>0.7298050139</v>
      </c>
      <c r="Y209" s="49">
        <f t="shared" si="41"/>
        <v>0.02321262767</v>
      </c>
      <c r="Z209" s="32" t="str">
        <f t="shared" si="42"/>
        <v>Milton</v>
      </c>
      <c r="AA209" s="50" t="s">
        <v>77</v>
      </c>
      <c r="AB209" s="38">
        <v>2292.0</v>
      </c>
      <c r="AC209" s="48">
        <f t="shared" si="43"/>
        <v>1098</v>
      </c>
      <c r="AD209" s="51">
        <f t="shared" si="44"/>
        <v>0.5209424084</v>
      </c>
    </row>
    <row r="210">
      <c r="A210" s="23"/>
      <c r="B210" s="46" t="s">
        <v>1232</v>
      </c>
      <c r="C210" s="47"/>
      <c r="D210" s="38">
        <v>979.0</v>
      </c>
      <c r="E210" s="48">
        <v>268.0</v>
      </c>
      <c r="F210" s="48">
        <v>163.0</v>
      </c>
      <c r="G210" s="38">
        <v>76.0</v>
      </c>
      <c r="H210" s="38">
        <v>79.0</v>
      </c>
      <c r="I210" s="48">
        <f t="shared" si="31"/>
        <v>1410</v>
      </c>
      <c r="J210" s="48">
        <f t="shared" si="32"/>
        <v>1565</v>
      </c>
      <c r="K210" s="49">
        <f t="shared" si="33"/>
        <v>0.6943262411</v>
      </c>
      <c r="L210" s="49">
        <f t="shared" si="34"/>
        <v>0.190070922</v>
      </c>
      <c r="M210" s="49">
        <f t="shared" si="35"/>
        <v>0.1156028369</v>
      </c>
      <c r="N210" s="32" t="str">
        <f t="shared" si="36"/>
        <v>Jânio</v>
      </c>
      <c r="O210" s="50" t="s">
        <v>77</v>
      </c>
      <c r="P210" s="38">
        <v>381.0</v>
      </c>
      <c r="Q210" s="38">
        <v>909.0</v>
      </c>
      <c r="R210" s="38">
        <v>34.0</v>
      </c>
      <c r="S210" s="48">
        <v>195.0</v>
      </c>
      <c r="T210" s="38">
        <v>46.0</v>
      </c>
      <c r="U210" s="48">
        <f t="shared" si="37"/>
        <v>1324</v>
      </c>
      <c r="V210" s="48">
        <f t="shared" si="38"/>
        <v>1565</v>
      </c>
      <c r="W210" s="49">
        <f t="shared" si="39"/>
        <v>0.2877643505</v>
      </c>
      <c r="X210" s="49">
        <f t="shared" si="40"/>
        <v>0.6865558912</v>
      </c>
      <c r="Y210" s="49">
        <f t="shared" si="41"/>
        <v>0.02567975831</v>
      </c>
      <c r="Z210" s="32" t="str">
        <f t="shared" si="42"/>
        <v>Milton</v>
      </c>
      <c r="AA210" s="50" t="s">
        <v>77</v>
      </c>
      <c r="AB210" s="38">
        <v>3617.0</v>
      </c>
      <c r="AC210" s="48">
        <f t="shared" si="43"/>
        <v>2052</v>
      </c>
      <c r="AD210" s="51">
        <f t="shared" si="44"/>
        <v>0.4326790158</v>
      </c>
    </row>
    <row r="211">
      <c r="A211" s="24"/>
      <c r="B211" s="46" t="s">
        <v>1233</v>
      </c>
      <c r="C211" s="47"/>
      <c r="D211" s="38">
        <v>685.0</v>
      </c>
      <c r="E211" s="48">
        <v>453.0</v>
      </c>
      <c r="F211" s="48">
        <v>48.0</v>
      </c>
      <c r="G211" s="38">
        <v>53.0</v>
      </c>
      <c r="H211" s="38">
        <v>80.0</v>
      </c>
      <c r="I211" s="48">
        <f t="shared" si="31"/>
        <v>1186</v>
      </c>
      <c r="J211" s="48">
        <f t="shared" si="32"/>
        <v>1319</v>
      </c>
      <c r="K211" s="49">
        <f t="shared" si="33"/>
        <v>0.5775716695</v>
      </c>
      <c r="L211" s="49">
        <f t="shared" si="34"/>
        <v>0.3819561551</v>
      </c>
      <c r="M211" s="49">
        <f t="shared" si="35"/>
        <v>0.04047217538</v>
      </c>
      <c r="N211" s="32" t="str">
        <f t="shared" si="36"/>
        <v>Jânio</v>
      </c>
      <c r="O211" s="50" t="s">
        <v>77</v>
      </c>
      <c r="P211" s="38">
        <v>426.0</v>
      </c>
      <c r="Q211" s="38">
        <v>648.0</v>
      </c>
      <c r="R211" s="38">
        <v>56.0</v>
      </c>
      <c r="S211" s="48">
        <v>129.0</v>
      </c>
      <c r="T211" s="38">
        <v>60.0</v>
      </c>
      <c r="U211" s="48">
        <f t="shared" si="37"/>
        <v>1130</v>
      </c>
      <c r="V211" s="48">
        <f t="shared" si="38"/>
        <v>1319</v>
      </c>
      <c r="W211" s="49">
        <f t="shared" si="39"/>
        <v>0.3769911504</v>
      </c>
      <c r="X211" s="49">
        <f t="shared" si="40"/>
        <v>0.5734513274</v>
      </c>
      <c r="Y211" s="49">
        <f t="shared" si="41"/>
        <v>0.04955752212</v>
      </c>
      <c r="Z211" s="32" t="str">
        <f t="shared" si="42"/>
        <v>Milton</v>
      </c>
      <c r="AA211" s="50" t="s">
        <v>77</v>
      </c>
      <c r="AB211" s="38">
        <v>2158.0</v>
      </c>
      <c r="AC211" s="48">
        <f t="shared" si="43"/>
        <v>839</v>
      </c>
      <c r="AD211" s="51">
        <f t="shared" si="44"/>
        <v>0.6112140871</v>
      </c>
    </row>
    <row r="212">
      <c r="A212" s="110" t="s">
        <v>1234</v>
      </c>
      <c r="B212" s="46" t="s">
        <v>1235</v>
      </c>
      <c r="C212" s="47"/>
      <c r="D212" s="38">
        <v>706.0</v>
      </c>
      <c r="E212" s="48">
        <v>741.0</v>
      </c>
      <c r="F212" s="48">
        <v>80.0</v>
      </c>
      <c r="G212" s="38">
        <v>54.0</v>
      </c>
      <c r="H212" s="38">
        <v>70.0</v>
      </c>
      <c r="I212" s="48">
        <f t="shared" si="31"/>
        <v>1527</v>
      </c>
      <c r="J212" s="48">
        <f t="shared" si="32"/>
        <v>1651</v>
      </c>
      <c r="K212" s="49">
        <f t="shared" si="33"/>
        <v>0.4623444663</v>
      </c>
      <c r="L212" s="49">
        <f t="shared" si="34"/>
        <v>0.4852652259</v>
      </c>
      <c r="M212" s="49">
        <f t="shared" si="35"/>
        <v>0.05239030779</v>
      </c>
      <c r="N212" s="32" t="str">
        <f t="shared" si="36"/>
        <v>Mal. Lott</v>
      </c>
      <c r="O212" s="50" t="s">
        <v>77</v>
      </c>
      <c r="P212" s="38">
        <v>827.0</v>
      </c>
      <c r="Q212" s="38">
        <v>505.0</v>
      </c>
      <c r="R212" s="38">
        <v>172.0</v>
      </c>
      <c r="S212" s="48">
        <v>99.0</v>
      </c>
      <c r="T212" s="38">
        <v>48.0</v>
      </c>
      <c r="U212" s="48">
        <f t="shared" si="37"/>
        <v>1504</v>
      </c>
      <c r="V212" s="48">
        <f t="shared" si="38"/>
        <v>1651</v>
      </c>
      <c r="W212" s="49">
        <f t="shared" si="39"/>
        <v>0.5498670213</v>
      </c>
      <c r="X212" s="49">
        <f t="shared" si="40"/>
        <v>0.3357712766</v>
      </c>
      <c r="Y212" s="49">
        <f t="shared" si="41"/>
        <v>0.1143617021</v>
      </c>
      <c r="Z212" s="32" t="str">
        <f t="shared" si="42"/>
        <v>Jango</v>
      </c>
      <c r="AA212" s="50" t="s">
        <v>77</v>
      </c>
      <c r="AB212" s="38">
        <v>4320.0</v>
      </c>
      <c r="AC212" s="48">
        <f t="shared" si="43"/>
        <v>2669</v>
      </c>
      <c r="AD212" s="51">
        <f t="shared" si="44"/>
        <v>0.3821759259</v>
      </c>
    </row>
    <row r="213">
      <c r="A213" s="110" t="s">
        <v>1236</v>
      </c>
      <c r="B213" s="46" t="s">
        <v>1237</v>
      </c>
      <c r="C213" s="47"/>
      <c r="D213" s="38">
        <v>1946.0</v>
      </c>
      <c r="E213" s="48">
        <v>1042.0</v>
      </c>
      <c r="F213" s="48">
        <v>220.0</v>
      </c>
      <c r="G213" s="38">
        <v>83.0</v>
      </c>
      <c r="H213" s="38">
        <v>180.0</v>
      </c>
      <c r="I213" s="48">
        <f t="shared" si="31"/>
        <v>3208</v>
      </c>
      <c r="J213" s="48">
        <f t="shared" si="32"/>
        <v>3471</v>
      </c>
      <c r="K213" s="49">
        <f t="shared" si="33"/>
        <v>0.6066084788</v>
      </c>
      <c r="L213" s="49">
        <f t="shared" si="34"/>
        <v>0.3248129676</v>
      </c>
      <c r="M213" s="49">
        <f t="shared" si="35"/>
        <v>0.06857855362</v>
      </c>
      <c r="N213" s="32" t="str">
        <f t="shared" si="36"/>
        <v>Jânio</v>
      </c>
      <c r="O213" s="50" t="s">
        <v>77</v>
      </c>
      <c r="P213" s="38">
        <v>1361.0</v>
      </c>
      <c r="Q213" s="38">
        <v>1537.0</v>
      </c>
      <c r="R213" s="38">
        <v>192.0</v>
      </c>
      <c r="S213" s="48">
        <v>250.0</v>
      </c>
      <c r="T213" s="38">
        <v>131.0</v>
      </c>
      <c r="U213" s="48">
        <f t="shared" si="37"/>
        <v>3090</v>
      </c>
      <c r="V213" s="48">
        <f t="shared" si="38"/>
        <v>3471</v>
      </c>
      <c r="W213" s="49">
        <f t="shared" si="39"/>
        <v>0.4404530744</v>
      </c>
      <c r="X213" s="49">
        <f t="shared" si="40"/>
        <v>0.4974110032</v>
      </c>
      <c r="Y213" s="49">
        <f t="shared" si="41"/>
        <v>0.06213592233</v>
      </c>
      <c r="Z213" s="32" t="str">
        <f t="shared" si="42"/>
        <v>Milton</v>
      </c>
      <c r="AA213" s="50" t="s">
        <v>77</v>
      </c>
      <c r="AB213" s="38">
        <v>6794.0</v>
      </c>
      <c r="AC213" s="48">
        <f t="shared" si="43"/>
        <v>3323</v>
      </c>
      <c r="AD213" s="51">
        <f t="shared" si="44"/>
        <v>0.5108919635</v>
      </c>
    </row>
    <row r="214">
      <c r="A214" s="110" t="s">
        <v>1238</v>
      </c>
      <c r="B214" s="46" t="s">
        <v>1239</v>
      </c>
      <c r="C214" s="47"/>
      <c r="D214" s="38">
        <v>943.0</v>
      </c>
      <c r="E214" s="48">
        <v>875.0</v>
      </c>
      <c r="F214" s="48">
        <v>111.0</v>
      </c>
      <c r="G214" s="38">
        <v>55.0</v>
      </c>
      <c r="H214" s="38">
        <v>112.0</v>
      </c>
      <c r="I214" s="48">
        <f t="shared" si="31"/>
        <v>1929</v>
      </c>
      <c r="J214" s="48">
        <f t="shared" si="32"/>
        <v>2096</v>
      </c>
      <c r="K214" s="49">
        <f t="shared" si="33"/>
        <v>0.4888543287</v>
      </c>
      <c r="L214" s="49">
        <f t="shared" si="34"/>
        <v>0.4536029031</v>
      </c>
      <c r="M214" s="49">
        <f t="shared" si="35"/>
        <v>0.05754276827</v>
      </c>
      <c r="N214" s="32" t="str">
        <f t="shared" si="36"/>
        <v>Jânio</v>
      </c>
      <c r="O214" s="50" t="s">
        <v>77</v>
      </c>
      <c r="P214" s="38">
        <v>979.0</v>
      </c>
      <c r="Q214" s="38">
        <v>778.0</v>
      </c>
      <c r="R214" s="38">
        <v>79.0</v>
      </c>
      <c r="S214" s="48">
        <v>161.0</v>
      </c>
      <c r="T214" s="38">
        <v>99.0</v>
      </c>
      <c r="U214" s="48">
        <f t="shared" si="37"/>
        <v>1836</v>
      </c>
      <c r="V214" s="48">
        <f t="shared" si="38"/>
        <v>2096</v>
      </c>
      <c r="W214" s="49">
        <f t="shared" si="39"/>
        <v>0.5332244009</v>
      </c>
      <c r="X214" s="49">
        <f t="shared" si="40"/>
        <v>0.4237472767</v>
      </c>
      <c r="Y214" s="49">
        <f t="shared" si="41"/>
        <v>0.04302832244</v>
      </c>
      <c r="Z214" s="32" t="str">
        <f t="shared" si="42"/>
        <v>Jango</v>
      </c>
      <c r="AA214" s="50" t="s">
        <v>77</v>
      </c>
      <c r="AB214" s="38">
        <v>4903.0</v>
      </c>
      <c r="AC214" s="48">
        <f t="shared" si="43"/>
        <v>2807</v>
      </c>
      <c r="AD214" s="51">
        <f t="shared" si="44"/>
        <v>0.4274933714</v>
      </c>
    </row>
    <row r="215">
      <c r="A215" s="110" t="s">
        <v>1240</v>
      </c>
      <c r="B215" s="46" t="s">
        <v>1241</v>
      </c>
      <c r="C215" s="47"/>
      <c r="D215" s="38">
        <v>1197.0</v>
      </c>
      <c r="E215" s="48">
        <v>479.0</v>
      </c>
      <c r="F215" s="48">
        <v>206.0</v>
      </c>
      <c r="G215" s="38">
        <v>46.0</v>
      </c>
      <c r="H215" s="38">
        <v>101.0</v>
      </c>
      <c r="I215" s="48">
        <f t="shared" si="31"/>
        <v>1882</v>
      </c>
      <c r="J215" s="48">
        <f t="shared" si="32"/>
        <v>2029</v>
      </c>
      <c r="K215" s="49">
        <f t="shared" si="33"/>
        <v>0.6360255048</v>
      </c>
      <c r="L215" s="49">
        <f t="shared" si="34"/>
        <v>0.2545164718</v>
      </c>
      <c r="M215" s="49">
        <f t="shared" si="35"/>
        <v>0.1094580234</v>
      </c>
      <c r="N215" s="32" t="str">
        <f t="shared" si="36"/>
        <v>Jânio</v>
      </c>
      <c r="O215" s="50" t="s">
        <v>77</v>
      </c>
      <c r="P215" s="38">
        <v>540.0</v>
      </c>
      <c r="Q215" s="38">
        <v>1204.0</v>
      </c>
      <c r="R215" s="38">
        <v>103.0</v>
      </c>
      <c r="S215" s="48">
        <v>98.0</v>
      </c>
      <c r="T215" s="38">
        <v>84.0</v>
      </c>
      <c r="U215" s="48">
        <f t="shared" si="37"/>
        <v>1847</v>
      </c>
      <c r="V215" s="48">
        <f t="shared" si="38"/>
        <v>2029</v>
      </c>
      <c r="W215" s="49">
        <f t="shared" si="39"/>
        <v>0.2923659989</v>
      </c>
      <c r="X215" s="49">
        <f t="shared" si="40"/>
        <v>0.6518678939</v>
      </c>
      <c r="Y215" s="49">
        <f t="shared" si="41"/>
        <v>0.0557661072</v>
      </c>
      <c r="Z215" s="32" t="str">
        <f t="shared" si="42"/>
        <v>Milton</v>
      </c>
      <c r="AA215" s="50" t="s">
        <v>77</v>
      </c>
      <c r="AB215" s="38">
        <v>2606.0</v>
      </c>
      <c r="AC215" s="48">
        <f t="shared" si="43"/>
        <v>577</v>
      </c>
      <c r="AD215" s="51">
        <f t="shared" si="44"/>
        <v>0.7785878741</v>
      </c>
    </row>
    <row r="216">
      <c r="A216" s="110" t="s">
        <v>1242</v>
      </c>
      <c r="B216" s="46" t="s">
        <v>1243</v>
      </c>
      <c r="C216" s="47"/>
      <c r="D216" s="38">
        <v>2299.0</v>
      </c>
      <c r="E216" s="48">
        <v>422.0</v>
      </c>
      <c r="F216" s="48">
        <v>68.0</v>
      </c>
      <c r="G216" s="38">
        <v>53.0</v>
      </c>
      <c r="H216" s="38">
        <v>85.0</v>
      </c>
      <c r="I216" s="48">
        <f t="shared" si="31"/>
        <v>2789</v>
      </c>
      <c r="J216" s="48">
        <f t="shared" si="32"/>
        <v>2927</v>
      </c>
      <c r="K216" s="49">
        <f t="shared" si="33"/>
        <v>0.8243097885</v>
      </c>
      <c r="L216" s="49">
        <f t="shared" si="34"/>
        <v>0.1513087128</v>
      </c>
      <c r="M216" s="49">
        <f t="shared" si="35"/>
        <v>0.02438149875</v>
      </c>
      <c r="N216" s="32" t="str">
        <f t="shared" si="36"/>
        <v>Jânio</v>
      </c>
      <c r="O216" s="50" t="s">
        <v>77</v>
      </c>
      <c r="P216" s="38">
        <v>705.0</v>
      </c>
      <c r="Q216" s="38">
        <v>2000.0</v>
      </c>
      <c r="R216" s="38">
        <v>45.0</v>
      </c>
      <c r="S216" s="48">
        <v>114.0</v>
      </c>
      <c r="T216" s="38">
        <v>63.0</v>
      </c>
      <c r="U216" s="48">
        <f t="shared" si="37"/>
        <v>2750</v>
      </c>
      <c r="V216" s="48">
        <f t="shared" si="38"/>
        <v>2927</v>
      </c>
      <c r="W216" s="49">
        <f t="shared" si="39"/>
        <v>0.2563636364</v>
      </c>
      <c r="X216" s="49">
        <f t="shared" si="40"/>
        <v>0.7272727273</v>
      </c>
      <c r="Y216" s="49">
        <f t="shared" si="41"/>
        <v>0.01636363636</v>
      </c>
      <c r="Z216" s="32" t="str">
        <f t="shared" si="42"/>
        <v>Milton</v>
      </c>
      <c r="AA216" s="50" t="s">
        <v>77</v>
      </c>
      <c r="AB216" s="38">
        <v>4115.0</v>
      </c>
      <c r="AC216" s="48">
        <f t="shared" si="43"/>
        <v>1188</v>
      </c>
      <c r="AD216" s="51">
        <f t="shared" si="44"/>
        <v>0.7113001215</v>
      </c>
    </row>
    <row r="217">
      <c r="A217" s="110" t="s">
        <v>1244</v>
      </c>
      <c r="B217" s="46" t="s">
        <v>1245</v>
      </c>
      <c r="C217" s="47"/>
      <c r="D217" s="38">
        <v>378.0</v>
      </c>
      <c r="E217" s="48">
        <v>491.0</v>
      </c>
      <c r="F217" s="48">
        <v>93.0</v>
      </c>
      <c r="G217" s="38">
        <v>51.0</v>
      </c>
      <c r="H217" s="38">
        <v>42.0</v>
      </c>
      <c r="I217" s="48">
        <f t="shared" si="31"/>
        <v>962</v>
      </c>
      <c r="J217" s="48">
        <f t="shared" si="32"/>
        <v>1055</v>
      </c>
      <c r="K217" s="49">
        <f t="shared" si="33"/>
        <v>0.3929313929</v>
      </c>
      <c r="L217" s="49">
        <f t="shared" si="34"/>
        <v>0.5103950104</v>
      </c>
      <c r="M217" s="49">
        <f t="shared" si="35"/>
        <v>0.09667359667</v>
      </c>
      <c r="N217" s="32" t="str">
        <f t="shared" si="36"/>
        <v>Mal. Lott</v>
      </c>
      <c r="O217" s="50" t="s">
        <v>77</v>
      </c>
      <c r="P217" s="38">
        <v>578.0</v>
      </c>
      <c r="Q217" s="38">
        <v>225.0</v>
      </c>
      <c r="R217" s="38">
        <v>73.0</v>
      </c>
      <c r="S217" s="48">
        <v>153.0</v>
      </c>
      <c r="T217" s="38">
        <v>26.0</v>
      </c>
      <c r="U217" s="48">
        <f t="shared" si="37"/>
        <v>876</v>
      </c>
      <c r="V217" s="48">
        <f t="shared" si="38"/>
        <v>1055</v>
      </c>
      <c r="W217" s="49">
        <f t="shared" si="39"/>
        <v>0.6598173516</v>
      </c>
      <c r="X217" s="49">
        <f t="shared" si="40"/>
        <v>0.2568493151</v>
      </c>
      <c r="Y217" s="49">
        <f t="shared" si="41"/>
        <v>0.08333333333</v>
      </c>
      <c r="Z217" s="32" t="str">
        <f t="shared" si="42"/>
        <v>Jango</v>
      </c>
      <c r="AA217" s="50" t="s">
        <v>77</v>
      </c>
      <c r="AB217" s="38">
        <v>2002.0</v>
      </c>
      <c r="AC217" s="48">
        <f t="shared" si="43"/>
        <v>947</v>
      </c>
      <c r="AD217" s="51">
        <f t="shared" si="44"/>
        <v>0.526973027</v>
      </c>
    </row>
    <row r="218">
      <c r="A218" s="69" t="s">
        <v>54</v>
      </c>
      <c r="B218" s="13"/>
      <c r="C218" s="47"/>
      <c r="D218" s="38">
        <f t="shared" ref="D218:H218" si="45">SUM(D22:D217)</f>
        <v>255530</v>
      </c>
      <c r="E218" s="38">
        <f t="shared" si="45"/>
        <v>232391</v>
      </c>
      <c r="F218" s="38">
        <f t="shared" si="45"/>
        <v>47824</v>
      </c>
      <c r="G218" s="38">
        <f t="shared" si="45"/>
        <v>19931</v>
      </c>
      <c r="H218" s="38">
        <f t="shared" si="45"/>
        <v>29202</v>
      </c>
      <c r="I218" s="48">
        <f t="shared" si="31"/>
        <v>535745</v>
      </c>
      <c r="J218" s="48">
        <f t="shared" si="32"/>
        <v>584878</v>
      </c>
      <c r="K218" s="49">
        <f t="shared" si="33"/>
        <v>0.4769619875</v>
      </c>
      <c r="L218" s="49">
        <f t="shared" si="34"/>
        <v>0.4337716638</v>
      </c>
      <c r="M218" s="49">
        <f t="shared" si="35"/>
        <v>0.08926634873</v>
      </c>
      <c r="N218" s="32" t="str">
        <f t="shared" si="36"/>
        <v>Jânio</v>
      </c>
      <c r="O218" s="50"/>
      <c r="P218" s="38">
        <f t="shared" ref="P218:T218" si="46">SUM(P22:P217)</f>
        <v>232135</v>
      </c>
      <c r="Q218" s="38">
        <f t="shared" si="46"/>
        <v>217141</v>
      </c>
      <c r="R218" s="38">
        <f t="shared" si="46"/>
        <v>67735</v>
      </c>
      <c r="S218" s="38">
        <f t="shared" si="46"/>
        <v>44575</v>
      </c>
      <c r="T218" s="38">
        <f t="shared" si="46"/>
        <v>23292</v>
      </c>
      <c r="U218" s="48">
        <f t="shared" si="37"/>
        <v>517011</v>
      </c>
      <c r="V218" s="48">
        <f t="shared" si="38"/>
        <v>584878</v>
      </c>
      <c r="W218" s="49">
        <f t="shared" si="39"/>
        <v>0.4489943154</v>
      </c>
      <c r="X218" s="49">
        <f t="shared" si="40"/>
        <v>0.4199929982</v>
      </c>
      <c r="Y218" s="49">
        <f t="shared" si="41"/>
        <v>0.1310126864</v>
      </c>
      <c r="Z218" s="32" t="str">
        <f t="shared" si="42"/>
        <v>Jango</v>
      </c>
      <c r="AA218" s="44"/>
      <c r="AB218" s="55">
        <v>943317.0</v>
      </c>
      <c r="AC218" s="48">
        <f t="shared" si="43"/>
        <v>358439</v>
      </c>
      <c r="AD218" s="51">
        <f t="shared" si="44"/>
        <v>0.6200227495</v>
      </c>
    </row>
    <row r="219">
      <c r="O219" s="73"/>
    </row>
    <row r="220">
      <c r="B220" s="74" t="s">
        <v>138</v>
      </c>
      <c r="D220" s="75"/>
      <c r="E220" s="75"/>
      <c r="F220" s="75"/>
      <c r="G220" s="75"/>
    </row>
    <row r="221">
      <c r="B221" s="76" t="s">
        <v>139</v>
      </c>
      <c r="C221" s="33"/>
      <c r="D221" s="29"/>
      <c r="E221" s="29"/>
      <c r="F221" s="77"/>
      <c r="G221" s="77"/>
    </row>
    <row r="222">
      <c r="B222" s="76" t="s">
        <v>139</v>
      </c>
      <c r="C222" s="33"/>
      <c r="D222" s="29"/>
      <c r="E222" s="29"/>
      <c r="F222" s="77"/>
      <c r="G222" s="77"/>
    </row>
    <row r="223">
      <c r="B223" s="76" t="s">
        <v>222</v>
      </c>
      <c r="C223" s="33"/>
      <c r="D223" s="29"/>
      <c r="E223" s="29"/>
      <c r="F223" s="77"/>
      <c r="G223" s="77"/>
    </row>
    <row r="224">
      <c r="B224" s="76" t="s">
        <v>331</v>
      </c>
      <c r="D224" s="29"/>
      <c r="E224" s="29"/>
      <c r="F224" s="77"/>
      <c r="G224" s="77"/>
    </row>
    <row r="225">
      <c r="D225" s="29"/>
      <c r="E225" s="29"/>
      <c r="F225" s="77"/>
      <c r="G225" s="77"/>
    </row>
  </sheetData>
  <mergeCells count="119">
    <mergeCell ref="D2:G2"/>
    <mergeCell ref="A10:C10"/>
    <mergeCell ref="D10:N10"/>
    <mergeCell ref="P10:Z10"/>
    <mergeCell ref="AA10:AD10"/>
    <mergeCell ref="A24:A26"/>
    <mergeCell ref="A27:A29"/>
    <mergeCell ref="A30:A31"/>
    <mergeCell ref="A32:A34"/>
    <mergeCell ref="A36:A37"/>
    <mergeCell ref="A38:A41"/>
    <mergeCell ref="A42:A44"/>
    <mergeCell ref="A45:A47"/>
    <mergeCell ref="A48:A52"/>
    <mergeCell ref="A65:A66"/>
    <mergeCell ref="G62:G63"/>
    <mergeCell ref="H62:H63"/>
    <mergeCell ref="I62:I63"/>
    <mergeCell ref="J62:J63"/>
    <mergeCell ref="K62:K63"/>
    <mergeCell ref="L62:L63"/>
    <mergeCell ref="M62:M63"/>
    <mergeCell ref="N62:N63"/>
    <mergeCell ref="P62:P63"/>
    <mergeCell ref="Q62:Q63"/>
    <mergeCell ref="R62:R63"/>
    <mergeCell ref="S62:S63"/>
    <mergeCell ref="T62:T63"/>
    <mergeCell ref="U62:U63"/>
    <mergeCell ref="AD62:AD63"/>
    <mergeCell ref="AE62:AE63"/>
    <mergeCell ref="V62:V63"/>
    <mergeCell ref="W62:W63"/>
    <mergeCell ref="X62:X63"/>
    <mergeCell ref="Y62:Y63"/>
    <mergeCell ref="Z62:Z63"/>
    <mergeCell ref="AB62:AB63"/>
    <mergeCell ref="AC62:AC63"/>
    <mergeCell ref="A53:A56"/>
    <mergeCell ref="A57:A58"/>
    <mergeCell ref="A60:A61"/>
    <mergeCell ref="B62:B63"/>
    <mergeCell ref="D62:D63"/>
    <mergeCell ref="E62:E63"/>
    <mergeCell ref="F62:F63"/>
    <mergeCell ref="A123:A125"/>
    <mergeCell ref="A126:A127"/>
    <mergeCell ref="A129:A131"/>
    <mergeCell ref="A132:A133"/>
    <mergeCell ref="A134:A135"/>
    <mergeCell ref="A136:A137"/>
    <mergeCell ref="A139:A140"/>
    <mergeCell ref="A141:A143"/>
    <mergeCell ref="A144:A145"/>
    <mergeCell ref="A146:A147"/>
    <mergeCell ref="A148:A150"/>
    <mergeCell ref="A151:A153"/>
    <mergeCell ref="A157:A159"/>
    <mergeCell ref="A162:A164"/>
    <mergeCell ref="A193:A194"/>
    <mergeCell ref="A200:A201"/>
    <mergeCell ref="A202:A203"/>
    <mergeCell ref="A208:A211"/>
    <mergeCell ref="A218:B218"/>
    <mergeCell ref="A166:A167"/>
    <mergeCell ref="A168:A169"/>
    <mergeCell ref="A171:A172"/>
    <mergeCell ref="A173:A174"/>
    <mergeCell ref="A176:A177"/>
    <mergeCell ref="A181:A182"/>
    <mergeCell ref="A185:A187"/>
    <mergeCell ref="J67:J68"/>
    <mergeCell ref="K67:K68"/>
    <mergeCell ref="L67:L68"/>
    <mergeCell ref="M67:M68"/>
    <mergeCell ref="N67:N68"/>
    <mergeCell ref="P67:P68"/>
    <mergeCell ref="Q67:Q68"/>
    <mergeCell ref="Y67:Y68"/>
    <mergeCell ref="Z67:Z68"/>
    <mergeCell ref="AB67:AB68"/>
    <mergeCell ref="AC67:AC68"/>
    <mergeCell ref="AD67:AD68"/>
    <mergeCell ref="AE67:AE68"/>
    <mergeCell ref="R67:R68"/>
    <mergeCell ref="S67:S68"/>
    <mergeCell ref="T67:T68"/>
    <mergeCell ref="U67:U68"/>
    <mergeCell ref="V67:V68"/>
    <mergeCell ref="W67:W68"/>
    <mergeCell ref="X67:X68"/>
    <mergeCell ref="B67:B68"/>
    <mergeCell ref="D67:D68"/>
    <mergeCell ref="E67:E68"/>
    <mergeCell ref="F67:F68"/>
    <mergeCell ref="G67:G68"/>
    <mergeCell ref="H67:H68"/>
    <mergeCell ref="I67:I68"/>
    <mergeCell ref="A69:A70"/>
    <mergeCell ref="A71:A72"/>
    <mergeCell ref="A73:A74"/>
    <mergeCell ref="A75:A76"/>
    <mergeCell ref="A77:A80"/>
    <mergeCell ref="A81:A82"/>
    <mergeCell ref="A83:A84"/>
    <mergeCell ref="A86:A87"/>
    <mergeCell ref="A88:A89"/>
    <mergeCell ref="A92:A93"/>
    <mergeCell ref="A94:A95"/>
    <mergeCell ref="A96:A98"/>
    <mergeCell ref="A99:A100"/>
    <mergeCell ref="A104:A105"/>
    <mergeCell ref="A106:A107"/>
    <mergeCell ref="A110:A111"/>
    <mergeCell ref="A112:A113"/>
    <mergeCell ref="A114:A115"/>
    <mergeCell ref="A116:A118"/>
    <mergeCell ref="A119:A120"/>
    <mergeCell ref="A121:A122"/>
  </mergeCells>
  <conditionalFormatting sqref="K12:M218 N12:N219 Z12:Z218">
    <cfRule type="colorScale" priority="1">
      <colorScale>
        <cfvo type="percent" val="0"/>
        <cfvo type="percent" val="50"/>
        <cfvo type="percent" val="100"/>
        <color rgb="FFFFFFFF"/>
        <color rgb="FFABDDC5"/>
        <color rgb="FF57BB8A"/>
      </colorScale>
    </cfRule>
  </conditionalFormatting>
  <conditionalFormatting sqref="W12:Y218">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7" si="1">IF(COUNTIF($N$13:$N$76,D3)=0,"-",COUNTIF($N$13:$N$76,D3))</f>
        <v>56</v>
      </c>
      <c r="F3" s="32" t="s">
        <v>47</v>
      </c>
      <c r="G3" s="22">
        <f t="shared" ref="G3:G7" si="2">IF(COUNTIF($Z$13:$Z$76,F3)=0,"-",COUNTIF($Z$13:$Z$76,F3))</f>
        <v>29</v>
      </c>
    </row>
    <row r="4">
      <c r="D4" s="32" t="s">
        <v>48</v>
      </c>
      <c r="E4" s="22">
        <f t="shared" si="1"/>
        <v>7</v>
      </c>
      <c r="F4" s="32" t="s">
        <v>49</v>
      </c>
      <c r="G4" s="22">
        <f t="shared" si="2"/>
        <v>34</v>
      </c>
    </row>
    <row r="5">
      <c r="D5" s="32" t="s">
        <v>50</v>
      </c>
      <c r="E5" s="22" t="str">
        <f t="shared" si="1"/>
        <v>-</v>
      </c>
      <c r="F5" s="32" t="s">
        <v>51</v>
      </c>
      <c r="G5" s="22" t="str">
        <f t="shared" si="2"/>
        <v>-</v>
      </c>
    </row>
    <row r="6">
      <c r="D6" s="32" t="s">
        <v>52</v>
      </c>
      <c r="E6" s="22" t="str">
        <f t="shared" si="1"/>
        <v>-</v>
      </c>
      <c r="F6" s="32" t="s">
        <v>52</v>
      </c>
      <c r="G6" s="22" t="str">
        <f t="shared" si="2"/>
        <v>-</v>
      </c>
    </row>
    <row r="7">
      <c r="D7" s="22" t="s">
        <v>1246</v>
      </c>
      <c r="E7" s="22">
        <f t="shared" si="1"/>
        <v>1</v>
      </c>
      <c r="F7" s="22" t="s">
        <v>1246</v>
      </c>
      <c r="G7" s="22">
        <f t="shared" si="2"/>
        <v>1</v>
      </c>
    </row>
    <row r="8">
      <c r="D8" s="32" t="s">
        <v>54</v>
      </c>
      <c r="E8" s="22">
        <f>SUM(E3:E7)</f>
        <v>64</v>
      </c>
      <c r="F8" s="32" t="s">
        <v>54</v>
      </c>
      <c r="G8" s="22">
        <f>SUM(G3:G7)</f>
        <v>64</v>
      </c>
    </row>
    <row r="11">
      <c r="A11" s="34"/>
      <c r="B11" s="12"/>
      <c r="C11" s="13"/>
      <c r="D11" s="35" t="s">
        <v>55</v>
      </c>
      <c r="E11" s="12"/>
      <c r="F11" s="12"/>
      <c r="G11" s="12"/>
      <c r="H11" s="12"/>
      <c r="I11" s="12"/>
      <c r="J11" s="12"/>
      <c r="K11" s="12"/>
      <c r="L11" s="12"/>
      <c r="M11" s="12"/>
      <c r="N11" s="13"/>
      <c r="O11" s="36"/>
      <c r="P11" s="35" t="s">
        <v>56</v>
      </c>
      <c r="Q11" s="12"/>
      <c r="R11" s="12"/>
      <c r="S11" s="12"/>
      <c r="T11" s="12"/>
      <c r="U11" s="12"/>
      <c r="V11" s="12"/>
      <c r="W11" s="12"/>
      <c r="X11" s="12"/>
      <c r="Y11" s="12"/>
      <c r="Z11" s="13"/>
      <c r="AA11" s="37"/>
      <c r="AB11" s="12"/>
      <c r="AC11" s="12"/>
      <c r="AD11" s="13"/>
    </row>
    <row r="12">
      <c r="A12" s="38" t="s">
        <v>57</v>
      </c>
      <c r="B12" s="39" t="s">
        <v>58</v>
      </c>
      <c r="C12" s="40"/>
      <c r="D12" s="38" t="s">
        <v>46</v>
      </c>
      <c r="E12" s="38" t="s">
        <v>48</v>
      </c>
      <c r="F12" s="38" t="s">
        <v>50</v>
      </c>
      <c r="G12" s="38" t="s">
        <v>59</v>
      </c>
      <c r="H12" s="38" t="s">
        <v>60</v>
      </c>
      <c r="I12" s="41" t="s">
        <v>61</v>
      </c>
      <c r="J12" s="41" t="s">
        <v>62</v>
      </c>
      <c r="K12" s="38" t="s">
        <v>63</v>
      </c>
      <c r="L12" s="38" t="s">
        <v>64</v>
      </c>
      <c r="M12" s="38" t="s">
        <v>65</v>
      </c>
      <c r="N12" s="38" t="s">
        <v>66</v>
      </c>
      <c r="O12" s="50"/>
      <c r="P12" s="38" t="s">
        <v>47</v>
      </c>
      <c r="Q12" s="38" t="s">
        <v>49</v>
      </c>
      <c r="R12" s="38" t="s">
        <v>51</v>
      </c>
      <c r="S12" s="38" t="s">
        <v>59</v>
      </c>
      <c r="T12" s="38" t="s">
        <v>60</v>
      </c>
      <c r="U12" s="41" t="s">
        <v>61</v>
      </c>
      <c r="V12" s="41" t="s">
        <v>62</v>
      </c>
      <c r="W12" s="43" t="s">
        <v>67</v>
      </c>
      <c r="X12" s="43" t="s">
        <v>68</v>
      </c>
      <c r="Y12" s="43" t="s">
        <v>69</v>
      </c>
      <c r="Z12" s="38" t="s">
        <v>66</v>
      </c>
      <c r="AA12" s="44"/>
      <c r="AB12" s="41" t="s">
        <v>70</v>
      </c>
      <c r="AC12" s="41" t="s">
        <v>71</v>
      </c>
      <c r="AD12" s="41" t="s">
        <v>72</v>
      </c>
    </row>
    <row r="13">
      <c r="A13" s="61" t="s">
        <v>73</v>
      </c>
      <c r="B13" s="65" t="s">
        <v>1247</v>
      </c>
      <c r="C13" s="47"/>
      <c r="D13" s="38">
        <v>8573.0</v>
      </c>
      <c r="E13" s="38">
        <v>6325.0</v>
      </c>
      <c r="F13" s="38">
        <v>313.0</v>
      </c>
      <c r="G13" s="38">
        <v>486.0</v>
      </c>
      <c r="H13" s="38">
        <v>393.0</v>
      </c>
      <c r="I13" s="48">
        <f t="shared" ref="I13:I18" si="3">SUM(D13:F13)</f>
        <v>15211</v>
      </c>
      <c r="J13" s="48">
        <f t="shared" ref="J13:J18" si="4">SUM(G13:I13)</f>
        <v>16090</v>
      </c>
      <c r="K13" s="49">
        <f t="shared" ref="K13:K18" si="5">D13/I13</f>
        <v>0.5636052856</v>
      </c>
      <c r="L13" s="49">
        <f t="shared" ref="L13:L18" si="6">E13/I13</f>
        <v>0.4158175005</v>
      </c>
      <c r="M13" s="49">
        <f t="shared" ref="M13:M18" si="7">F13/I13</f>
        <v>0.02057721386</v>
      </c>
      <c r="N13" s="32" t="str">
        <f t="shared" ref="N13:N18" si="8">IF(LARGE(D13:F13,1)=0,$D$7,IF(LARGE(D13:F13,1)=LARGE(D13:F13,2),$D$6,IF(LARGE(D13:F13,1)=D13,$D$3,IF(LARGE(D13:F13,1)=E13,$D$4,IF(LARGE(D13:F13,1)=F13,$D$5)))))</f>
        <v>Jânio</v>
      </c>
      <c r="O13" s="50" t="s">
        <v>77</v>
      </c>
      <c r="P13" s="38">
        <v>6272.0</v>
      </c>
      <c r="Q13" s="38">
        <v>7410.0</v>
      </c>
      <c r="R13" s="38">
        <v>1169.0</v>
      </c>
      <c r="S13" s="38">
        <v>810.0</v>
      </c>
      <c r="T13" s="38">
        <v>429.0</v>
      </c>
      <c r="U13" s="48">
        <f t="shared" ref="U13:U18" si="9">SUM(P13:R13)</f>
        <v>14851</v>
      </c>
      <c r="V13" s="48">
        <f t="shared" ref="V13:V18" si="10">SUM(S13:U13)</f>
        <v>16090</v>
      </c>
      <c r="W13" s="49">
        <f t="shared" ref="W13:W18" si="11">P13/U13</f>
        <v>0.4223284627</v>
      </c>
      <c r="X13" s="49">
        <f t="shared" ref="X13:X18" si="12">Q13/U13</f>
        <v>0.4989562992</v>
      </c>
      <c r="Y13" s="49">
        <f t="shared" ref="Y13:Y18" si="13">R13/U13</f>
        <v>0.07871523803</v>
      </c>
      <c r="Z13" s="32" t="str">
        <f t="shared" ref="Z13:Z18" si="14">IF(LARGE(P13:R13,1)=0,$F$7,IF(LARGE(P13:R13,1)=LARGE(P13:R13,2),$F$6,IF(LARGE(P13:R13,1)=P13,$F$3,IF(LARGE(P13:R13,1)=Q13,$F$4,IF(LARGE(P13:R13,1)=R13,$F$5)))))</f>
        <v>Milton</v>
      </c>
      <c r="AA13" s="50" t="s">
        <v>77</v>
      </c>
      <c r="AB13" s="38">
        <v>19806.0</v>
      </c>
      <c r="AC13" s="48">
        <f t="shared" ref="AC13:AC18" si="15">AB13-V13</f>
        <v>3716</v>
      </c>
      <c r="AD13" s="51">
        <f t="shared" ref="AD13:AD18" si="16">V13/AB13</f>
        <v>0.8123800868</v>
      </c>
    </row>
    <row r="14">
      <c r="A14" s="23"/>
      <c r="B14" s="127" t="s">
        <v>1248</v>
      </c>
      <c r="C14" s="47"/>
      <c r="D14" s="29">
        <v>703.0</v>
      </c>
      <c r="E14" s="38">
        <v>476.0</v>
      </c>
      <c r="F14" s="38">
        <v>61.0</v>
      </c>
      <c r="G14" s="38">
        <v>55.0</v>
      </c>
      <c r="H14" s="38">
        <v>31.0</v>
      </c>
      <c r="I14" s="48">
        <f t="shared" si="3"/>
        <v>1240</v>
      </c>
      <c r="J14" s="48">
        <f t="shared" si="4"/>
        <v>1326</v>
      </c>
      <c r="K14" s="49">
        <f t="shared" si="5"/>
        <v>0.5669354839</v>
      </c>
      <c r="L14" s="49">
        <f t="shared" si="6"/>
        <v>0.3838709677</v>
      </c>
      <c r="M14" s="49">
        <f t="shared" si="7"/>
        <v>0.04919354839</v>
      </c>
      <c r="N14" s="32" t="str">
        <f t="shared" si="8"/>
        <v>Jânio</v>
      </c>
      <c r="O14" s="50" t="s">
        <v>77</v>
      </c>
      <c r="P14" s="38">
        <v>522.0</v>
      </c>
      <c r="Q14" s="38">
        <v>608.0</v>
      </c>
      <c r="R14" s="38">
        <v>66.0</v>
      </c>
      <c r="S14" s="38">
        <v>93.0</v>
      </c>
      <c r="T14" s="38">
        <v>37.0</v>
      </c>
      <c r="U14" s="48">
        <f t="shared" si="9"/>
        <v>1196</v>
      </c>
      <c r="V14" s="48">
        <f t="shared" si="10"/>
        <v>1326</v>
      </c>
      <c r="W14" s="49">
        <f t="shared" si="11"/>
        <v>0.4364548495</v>
      </c>
      <c r="X14" s="49">
        <f t="shared" si="12"/>
        <v>0.508361204</v>
      </c>
      <c r="Y14" s="49">
        <f t="shared" si="13"/>
        <v>0.05518394649</v>
      </c>
      <c r="Z14" s="32" t="str">
        <f t="shared" si="14"/>
        <v>Milton</v>
      </c>
      <c r="AA14" s="50" t="s">
        <v>77</v>
      </c>
      <c r="AB14" s="38">
        <v>1598.0</v>
      </c>
      <c r="AC14" s="48">
        <f t="shared" si="15"/>
        <v>272</v>
      </c>
      <c r="AD14" s="51">
        <f t="shared" si="16"/>
        <v>0.829787234</v>
      </c>
    </row>
    <row r="15">
      <c r="A15" s="23"/>
      <c r="B15" s="127" t="s">
        <v>1249</v>
      </c>
      <c r="C15" s="47"/>
      <c r="D15" s="38">
        <v>829.0</v>
      </c>
      <c r="E15" s="38">
        <v>622.0</v>
      </c>
      <c r="F15" s="38">
        <v>70.0</v>
      </c>
      <c r="G15" s="38">
        <v>121.0</v>
      </c>
      <c r="H15" s="38">
        <v>89.0</v>
      </c>
      <c r="I15" s="48">
        <f t="shared" si="3"/>
        <v>1521</v>
      </c>
      <c r="J15" s="48">
        <f t="shared" si="4"/>
        <v>1731</v>
      </c>
      <c r="K15" s="49">
        <f t="shared" si="5"/>
        <v>0.5450361604</v>
      </c>
      <c r="L15" s="49">
        <f t="shared" si="6"/>
        <v>0.4089414859</v>
      </c>
      <c r="M15" s="49">
        <f t="shared" si="7"/>
        <v>0.04602235371</v>
      </c>
      <c r="N15" s="32" t="str">
        <f t="shared" si="8"/>
        <v>Jânio</v>
      </c>
      <c r="O15" s="50" t="s">
        <v>77</v>
      </c>
      <c r="P15" s="38">
        <v>610.0</v>
      </c>
      <c r="Q15" s="38">
        <v>772.0</v>
      </c>
      <c r="R15" s="38">
        <v>107.0</v>
      </c>
      <c r="S15" s="38">
        <v>165.0</v>
      </c>
      <c r="T15" s="38">
        <v>77.0</v>
      </c>
      <c r="U15" s="48">
        <f t="shared" si="9"/>
        <v>1489</v>
      </c>
      <c r="V15" s="48">
        <f t="shared" si="10"/>
        <v>1731</v>
      </c>
      <c r="W15" s="49">
        <f t="shared" si="11"/>
        <v>0.4096709201</v>
      </c>
      <c r="X15" s="49">
        <f t="shared" si="12"/>
        <v>0.518468771</v>
      </c>
      <c r="Y15" s="49">
        <f t="shared" si="13"/>
        <v>0.07186030893</v>
      </c>
      <c r="Z15" s="32" t="str">
        <f t="shared" si="14"/>
        <v>Milton</v>
      </c>
      <c r="AA15" s="50" t="s">
        <v>77</v>
      </c>
      <c r="AB15" s="38">
        <v>2099.0</v>
      </c>
      <c r="AC15" s="48">
        <f t="shared" si="15"/>
        <v>368</v>
      </c>
      <c r="AD15" s="51">
        <f t="shared" si="16"/>
        <v>0.8246784183</v>
      </c>
    </row>
    <row r="16">
      <c r="A16" s="23"/>
      <c r="B16" s="128" t="s">
        <v>1250</v>
      </c>
      <c r="C16" s="47"/>
      <c r="D16" s="38">
        <v>618.0</v>
      </c>
      <c r="E16" s="38">
        <v>561.0</v>
      </c>
      <c r="F16" s="38">
        <v>55.0</v>
      </c>
      <c r="G16" s="38">
        <v>63.0</v>
      </c>
      <c r="H16" s="38">
        <v>40.0</v>
      </c>
      <c r="I16" s="48">
        <f t="shared" si="3"/>
        <v>1234</v>
      </c>
      <c r="J16" s="48">
        <f t="shared" si="4"/>
        <v>1337</v>
      </c>
      <c r="K16" s="49">
        <f t="shared" si="5"/>
        <v>0.5008103728</v>
      </c>
      <c r="L16" s="49">
        <f t="shared" si="6"/>
        <v>0.4546191248</v>
      </c>
      <c r="M16" s="49">
        <f t="shared" si="7"/>
        <v>0.04457050243</v>
      </c>
      <c r="N16" s="32" t="str">
        <f t="shared" si="8"/>
        <v>Jânio</v>
      </c>
      <c r="O16" s="50" t="s">
        <v>77</v>
      </c>
      <c r="P16" s="38">
        <v>565.0</v>
      </c>
      <c r="Q16" s="38">
        <v>494.0</v>
      </c>
      <c r="R16" s="38">
        <v>136.0</v>
      </c>
      <c r="S16" s="38">
        <v>106.0</v>
      </c>
      <c r="T16" s="38">
        <v>36.0</v>
      </c>
      <c r="U16" s="48">
        <f t="shared" si="9"/>
        <v>1195</v>
      </c>
      <c r="V16" s="48">
        <f t="shared" si="10"/>
        <v>1337</v>
      </c>
      <c r="W16" s="49">
        <f t="shared" si="11"/>
        <v>0.4728033473</v>
      </c>
      <c r="X16" s="49">
        <f t="shared" si="12"/>
        <v>0.4133891213</v>
      </c>
      <c r="Y16" s="49">
        <f t="shared" si="13"/>
        <v>0.1138075314</v>
      </c>
      <c r="Z16" s="32" t="str">
        <f t="shared" si="14"/>
        <v>Jango</v>
      </c>
      <c r="AA16" s="50" t="s">
        <v>77</v>
      </c>
      <c r="AB16" s="38">
        <v>1721.0</v>
      </c>
      <c r="AC16" s="48">
        <f t="shared" si="15"/>
        <v>384</v>
      </c>
      <c r="AD16" s="51">
        <f t="shared" si="16"/>
        <v>0.7768739105</v>
      </c>
    </row>
    <row r="17">
      <c r="A17" s="23"/>
      <c r="B17" s="128" t="s">
        <v>1251</v>
      </c>
      <c r="C17" s="47"/>
      <c r="D17" s="38">
        <v>1280.0</v>
      </c>
      <c r="E17" s="38">
        <v>963.0</v>
      </c>
      <c r="F17" s="38">
        <v>99.0</v>
      </c>
      <c r="G17" s="38">
        <v>131.0</v>
      </c>
      <c r="H17" s="38">
        <v>79.0</v>
      </c>
      <c r="I17" s="48">
        <f t="shared" si="3"/>
        <v>2342</v>
      </c>
      <c r="J17" s="48">
        <f t="shared" si="4"/>
        <v>2552</v>
      </c>
      <c r="K17" s="49">
        <f t="shared" si="5"/>
        <v>0.5465414176</v>
      </c>
      <c r="L17" s="49">
        <f t="shared" si="6"/>
        <v>0.4111870196</v>
      </c>
      <c r="M17" s="49">
        <f t="shared" si="7"/>
        <v>0.04227156277</v>
      </c>
      <c r="N17" s="32" t="str">
        <f t="shared" si="8"/>
        <v>Jânio</v>
      </c>
      <c r="O17" s="50" t="s">
        <v>77</v>
      </c>
      <c r="P17" s="38">
        <v>842.0</v>
      </c>
      <c r="Q17" s="38">
        <v>1275.0</v>
      </c>
      <c r="R17" s="38">
        <v>159.0</v>
      </c>
      <c r="S17" s="38">
        <v>191.0</v>
      </c>
      <c r="T17" s="38">
        <v>85.0</v>
      </c>
      <c r="U17" s="48">
        <f t="shared" si="9"/>
        <v>2276</v>
      </c>
      <c r="V17" s="48">
        <f t="shared" si="10"/>
        <v>2552</v>
      </c>
      <c r="W17" s="49">
        <f t="shared" si="11"/>
        <v>0.3699472759</v>
      </c>
      <c r="X17" s="49">
        <f t="shared" si="12"/>
        <v>0.5601933216</v>
      </c>
      <c r="Y17" s="49">
        <f t="shared" si="13"/>
        <v>0.06985940246</v>
      </c>
      <c r="Z17" s="32" t="str">
        <f t="shared" si="14"/>
        <v>Milton</v>
      </c>
      <c r="AA17" s="50" t="s">
        <v>77</v>
      </c>
      <c r="AB17" s="38">
        <v>3271.0</v>
      </c>
      <c r="AC17" s="48">
        <f t="shared" si="15"/>
        <v>719</v>
      </c>
      <c r="AD17" s="51">
        <f t="shared" si="16"/>
        <v>0.7801895445</v>
      </c>
    </row>
    <row r="18">
      <c r="A18" s="23"/>
      <c r="B18" s="127" t="s">
        <v>1252</v>
      </c>
      <c r="C18" s="47"/>
      <c r="D18" s="38">
        <v>1473.0</v>
      </c>
      <c r="E18" s="38">
        <v>1364.0</v>
      </c>
      <c r="F18" s="38">
        <v>73.0</v>
      </c>
      <c r="G18" s="38">
        <v>167.0</v>
      </c>
      <c r="H18" s="38">
        <v>73.0</v>
      </c>
      <c r="I18" s="48">
        <f t="shared" si="3"/>
        <v>2910</v>
      </c>
      <c r="J18" s="48">
        <f t="shared" si="4"/>
        <v>3150</v>
      </c>
      <c r="K18" s="49">
        <f t="shared" si="5"/>
        <v>0.506185567</v>
      </c>
      <c r="L18" s="49">
        <f t="shared" si="6"/>
        <v>0.4687285223</v>
      </c>
      <c r="M18" s="49">
        <f t="shared" si="7"/>
        <v>0.02508591065</v>
      </c>
      <c r="N18" s="32" t="str">
        <f t="shared" si="8"/>
        <v>Jânio</v>
      </c>
      <c r="O18" s="50" t="s">
        <v>77</v>
      </c>
      <c r="P18" s="38">
        <v>1342.0</v>
      </c>
      <c r="Q18" s="38">
        <v>1250.0</v>
      </c>
      <c r="R18" s="38">
        <v>170.0</v>
      </c>
      <c r="S18" s="38">
        <v>293.0</v>
      </c>
      <c r="T18" s="38">
        <v>95.0</v>
      </c>
      <c r="U18" s="48">
        <f t="shared" si="9"/>
        <v>2762</v>
      </c>
      <c r="V18" s="48">
        <f t="shared" si="10"/>
        <v>3150</v>
      </c>
      <c r="W18" s="49">
        <f t="shared" si="11"/>
        <v>0.4858797972</v>
      </c>
      <c r="X18" s="49">
        <f t="shared" si="12"/>
        <v>0.452570601</v>
      </c>
      <c r="Y18" s="49">
        <f t="shared" si="13"/>
        <v>0.06154960174</v>
      </c>
      <c r="Z18" s="32" t="str">
        <f t="shared" si="14"/>
        <v>Jango</v>
      </c>
      <c r="AA18" s="50" t="s">
        <v>77</v>
      </c>
      <c r="AB18" s="38">
        <v>3988.0</v>
      </c>
      <c r="AC18" s="48">
        <f t="shared" si="15"/>
        <v>838</v>
      </c>
      <c r="AD18" s="51">
        <f t="shared" si="16"/>
        <v>0.7898696088</v>
      </c>
    </row>
    <row r="19">
      <c r="A19" s="24"/>
      <c r="B19" s="128" t="s">
        <v>1253</v>
      </c>
      <c r="C19" s="47"/>
      <c r="D19" s="38" t="s">
        <v>77</v>
      </c>
      <c r="E19" s="38" t="s">
        <v>77</v>
      </c>
      <c r="F19" s="38" t="s">
        <v>77</v>
      </c>
      <c r="G19" s="38" t="s">
        <v>77</v>
      </c>
      <c r="H19" s="38" t="s">
        <v>77</v>
      </c>
      <c r="I19" s="38" t="s">
        <v>77</v>
      </c>
      <c r="J19" s="38" t="s">
        <v>77</v>
      </c>
      <c r="K19" s="129" t="s">
        <v>77</v>
      </c>
      <c r="L19" s="129" t="s">
        <v>77</v>
      </c>
      <c r="M19" s="129" t="s">
        <v>77</v>
      </c>
      <c r="N19" s="22" t="s">
        <v>1246</v>
      </c>
      <c r="O19" s="50"/>
      <c r="P19" s="38" t="s">
        <v>77</v>
      </c>
      <c r="Q19" s="38" t="s">
        <v>77</v>
      </c>
      <c r="R19" s="38" t="s">
        <v>77</v>
      </c>
      <c r="S19" s="38" t="s">
        <v>77</v>
      </c>
      <c r="T19" s="38" t="s">
        <v>77</v>
      </c>
      <c r="U19" s="38" t="s">
        <v>77</v>
      </c>
      <c r="V19" s="38" t="s">
        <v>77</v>
      </c>
      <c r="W19" s="129" t="s">
        <v>77</v>
      </c>
      <c r="X19" s="129" t="s">
        <v>77</v>
      </c>
      <c r="Y19" s="129" t="s">
        <v>77</v>
      </c>
      <c r="Z19" s="22" t="s">
        <v>1246</v>
      </c>
      <c r="AA19" s="50"/>
      <c r="AB19" s="38" t="s">
        <v>77</v>
      </c>
      <c r="AC19" s="38" t="s">
        <v>77</v>
      </c>
      <c r="AD19" s="38" t="s">
        <v>77</v>
      </c>
    </row>
    <row r="20">
      <c r="A20" s="61" t="s">
        <v>75</v>
      </c>
      <c r="B20" s="128" t="s">
        <v>1254</v>
      </c>
      <c r="C20" s="47"/>
      <c r="D20" s="38">
        <v>886.0</v>
      </c>
      <c r="E20" s="38">
        <v>646.0</v>
      </c>
      <c r="F20" s="38">
        <v>60.0</v>
      </c>
      <c r="G20" s="38">
        <v>144.0</v>
      </c>
      <c r="H20" s="38">
        <v>55.0</v>
      </c>
      <c r="I20" s="48">
        <f t="shared" ref="I20:I77" si="17">SUM(D20:F20)</f>
        <v>1592</v>
      </c>
      <c r="J20" s="48">
        <f t="shared" ref="J20:J77" si="18">SUM(G20:I20)</f>
        <v>1791</v>
      </c>
      <c r="K20" s="49">
        <f t="shared" ref="K20:K77" si="19">D20/I20</f>
        <v>0.5565326633</v>
      </c>
      <c r="L20" s="49">
        <f t="shared" ref="L20:L77" si="20">E20/I20</f>
        <v>0.4057788945</v>
      </c>
      <c r="M20" s="49">
        <f t="shared" ref="M20:M77" si="21">F20/I20</f>
        <v>0.03768844221</v>
      </c>
      <c r="N20" s="32" t="str">
        <f t="shared" ref="N20:N77" si="22">IF(LARGE(D20:F20,1)=0,$D$7,IF(LARGE(D20:F20,1)=LARGE(D20:F20,2),$D$6,IF(LARGE(D20:F20,1)=D20,$D$3,IF(LARGE(D20:F20,1)=E20,$D$4,IF(LARGE(D20:F20,1)=F20,$D$5)))))</f>
        <v>Jânio</v>
      </c>
      <c r="O20" s="50" t="s">
        <v>77</v>
      </c>
      <c r="P20" s="38">
        <v>658.0</v>
      </c>
      <c r="Q20" s="38">
        <v>776.0</v>
      </c>
      <c r="R20" s="38">
        <v>102.0</v>
      </c>
      <c r="S20" s="38">
        <v>194.0</v>
      </c>
      <c r="T20" s="38">
        <v>61.0</v>
      </c>
      <c r="U20" s="48">
        <f t="shared" ref="U20:U77" si="23">SUM(P20:R20)</f>
        <v>1536</v>
      </c>
      <c r="V20" s="48">
        <f t="shared" ref="V20:V77" si="24">SUM(S20:U20)</f>
        <v>1791</v>
      </c>
      <c r="W20" s="49">
        <f t="shared" ref="W20:W77" si="25">P20/U20</f>
        <v>0.4283854167</v>
      </c>
      <c r="X20" s="49">
        <f t="shared" ref="X20:X77" si="26">Q20/U20</f>
        <v>0.5052083333</v>
      </c>
      <c r="Y20" s="49">
        <f t="shared" ref="Y20:Y77" si="27">R20/U20</f>
        <v>0.06640625</v>
      </c>
      <c r="Z20" s="32" t="str">
        <f t="shared" ref="Z20:Z77" si="28">IF(LARGE(P20:R20,1)=0,$F$7,IF(LARGE(P20:R20,1)=LARGE(P20:R20,2),$F$6,IF(LARGE(P20:R20,1)=P20,$F$3,IF(LARGE(P20:R20,1)=Q20,$F$4,IF(LARGE(P20:R20,1)=R20,$F$5)))))</f>
        <v>Milton</v>
      </c>
      <c r="AA20" s="50" t="s">
        <v>77</v>
      </c>
      <c r="AB20" s="38">
        <v>2287.0</v>
      </c>
      <c r="AC20" s="48">
        <f t="shared" ref="AC20:AC58" si="29">AB20-V20</f>
        <v>496</v>
      </c>
      <c r="AD20" s="51">
        <f t="shared" ref="AD20:AD58" si="30">V20/AB20</f>
        <v>0.7831219939</v>
      </c>
    </row>
    <row r="21">
      <c r="A21" s="24"/>
      <c r="B21" s="127" t="s">
        <v>1255</v>
      </c>
      <c r="C21" s="47"/>
      <c r="D21" s="38">
        <v>522.0</v>
      </c>
      <c r="E21" s="38">
        <v>237.0</v>
      </c>
      <c r="F21" s="38">
        <v>18.0</v>
      </c>
      <c r="G21" s="38">
        <v>62.0</v>
      </c>
      <c r="H21" s="38">
        <v>35.0</v>
      </c>
      <c r="I21" s="48">
        <f t="shared" si="17"/>
        <v>777</v>
      </c>
      <c r="J21" s="48">
        <f t="shared" si="18"/>
        <v>874</v>
      </c>
      <c r="K21" s="49">
        <f t="shared" si="19"/>
        <v>0.6718146718</v>
      </c>
      <c r="L21" s="49">
        <f t="shared" si="20"/>
        <v>0.305019305</v>
      </c>
      <c r="M21" s="49">
        <f t="shared" si="21"/>
        <v>0.02316602317</v>
      </c>
      <c r="N21" s="32" t="str">
        <f t="shared" si="22"/>
        <v>Jânio</v>
      </c>
      <c r="O21" s="50" t="s">
        <v>77</v>
      </c>
      <c r="P21" s="38">
        <v>233.0</v>
      </c>
      <c r="Q21" s="38">
        <v>457.0</v>
      </c>
      <c r="R21" s="38">
        <v>59.0</v>
      </c>
      <c r="S21" s="38">
        <v>95.0</v>
      </c>
      <c r="T21" s="38">
        <v>30.0</v>
      </c>
      <c r="U21" s="48">
        <f t="shared" si="23"/>
        <v>749</v>
      </c>
      <c r="V21" s="48">
        <f t="shared" si="24"/>
        <v>874</v>
      </c>
      <c r="W21" s="49">
        <f t="shared" si="25"/>
        <v>0.3110814419</v>
      </c>
      <c r="X21" s="49">
        <f t="shared" si="26"/>
        <v>0.6101468625</v>
      </c>
      <c r="Y21" s="49">
        <f t="shared" si="27"/>
        <v>0.07877169559</v>
      </c>
      <c r="Z21" s="32" t="str">
        <f t="shared" si="28"/>
        <v>Milton</v>
      </c>
      <c r="AA21" s="50" t="s">
        <v>77</v>
      </c>
      <c r="AB21" s="38">
        <v>1491.0</v>
      </c>
      <c r="AC21" s="48">
        <f t="shared" si="29"/>
        <v>617</v>
      </c>
      <c r="AD21" s="51">
        <f t="shared" si="30"/>
        <v>0.5861837693</v>
      </c>
    </row>
    <row r="22">
      <c r="A22" s="61" t="s">
        <v>79</v>
      </c>
      <c r="B22" s="127" t="s">
        <v>1256</v>
      </c>
      <c r="C22" s="47"/>
      <c r="D22" s="38">
        <v>843.0</v>
      </c>
      <c r="E22" s="38">
        <v>954.0</v>
      </c>
      <c r="F22" s="38">
        <v>85.0</v>
      </c>
      <c r="G22" s="38">
        <v>157.0</v>
      </c>
      <c r="H22" s="38">
        <v>49.0</v>
      </c>
      <c r="I22" s="48">
        <f t="shared" si="17"/>
        <v>1882</v>
      </c>
      <c r="J22" s="48">
        <f t="shared" si="18"/>
        <v>2088</v>
      </c>
      <c r="K22" s="49">
        <f t="shared" si="19"/>
        <v>0.4479277365</v>
      </c>
      <c r="L22" s="49">
        <f t="shared" si="20"/>
        <v>0.5069075452</v>
      </c>
      <c r="M22" s="49">
        <f t="shared" si="21"/>
        <v>0.04516471838</v>
      </c>
      <c r="N22" s="32" t="str">
        <f t="shared" si="22"/>
        <v>Mal. Lott</v>
      </c>
      <c r="O22" s="50" t="s">
        <v>77</v>
      </c>
      <c r="P22" s="38">
        <v>936.0</v>
      </c>
      <c r="Q22" s="38">
        <v>692.0</v>
      </c>
      <c r="R22" s="38">
        <v>143.0</v>
      </c>
      <c r="S22" s="38">
        <v>268.0</v>
      </c>
      <c r="T22" s="38">
        <v>49.0</v>
      </c>
      <c r="U22" s="48">
        <f t="shared" si="23"/>
        <v>1771</v>
      </c>
      <c r="V22" s="48">
        <f t="shared" si="24"/>
        <v>2088</v>
      </c>
      <c r="W22" s="49">
        <f t="shared" si="25"/>
        <v>0.5285149633</v>
      </c>
      <c r="X22" s="49">
        <f t="shared" si="26"/>
        <v>0.3907396951</v>
      </c>
      <c r="Y22" s="49">
        <f t="shared" si="27"/>
        <v>0.08074534161</v>
      </c>
      <c r="Z22" s="32" t="str">
        <f t="shared" si="28"/>
        <v>Jango</v>
      </c>
      <c r="AA22" s="50" t="s">
        <v>77</v>
      </c>
      <c r="AB22" s="38">
        <v>2631.0</v>
      </c>
      <c r="AC22" s="48">
        <f t="shared" si="29"/>
        <v>543</v>
      </c>
      <c r="AD22" s="51">
        <f t="shared" si="30"/>
        <v>0.7936145952</v>
      </c>
    </row>
    <row r="23">
      <c r="A23" s="24"/>
      <c r="B23" s="127" t="s">
        <v>1257</v>
      </c>
      <c r="C23" s="47"/>
      <c r="D23" s="38">
        <v>275.0</v>
      </c>
      <c r="E23" s="38">
        <v>229.0</v>
      </c>
      <c r="F23" s="38">
        <v>17.0</v>
      </c>
      <c r="G23" s="38">
        <v>60.0</v>
      </c>
      <c r="H23" s="38">
        <v>17.0</v>
      </c>
      <c r="I23" s="48">
        <f t="shared" si="17"/>
        <v>521</v>
      </c>
      <c r="J23" s="48">
        <f t="shared" si="18"/>
        <v>598</v>
      </c>
      <c r="K23" s="49">
        <f t="shared" si="19"/>
        <v>0.527831094</v>
      </c>
      <c r="L23" s="49">
        <f t="shared" si="20"/>
        <v>0.4395393474</v>
      </c>
      <c r="M23" s="49">
        <f t="shared" si="21"/>
        <v>0.03262955854</v>
      </c>
      <c r="N23" s="32" t="str">
        <f t="shared" si="22"/>
        <v>Jânio</v>
      </c>
      <c r="O23" s="50" t="s">
        <v>77</v>
      </c>
      <c r="P23" s="38">
        <v>142.0</v>
      </c>
      <c r="Q23" s="38">
        <v>259.0</v>
      </c>
      <c r="R23" s="38">
        <v>45.0</v>
      </c>
      <c r="S23" s="38">
        <v>141.0</v>
      </c>
      <c r="T23" s="38">
        <v>11.0</v>
      </c>
      <c r="U23" s="48">
        <f t="shared" si="23"/>
        <v>446</v>
      </c>
      <c r="V23" s="48">
        <f t="shared" si="24"/>
        <v>598</v>
      </c>
      <c r="W23" s="49">
        <f t="shared" si="25"/>
        <v>0.3183856502</v>
      </c>
      <c r="X23" s="49">
        <f t="shared" si="26"/>
        <v>0.5807174888</v>
      </c>
      <c r="Y23" s="49">
        <f t="shared" si="27"/>
        <v>0.100896861</v>
      </c>
      <c r="Z23" s="32" t="str">
        <f t="shared" si="28"/>
        <v>Milton</v>
      </c>
      <c r="AA23" s="50" t="s">
        <v>77</v>
      </c>
      <c r="AB23" s="38">
        <v>747.0</v>
      </c>
      <c r="AC23" s="48">
        <f t="shared" si="29"/>
        <v>149</v>
      </c>
      <c r="AD23" s="51">
        <f t="shared" si="30"/>
        <v>0.8005354752</v>
      </c>
    </row>
    <row r="24">
      <c r="A24" s="110" t="s">
        <v>85</v>
      </c>
      <c r="B24" s="127" t="s">
        <v>1258</v>
      </c>
      <c r="C24" s="47"/>
      <c r="D24" s="38">
        <v>1024.0</v>
      </c>
      <c r="E24" s="38">
        <v>1108.0</v>
      </c>
      <c r="F24" s="38">
        <v>128.0</v>
      </c>
      <c r="G24" s="38">
        <v>231.0</v>
      </c>
      <c r="H24" s="38">
        <v>60.0</v>
      </c>
      <c r="I24" s="48">
        <f t="shared" si="17"/>
        <v>2260</v>
      </c>
      <c r="J24" s="48">
        <f t="shared" si="18"/>
        <v>2551</v>
      </c>
      <c r="K24" s="49">
        <f t="shared" si="19"/>
        <v>0.4530973451</v>
      </c>
      <c r="L24" s="49">
        <f t="shared" si="20"/>
        <v>0.4902654867</v>
      </c>
      <c r="M24" s="49">
        <f t="shared" si="21"/>
        <v>0.05663716814</v>
      </c>
      <c r="N24" s="32" t="str">
        <f t="shared" si="22"/>
        <v>Mal. Lott</v>
      </c>
      <c r="O24" s="50" t="s">
        <v>77</v>
      </c>
      <c r="P24" s="38">
        <v>1212.0</v>
      </c>
      <c r="Q24" s="38">
        <v>731.0</v>
      </c>
      <c r="R24" s="38">
        <v>245.0</v>
      </c>
      <c r="S24" s="38">
        <v>301.0</v>
      </c>
      <c r="T24" s="38">
        <v>62.0</v>
      </c>
      <c r="U24" s="48">
        <f t="shared" si="23"/>
        <v>2188</v>
      </c>
      <c r="V24" s="48">
        <f t="shared" si="24"/>
        <v>2551</v>
      </c>
      <c r="W24" s="49">
        <f t="shared" si="25"/>
        <v>0.5539305302</v>
      </c>
      <c r="X24" s="49">
        <f t="shared" si="26"/>
        <v>0.334095064</v>
      </c>
      <c r="Y24" s="49">
        <f t="shared" si="27"/>
        <v>0.1119744059</v>
      </c>
      <c r="Z24" s="32" t="str">
        <f t="shared" si="28"/>
        <v>Jango</v>
      </c>
      <c r="AA24" s="50" t="s">
        <v>77</v>
      </c>
      <c r="AB24" s="38">
        <v>3526.0</v>
      </c>
      <c r="AC24" s="48">
        <f t="shared" si="29"/>
        <v>975</v>
      </c>
      <c r="AD24" s="51">
        <f t="shared" si="30"/>
        <v>0.7234826999</v>
      </c>
    </row>
    <row r="25">
      <c r="A25" s="61" t="s">
        <v>90</v>
      </c>
      <c r="B25" s="46" t="s">
        <v>1259</v>
      </c>
      <c r="C25" s="47"/>
      <c r="D25" s="38">
        <v>1581.0</v>
      </c>
      <c r="E25" s="38">
        <v>968.0</v>
      </c>
      <c r="F25" s="38">
        <v>105.0</v>
      </c>
      <c r="G25" s="38">
        <v>229.0</v>
      </c>
      <c r="H25" s="38">
        <v>115.0</v>
      </c>
      <c r="I25" s="48">
        <f t="shared" si="17"/>
        <v>2654</v>
      </c>
      <c r="J25" s="48">
        <f t="shared" si="18"/>
        <v>2998</v>
      </c>
      <c r="K25" s="49">
        <f t="shared" si="19"/>
        <v>0.5957045968</v>
      </c>
      <c r="L25" s="49">
        <f t="shared" si="20"/>
        <v>0.3647324793</v>
      </c>
      <c r="M25" s="49">
        <f t="shared" si="21"/>
        <v>0.03956292389</v>
      </c>
      <c r="N25" s="32" t="str">
        <f t="shared" si="22"/>
        <v>Jânio</v>
      </c>
      <c r="O25" s="50" t="s">
        <v>77</v>
      </c>
      <c r="P25" s="38">
        <v>991.0</v>
      </c>
      <c r="Q25" s="38">
        <v>1307.0</v>
      </c>
      <c r="R25" s="38">
        <v>179.0</v>
      </c>
      <c r="S25" s="38">
        <v>408.0</v>
      </c>
      <c r="T25" s="38">
        <v>113.0</v>
      </c>
      <c r="U25" s="48">
        <f t="shared" si="23"/>
        <v>2477</v>
      </c>
      <c r="V25" s="48">
        <f t="shared" si="24"/>
        <v>2998</v>
      </c>
      <c r="W25" s="49">
        <f t="shared" si="25"/>
        <v>0.4000807428</v>
      </c>
      <c r="X25" s="49">
        <f t="shared" si="26"/>
        <v>0.5276544207</v>
      </c>
      <c r="Y25" s="49">
        <f t="shared" si="27"/>
        <v>0.0722648365</v>
      </c>
      <c r="Z25" s="32" t="str">
        <f t="shared" si="28"/>
        <v>Milton</v>
      </c>
      <c r="AA25" s="50" t="s">
        <v>77</v>
      </c>
      <c r="AB25" s="38">
        <v>4377.0</v>
      </c>
      <c r="AC25" s="48">
        <f t="shared" si="29"/>
        <v>1379</v>
      </c>
      <c r="AD25" s="51">
        <f t="shared" si="30"/>
        <v>0.6849440256</v>
      </c>
    </row>
    <row r="26">
      <c r="A26" s="24"/>
      <c r="B26" s="46" t="s">
        <v>1260</v>
      </c>
      <c r="C26" s="47"/>
      <c r="D26" s="38">
        <v>591.0</v>
      </c>
      <c r="E26" s="38">
        <v>413.0</v>
      </c>
      <c r="F26" s="38">
        <v>33.0</v>
      </c>
      <c r="G26" s="38">
        <v>107.0</v>
      </c>
      <c r="H26" s="38">
        <v>22.0</v>
      </c>
      <c r="I26" s="48">
        <f t="shared" si="17"/>
        <v>1037</v>
      </c>
      <c r="J26" s="48">
        <f t="shared" si="18"/>
        <v>1166</v>
      </c>
      <c r="K26" s="49">
        <f t="shared" si="19"/>
        <v>0.5699132112</v>
      </c>
      <c r="L26" s="49">
        <f t="shared" si="20"/>
        <v>0.3982642237</v>
      </c>
      <c r="M26" s="49">
        <f t="shared" si="21"/>
        <v>0.03182256509</v>
      </c>
      <c r="N26" s="32" t="str">
        <f t="shared" si="22"/>
        <v>Jânio</v>
      </c>
      <c r="O26" s="50" t="s">
        <v>77</v>
      </c>
      <c r="P26" s="38">
        <v>409.0</v>
      </c>
      <c r="Q26" s="38">
        <v>476.0</v>
      </c>
      <c r="R26" s="38">
        <v>102.0</v>
      </c>
      <c r="S26" s="38">
        <v>146.0</v>
      </c>
      <c r="T26" s="38">
        <v>33.0</v>
      </c>
      <c r="U26" s="48">
        <f t="shared" si="23"/>
        <v>987</v>
      </c>
      <c r="V26" s="48">
        <f t="shared" si="24"/>
        <v>1166</v>
      </c>
      <c r="W26" s="49">
        <f t="shared" si="25"/>
        <v>0.4143870314</v>
      </c>
      <c r="X26" s="49">
        <f t="shared" si="26"/>
        <v>0.4822695035</v>
      </c>
      <c r="Y26" s="49">
        <f t="shared" si="27"/>
        <v>0.103343465</v>
      </c>
      <c r="Z26" s="32" t="str">
        <f t="shared" si="28"/>
        <v>Milton</v>
      </c>
      <c r="AA26" s="50" t="s">
        <v>77</v>
      </c>
      <c r="AB26" s="38">
        <v>1230.0</v>
      </c>
      <c r="AC26" s="48">
        <f t="shared" si="29"/>
        <v>64</v>
      </c>
      <c r="AD26" s="51">
        <f t="shared" si="30"/>
        <v>0.9479674797</v>
      </c>
    </row>
    <row r="27">
      <c r="A27" s="61" t="s">
        <v>92</v>
      </c>
      <c r="B27" s="46" t="s">
        <v>1261</v>
      </c>
      <c r="C27" s="47"/>
      <c r="D27" s="38">
        <v>1518.0</v>
      </c>
      <c r="E27" s="38">
        <v>579.0</v>
      </c>
      <c r="F27" s="38">
        <v>79.0</v>
      </c>
      <c r="G27" s="38">
        <v>124.0</v>
      </c>
      <c r="H27" s="38">
        <v>71.0</v>
      </c>
      <c r="I27" s="48">
        <f t="shared" si="17"/>
        <v>2176</v>
      </c>
      <c r="J27" s="48">
        <f t="shared" si="18"/>
        <v>2371</v>
      </c>
      <c r="K27" s="49">
        <f t="shared" si="19"/>
        <v>0.6976102941</v>
      </c>
      <c r="L27" s="49">
        <f t="shared" si="20"/>
        <v>0.2660845588</v>
      </c>
      <c r="M27" s="49">
        <f t="shared" si="21"/>
        <v>0.03630514706</v>
      </c>
      <c r="N27" s="32" t="str">
        <f t="shared" si="22"/>
        <v>Jânio</v>
      </c>
      <c r="O27" s="50" t="s">
        <v>77</v>
      </c>
      <c r="P27" s="38">
        <v>651.0</v>
      </c>
      <c r="Q27" s="38">
        <v>1010.0</v>
      </c>
      <c r="R27" s="38">
        <v>367.0</v>
      </c>
      <c r="S27" s="38">
        <v>246.0</v>
      </c>
      <c r="T27" s="38">
        <v>97.0</v>
      </c>
      <c r="U27" s="48">
        <f t="shared" si="23"/>
        <v>2028</v>
      </c>
      <c r="V27" s="48">
        <f t="shared" si="24"/>
        <v>2371</v>
      </c>
      <c r="W27" s="49">
        <f t="shared" si="25"/>
        <v>0.3210059172</v>
      </c>
      <c r="X27" s="49">
        <f t="shared" si="26"/>
        <v>0.4980276134</v>
      </c>
      <c r="Y27" s="49">
        <f t="shared" si="27"/>
        <v>0.1809664694</v>
      </c>
      <c r="Z27" s="32" t="str">
        <f t="shared" si="28"/>
        <v>Milton</v>
      </c>
      <c r="AA27" s="50" t="s">
        <v>77</v>
      </c>
      <c r="AB27" s="38">
        <v>3085.0</v>
      </c>
      <c r="AC27" s="48">
        <f t="shared" si="29"/>
        <v>714</v>
      </c>
      <c r="AD27" s="51">
        <f t="shared" si="30"/>
        <v>0.7685575365</v>
      </c>
    </row>
    <row r="28">
      <c r="A28" s="24"/>
      <c r="B28" s="46" t="s">
        <v>1262</v>
      </c>
      <c r="C28" s="47"/>
      <c r="D28" s="38">
        <v>96.0</v>
      </c>
      <c r="E28" s="38">
        <v>57.0</v>
      </c>
      <c r="F28" s="38">
        <v>7.0</v>
      </c>
      <c r="G28" s="38">
        <v>8.0</v>
      </c>
      <c r="H28" s="38">
        <v>2.0</v>
      </c>
      <c r="I28" s="48">
        <f t="shared" si="17"/>
        <v>160</v>
      </c>
      <c r="J28" s="48">
        <f t="shared" si="18"/>
        <v>170</v>
      </c>
      <c r="K28" s="49">
        <f t="shared" si="19"/>
        <v>0.6</v>
      </c>
      <c r="L28" s="49">
        <f t="shared" si="20"/>
        <v>0.35625</v>
      </c>
      <c r="M28" s="49">
        <f t="shared" si="21"/>
        <v>0.04375</v>
      </c>
      <c r="N28" s="32" t="str">
        <f t="shared" si="22"/>
        <v>Jânio</v>
      </c>
      <c r="O28" s="50" t="s">
        <v>77</v>
      </c>
      <c r="P28" s="38">
        <v>51.0</v>
      </c>
      <c r="Q28" s="38">
        <v>74.0</v>
      </c>
      <c r="R28" s="38">
        <v>25.0</v>
      </c>
      <c r="S28" s="38">
        <v>16.0</v>
      </c>
      <c r="T28" s="38">
        <v>4.0</v>
      </c>
      <c r="U28" s="48">
        <f t="shared" si="23"/>
        <v>150</v>
      </c>
      <c r="V28" s="48">
        <f t="shared" si="24"/>
        <v>170</v>
      </c>
      <c r="W28" s="49">
        <f t="shared" si="25"/>
        <v>0.34</v>
      </c>
      <c r="X28" s="49">
        <f t="shared" si="26"/>
        <v>0.4933333333</v>
      </c>
      <c r="Y28" s="49">
        <f t="shared" si="27"/>
        <v>0.1666666667</v>
      </c>
      <c r="Z28" s="32" t="str">
        <f t="shared" si="28"/>
        <v>Milton</v>
      </c>
      <c r="AA28" s="50" t="s">
        <v>77</v>
      </c>
      <c r="AB28" s="38">
        <v>174.0</v>
      </c>
      <c r="AC28" s="48">
        <f t="shared" si="29"/>
        <v>4</v>
      </c>
      <c r="AD28" s="51">
        <f t="shared" si="30"/>
        <v>0.9770114943</v>
      </c>
    </row>
    <row r="29">
      <c r="A29" s="61" t="s">
        <v>94</v>
      </c>
      <c r="B29" s="46" t="s">
        <v>1263</v>
      </c>
      <c r="C29" s="47"/>
      <c r="D29" s="38">
        <v>3944.0</v>
      </c>
      <c r="E29" s="38">
        <v>3758.0</v>
      </c>
      <c r="F29" s="38">
        <v>1406.0</v>
      </c>
      <c r="G29" s="38">
        <v>239.0</v>
      </c>
      <c r="H29" s="38">
        <v>257.0</v>
      </c>
      <c r="I29" s="48">
        <f t="shared" si="17"/>
        <v>9108</v>
      </c>
      <c r="J29" s="48">
        <f t="shared" si="18"/>
        <v>9604</v>
      </c>
      <c r="K29" s="49">
        <f t="shared" si="19"/>
        <v>0.4330259113</v>
      </c>
      <c r="L29" s="49">
        <f t="shared" si="20"/>
        <v>0.4126043039</v>
      </c>
      <c r="M29" s="49">
        <f t="shared" si="21"/>
        <v>0.1543697848</v>
      </c>
      <c r="N29" s="32" t="str">
        <f t="shared" si="22"/>
        <v>Jânio</v>
      </c>
      <c r="O29" s="50" t="s">
        <v>77</v>
      </c>
      <c r="P29" s="38">
        <v>4100.0</v>
      </c>
      <c r="Q29" s="38">
        <v>2714.0</v>
      </c>
      <c r="R29" s="38">
        <v>1632.0</v>
      </c>
      <c r="S29" s="38">
        <v>904.0</v>
      </c>
      <c r="T29" s="38">
        <v>254.0</v>
      </c>
      <c r="U29" s="48">
        <f t="shared" si="23"/>
        <v>8446</v>
      </c>
      <c r="V29" s="48">
        <f t="shared" si="24"/>
        <v>9604</v>
      </c>
      <c r="W29" s="49">
        <f t="shared" si="25"/>
        <v>0.4854368932</v>
      </c>
      <c r="X29" s="49">
        <f t="shared" si="26"/>
        <v>0.3213355435</v>
      </c>
      <c r="Y29" s="49">
        <f t="shared" si="27"/>
        <v>0.1932275633</v>
      </c>
      <c r="Z29" s="32" t="str">
        <f t="shared" si="28"/>
        <v>Jango</v>
      </c>
      <c r="AA29" s="50" t="s">
        <v>77</v>
      </c>
      <c r="AB29" s="38">
        <v>11971.0</v>
      </c>
      <c r="AC29" s="48">
        <f t="shared" si="29"/>
        <v>2367</v>
      </c>
      <c r="AD29" s="51">
        <f t="shared" si="30"/>
        <v>0.8022721577</v>
      </c>
    </row>
    <row r="30">
      <c r="A30" s="24"/>
      <c r="B30" s="46" t="s">
        <v>1264</v>
      </c>
      <c r="C30" s="47"/>
      <c r="D30" s="38">
        <v>315.0</v>
      </c>
      <c r="E30" s="38">
        <v>652.0</v>
      </c>
      <c r="F30" s="38">
        <v>158.0</v>
      </c>
      <c r="G30" s="38">
        <v>60.0</v>
      </c>
      <c r="H30" s="38">
        <v>40.0</v>
      </c>
      <c r="I30" s="48">
        <f t="shared" si="17"/>
        <v>1125</v>
      </c>
      <c r="J30" s="48">
        <f t="shared" si="18"/>
        <v>1225</v>
      </c>
      <c r="K30" s="49">
        <f t="shared" si="19"/>
        <v>0.28</v>
      </c>
      <c r="L30" s="49">
        <f t="shared" si="20"/>
        <v>0.5795555556</v>
      </c>
      <c r="M30" s="49">
        <f t="shared" si="21"/>
        <v>0.1404444444</v>
      </c>
      <c r="N30" s="32" t="str">
        <f t="shared" si="22"/>
        <v>Mal. Lott</v>
      </c>
      <c r="O30" s="50" t="s">
        <v>77</v>
      </c>
      <c r="P30" s="38">
        <v>677.0</v>
      </c>
      <c r="Q30" s="38">
        <v>147.0</v>
      </c>
      <c r="R30" s="38">
        <v>237.0</v>
      </c>
      <c r="S30" s="38">
        <v>136.0</v>
      </c>
      <c r="T30" s="38">
        <v>28.0</v>
      </c>
      <c r="U30" s="48">
        <f t="shared" si="23"/>
        <v>1061</v>
      </c>
      <c r="V30" s="48">
        <f t="shared" si="24"/>
        <v>1225</v>
      </c>
      <c r="W30" s="49">
        <f t="shared" si="25"/>
        <v>0.6380772856</v>
      </c>
      <c r="X30" s="49">
        <f t="shared" si="26"/>
        <v>0.1385485391</v>
      </c>
      <c r="Y30" s="49">
        <f t="shared" si="27"/>
        <v>0.2233741753</v>
      </c>
      <c r="Z30" s="32" t="str">
        <f t="shared" si="28"/>
        <v>Jango</v>
      </c>
      <c r="AA30" s="50" t="s">
        <v>77</v>
      </c>
      <c r="AB30" s="38">
        <v>1488.0</v>
      </c>
      <c r="AC30" s="48">
        <f t="shared" si="29"/>
        <v>263</v>
      </c>
      <c r="AD30" s="51">
        <f t="shared" si="30"/>
        <v>0.8232526882</v>
      </c>
    </row>
    <row r="31">
      <c r="A31" s="61" t="s">
        <v>97</v>
      </c>
      <c r="B31" s="46" t="s">
        <v>960</v>
      </c>
      <c r="C31" s="47"/>
      <c r="D31" s="38">
        <v>10090.0</v>
      </c>
      <c r="E31" s="38">
        <v>8043.0</v>
      </c>
      <c r="F31" s="38">
        <v>614.0</v>
      </c>
      <c r="G31" s="38">
        <v>604.0</v>
      </c>
      <c r="H31" s="38">
        <v>424.0</v>
      </c>
      <c r="I31" s="48">
        <f t="shared" si="17"/>
        <v>18747</v>
      </c>
      <c r="J31" s="48">
        <f t="shared" si="18"/>
        <v>19775</v>
      </c>
      <c r="K31" s="49">
        <f t="shared" si="19"/>
        <v>0.5382194484</v>
      </c>
      <c r="L31" s="49">
        <f t="shared" si="20"/>
        <v>0.4290286446</v>
      </c>
      <c r="M31" s="49">
        <f t="shared" si="21"/>
        <v>0.03275190697</v>
      </c>
      <c r="N31" s="32" t="str">
        <f t="shared" si="22"/>
        <v>Jânio</v>
      </c>
      <c r="O31" s="50" t="s">
        <v>77</v>
      </c>
      <c r="P31" s="38">
        <v>7938.0</v>
      </c>
      <c r="Q31" s="38">
        <v>7513.0</v>
      </c>
      <c r="R31" s="38">
        <v>2388.0</v>
      </c>
      <c r="S31" s="38">
        <v>1373.0</v>
      </c>
      <c r="T31" s="38">
        <v>563.0</v>
      </c>
      <c r="U31" s="48">
        <f t="shared" si="23"/>
        <v>17839</v>
      </c>
      <c r="V31" s="48">
        <f t="shared" si="24"/>
        <v>19775</v>
      </c>
      <c r="W31" s="49">
        <f t="shared" si="25"/>
        <v>0.4449800998</v>
      </c>
      <c r="X31" s="49">
        <f t="shared" si="26"/>
        <v>0.4211558944</v>
      </c>
      <c r="Y31" s="49">
        <f t="shared" si="27"/>
        <v>0.1338640058</v>
      </c>
      <c r="Z31" s="32" t="str">
        <f t="shared" si="28"/>
        <v>Jango</v>
      </c>
      <c r="AA31" s="50" t="s">
        <v>77</v>
      </c>
      <c r="AB31" s="38">
        <v>25504.0</v>
      </c>
      <c r="AC31" s="48">
        <f t="shared" si="29"/>
        <v>5729</v>
      </c>
      <c r="AD31" s="51">
        <f t="shared" si="30"/>
        <v>0.7753685696</v>
      </c>
    </row>
    <row r="32">
      <c r="A32" s="23"/>
      <c r="B32" s="46" t="s">
        <v>1265</v>
      </c>
      <c r="C32" s="47"/>
      <c r="D32" s="38">
        <v>1008.0</v>
      </c>
      <c r="E32" s="38">
        <v>422.0</v>
      </c>
      <c r="F32" s="38">
        <v>36.0</v>
      </c>
      <c r="G32" s="38">
        <v>60.0</v>
      </c>
      <c r="H32" s="38">
        <v>33.0</v>
      </c>
      <c r="I32" s="48">
        <f t="shared" si="17"/>
        <v>1466</v>
      </c>
      <c r="J32" s="48">
        <f t="shared" si="18"/>
        <v>1559</v>
      </c>
      <c r="K32" s="49">
        <f t="shared" si="19"/>
        <v>0.687585266</v>
      </c>
      <c r="L32" s="49">
        <f t="shared" si="20"/>
        <v>0.2878581173</v>
      </c>
      <c r="M32" s="49">
        <f t="shared" si="21"/>
        <v>0.02455661664</v>
      </c>
      <c r="N32" s="32" t="str">
        <f t="shared" si="22"/>
        <v>Jânio</v>
      </c>
      <c r="O32" s="50" t="s">
        <v>77</v>
      </c>
      <c r="P32" s="38">
        <v>397.0</v>
      </c>
      <c r="Q32" s="38">
        <v>890.0</v>
      </c>
      <c r="R32" s="38">
        <v>137.0</v>
      </c>
      <c r="S32" s="38">
        <v>98.0</v>
      </c>
      <c r="T32" s="38">
        <v>37.0</v>
      </c>
      <c r="U32" s="48">
        <f t="shared" si="23"/>
        <v>1424</v>
      </c>
      <c r="V32" s="48">
        <f t="shared" si="24"/>
        <v>1559</v>
      </c>
      <c r="W32" s="49">
        <f t="shared" si="25"/>
        <v>0.2787921348</v>
      </c>
      <c r="X32" s="49">
        <f t="shared" si="26"/>
        <v>0.625</v>
      </c>
      <c r="Y32" s="49">
        <f t="shared" si="27"/>
        <v>0.09620786517</v>
      </c>
      <c r="Z32" s="32" t="str">
        <f t="shared" si="28"/>
        <v>Milton</v>
      </c>
      <c r="AA32" s="50" t="s">
        <v>77</v>
      </c>
      <c r="AB32" s="38">
        <v>2441.0</v>
      </c>
      <c r="AC32" s="48">
        <f t="shared" si="29"/>
        <v>882</v>
      </c>
      <c r="AD32" s="51">
        <f t="shared" si="30"/>
        <v>0.6386726751</v>
      </c>
    </row>
    <row r="33">
      <c r="A33" s="23"/>
      <c r="B33" s="46" t="s">
        <v>1266</v>
      </c>
      <c r="C33" s="47"/>
      <c r="D33" s="38">
        <v>486.0</v>
      </c>
      <c r="E33" s="38">
        <v>241.0</v>
      </c>
      <c r="F33" s="38">
        <v>51.0</v>
      </c>
      <c r="G33" s="38">
        <v>41.0</v>
      </c>
      <c r="H33" s="38">
        <v>24.0</v>
      </c>
      <c r="I33" s="48">
        <f t="shared" si="17"/>
        <v>778</v>
      </c>
      <c r="J33" s="48">
        <f t="shared" si="18"/>
        <v>843</v>
      </c>
      <c r="K33" s="49">
        <f t="shared" si="19"/>
        <v>0.6246786632</v>
      </c>
      <c r="L33" s="49">
        <f t="shared" si="20"/>
        <v>0.3097686375</v>
      </c>
      <c r="M33" s="49">
        <f t="shared" si="21"/>
        <v>0.06555269923</v>
      </c>
      <c r="N33" s="32" t="str">
        <f t="shared" si="22"/>
        <v>Jânio</v>
      </c>
      <c r="O33" s="50" t="s">
        <v>77</v>
      </c>
      <c r="P33" s="38">
        <v>251.0</v>
      </c>
      <c r="Q33" s="38">
        <v>385.0</v>
      </c>
      <c r="R33" s="38">
        <v>78.0</v>
      </c>
      <c r="S33" s="38">
        <v>96.0</v>
      </c>
      <c r="T33" s="38">
        <v>33.0</v>
      </c>
      <c r="U33" s="48">
        <f t="shared" si="23"/>
        <v>714</v>
      </c>
      <c r="V33" s="48">
        <f t="shared" si="24"/>
        <v>843</v>
      </c>
      <c r="W33" s="49">
        <f t="shared" si="25"/>
        <v>0.3515406162</v>
      </c>
      <c r="X33" s="49">
        <f t="shared" si="26"/>
        <v>0.5392156863</v>
      </c>
      <c r="Y33" s="49">
        <f t="shared" si="27"/>
        <v>0.1092436975</v>
      </c>
      <c r="Z33" s="32" t="str">
        <f t="shared" si="28"/>
        <v>Milton</v>
      </c>
      <c r="AA33" s="50" t="s">
        <v>77</v>
      </c>
      <c r="AB33" s="38">
        <v>944.0</v>
      </c>
      <c r="AC33" s="48">
        <f t="shared" si="29"/>
        <v>101</v>
      </c>
      <c r="AD33" s="51">
        <f t="shared" si="30"/>
        <v>0.8930084746</v>
      </c>
    </row>
    <row r="34">
      <c r="A34" s="23"/>
      <c r="B34" s="46" t="s">
        <v>1267</v>
      </c>
      <c r="C34" s="47"/>
      <c r="D34" s="38">
        <v>486.0</v>
      </c>
      <c r="E34" s="38">
        <v>462.0</v>
      </c>
      <c r="F34" s="38">
        <v>45.0</v>
      </c>
      <c r="G34" s="38">
        <v>86.0</v>
      </c>
      <c r="H34" s="38">
        <v>43.0</v>
      </c>
      <c r="I34" s="48">
        <f t="shared" si="17"/>
        <v>993</v>
      </c>
      <c r="J34" s="48">
        <f t="shared" si="18"/>
        <v>1122</v>
      </c>
      <c r="K34" s="49">
        <f t="shared" si="19"/>
        <v>0.4894259819</v>
      </c>
      <c r="L34" s="49">
        <f t="shared" si="20"/>
        <v>0.4652567976</v>
      </c>
      <c r="M34" s="49">
        <f t="shared" si="21"/>
        <v>0.04531722054</v>
      </c>
      <c r="N34" s="32" t="str">
        <f t="shared" si="22"/>
        <v>Jânio</v>
      </c>
      <c r="O34" s="50" t="s">
        <v>77</v>
      </c>
      <c r="P34" s="38">
        <v>392.0</v>
      </c>
      <c r="Q34" s="38">
        <v>380.0</v>
      </c>
      <c r="R34" s="38">
        <v>81.0</v>
      </c>
      <c r="S34" s="38">
        <v>222.0</v>
      </c>
      <c r="T34" s="38">
        <v>47.0</v>
      </c>
      <c r="U34" s="48">
        <f t="shared" si="23"/>
        <v>853</v>
      </c>
      <c r="V34" s="48">
        <f t="shared" si="24"/>
        <v>1122</v>
      </c>
      <c r="W34" s="49">
        <f t="shared" si="25"/>
        <v>0.4595545135</v>
      </c>
      <c r="X34" s="49">
        <f t="shared" si="26"/>
        <v>0.4454865182</v>
      </c>
      <c r="Y34" s="49">
        <f t="shared" si="27"/>
        <v>0.09495896835</v>
      </c>
      <c r="Z34" s="32" t="str">
        <f t="shared" si="28"/>
        <v>Jango</v>
      </c>
      <c r="AA34" s="50" t="s">
        <v>77</v>
      </c>
      <c r="AB34" s="38">
        <v>1460.0</v>
      </c>
      <c r="AC34" s="48">
        <f t="shared" si="29"/>
        <v>338</v>
      </c>
      <c r="AD34" s="51">
        <f t="shared" si="30"/>
        <v>0.7684931507</v>
      </c>
    </row>
    <row r="35">
      <c r="A35" s="23"/>
      <c r="B35" s="46" t="s">
        <v>1268</v>
      </c>
      <c r="C35" s="47"/>
      <c r="D35" s="38">
        <v>504.0</v>
      </c>
      <c r="E35" s="38">
        <v>421.0</v>
      </c>
      <c r="F35" s="38">
        <v>33.0</v>
      </c>
      <c r="G35" s="38">
        <v>42.0</v>
      </c>
      <c r="H35" s="38">
        <v>32.0</v>
      </c>
      <c r="I35" s="48">
        <f t="shared" si="17"/>
        <v>958</v>
      </c>
      <c r="J35" s="48">
        <f t="shared" si="18"/>
        <v>1032</v>
      </c>
      <c r="K35" s="49">
        <f t="shared" si="19"/>
        <v>0.5260960334</v>
      </c>
      <c r="L35" s="49">
        <f t="shared" si="20"/>
        <v>0.4394572025</v>
      </c>
      <c r="M35" s="49">
        <f t="shared" si="21"/>
        <v>0.03444676409</v>
      </c>
      <c r="N35" s="32" t="str">
        <f t="shared" si="22"/>
        <v>Jânio</v>
      </c>
      <c r="O35" s="50" t="s">
        <v>77</v>
      </c>
      <c r="P35" s="38">
        <v>428.0</v>
      </c>
      <c r="Q35" s="38">
        <v>331.0</v>
      </c>
      <c r="R35" s="38">
        <v>130.0</v>
      </c>
      <c r="S35" s="38">
        <v>111.0</v>
      </c>
      <c r="T35" s="38">
        <v>32.0</v>
      </c>
      <c r="U35" s="48">
        <f t="shared" si="23"/>
        <v>889</v>
      </c>
      <c r="V35" s="48">
        <f t="shared" si="24"/>
        <v>1032</v>
      </c>
      <c r="W35" s="49">
        <f t="shared" si="25"/>
        <v>0.48143982</v>
      </c>
      <c r="X35" s="49">
        <f t="shared" si="26"/>
        <v>0.3723284589</v>
      </c>
      <c r="Y35" s="49">
        <f t="shared" si="27"/>
        <v>0.146231721</v>
      </c>
      <c r="Z35" s="32" t="str">
        <f t="shared" si="28"/>
        <v>Jango</v>
      </c>
      <c r="AA35" s="50" t="s">
        <v>77</v>
      </c>
      <c r="AB35" s="38">
        <v>1415.0</v>
      </c>
      <c r="AC35" s="48">
        <f t="shared" si="29"/>
        <v>383</v>
      </c>
      <c r="AD35" s="51">
        <f t="shared" si="30"/>
        <v>0.7293286219</v>
      </c>
    </row>
    <row r="36">
      <c r="A36" s="23"/>
      <c r="B36" s="46" t="s">
        <v>1269</v>
      </c>
      <c r="C36" s="47"/>
      <c r="D36" s="38">
        <v>383.0</v>
      </c>
      <c r="E36" s="38">
        <v>292.0</v>
      </c>
      <c r="F36" s="38">
        <v>30.0</v>
      </c>
      <c r="G36" s="38">
        <v>52.0</v>
      </c>
      <c r="H36" s="38">
        <v>40.0</v>
      </c>
      <c r="I36" s="48">
        <f t="shared" si="17"/>
        <v>705</v>
      </c>
      <c r="J36" s="48">
        <f t="shared" si="18"/>
        <v>797</v>
      </c>
      <c r="K36" s="49">
        <f t="shared" si="19"/>
        <v>0.5432624113</v>
      </c>
      <c r="L36" s="49">
        <f t="shared" si="20"/>
        <v>0.4141843972</v>
      </c>
      <c r="M36" s="49">
        <f t="shared" si="21"/>
        <v>0.04255319149</v>
      </c>
      <c r="N36" s="32" t="str">
        <f t="shared" si="22"/>
        <v>Jânio</v>
      </c>
      <c r="O36" s="50" t="s">
        <v>77</v>
      </c>
      <c r="P36" s="38">
        <v>298.0</v>
      </c>
      <c r="Q36" s="38">
        <v>277.0</v>
      </c>
      <c r="R36" s="38">
        <v>80.0</v>
      </c>
      <c r="S36" s="38">
        <v>99.0</v>
      </c>
      <c r="T36" s="38">
        <v>43.0</v>
      </c>
      <c r="U36" s="48">
        <f t="shared" si="23"/>
        <v>655</v>
      </c>
      <c r="V36" s="48">
        <f t="shared" si="24"/>
        <v>797</v>
      </c>
      <c r="W36" s="49">
        <f t="shared" si="25"/>
        <v>0.4549618321</v>
      </c>
      <c r="X36" s="49">
        <f t="shared" si="26"/>
        <v>0.4229007634</v>
      </c>
      <c r="Y36" s="49">
        <f t="shared" si="27"/>
        <v>0.1221374046</v>
      </c>
      <c r="Z36" s="32" t="str">
        <f t="shared" si="28"/>
        <v>Jango</v>
      </c>
      <c r="AA36" s="50" t="s">
        <v>77</v>
      </c>
      <c r="AB36" s="38">
        <v>1006.0</v>
      </c>
      <c r="AC36" s="48">
        <f t="shared" si="29"/>
        <v>209</v>
      </c>
      <c r="AD36" s="51">
        <f t="shared" si="30"/>
        <v>0.7922465209</v>
      </c>
    </row>
    <row r="37">
      <c r="A37" s="23"/>
      <c r="B37" s="46" t="s">
        <v>1270</v>
      </c>
      <c r="C37" s="47"/>
      <c r="D37" s="38">
        <v>796.0</v>
      </c>
      <c r="E37" s="38">
        <v>558.0</v>
      </c>
      <c r="F37" s="38">
        <v>36.0</v>
      </c>
      <c r="G37" s="38">
        <v>54.0</v>
      </c>
      <c r="H37" s="38">
        <v>43.0</v>
      </c>
      <c r="I37" s="48">
        <f t="shared" si="17"/>
        <v>1390</v>
      </c>
      <c r="J37" s="48">
        <f t="shared" si="18"/>
        <v>1487</v>
      </c>
      <c r="K37" s="49">
        <f t="shared" si="19"/>
        <v>0.5726618705</v>
      </c>
      <c r="L37" s="49">
        <f t="shared" si="20"/>
        <v>0.4014388489</v>
      </c>
      <c r="M37" s="49">
        <f t="shared" si="21"/>
        <v>0.02589928058</v>
      </c>
      <c r="N37" s="32" t="str">
        <f t="shared" si="22"/>
        <v>Jânio</v>
      </c>
      <c r="O37" s="50" t="s">
        <v>77</v>
      </c>
      <c r="P37" s="38">
        <v>572.0</v>
      </c>
      <c r="Q37" s="38">
        <v>619.0</v>
      </c>
      <c r="R37" s="38">
        <v>122.0</v>
      </c>
      <c r="S37" s="38">
        <v>117.0</v>
      </c>
      <c r="T37" s="38">
        <v>57.0</v>
      </c>
      <c r="U37" s="48">
        <f t="shared" si="23"/>
        <v>1313</v>
      </c>
      <c r="V37" s="48">
        <f t="shared" si="24"/>
        <v>1487</v>
      </c>
      <c r="W37" s="49">
        <f t="shared" si="25"/>
        <v>0.4356435644</v>
      </c>
      <c r="X37" s="49">
        <f t="shared" si="26"/>
        <v>0.4714394516</v>
      </c>
      <c r="Y37" s="49">
        <f t="shared" si="27"/>
        <v>0.09291698401</v>
      </c>
      <c r="Z37" s="32" t="str">
        <f t="shared" si="28"/>
        <v>Milton</v>
      </c>
      <c r="AA37" s="50" t="s">
        <v>77</v>
      </c>
      <c r="AB37" s="38">
        <v>1581.0</v>
      </c>
      <c r="AC37" s="48">
        <f t="shared" si="29"/>
        <v>94</v>
      </c>
      <c r="AD37" s="51">
        <f t="shared" si="30"/>
        <v>0.9405439595</v>
      </c>
    </row>
    <row r="38">
      <c r="A38" s="24"/>
      <c r="B38" s="46" t="s">
        <v>1271</v>
      </c>
      <c r="C38" s="47"/>
      <c r="D38" s="38">
        <v>535.0</v>
      </c>
      <c r="E38" s="38">
        <v>487.0</v>
      </c>
      <c r="F38" s="38">
        <v>39.0</v>
      </c>
      <c r="G38" s="38">
        <v>76.0</v>
      </c>
      <c r="H38" s="38">
        <v>34.0</v>
      </c>
      <c r="I38" s="48">
        <f t="shared" si="17"/>
        <v>1061</v>
      </c>
      <c r="J38" s="48">
        <f t="shared" si="18"/>
        <v>1171</v>
      </c>
      <c r="K38" s="49">
        <f t="shared" si="19"/>
        <v>0.5042412818</v>
      </c>
      <c r="L38" s="49">
        <f t="shared" si="20"/>
        <v>0.4590009425</v>
      </c>
      <c r="M38" s="49">
        <f t="shared" si="21"/>
        <v>0.03675777568</v>
      </c>
      <c r="N38" s="32" t="str">
        <f t="shared" si="22"/>
        <v>Jânio</v>
      </c>
      <c r="O38" s="50" t="s">
        <v>77</v>
      </c>
      <c r="P38" s="38">
        <v>488.0</v>
      </c>
      <c r="Q38" s="38">
        <v>401.0</v>
      </c>
      <c r="R38" s="38">
        <v>119.0</v>
      </c>
      <c r="S38" s="38">
        <v>132.0</v>
      </c>
      <c r="T38" s="38">
        <v>31.0</v>
      </c>
      <c r="U38" s="48">
        <f t="shared" si="23"/>
        <v>1008</v>
      </c>
      <c r="V38" s="48">
        <f t="shared" si="24"/>
        <v>1171</v>
      </c>
      <c r="W38" s="49">
        <f t="shared" si="25"/>
        <v>0.4841269841</v>
      </c>
      <c r="X38" s="49">
        <f t="shared" si="26"/>
        <v>0.3978174603</v>
      </c>
      <c r="Y38" s="49">
        <f t="shared" si="27"/>
        <v>0.1180555556</v>
      </c>
      <c r="Z38" s="32" t="str">
        <f t="shared" si="28"/>
        <v>Jango</v>
      </c>
      <c r="AA38" s="50" t="s">
        <v>77</v>
      </c>
      <c r="AB38" s="38">
        <v>1404.0</v>
      </c>
      <c r="AC38" s="48">
        <f t="shared" si="29"/>
        <v>233</v>
      </c>
      <c r="AD38" s="51">
        <f t="shared" si="30"/>
        <v>0.834045584</v>
      </c>
    </row>
    <row r="39">
      <c r="A39" s="61" t="s">
        <v>99</v>
      </c>
      <c r="B39" s="46" t="s">
        <v>1272</v>
      </c>
      <c r="C39" s="47"/>
      <c r="D39" s="38">
        <v>3787.0</v>
      </c>
      <c r="E39" s="38">
        <v>2158.0</v>
      </c>
      <c r="F39" s="38">
        <v>173.0</v>
      </c>
      <c r="G39" s="38">
        <v>192.0</v>
      </c>
      <c r="H39" s="38">
        <v>212.0</v>
      </c>
      <c r="I39" s="48">
        <f t="shared" si="17"/>
        <v>6118</v>
      </c>
      <c r="J39" s="48">
        <f t="shared" si="18"/>
        <v>6522</v>
      </c>
      <c r="K39" s="49">
        <f t="shared" si="19"/>
        <v>0.618993135</v>
      </c>
      <c r="L39" s="49">
        <f t="shared" si="20"/>
        <v>0.3527296502</v>
      </c>
      <c r="M39" s="49">
        <f t="shared" si="21"/>
        <v>0.02827721478</v>
      </c>
      <c r="N39" s="32" t="str">
        <f t="shared" si="22"/>
        <v>Jânio</v>
      </c>
      <c r="O39" s="50" t="s">
        <v>77</v>
      </c>
      <c r="P39" s="38">
        <v>2108.0</v>
      </c>
      <c r="Q39" s="38">
        <v>3006.0</v>
      </c>
      <c r="R39" s="38">
        <v>594.0</v>
      </c>
      <c r="S39" s="38">
        <v>510.0</v>
      </c>
      <c r="T39" s="38">
        <v>304.0</v>
      </c>
      <c r="U39" s="48">
        <f t="shared" si="23"/>
        <v>5708</v>
      </c>
      <c r="V39" s="48">
        <f t="shared" si="24"/>
        <v>6522</v>
      </c>
      <c r="W39" s="49">
        <f t="shared" si="25"/>
        <v>0.3693062369</v>
      </c>
      <c r="X39" s="49">
        <f t="shared" si="26"/>
        <v>0.5266292922</v>
      </c>
      <c r="Y39" s="49">
        <f t="shared" si="27"/>
        <v>0.1040644709</v>
      </c>
      <c r="Z39" s="32" t="str">
        <f t="shared" si="28"/>
        <v>Milton</v>
      </c>
      <c r="AA39" s="50" t="s">
        <v>77</v>
      </c>
      <c r="AB39" s="38">
        <v>8621.0</v>
      </c>
      <c r="AC39" s="48">
        <f t="shared" si="29"/>
        <v>2099</v>
      </c>
      <c r="AD39" s="51">
        <f t="shared" si="30"/>
        <v>0.7565247651</v>
      </c>
    </row>
    <row r="40">
      <c r="A40" s="24"/>
      <c r="B40" s="46" t="s">
        <v>1273</v>
      </c>
      <c r="C40" s="47"/>
      <c r="D40" s="38">
        <v>372.0</v>
      </c>
      <c r="E40" s="38">
        <v>376.0</v>
      </c>
      <c r="F40" s="38">
        <v>30.0</v>
      </c>
      <c r="G40" s="38">
        <v>48.0</v>
      </c>
      <c r="H40" s="38">
        <v>22.0</v>
      </c>
      <c r="I40" s="48">
        <f t="shared" si="17"/>
        <v>778</v>
      </c>
      <c r="J40" s="48">
        <f t="shared" si="18"/>
        <v>848</v>
      </c>
      <c r="K40" s="49">
        <f t="shared" si="19"/>
        <v>0.4781491003</v>
      </c>
      <c r="L40" s="49">
        <f t="shared" si="20"/>
        <v>0.4832904884</v>
      </c>
      <c r="M40" s="49">
        <f t="shared" si="21"/>
        <v>0.03856041131</v>
      </c>
      <c r="N40" s="32" t="str">
        <f t="shared" si="22"/>
        <v>Mal. Lott</v>
      </c>
      <c r="O40" s="50" t="s">
        <v>77</v>
      </c>
      <c r="P40" s="38">
        <v>378.0</v>
      </c>
      <c r="Q40" s="38">
        <v>285.0</v>
      </c>
      <c r="R40" s="38">
        <v>77.0</v>
      </c>
      <c r="S40" s="38">
        <v>80.0</v>
      </c>
      <c r="T40" s="38">
        <v>28.0</v>
      </c>
      <c r="U40" s="48">
        <f t="shared" si="23"/>
        <v>740</v>
      </c>
      <c r="V40" s="48">
        <f t="shared" si="24"/>
        <v>848</v>
      </c>
      <c r="W40" s="49">
        <f t="shared" si="25"/>
        <v>0.5108108108</v>
      </c>
      <c r="X40" s="49">
        <f t="shared" si="26"/>
        <v>0.3851351351</v>
      </c>
      <c r="Y40" s="49">
        <f t="shared" si="27"/>
        <v>0.1040540541</v>
      </c>
      <c r="Z40" s="32" t="str">
        <f t="shared" si="28"/>
        <v>Jango</v>
      </c>
      <c r="AA40" s="50" t="s">
        <v>77</v>
      </c>
      <c r="AB40" s="38">
        <v>1581.0</v>
      </c>
      <c r="AC40" s="48">
        <f t="shared" si="29"/>
        <v>733</v>
      </c>
      <c r="AD40" s="51">
        <f t="shared" si="30"/>
        <v>0.5363693865</v>
      </c>
    </row>
    <row r="41">
      <c r="A41" s="61" t="s">
        <v>104</v>
      </c>
      <c r="B41" s="46" t="s">
        <v>1274</v>
      </c>
      <c r="C41" s="47"/>
      <c r="D41" s="38">
        <v>3029.0</v>
      </c>
      <c r="E41" s="38">
        <v>2592.0</v>
      </c>
      <c r="F41" s="38">
        <v>185.0</v>
      </c>
      <c r="G41" s="38">
        <v>224.0</v>
      </c>
      <c r="H41" s="38">
        <v>190.0</v>
      </c>
      <c r="I41" s="48">
        <f t="shared" si="17"/>
        <v>5806</v>
      </c>
      <c r="J41" s="48">
        <f t="shared" si="18"/>
        <v>6220</v>
      </c>
      <c r="K41" s="49">
        <f t="shared" si="19"/>
        <v>0.5217016879</v>
      </c>
      <c r="L41" s="49">
        <f t="shared" si="20"/>
        <v>0.4464347227</v>
      </c>
      <c r="M41" s="49">
        <f t="shared" si="21"/>
        <v>0.03186358939</v>
      </c>
      <c r="N41" s="32" t="str">
        <f t="shared" si="22"/>
        <v>Jânio</v>
      </c>
      <c r="O41" s="50" t="s">
        <v>77</v>
      </c>
      <c r="P41" s="38">
        <v>2554.0</v>
      </c>
      <c r="Q41" s="38">
        <v>2312.0</v>
      </c>
      <c r="R41" s="38">
        <v>553.0</v>
      </c>
      <c r="S41" s="38">
        <v>551.0</v>
      </c>
      <c r="T41" s="38">
        <v>250.0</v>
      </c>
      <c r="U41" s="48">
        <f t="shared" si="23"/>
        <v>5419</v>
      </c>
      <c r="V41" s="48">
        <f t="shared" si="24"/>
        <v>6220</v>
      </c>
      <c r="W41" s="49">
        <f t="shared" si="25"/>
        <v>0.4713046688</v>
      </c>
      <c r="X41" s="49">
        <f t="shared" si="26"/>
        <v>0.4266469828</v>
      </c>
      <c r="Y41" s="49">
        <f t="shared" si="27"/>
        <v>0.1020483484</v>
      </c>
      <c r="Z41" s="32" t="str">
        <f t="shared" si="28"/>
        <v>Jango</v>
      </c>
      <c r="AA41" s="50" t="s">
        <v>77</v>
      </c>
      <c r="AB41" s="38">
        <v>7661.0</v>
      </c>
      <c r="AC41" s="48">
        <f t="shared" si="29"/>
        <v>1441</v>
      </c>
      <c r="AD41" s="51">
        <f t="shared" si="30"/>
        <v>0.8119044511</v>
      </c>
    </row>
    <row r="42">
      <c r="A42" s="23"/>
      <c r="B42" s="46" t="s">
        <v>799</v>
      </c>
      <c r="C42" s="47"/>
      <c r="D42" s="38">
        <v>544.0</v>
      </c>
      <c r="E42" s="38">
        <v>220.0</v>
      </c>
      <c r="F42" s="38">
        <v>51.0</v>
      </c>
      <c r="G42" s="38">
        <v>67.0</v>
      </c>
      <c r="H42" s="38">
        <v>25.0</v>
      </c>
      <c r="I42" s="48">
        <f t="shared" si="17"/>
        <v>815</v>
      </c>
      <c r="J42" s="48">
        <f t="shared" si="18"/>
        <v>907</v>
      </c>
      <c r="K42" s="49">
        <f t="shared" si="19"/>
        <v>0.6674846626</v>
      </c>
      <c r="L42" s="49">
        <f t="shared" si="20"/>
        <v>0.2699386503</v>
      </c>
      <c r="M42" s="49">
        <f t="shared" si="21"/>
        <v>0.06257668712</v>
      </c>
      <c r="N42" s="32" t="str">
        <f t="shared" si="22"/>
        <v>Jânio</v>
      </c>
      <c r="O42" s="50" t="s">
        <v>77</v>
      </c>
      <c r="P42" s="38">
        <v>251.0</v>
      </c>
      <c r="Q42" s="38">
        <v>373.0</v>
      </c>
      <c r="R42" s="38">
        <v>97.0</v>
      </c>
      <c r="S42" s="38">
        <v>157.0</v>
      </c>
      <c r="T42" s="38">
        <v>29.0</v>
      </c>
      <c r="U42" s="48">
        <f t="shared" si="23"/>
        <v>721</v>
      </c>
      <c r="V42" s="48">
        <f t="shared" si="24"/>
        <v>907</v>
      </c>
      <c r="W42" s="49">
        <f t="shared" si="25"/>
        <v>0.3481276006</v>
      </c>
      <c r="X42" s="49">
        <f t="shared" si="26"/>
        <v>0.5173370319</v>
      </c>
      <c r="Y42" s="49">
        <f t="shared" si="27"/>
        <v>0.1345353675</v>
      </c>
      <c r="Z42" s="32" t="str">
        <f t="shared" si="28"/>
        <v>Milton</v>
      </c>
      <c r="AA42" s="50" t="s">
        <v>77</v>
      </c>
      <c r="AB42" s="38">
        <v>1311.0</v>
      </c>
      <c r="AC42" s="48">
        <f t="shared" si="29"/>
        <v>404</v>
      </c>
      <c r="AD42" s="51">
        <f t="shared" si="30"/>
        <v>0.6918382914</v>
      </c>
    </row>
    <row r="43">
      <c r="A43" s="24"/>
      <c r="B43" s="46" t="s">
        <v>1275</v>
      </c>
      <c r="C43" s="47"/>
      <c r="D43" s="38">
        <v>463.0</v>
      </c>
      <c r="E43" s="38">
        <v>321.0</v>
      </c>
      <c r="F43" s="38">
        <v>45.0</v>
      </c>
      <c r="G43" s="38">
        <v>43.0</v>
      </c>
      <c r="H43" s="38">
        <v>29.0</v>
      </c>
      <c r="I43" s="48">
        <f t="shared" si="17"/>
        <v>829</v>
      </c>
      <c r="J43" s="48">
        <f t="shared" si="18"/>
        <v>901</v>
      </c>
      <c r="K43" s="49">
        <f t="shared" si="19"/>
        <v>0.558504222</v>
      </c>
      <c r="L43" s="49">
        <f t="shared" si="20"/>
        <v>0.3872135103</v>
      </c>
      <c r="M43" s="49">
        <f t="shared" si="21"/>
        <v>0.05428226779</v>
      </c>
      <c r="N43" s="32" t="str">
        <f t="shared" si="22"/>
        <v>Jânio</v>
      </c>
      <c r="O43" s="50" t="s">
        <v>77</v>
      </c>
      <c r="P43" s="38">
        <v>357.0</v>
      </c>
      <c r="Q43" s="38">
        <v>305.0</v>
      </c>
      <c r="R43" s="38">
        <v>91.0</v>
      </c>
      <c r="S43" s="38">
        <v>110.0</v>
      </c>
      <c r="T43" s="38">
        <v>38.0</v>
      </c>
      <c r="U43" s="48">
        <f t="shared" si="23"/>
        <v>753</v>
      </c>
      <c r="V43" s="48">
        <f t="shared" si="24"/>
        <v>901</v>
      </c>
      <c r="W43" s="49">
        <f t="shared" si="25"/>
        <v>0.4741035857</v>
      </c>
      <c r="X43" s="49">
        <f t="shared" si="26"/>
        <v>0.4050464807</v>
      </c>
      <c r="Y43" s="49">
        <f t="shared" si="27"/>
        <v>0.1208499336</v>
      </c>
      <c r="Z43" s="32" t="str">
        <f t="shared" si="28"/>
        <v>Jango</v>
      </c>
      <c r="AA43" s="50" t="s">
        <v>77</v>
      </c>
      <c r="AB43" s="38">
        <v>1285.0</v>
      </c>
      <c r="AC43" s="48">
        <f t="shared" si="29"/>
        <v>384</v>
      </c>
      <c r="AD43" s="51">
        <f t="shared" si="30"/>
        <v>0.7011673152</v>
      </c>
    </row>
    <row r="44">
      <c r="A44" s="61" t="s">
        <v>107</v>
      </c>
      <c r="B44" s="46" t="s">
        <v>1276</v>
      </c>
      <c r="C44" s="47"/>
      <c r="D44" s="38">
        <v>1029.0</v>
      </c>
      <c r="E44" s="38">
        <v>433.0</v>
      </c>
      <c r="F44" s="38">
        <v>40.0</v>
      </c>
      <c r="G44" s="38">
        <v>69.0</v>
      </c>
      <c r="H44" s="38">
        <v>46.0</v>
      </c>
      <c r="I44" s="48">
        <f t="shared" si="17"/>
        <v>1502</v>
      </c>
      <c r="J44" s="48">
        <f t="shared" si="18"/>
        <v>1617</v>
      </c>
      <c r="K44" s="49">
        <f t="shared" si="19"/>
        <v>0.6850865513</v>
      </c>
      <c r="L44" s="49">
        <f t="shared" si="20"/>
        <v>0.2882822903</v>
      </c>
      <c r="M44" s="49">
        <f t="shared" si="21"/>
        <v>0.02663115846</v>
      </c>
      <c r="N44" s="32" t="str">
        <f t="shared" si="22"/>
        <v>Jânio</v>
      </c>
      <c r="O44" s="50" t="s">
        <v>77</v>
      </c>
      <c r="P44" s="38">
        <v>419.0</v>
      </c>
      <c r="Q44" s="38">
        <v>907.0</v>
      </c>
      <c r="R44" s="38">
        <v>88.0</v>
      </c>
      <c r="S44" s="38">
        <v>142.0</v>
      </c>
      <c r="T44" s="38">
        <v>61.0</v>
      </c>
      <c r="U44" s="48">
        <f t="shared" si="23"/>
        <v>1414</v>
      </c>
      <c r="V44" s="48">
        <f t="shared" si="24"/>
        <v>1617</v>
      </c>
      <c r="W44" s="49">
        <f t="shared" si="25"/>
        <v>0.2963224894</v>
      </c>
      <c r="X44" s="49">
        <f t="shared" si="26"/>
        <v>0.6414427157</v>
      </c>
      <c r="Y44" s="49">
        <f t="shared" si="27"/>
        <v>0.06223479491</v>
      </c>
      <c r="Z44" s="32" t="str">
        <f t="shared" si="28"/>
        <v>Milton</v>
      </c>
      <c r="AA44" s="50" t="s">
        <v>77</v>
      </c>
      <c r="AB44" s="38">
        <v>2095.0</v>
      </c>
      <c r="AC44" s="48">
        <f t="shared" si="29"/>
        <v>478</v>
      </c>
      <c r="AD44" s="51">
        <f t="shared" si="30"/>
        <v>0.7718377088</v>
      </c>
    </row>
    <row r="45">
      <c r="A45" s="23"/>
      <c r="B45" s="46" t="s">
        <v>1277</v>
      </c>
      <c r="C45" s="47"/>
      <c r="D45" s="38">
        <v>566.0</v>
      </c>
      <c r="E45" s="38">
        <v>300.0</v>
      </c>
      <c r="F45" s="38">
        <v>161.0</v>
      </c>
      <c r="G45" s="38">
        <v>80.0</v>
      </c>
      <c r="H45" s="38">
        <v>50.0</v>
      </c>
      <c r="I45" s="48">
        <f t="shared" si="17"/>
        <v>1027</v>
      </c>
      <c r="J45" s="48">
        <f t="shared" si="18"/>
        <v>1157</v>
      </c>
      <c r="K45" s="49">
        <f t="shared" si="19"/>
        <v>0.5511197663</v>
      </c>
      <c r="L45" s="49">
        <f t="shared" si="20"/>
        <v>0.2921129503</v>
      </c>
      <c r="M45" s="49">
        <f t="shared" si="21"/>
        <v>0.1567672833</v>
      </c>
      <c r="N45" s="32" t="str">
        <f t="shared" si="22"/>
        <v>Jânio</v>
      </c>
      <c r="O45" s="50" t="s">
        <v>77</v>
      </c>
      <c r="P45" s="38">
        <v>388.0</v>
      </c>
      <c r="Q45" s="38">
        <v>437.0</v>
      </c>
      <c r="R45" s="38">
        <v>116.0</v>
      </c>
      <c r="S45" s="38">
        <v>148.0</v>
      </c>
      <c r="T45" s="38">
        <v>68.0</v>
      </c>
      <c r="U45" s="48">
        <f t="shared" si="23"/>
        <v>941</v>
      </c>
      <c r="V45" s="48">
        <f t="shared" si="24"/>
        <v>1157</v>
      </c>
      <c r="W45" s="49">
        <f t="shared" si="25"/>
        <v>0.4123273114</v>
      </c>
      <c r="X45" s="49">
        <f t="shared" si="26"/>
        <v>0.4643995749</v>
      </c>
      <c r="Y45" s="49">
        <f t="shared" si="27"/>
        <v>0.1232731137</v>
      </c>
      <c r="Z45" s="32" t="str">
        <f t="shared" si="28"/>
        <v>Milton</v>
      </c>
      <c r="AA45" s="50" t="s">
        <v>77</v>
      </c>
      <c r="AB45" s="38">
        <v>1724.0</v>
      </c>
      <c r="AC45" s="48">
        <f t="shared" si="29"/>
        <v>567</v>
      </c>
      <c r="AD45" s="51">
        <f t="shared" si="30"/>
        <v>0.6711136891</v>
      </c>
    </row>
    <row r="46">
      <c r="A46" s="24"/>
      <c r="B46" s="46" t="s">
        <v>1278</v>
      </c>
      <c r="C46" s="47"/>
      <c r="D46" s="38">
        <v>435.0</v>
      </c>
      <c r="E46" s="38">
        <v>340.0</v>
      </c>
      <c r="F46" s="38">
        <v>177.0</v>
      </c>
      <c r="G46" s="38">
        <v>63.0</v>
      </c>
      <c r="H46" s="38">
        <v>64.0</v>
      </c>
      <c r="I46" s="48">
        <f t="shared" si="17"/>
        <v>952</v>
      </c>
      <c r="J46" s="48">
        <f t="shared" si="18"/>
        <v>1079</v>
      </c>
      <c r="K46" s="49">
        <f t="shared" si="19"/>
        <v>0.4569327731</v>
      </c>
      <c r="L46" s="49">
        <f t="shared" si="20"/>
        <v>0.3571428571</v>
      </c>
      <c r="M46" s="49">
        <f t="shared" si="21"/>
        <v>0.1859243697</v>
      </c>
      <c r="N46" s="32" t="str">
        <f t="shared" si="22"/>
        <v>Jânio</v>
      </c>
      <c r="O46" s="50" t="s">
        <v>77</v>
      </c>
      <c r="P46" s="38">
        <v>422.0</v>
      </c>
      <c r="Q46" s="38">
        <v>290.0</v>
      </c>
      <c r="R46" s="38">
        <v>154.0</v>
      </c>
      <c r="S46" s="38">
        <v>171.0</v>
      </c>
      <c r="T46" s="38">
        <v>42.0</v>
      </c>
      <c r="U46" s="48">
        <f t="shared" si="23"/>
        <v>866</v>
      </c>
      <c r="V46" s="48">
        <f t="shared" si="24"/>
        <v>1079</v>
      </c>
      <c r="W46" s="49">
        <f t="shared" si="25"/>
        <v>0.4872979215</v>
      </c>
      <c r="X46" s="49">
        <f t="shared" si="26"/>
        <v>0.3348729792</v>
      </c>
      <c r="Y46" s="49">
        <f t="shared" si="27"/>
        <v>0.1778290993</v>
      </c>
      <c r="Z46" s="32" t="str">
        <f t="shared" si="28"/>
        <v>Jango</v>
      </c>
      <c r="AA46" s="50" t="s">
        <v>77</v>
      </c>
      <c r="AB46" s="38">
        <v>1308.0</v>
      </c>
      <c r="AC46" s="48">
        <f t="shared" si="29"/>
        <v>229</v>
      </c>
      <c r="AD46" s="51">
        <f t="shared" si="30"/>
        <v>0.8249235474</v>
      </c>
    </row>
    <row r="47">
      <c r="A47" s="61" t="s">
        <v>111</v>
      </c>
      <c r="B47" s="46" t="s">
        <v>1279</v>
      </c>
      <c r="C47" s="47"/>
      <c r="D47" s="38">
        <v>965.0</v>
      </c>
      <c r="E47" s="38">
        <v>750.0</v>
      </c>
      <c r="F47" s="38">
        <v>42.0</v>
      </c>
      <c r="G47" s="38">
        <v>92.0</v>
      </c>
      <c r="H47" s="38">
        <v>218.0</v>
      </c>
      <c r="I47" s="48">
        <f t="shared" si="17"/>
        <v>1757</v>
      </c>
      <c r="J47" s="48">
        <f t="shared" si="18"/>
        <v>2067</v>
      </c>
      <c r="K47" s="49">
        <f t="shared" si="19"/>
        <v>0.5492316448</v>
      </c>
      <c r="L47" s="49">
        <f t="shared" si="20"/>
        <v>0.4268639727</v>
      </c>
      <c r="M47" s="49">
        <f t="shared" si="21"/>
        <v>0.02390438247</v>
      </c>
      <c r="N47" s="32" t="str">
        <f t="shared" si="22"/>
        <v>Jânio</v>
      </c>
      <c r="O47" s="50" t="s">
        <v>77</v>
      </c>
      <c r="P47" s="38">
        <v>699.0</v>
      </c>
      <c r="Q47" s="38">
        <v>807.0</v>
      </c>
      <c r="R47" s="38">
        <v>135.0</v>
      </c>
      <c r="S47" s="38">
        <v>216.0</v>
      </c>
      <c r="T47" s="38">
        <v>210.0</v>
      </c>
      <c r="U47" s="48">
        <f t="shared" si="23"/>
        <v>1641</v>
      </c>
      <c r="V47" s="48">
        <f t="shared" si="24"/>
        <v>2067</v>
      </c>
      <c r="W47" s="49">
        <f t="shared" si="25"/>
        <v>0.4259597806</v>
      </c>
      <c r="X47" s="49">
        <f t="shared" si="26"/>
        <v>0.491773309</v>
      </c>
      <c r="Y47" s="49">
        <f t="shared" si="27"/>
        <v>0.08226691042</v>
      </c>
      <c r="Z47" s="32" t="str">
        <f t="shared" si="28"/>
        <v>Milton</v>
      </c>
      <c r="AA47" s="50" t="s">
        <v>77</v>
      </c>
      <c r="AB47" s="38">
        <v>2655.0</v>
      </c>
      <c r="AC47" s="48">
        <f t="shared" si="29"/>
        <v>588</v>
      </c>
      <c r="AD47" s="51">
        <f t="shared" si="30"/>
        <v>0.7785310734</v>
      </c>
    </row>
    <row r="48">
      <c r="A48" s="24"/>
      <c r="B48" s="46" t="s">
        <v>1280</v>
      </c>
      <c r="C48" s="47"/>
      <c r="D48" s="38">
        <v>1061.0</v>
      </c>
      <c r="E48" s="38">
        <v>402.0</v>
      </c>
      <c r="F48" s="38">
        <v>48.0</v>
      </c>
      <c r="G48" s="38">
        <v>85.0</v>
      </c>
      <c r="H48" s="38">
        <v>72.0</v>
      </c>
      <c r="I48" s="48">
        <f t="shared" si="17"/>
        <v>1511</v>
      </c>
      <c r="J48" s="48">
        <f t="shared" si="18"/>
        <v>1668</v>
      </c>
      <c r="K48" s="49">
        <f t="shared" si="19"/>
        <v>0.7021839841</v>
      </c>
      <c r="L48" s="49">
        <f t="shared" si="20"/>
        <v>0.2660489742</v>
      </c>
      <c r="M48" s="49">
        <f t="shared" si="21"/>
        <v>0.03176704169</v>
      </c>
      <c r="N48" s="32" t="str">
        <f t="shared" si="22"/>
        <v>Jânio</v>
      </c>
      <c r="O48" s="50" t="s">
        <v>77</v>
      </c>
      <c r="P48" s="38">
        <v>390.0</v>
      </c>
      <c r="Q48" s="38">
        <v>933.0</v>
      </c>
      <c r="R48" s="38">
        <v>106.0</v>
      </c>
      <c r="S48" s="38">
        <v>160.0</v>
      </c>
      <c r="T48" s="38">
        <v>79.0</v>
      </c>
      <c r="U48" s="48">
        <f t="shared" si="23"/>
        <v>1429</v>
      </c>
      <c r="V48" s="48">
        <f t="shared" si="24"/>
        <v>1668</v>
      </c>
      <c r="W48" s="49">
        <f t="shared" si="25"/>
        <v>0.2729181246</v>
      </c>
      <c r="X48" s="49">
        <f t="shared" si="26"/>
        <v>0.6529041288</v>
      </c>
      <c r="Y48" s="49">
        <f t="shared" si="27"/>
        <v>0.07417774668</v>
      </c>
      <c r="Z48" s="32" t="str">
        <f t="shared" si="28"/>
        <v>Milton</v>
      </c>
      <c r="AA48" s="50" t="s">
        <v>77</v>
      </c>
      <c r="AB48" s="38">
        <v>2197.0</v>
      </c>
      <c r="AC48" s="48">
        <f t="shared" si="29"/>
        <v>529</v>
      </c>
      <c r="AD48" s="51">
        <f t="shared" si="30"/>
        <v>0.7592171142</v>
      </c>
    </row>
    <row r="49">
      <c r="A49" s="61" t="s">
        <v>114</v>
      </c>
      <c r="B49" s="46" t="s">
        <v>1281</v>
      </c>
      <c r="C49" s="47"/>
      <c r="D49" s="38">
        <v>1694.0</v>
      </c>
      <c r="E49" s="38">
        <v>1104.0</v>
      </c>
      <c r="F49" s="38">
        <v>265.0</v>
      </c>
      <c r="G49" s="38">
        <v>251.0</v>
      </c>
      <c r="H49" s="38">
        <v>93.0</v>
      </c>
      <c r="I49" s="48">
        <f t="shared" si="17"/>
        <v>3063</v>
      </c>
      <c r="J49" s="48">
        <f t="shared" si="18"/>
        <v>3407</v>
      </c>
      <c r="K49" s="49">
        <f t="shared" si="19"/>
        <v>0.5530525628</v>
      </c>
      <c r="L49" s="49">
        <f t="shared" si="20"/>
        <v>0.36043095</v>
      </c>
      <c r="M49" s="49">
        <f t="shared" si="21"/>
        <v>0.0865164871</v>
      </c>
      <c r="N49" s="32" t="str">
        <f t="shared" si="22"/>
        <v>Jânio</v>
      </c>
      <c r="O49" s="50" t="s">
        <v>77</v>
      </c>
      <c r="P49" s="38">
        <v>1086.0</v>
      </c>
      <c r="Q49" s="38">
        <v>1360.0</v>
      </c>
      <c r="R49" s="38">
        <v>385.0</v>
      </c>
      <c r="S49" s="38">
        <v>489.0</v>
      </c>
      <c r="T49" s="38">
        <v>87.0</v>
      </c>
      <c r="U49" s="48">
        <f t="shared" si="23"/>
        <v>2831</v>
      </c>
      <c r="V49" s="48">
        <f t="shared" si="24"/>
        <v>3407</v>
      </c>
      <c r="W49" s="49">
        <f t="shared" si="25"/>
        <v>0.3836100318</v>
      </c>
      <c r="X49" s="49">
        <f t="shared" si="26"/>
        <v>0.4803956199</v>
      </c>
      <c r="Y49" s="49">
        <f t="shared" si="27"/>
        <v>0.1359943483</v>
      </c>
      <c r="Z49" s="32" t="str">
        <f t="shared" si="28"/>
        <v>Milton</v>
      </c>
      <c r="AA49" s="50" t="s">
        <v>77</v>
      </c>
      <c r="AB49" s="38">
        <v>5376.0</v>
      </c>
      <c r="AC49" s="48">
        <f t="shared" si="29"/>
        <v>1969</v>
      </c>
      <c r="AD49" s="51">
        <f t="shared" si="30"/>
        <v>0.6337425595</v>
      </c>
    </row>
    <row r="50">
      <c r="A50" s="23"/>
      <c r="B50" s="46" t="s">
        <v>1282</v>
      </c>
      <c r="C50" s="47"/>
      <c r="D50" s="38">
        <v>787.0</v>
      </c>
      <c r="E50" s="38">
        <v>478.0</v>
      </c>
      <c r="F50" s="38">
        <v>56.0</v>
      </c>
      <c r="G50" s="38">
        <v>57.0</v>
      </c>
      <c r="H50" s="38">
        <v>23.0</v>
      </c>
      <c r="I50" s="48">
        <f t="shared" si="17"/>
        <v>1321</v>
      </c>
      <c r="J50" s="48">
        <f t="shared" si="18"/>
        <v>1401</v>
      </c>
      <c r="K50" s="49">
        <f t="shared" si="19"/>
        <v>0.5957607873</v>
      </c>
      <c r="L50" s="49">
        <f t="shared" si="20"/>
        <v>0.3618470855</v>
      </c>
      <c r="M50" s="49">
        <f t="shared" si="21"/>
        <v>0.04239212718</v>
      </c>
      <c r="N50" s="32" t="str">
        <f t="shared" si="22"/>
        <v>Jânio</v>
      </c>
      <c r="O50" s="50" t="s">
        <v>77</v>
      </c>
      <c r="P50" s="38">
        <v>470.0</v>
      </c>
      <c r="Q50" s="38">
        <v>665.0</v>
      </c>
      <c r="R50" s="38">
        <v>110.0</v>
      </c>
      <c r="S50" s="38">
        <v>128.0</v>
      </c>
      <c r="T50" s="38">
        <v>28.0</v>
      </c>
      <c r="U50" s="48">
        <f t="shared" si="23"/>
        <v>1245</v>
      </c>
      <c r="V50" s="48">
        <f t="shared" si="24"/>
        <v>1401</v>
      </c>
      <c r="W50" s="49">
        <f t="shared" si="25"/>
        <v>0.3775100402</v>
      </c>
      <c r="X50" s="49">
        <f t="shared" si="26"/>
        <v>0.5341365462</v>
      </c>
      <c r="Y50" s="49">
        <f t="shared" si="27"/>
        <v>0.08835341365</v>
      </c>
      <c r="Z50" s="32" t="str">
        <f t="shared" si="28"/>
        <v>Milton</v>
      </c>
      <c r="AA50" s="50" t="s">
        <v>77</v>
      </c>
      <c r="AB50" s="38">
        <v>1865.0</v>
      </c>
      <c r="AC50" s="48">
        <f t="shared" si="29"/>
        <v>464</v>
      </c>
      <c r="AD50" s="51">
        <f t="shared" si="30"/>
        <v>0.7512064343</v>
      </c>
    </row>
    <row r="51">
      <c r="A51" s="24"/>
      <c r="B51" s="46" t="s">
        <v>1283</v>
      </c>
      <c r="C51" s="47"/>
      <c r="D51" s="38">
        <v>577.0</v>
      </c>
      <c r="E51" s="38">
        <v>245.0</v>
      </c>
      <c r="F51" s="38">
        <v>32.0</v>
      </c>
      <c r="G51" s="38">
        <v>64.0</v>
      </c>
      <c r="H51" s="38">
        <v>31.0</v>
      </c>
      <c r="I51" s="48">
        <f t="shared" si="17"/>
        <v>854</v>
      </c>
      <c r="J51" s="48">
        <f t="shared" si="18"/>
        <v>949</v>
      </c>
      <c r="K51" s="49">
        <f t="shared" si="19"/>
        <v>0.6756440281</v>
      </c>
      <c r="L51" s="49">
        <f t="shared" si="20"/>
        <v>0.2868852459</v>
      </c>
      <c r="M51" s="49">
        <f t="shared" si="21"/>
        <v>0.037470726</v>
      </c>
      <c r="N51" s="32" t="str">
        <f t="shared" si="22"/>
        <v>Jânio</v>
      </c>
      <c r="O51" s="50" t="s">
        <v>77</v>
      </c>
      <c r="P51" s="38">
        <v>223.0</v>
      </c>
      <c r="Q51" s="38">
        <v>494.0</v>
      </c>
      <c r="R51" s="38">
        <v>88.0</v>
      </c>
      <c r="S51" s="38">
        <v>115.0</v>
      </c>
      <c r="T51" s="38">
        <v>29.0</v>
      </c>
      <c r="U51" s="48">
        <f t="shared" si="23"/>
        <v>805</v>
      </c>
      <c r="V51" s="48">
        <f t="shared" si="24"/>
        <v>949</v>
      </c>
      <c r="W51" s="49">
        <f t="shared" si="25"/>
        <v>0.2770186335</v>
      </c>
      <c r="X51" s="49">
        <f t="shared" si="26"/>
        <v>0.6136645963</v>
      </c>
      <c r="Y51" s="49">
        <f t="shared" si="27"/>
        <v>0.1093167702</v>
      </c>
      <c r="Z51" s="32" t="str">
        <f t="shared" si="28"/>
        <v>Milton</v>
      </c>
      <c r="AA51" s="50" t="s">
        <v>77</v>
      </c>
      <c r="AB51" s="38">
        <v>1340.0</v>
      </c>
      <c r="AC51" s="48">
        <f t="shared" si="29"/>
        <v>391</v>
      </c>
      <c r="AD51" s="51">
        <f t="shared" si="30"/>
        <v>0.7082089552</v>
      </c>
    </row>
    <row r="52">
      <c r="A52" s="61" t="s">
        <v>117</v>
      </c>
      <c r="B52" s="46" t="s">
        <v>1284</v>
      </c>
      <c r="C52" s="47"/>
      <c r="D52" s="38">
        <v>987.0</v>
      </c>
      <c r="E52" s="38">
        <v>978.0</v>
      </c>
      <c r="F52" s="38">
        <v>49.0</v>
      </c>
      <c r="G52" s="38">
        <v>64.0</v>
      </c>
      <c r="H52" s="38">
        <v>21.0</v>
      </c>
      <c r="I52" s="48">
        <f t="shared" si="17"/>
        <v>2014</v>
      </c>
      <c r="J52" s="48">
        <f t="shared" si="18"/>
        <v>2099</v>
      </c>
      <c r="K52" s="49">
        <f t="shared" si="19"/>
        <v>0.4900695134</v>
      </c>
      <c r="L52" s="49">
        <f t="shared" si="20"/>
        <v>0.4856007944</v>
      </c>
      <c r="M52" s="49">
        <f t="shared" si="21"/>
        <v>0.02432969215</v>
      </c>
      <c r="N52" s="32" t="str">
        <f t="shared" si="22"/>
        <v>Jânio</v>
      </c>
      <c r="O52" s="50" t="s">
        <v>77</v>
      </c>
      <c r="P52" s="38">
        <v>1004.0</v>
      </c>
      <c r="Q52" s="38">
        <v>800.0</v>
      </c>
      <c r="R52" s="38">
        <v>127.0</v>
      </c>
      <c r="S52" s="38">
        <v>118.0</v>
      </c>
      <c r="T52" s="38">
        <v>50.0</v>
      </c>
      <c r="U52" s="48">
        <f t="shared" si="23"/>
        <v>1931</v>
      </c>
      <c r="V52" s="48">
        <f t="shared" si="24"/>
        <v>2099</v>
      </c>
      <c r="W52" s="49">
        <f t="shared" si="25"/>
        <v>0.519937856</v>
      </c>
      <c r="X52" s="49">
        <f t="shared" si="26"/>
        <v>0.4142931124</v>
      </c>
      <c r="Y52" s="49">
        <f t="shared" si="27"/>
        <v>0.06576903159</v>
      </c>
      <c r="Z52" s="32" t="str">
        <f t="shared" si="28"/>
        <v>Jango</v>
      </c>
      <c r="AA52" s="50" t="s">
        <v>77</v>
      </c>
      <c r="AB52" s="38">
        <v>2638.0</v>
      </c>
      <c r="AC52" s="48">
        <f t="shared" si="29"/>
        <v>539</v>
      </c>
      <c r="AD52" s="51">
        <f t="shared" si="30"/>
        <v>0.7956785444</v>
      </c>
    </row>
    <row r="53">
      <c r="A53" s="24"/>
      <c r="B53" s="46" t="s">
        <v>1285</v>
      </c>
      <c r="C53" s="47"/>
      <c r="D53" s="38">
        <v>543.0</v>
      </c>
      <c r="E53" s="38">
        <v>481.0</v>
      </c>
      <c r="F53" s="38">
        <v>93.0</v>
      </c>
      <c r="G53" s="38">
        <v>83.0</v>
      </c>
      <c r="H53" s="38">
        <v>35.0</v>
      </c>
      <c r="I53" s="48">
        <f t="shared" si="17"/>
        <v>1117</v>
      </c>
      <c r="J53" s="48">
        <f t="shared" si="18"/>
        <v>1235</v>
      </c>
      <c r="K53" s="49">
        <f t="shared" si="19"/>
        <v>0.4861235452</v>
      </c>
      <c r="L53" s="49">
        <f t="shared" si="20"/>
        <v>0.4306177261</v>
      </c>
      <c r="M53" s="49">
        <f t="shared" si="21"/>
        <v>0.08325872874</v>
      </c>
      <c r="N53" s="32" t="str">
        <f t="shared" si="22"/>
        <v>Jânio</v>
      </c>
      <c r="O53" s="50" t="s">
        <v>77</v>
      </c>
      <c r="P53" s="38">
        <v>541.0</v>
      </c>
      <c r="Q53" s="38">
        <v>454.0</v>
      </c>
      <c r="R53" s="38">
        <v>70.0</v>
      </c>
      <c r="S53" s="38">
        <v>132.0</v>
      </c>
      <c r="T53" s="38">
        <v>38.0</v>
      </c>
      <c r="U53" s="48">
        <f t="shared" si="23"/>
        <v>1065</v>
      </c>
      <c r="V53" s="48">
        <f t="shared" si="24"/>
        <v>1235</v>
      </c>
      <c r="W53" s="49">
        <f t="shared" si="25"/>
        <v>0.5079812207</v>
      </c>
      <c r="X53" s="49">
        <f t="shared" si="26"/>
        <v>0.4262910798</v>
      </c>
      <c r="Y53" s="49">
        <f t="shared" si="27"/>
        <v>0.06572769953</v>
      </c>
      <c r="Z53" s="32" t="str">
        <f t="shared" si="28"/>
        <v>Jango</v>
      </c>
      <c r="AA53" s="50" t="s">
        <v>77</v>
      </c>
      <c r="AB53" s="38">
        <v>1587.0</v>
      </c>
      <c r="AC53" s="48">
        <f t="shared" si="29"/>
        <v>352</v>
      </c>
      <c r="AD53" s="51">
        <f t="shared" si="30"/>
        <v>0.7781978576</v>
      </c>
    </row>
    <row r="54">
      <c r="A54" s="110" t="s">
        <v>119</v>
      </c>
      <c r="B54" s="46" t="s">
        <v>1286</v>
      </c>
      <c r="C54" s="47"/>
      <c r="D54" s="38">
        <v>716.0</v>
      </c>
      <c r="E54" s="38">
        <v>645.0</v>
      </c>
      <c r="F54" s="38">
        <v>68.0</v>
      </c>
      <c r="G54" s="38">
        <v>126.0</v>
      </c>
      <c r="H54" s="38">
        <v>61.0</v>
      </c>
      <c r="I54" s="48">
        <f t="shared" si="17"/>
        <v>1429</v>
      </c>
      <c r="J54" s="48">
        <f t="shared" si="18"/>
        <v>1616</v>
      </c>
      <c r="K54" s="49">
        <f t="shared" si="19"/>
        <v>0.5010496851</v>
      </c>
      <c r="L54" s="49">
        <f t="shared" si="20"/>
        <v>0.4513645906</v>
      </c>
      <c r="M54" s="49">
        <f t="shared" si="21"/>
        <v>0.04758572428</v>
      </c>
      <c r="N54" s="32" t="str">
        <f t="shared" si="22"/>
        <v>Jânio</v>
      </c>
      <c r="O54" s="50" t="s">
        <v>77</v>
      </c>
      <c r="P54" s="38">
        <v>638.0</v>
      </c>
      <c r="Q54" s="38">
        <v>510.0</v>
      </c>
      <c r="R54" s="38">
        <v>186.0</v>
      </c>
      <c r="S54" s="38">
        <v>217.0</v>
      </c>
      <c r="T54" s="38">
        <v>65.0</v>
      </c>
      <c r="U54" s="48">
        <f t="shared" si="23"/>
        <v>1334</v>
      </c>
      <c r="V54" s="48">
        <f t="shared" si="24"/>
        <v>1616</v>
      </c>
      <c r="W54" s="49">
        <f t="shared" si="25"/>
        <v>0.4782608696</v>
      </c>
      <c r="X54" s="49">
        <f t="shared" si="26"/>
        <v>0.3823088456</v>
      </c>
      <c r="Y54" s="49">
        <f t="shared" si="27"/>
        <v>0.1394302849</v>
      </c>
      <c r="Z54" s="32" t="str">
        <f t="shared" si="28"/>
        <v>Jango</v>
      </c>
      <c r="AA54" s="50" t="s">
        <v>77</v>
      </c>
      <c r="AB54" s="38">
        <v>2156.0</v>
      </c>
      <c r="AC54" s="48">
        <f t="shared" si="29"/>
        <v>540</v>
      </c>
      <c r="AD54" s="51">
        <f t="shared" si="30"/>
        <v>0.7495361781</v>
      </c>
    </row>
    <row r="55">
      <c r="A55" s="110" t="s">
        <v>123</v>
      </c>
      <c r="B55" s="46" t="s">
        <v>1287</v>
      </c>
      <c r="C55" s="47"/>
      <c r="D55" s="38">
        <v>550.0</v>
      </c>
      <c r="E55" s="38">
        <v>468.0</v>
      </c>
      <c r="F55" s="38">
        <v>32.0</v>
      </c>
      <c r="G55" s="38">
        <v>39.0</v>
      </c>
      <c r="H55" s="38">
        <v>42.0</v>
      </c>
      <c r="I55" s="48">
        <f t="shared" si="17"/>
        <v>1050</v>
      </c>
      <c r="J55" s="48">
        <f t="shared" si="18"/>
        <v>1131</v>
      </c>
      <c r="K55" s="49">
        <f t="shared" si="19"/>
        <v>0.5238095238</v>
      </c>
      <c r="L55" s="49">
        <f t="shared" si="20"/>
        <v>0.4457142857</v>
      </c>
      <c r="M55" s="49">
        <f t="shared" si="21"/>
        <v>0.03047619048</v>
      </c>
      <c r="N55" s="32" t="str">
        <f t="shared" si="22"/>
        <v>Jânio</v>
      </c>
      <c r="O55" s="50" t="s">
        <v>77</v>
      </c>
      <c r="P55" s="38">
        <v>453.0</v>
      </c>
      <c r="Q55" s="38">
        <v>464.0</v>
      </c>
      <c r="R55" s="38">
        <v>81.0</v>
      </c>
      <c r="S55" s="38">
        <v>85.0</v>
      </c>
      <c r="T55" s="38">
        <v>48.0</v>
      </c>
      <c r="U55" s="48">
        <f t="shared" si="23"/>
        <v>998</v>
      </c>
      <c r="V55" s="48">
        <f t="shared" si="24"/>
        <v>1131</v>
      </c>
      <c r="W55" s="49">
        <f t="shared" si="25"/>
        <v>0.4539078156</v>
      </c>
      <c r="X55" s="49">
        <f t="shared" si="26"/>
        <v>0.4649298597</v>
      </c>
      <c r="Y55" s="49">
        <f t="shared" si="27"/>
        <v>0.08116232465</v>
      </c>
      <c r="Z55" s="32" t="str">
        <f t="shared" si="28"/>
        <v>Milton</v>
      </c>
      <c r="AA55" s="50" t="s">
        <v>77</v>
      </c>
      <c r="AB55" s="38">
        <v>1308.0</v>
      </c>
      <c r="AC55" s="48">
        <f t="shared" si="29"/>
        <v>177</v>
      </c>
      <c r="AD55" s="51">
        <f t="shared" si="30"/>
        <v>0.8646788991</v>
      </c>
    </row>
    <row r="56">
      <c r="A56" s="61" t="s">
        <v>125</v>
      </c>
      <c r="B56" s="46" t="s">
        <v>1288</v>
      </c>
      <c r="C56" s="47"/>
      <c r="D56" s="38">
        <v>1413.0</v>
      </c>
      <c r="E56" s="38">
        <v>1129.0</v>
      </c>
      <c r="F56" s="38">
        <v>94.0</v>
      </c>
      <c r="G56" s="38">
        <v>132.0</v>
      </c>
      <c r="H56" s="38">
        <v>76.0</v>
      </c>
      <c r="I56" s="48">
        <f t="shared" si="17"/>
        <v>2636</v>
      </c>
      <c r="J56" s="48">
        <f t="shared" si="18"/>
        <v>2844</v>
      </c>
      <c r="K56" s="49">
        <f t="shared" si="19"/>
        <v>0.5360394537</v>
      </c>
      <c r="L56" s="49">
        <f t="shared" si="20"/>
        <v>0.4283004552</v>
      </c>
      <c r="M56" s="49">
        <f t="shared" si="21"/>
        <v>0.03566009105</v>
      </c>
      <c r="N56" s="32" t="str">
        <f t="shared" si="22"/>
        <v>Jânio</v>
      </c>
      <c r="O56" s="50" t="s">
        <v>77</v>
      </c>
      <c r="P56" s="38">
        <v>1172.0</v>
      </c>
      <c r="Q56" s="38">
        <v>1107.0</v>
      </c>
      <c r="R56" s="38">
        <v>227.0</v>
      </c>
      <c r="S56" s="38">
        <v>274.0</v>
      </c>
      <c r="T56" s="38">
        <v>64.0</v>
      </c>
      <c r="U56" s="48">
        <f t="shared" si="23"/>
        <v>2506</v>
      </c>
      <c r="V56" s="48">
        <f t="shared" si="24"/>
        <v>2844</v>
      </c>
      <c r="W56" s="49">
        <f t="shared" si="25"/>
        <v>0.4676775738</v>
      </c>
      <c r="X56" s="49">
        <f t="shared" si="26"/>
        <v>0.4417398244</v>
      </c>
      <c r="Y56" s="49">
        <f t="shared" si="27"/>
        <v>0.09058260176</v>
      </c>
      <c r="Z56" s="32" t="str">
        <f t="shared" si="28"/>
        <v>Jango</v>
      </c>
      <c r="AA56" s="50" t="s">
        <v>77</v>
      </c>
      <c r="AB56" s="38">
        <v>3418.0</v>
      </c>
      <c r="AC56" s="48">
        <f t="shared" si="29"/>
        <v>574</v>
      </c>
      <c r="AD56" s="51">
        <f t="shared" si="30"/>
        <v>0.8320655354</v>
      </c>
    </row>
    <row r="57">
      <c r="A57" s="23"/>
      <c r="B57" s="46" t="s">
        <v>486</v>
      </c>
      <c r="C57" s="47"/>
      <c r="D57" s="38">
        <v>563.0</v>
      </c>
      <c r="E57" s="38">
        <v>406.0</v>
      </c>
      <c r="F57" s="38">
        <v>28.0</v>
      </c>
      <c r="G57" s="38">
        <v>55.0</v>
      </c>
      <c r="H57" s="38">
        <v>24.0</v>
      </c>
      <c r="I57" s="48">
        <f t="shared" si="17"/>
        <v>997</v>
      </c>
      <c r="J57" s="48">
        <f t="shared" si="18"/>
        <v>1076</v>
      </c>
      <c r="K57" s="49">
        <f t="shared" si="19"/>
        <v>0.5646940822</v>
      </c>
      <c r="L57" s="49">
        <f t="shared" si="20"/>
        <v>0.407221665</v>
      </c>
      <c r="M57" s="49">
        <f t="shared" si="21"/>
        <v>0.02808425276</v>
      </c>
      <c r="N57" s="32" t="str">
        <f t="shared" si="22"/>
        <v>Jânio</v>
      </c>
      <c r="O57" s="50" t="s">
        <v>77</v>
      </c>
      <c r="P57" s="38">
        <v>438.0</v>
      </c>
      <c r="Q57" s="38">
        <v>388.0</v>
      </c>
      <c r="R57" s="38">
        <v>108.0</v>
      </c>
      <c r="S57" s="38">
        <v>110.0</v>
      </c>
      <c r="T57" s="38">
        <v>32.0</v>
      </c>
      <c r="U57" s="48">
        <f t="shared" si="23"/>
        <v>934</v>
      </c>
      <c r="V57" s="48">
        <f t="shared" si="24"/>
        <v>1076</v>
      </c>
      <c r="W57" s="49">
        <f t="shared" si="25"/>
        <v>0.4689507495</v>
      </c>
      <c r="X57" s="49">
        <f t="shared" si="26"/>
        <v>0.4154175589</v>
      </c>
      <c r="Y57" s="49">
        <f t="shared" si="27"/>
        <v>0.1156316916</v>
      </c>
      <c r="Z57" s="32" t="str">
        <f t="shared" si="28"/>
        <v>Jango</v>
      </c>
      <c r="AA57" s="50" t="s">
        <v>77</v>
      </c>
      <c r="AB57" s="38">
        <v>1387.0</v>
      </c>
      <c r="AC57" s="48">
        <f t="shared" si="29"/>
        <v>311</v>
      </c>
      <c r="AD57" s="51">
        <f t="shared" si="30"/>
        <v>0.7757750541</v>
      </c>
    </row>
    <row r="58">
      <c r="A58" s="24"/>
      <c r="B58" s="46" t="s">
        <v>1289</v>
      </c>
      <c r="C58" s="47"/>
      <c r="D58" s="38">
        <v>349.0</v>
      </c>
      <c r="E58" s="38">
        <v>195.0</v>
      </c>
      <c r="F58" s="38">
        <v>30.0</v>
      </c>
      <c r="G58" s="38">
        <v>40.0</v>
      </c>
      <c r="H58" s="38">
        <v>14.0</v>
      </c>
      <c r="I58" s="48">
        <f t="shared" si="17"/>
        <v>574</v>
      </c>
      <c r="J58" s="48">
        <f t="shared" si="18"/>
        <v>628</v>
      </c>
      <c r="K58" s="49">
        <f t="shared" si="19"/>
        <v>0.6080139373</v>
      </c>
      <c r="L58" s="49">
        <f t="shared" si="20"/>
        <v>0.3397212544</v>
      </c>
      <c r="M58" s="49">
        <f t="shared" si="21"/>
        <v>0.05226480836</v>
      </c>
      <c r="N58" s="32" t="str">
        <f t="shared" si="22"/>
        <v>Jânio</v>
      </c>
      <c r="O58" s="50" t="s">
        <v>77</v>
      </c>
      <c r="P58" s="38">
        <v>210.0</v>
      </c>
      <c r="Q58" s="38">
        <v>290.0</v>
      </c>
      <c r="R58" s="38">
        <v>40.0</v>
      </c>
      <c r="S58" s="38">
        <v>73.0</v>
      </c>
      <c r="T58" s="38">
        <v>15.0</v>
      </c>
      <c r="U58" s="48">
        <f t="shared" si="23"/>
        <v>540</v>
      </c>
      <c r="V58" s="48">
        <f t="shared" si="24"/>
        <v>628</v>
      </c>
      <c r="W58" s="49">
        <f t="shared" si="25"/>
        <v>0.3888888889</v>
      </c>
      <c r="X58" s="49">
        <f t="shared" si="26"/>
        <v>0.537037037</v>
      </c>
      <c r="Y58" s="49">
        <f t="shared" si="27"/>
        <v>0.07407407407</v>
      </c>
      <c r="Z58" s="32" t="str">
        <f t="shared" si="28"/>
        <v>Milton</v>
      </c>
      <c r="AA58" s="50" t="s">
        <v>77</v>
      </c>
      <c r="AB58" s="38">
        <v>735.0</v>
      </c>
      <c r="AC58" s="48">
        <f t="shared" si="29"/>
        <v>107</v>
      </c>
      <c r="AD58" s="51">
        <f t="shared" si="30"/>
        <v>0.8544217687</v>
      </c>
    </row>
    <row r="59">
      <c r="A59" s="61" t="s">
        <v>127</v>
      </c>
      <c r="B59" s="46" t="s">
        <v>1290</v>
      </c>
      <c r="C59" s="47"/>
      <c r="D59" s="38">
        <v>4212.0</v>
      </c>
      <c r="E59" s="38">
        <v>3833.0</v>
      </c>
      <c r="F59" s="38">
        <v>835.0</v>
      </c>
      <c r="G59" s="38">
        <v>867.0</v>
      </c>
      <c r="H59" s="38">
        <v>556.0</v>
      </c>
      <c r="I59" s="48">
        <f t="shared" si="17"/>
        <v>8880</v>
      </c>
      <c r="J59" s="48">
        <f t="shared" si="18"/>
        <v>10303</v>
      </c>
      <c r="K59" s="49">
        <f t="shared" si="19"/>
        <v>0.4743243243</v>
      </c>
      <c r="L59" s="49">
        <f t="shared" si="20"/>
        <v>0.4316441441</v>
      </c>
      <c r="M59" s="49">
        <f t="shared" si="21"/>
        <v>0.09403153153</v>
      </c>
      <c r="N59" s="32" t="str">
        <f t="shared" si="22"/>
        <v>Jânio</v>
      </c>
      <c r="O59" s="50" t="s">
        <v>77</v>
      </c>
      <c r="P59" s="38">
        <v>4228.0</v>
      </c>
      <c r="Q59" s="38">
        <v>2841.0</v>
      </c>
      <c r="R59" s="38">
        <v>1026.0</v>
      </c>
      <c r="S59" s="38">
        <v>1587.0</v>
      </c>
      <c r="T59" s="38">
        <v>621.0</v>
      </c>
      <c r="U59" s="48">
        <f t="shared" si="23"/>
        <v>8095</v>
      </c>
      <c r="V59" s="48">
        <f t="shared" si="24"/>
        <v>10303</v>
      </c>
      <c r="W59" s="49">
        <f t="shared" si="25"/>
        <v>0.5222977146</v>
      </c>
      <c r="X59" s="49">
        <f t="shared" si="26"/>
        <v>0.3509573811</v>
      </c>
      <c r="Y59" s="49">
        <f t="shared" si="27"/>
        <v>0.1267449043</v>
      </c>
      <c r="Z59" s="32" t="str">
        <f t="shared" si="28"/>
        <v>Jango</v>
      </c>
      <c r="AA59" s="50" t="s">
        <v>77</v>
      </c>
      <c r="AB59" s="88">
        <v>13752.0</v>
      </c>
      <c r="AC59" s="89">
        <f>AB59-(V59+V60)</f>
        <v>2947</v>
      </c>
      <c r="AD59" s="94">
        <f>(V59+V60)/AB59</f>
        <v>0.7857038976</v>
      </c>
    </row>
    <row r="60">
      <c r="A60" s="23"/>
      <c r="B60" s="46" t="s">
        <v>1291</v>
      </c>
      <c r="C60" s="47"/>
      <c r="D60" s="38">
        <v>266.0</v>
      </c>
      <c r="E60" s="38">
        <v>114.0</v>
      </c>
      <c r="F60" s="38">
        <v>52.0</v>
      </c>
      <c r="G60" s="38">
        <v>42.0</v>
      </c>
      <c r="H60" s="38">
        <v>28.0</v>
      </c>
      <c r="I60" s="48">
        <f t="shared" si="17"/>
        <v>432</v>
      </c>
      <c r="J60" s="48">
        <f t="shared" si="18"/>
        <v>502</v>
      </c>
      <c r="K60" s="49">
        <f t="shared" si="19"/>
        <v>0.6157407407</v>
      </c>
      <c r="L60" s="49">
        <f t="shared" si="20"/>
        <v>0.2638888889</v>
      </c>
      <c r="M60" s="49">
        <f t="shared" si="21"/>
        <v>0.1203703704</v>
      </c>
      <c r="N60" s="32" t="str">
        <f t="shared" si="22"/>
        <v>Jânio</v>
      </c>
      <c r="O60" s="50" t="s">
        <v>77</v>
      </c>
      <c r="P60" s="38">
        <v>162.0</v>
      </c>
      <c r="Q60" s="38">
        <v>174.0</v>
      </c>
      <c r="R60" s="38">
        <v>65.0</v>
      </c>
      <c r="S60" s="38">
        <v>75.0</v>
      </c>
      <c r="T60" s="38">
        <v>26.0</v>
      </c>
      <c r="U60" s="48">
        <f t="shared" si="23"/>
        <v>401</v>
      </c>
      <c r="V60" s="48">
        <f t="shared" si="24"/>
        <v>502</v>
      </c>
      <c r="W60" s="49">
        <f t="shared" si="25"/>
        <v>0.4039900249</v>
      </c>
      <c r="X60" s="49">
        <f t="shared" si="26"/>
        <v>0.433915212</v>
      </c>
      <c r="Y60" s="49">
        <f t="shared" si="27"/>
        <v>0.1620947631</v>
      </c>
      <c r="Z60" s="32" t="str">
        <f t="shared" si="28"/>
        <v>Milton</v>
      </c>
      <c r="AA60" s="50" t="s">
        <v>77</v>
      </c>
      <c r="AB60" s="24"/>
      <c r="AC60" s="24"/>
      <c r="AD60" s="24"/>
    </row>
    <row r="61">
      <c r="A61" s="24"/>
      <c r="B61" s="46" t="s">
        <v>1292</v>
      </c>
      <c r="C61" s="47"/>
      <c r="D61" s="38">
        <v>531.0</v>
      </c>
      <c r="E61" s="38">
        <v>342.0</v>
      </c>
      <c r="F61" s="38">
        <v>111.0</v>
      </c>
      <c r="G61" s="38">
        <v>100.0</v>
      </c>
      <c r="H61" s="38">
        <v>30.0</v>
      </c>
      <c r="I61" s="48">
        <f t="shared" si="17"/>
        <v>984</v>
      </c>
      <c r="J61" s="48">
        <f t="shared" si="18"/>
        <v>1114</v>
      </c>
      <c r="K61" s="49">
        <f t="shared" si="19"/>
        <v>0.5396341463</v>
      </c>
      <c r="L61" s="49">
        <f t="shared" si="20"/>
        <v>0.3475609756</v>
      </c>
      <c r="M61" s="49">
        <f t="shared" si="21"/>
        <v>0.112804878</v>
      </c>
      <c r="N61" s="32" t="str">
        <f t="shared" si="22"/>
        <v>Jânio</v>
      </c>
      <c r="O61" s="50" t="s">
        <v>77</v>
      </c>
      <c r="P61" s="38">
        <v>402.0</v>
      </c>
      <c r="Q61" s="38">
        <v>380.0</v>
      </c>
      <c r="R61" s="38">
        <v>122.0</v>
      </c>
      <c r="S61" s="38">
        <v>170.0</v>
      </c>
      <c r="T61" s="38">
        <v>40.0</v>
      </c>
      <c r="U61" s="48">
        <f t="shared" si="23"/>
        <v>904</v>
      </c>
      <c r="V61" s="48">
        <f t="shared" si="24"/>
        <v>1114</v>
      </c>
      <c r="W61" s="49">
        <f t="shared" si="25"/>
        <v>0.4446902655</v>
      </c>
      <c r="X61" s="49">
        <f t="shared" si="26"/>
        <v>0.4203539823</v>
      </c>
      <c r="Y61" s="49">
        <f t="shared" si="27"/>
        <v>0.1349557522</v>
      </c>
      <c r="Z61" s="32" t="str">
        <f t="shared" si="28"/>
        <v>Jango</v>
      </c>
      <c r="AA61" s="50" t="s">
        <v>77</v>
      </c>
      <c r="AB61" s="38">
        <v>1584.0</v>
      </c>
      <c r="AC61" s="48">
        <f t="shared" ref="AC61:AC77" si="31">AB61-V61</f>
        <v>470</v>
      </c>
      <c r="AD61" s="51">
        <f t="shared" ref="AD61:AD77" si="32">V61/AB61</f>
        <v>0.7032828283</v>
      </c>
    </row>
    <row r="62">
      <c r="A62" s="61" t="s">
        <v>129</v>
      </c>
      <c r="B62" s="46" t="s">
        <v>1293</v>
      </c>
      <c r="C62" s="47"/>
      <c r="D62" s="38">
        <v>2886.0</v>
      </c>
      <c r="E62" s="38">
        <v>2193.0</v>
      </c>
      <c r="F62" s="38">
        <v>237.0</v>
      </c>
      <c r="G62" s="38">
        <v>416.0</v>
      </c>
      <c r="H62" s="38">
        <v>183.0</v>
      </c>
      <c r="I62" s="48">
        <f t="shared" si="17"/>
        <v>5316</v>
      </c>
      <c r="J62" s="48">
        <f t="shared" si="18"/>
        <v>5915</v>
      </c>
      <c r="K62" s="49">
        <f t="shared" si="19"/>
        <v>0.5428893905</v>
      </c>
      <c r="L62" s="49">
        <f t="shared" si="20"/>
        <v>0.4125282167</v>
      </c>
      <c r="M62" s="49">
        <f t="shared" si="21"/>
        <v>0.04458239278</v>
      </c>
      <c r="N62" s="32" t="str">
        <f t="shared" si="22"/>
        <v>Jânio</v>
      </c>
      <c r="O62" s="50" t="s">
        <v>77</v>
      </c>
      <c r="P62" s="38">
        <v>2210.0</v>
      </c>
      <c r="Q62" s="38">
        <v>2237.0</v>
      </c>
      <c r="R62" s="38">
        <v>463.0</v>
      </c>
      <c r="S62" s="38">
        <v>803.0</v>
      </c>
      <c r="T62" s="38">
        <v>202.0</v>
      </c>
      <c r="U62" s="48">
        <f t="shared" si="23"/>
        <v>4910</v>
      </c>
      <c r="V62" s="48">
        <f t="shared" si="24"/>
        <v>5915</v>
      </c>
      <c r="W62" s="49">
        <f t="shared" si="25"/>
        <v>0.450101833</v>
      </c>
      <c r="X62" s="49">
        <f t="shared" si="26"/>
        <v>0.4556008147</v>
      </c>
      <c r="Y62" s="49">
        <f t="shared" si="27"/>
        <v>0.09429735234</v>
      </c>
      <c r="Z62" s="32" t="str">
        <f t="shared" si="28"/>
        <v>Milton</v>
      </c>
      <c r="AA62" s="50" t="s">
        <v>77</v>
      </c>
      <c r="AB62" s="38">
        <v>9028.0</v>
      </c>
      <c r="AC62" s="48">
        <f t="shared" si="31"/>
        <v>3113</v>
      </c>
      <c r="AD62" s="51">
        <f t="shared" si="32"/>
        <v>0.6551838724</v>
      </c>
    </row>
    <row r="63">
      <c r="A63" s="24"/>
      <c r="B63" s="46" t="s">
        <v>1294</v>
      </c>
      <c r="C63" s="47"/>
      <c r="D63" s="38">
        <v>1548.0</v>
      </c>
      <c r="E63" s="38">
        <v>712.0</v>
      </c>
      <c r="F63" s="38">
        <v>100.0</v>
      </c>
      <c r="G63" s="38">
        <v>198.0</v>
      </c>
      <c r="H63" s="38">
        <v>81.0</v>
      </c>
      <c r="I63" s="48">
        <f t="shared" si="17"/>
        <v>2360</v>
      </c>
      <c r="J63" s="48">
        <f t="shared" si="18"/>
        <v>2639</v>
      </c>
      <c r="K63" s="49">
        <f t="shared" si="19"/>
        <v>0.6559322034</v>
      </c>
      <c r="L63" s="49">
        <f t="shared" si="20"/>
        <v>0.3016949153</v>
      </c>
      <c r="M63" s="49">
        <f t="shared" si="21"/>
        <v>0.04237288136</v>
      </c>
      <c r="N63" s="32" t="str">
        <f t="shared" si="22"/>
        <v>Jânio</v>
      </c>
      <c r="O63" s="50" t="s">
        <v>77</v>
      </c>
      <c r="P63" s="38">
        <v>798.0</v>
      </c>
      <c r="Q63" s="38">
        <v>1115.0</v>
      </c>
      <c r="R63" s="38">
        <v>272.0</v>
      </c>
      <c r="S63" s="38">
        <v>365.0</v>
      </c>
      <c r="T63" s="38">
        <v>89.0</v>
      </c>
      <c r="U63" s="48">
        <f t="shared" si="23"/>
        <v>2185</v>
      </c>
      <c r="V63" s="48">
        <f t="shared" si="24"/>
        <v>2639</v>
      </c>
      <c r="W63" s="49">
        <f t="shared" si="25"/>
        <v>0.3652173913</v>
      </c>
      <c r="X63" s="49">
        <f t="shared" si="26"/>
        <v>0.5102974828</v>
      </c>
      <c r="Y63" s="49">
        <f t="shared" si="27"/>
        <v>0.1244851259</v>
      </c>
      <c r="Z63" s="32" t="str">
        <f t="shared" si="28"/>
        <v>Milton</v>
      </c>
      <c r="AA63" s="50" t="s">
        <v>77</v>
      </c>
      <c r="AB63" s="38">
        <v>3106.0</v>
      </c>
      <c r="AC63" s="48">
        <f t="shared" si="31"/>
        <v>467</v>
      </c>
      <c r="AD63" s="51">
        <f t="shared" si="32"/>
        <v>0.8496458467</v>
      </c>
    </row>
    <row r="64">
      <c r="A64" s="110" t="s">
        <v>131</v>
      </c>
      <c r="B64" s="46" t="s">
        <v>1295</v>
      </c>
      <c r="C64" s="47"/>
      <c r="D64" s="38">
        <v>478.0</v>
      </c>
      <c r="E64" s="38">
        <v>415.0</v>
      </c>
      <c r="F64" s="38">
        <v>19.0</v>
      </c>
      <c r="G64" s="38">
        <v>26.0</v>
      </c>
      <c r="H64" s="38">
        <v>29.0</v>
      </c>
      <c r="I64" s="48">
        <f t="shared" si="17"/>
        <v>912</v>
      </c>
      <c r="J64" s="48">
        <f t="shared" si="18"/>
        <v>967</v>
      </c>
      <c r="K64" s="49">
        <f t="shared" si="19"/>
        <v>0.524122807</v>
      </c>
      <c r="L64" s="49">
        <f t="shared" si="20"/>
        <v>0.4550438596</v>
      </c>
      <c r="M64" s="49">
        <f t="shared" si="21"/>
        <v>0.02083333333</v>
      </c>
      <c r="N64" s="32" t="str">
        <f t="shared" si="22"/>
        <v>Jânio</v>
      </c>
      <c r="O64" s="50" t="s">
        <v>77</v>
      </c>
      <c r="P64" s="38">
        <v>408.0</v>
      </c>
      <c r="Q64" s="38">
        <v>354.0</v>
      </c>
      <c r="R64" s="38">
        <v>80.0</v>
      </c>
      <c r="S64" s="38">
        <v>95.0</v>
      </c>
      <c r="T64" s="38">
        <v>30.0</v>
      </c>
      <c r="U64" s="48">
        <f t="shared" si="23"/>
        <v>842</v>
      </c>
      <c r="V64" s="48">
        <f t="shared" si="24"/>
        <v>967</v>
      </c>
      <c r="W64" s="49">
        <f t="shared" si="25"/>
        <v>0.4845605701</v>
      </c>
      <c r="X64" s="49">
        <f t="shared" si="26"/>
        <v>0.4204275534</v>
      </c>
      <c r="Y64" s="49">
        <f t="shared" si="27"/>
        <v>0.09501187648</v>
      </c>
      <c r="Z64" s="32" t="str">
        <f t="shared" si="28"/>
        <v>Jango</v>
      </c>
      <c r="AA64" s="50" t="s">
        <v>77</v>
      </c>
      <c r="AB64" s="38">
        <v>1273.0</v>
      </c>
      <c r="AC64" s="48">
        <f t="shared" si="31"/>
        <v>306</v>
      </c>
      <c r="AD64" s="51">
        <f t="shared" si="32"/>
        <v>0.7596229379</v>
      </c>
    </row>
    <row r="65">
      <c r="A65" s="61" t="s">
        <v>133</v>
      </c>
      <c r="B65" s="46" t="s">
        <v>1296</v>
      </c>
      <c r="C65" s="47"/>
      <c r="D65" s="38">
        <v>246.0</v>
      </c>
      <c r="E65" s="38">
        <v>135.0</v>
      </c>
      <c r="F65" s="38">
        <v>18.0</v>
      </c>
      <c r="G65" s="38">
        <v>15.0</v>
      </c>
      <c r="H65" s="38">
        <v>11.0</v>
      </c>
      <c r="I65" s="48">
        <f t="shared" si="17"/>
        <v>399</v>
      </c>
      <c r="J65" s="48">
        <f t="shared" si="18"/>
        <v>425</v>
      </c>
      <c r="K65" s="49">
        <f t="shared" si="19"/>
        <v>0.6165413534</v>
      </c>
      <c r="L65" s="49">
        <f t="shared" si="20"/>
        <v>0.3383458647</v>
      </c>
      <c r="M65" s="49">
        <f t="shared" si="21"/>
        <v>0.04511278195</v>
      </c>
      <c r="N65" s="32" t="str">
        <f t="shared" si="22"/>
        <v>Jânio</v>
      </c>
      <c r="O65" s="50" t="s">
        <v>77</v>
      </c>
      <c r="P65" s="38">
        <v>146.0</v>
      </c>
      <c r="Q65" s="38">
        <v>164.0</v>
      </c>
      <c r="R65" s="38">
        <v>86.0</v>
      </c>
      <c r="S65" s="38">
        <v>26.0</v>
      </c>
      <c r="T65" s="38">
        <v>3.0</v>
      </c>
      <c r="U65" s="48">
        <f t="shared" si="23"/>
        <v>396</v>
      </c>
      <c r="V65" s="48">
        <f t="shared" si="24"/>
        <v>425</v>
      </c>
      <c r="W65" s="49">
        <f t="shared" si="25"/>
        <v>0.3686868687</v>
      </c>
      <c r="X65" s="49">
        <f t="shared" si="26"/>
        <v>0.4141414141</v>
      </c>
      <c r="Y65" s="49">
        <f t="shared" si="27"/>
        <v>0.2171717172</v>
      </c>
      <c r="Z65" s="32" t="str">
        <f t="shared" si="28"/>
        <v>Milton</v>
      </c>
      <c r="AA65" s="50" t="s">
        <v>77</v>
      </c>
      <c r="AB65" s="38">
        <v>588.0</v>
      </c>
      <c r="AC65" s="48">
        <f t="shared" si="31"/>
        <v>163</v>
      </c>
      <c r="AD65" s="51">
        <f t="shared" si="32"/>
        <v>0.7227891156</v>
      </c>
    </row>
    <row r="66">
      <c r="A66" s="23"/>
      <c r="B66" s="46" t="s">
        <v>1297</v>
      </c>
      <c r="C66" s="47"/>
      <c r="D66" s="38">
        <v>789.0</v>
      </c>
      <c r="E66" s="38">
        <v>815.0</v>
      </c>
      <c r="F66" s="38">
        <v>81.0</v>
      </c>
      <c r="G66" s="38">
        <v>85.0</v>
      </c>
      <c r="H66" s="38">
        <v>52.0</v>
      </c>
      <c r="I66" s="48">
        <f t="shared" si="17"/>
        <v>1685</v>
      </c>
      <c r="J66" s="48">
        <f t="shared" si="18"/>
        <v>1822</v>
      </c>
      <c r="K66" s="49">
        <f t="shared" si="19"/>
        <v>0.4682492582</v>
      </c>
      <c r="L66" s="49">
        <f t="shared" si="20"/>
        <v>0.4836795252</v>
      </c>
      <c r="M66" s="49">
        <f t="shared" si="21"/>
        <v>0.04807121662</v>
      </c>
      <c r="N66" s="32" t="str">
        <f t="shared" si="22"/>
        <v>Mal. Lott</v>
      </c>
      <c r="O66" s="50" t="s">
        <v>77</v>
      </c>
      <c r="P66" s="38">
        <v>832.0</v>
      </c>
      <c r="Q66" s="38">
        <v>659.0</v>
      </c>
      <c r="R66" s="38">
        <v>93.0</v>
      </c>
      <c r="S66" s="38">
        <v>176.0</v>
      </c>
      <c r="T66" s="38">
        <v>62.0</v>
      </c>
      <c r="U66" s="48">
        <f t="shared" si="23"/>
        <v>1584</v>
      </c>
      <c r="V66" s="48">
        <f t="shared" si="24"/>
        <v>1822</v>
      </c>
      <c r="W66" s="49">
        <f t="shared" si="25"/>
        <v>0.5252525253</v>
      </c>
      <c r="X66" s="49">
        <f t="shared" si="26"/>
        <v>0.4160353535</v>
      </c>
      <c r="Y66" s="49">
        <f t="shared" si="27"/>
        <v>0.05871212121</v>
      </c>
      <c r="Z66" s="32" t="str">
        <f t="shared" si="28"/>
        <v>Jango</v>
      </c>
      <c r="AA66" s="50" t="s">
        <v>77</v>
      </c>
      <c r="AB66" s="38">
        <v>2352.0</v>
      </c>
      <c r="AC66" s="48">
        <f t="shared" si="31"/>
        <v>530</v>
      </c>
      <c r="AD66" s="51">
        <f t="shared" si="32"/>
        <v>0.7746598639</v>
      </c>
    </row>
    <row r="67">
      <c r="A67" s="23"/>
      <c r="B67" s="46" t="s">
        <v>1298</v>
      </c>
      <c r="C67" s="47"/>
      <c r="D67" s="38">
        <v>466.0</v>
      </c>
      <c r="E67" s="38">
        <v>311.0</v>
      </c>
      <c r="F67" s="38">
        <v>19.0</v>
      </c>
      <c r="G67" s="38">
        <v>45.0</v>
      </c>
      <c r="H67" s="38">
        <v>24.0</v>
      </c>
      <c r="I67" s="48">
        <f t="shared" si="17"/>
        <v>796</v>
      </c>
      <c r="J67" s="48">
        <f t="shared" si="18"/>
        <v>865</v>
      </c>
      <c r="K67" s="49">
        <f t="shared" si="19"/>
        <v>0.5854271357</v>
      </c>
      <c r="L67" s="49">
        <f t="shared" si="20"/>
        <v>0.3907035176</v>
      </c>
      <c r="M67" s="49">
        <f t="shared" si="21"/>
        <v>0.02386934673</v>
      </c>
      <c r="N67" s="32" t="str">
        <f t="shared" si="22"/>
        <v>Jânio</v>
      </c>
      <c r="O67" s="50" t="s">
        <v>77</v>
      </c>
      <c r="P67" s="38">
        <v>329.0</v>
      </c>
      <c r="Q67" s="38">
        <v>384.0</v>
      </c>
      <c r="R67" s="38">
        <v>50.0</v>
      </c>
      <c r="S67" s="38">
        <v>70.0</v>
      </c>
      <c r="T67" s="38">
        <v>32.0</v>
      </c>
      <c r="U67" s="48">
        <f t="shared" si="23"/>
        <v>763</v>
      </c>
      <c r="V67" s="48">
        <f t="shared" si="24"/>
        <v>865</v>
      </c>
      <c r="W67" s="49">
        <f t="shared" si="25"/>
        <v>0.4311926606</v>
      </c>
      <c r="X67" s="49">
        <f t="shared" si="26"/>
        <v>0.50327654</v>
      </c>
      <c r="Y67" s="49">
        <f t="shared" si="27"/>
        <v>0.06553079948</v>
      </c>
      <c r="Z67" s="32" t="str">
        <f t="shared" si="28"/>
        <v>Milton</v>
      </c>
      <c r="AA67" s="50" t="s">
        <v>77</v>
      </c>
      <c r="AB67" s="38">
        <v>1120.0</v>
      </c>
      <c r="AC67" s="48">
        <f t="shared" si="31"/>
        <v>255</v>
      </c>
      <c r="AD67" s="51">
        <f t="shared" si="32"/>
        <v>0.7723214286</v>
      </c>
    </row>
    <row r="68">
      <c r="A68" s="24"/>
      <c r="B68" s="46" t="s">
        <v>1299</v>
      </c>
      <c r="C68" s="47"/>
      <c r="D68" s="38">
        <v>411.0</v>
      </c>
      <c r="E68" s="38">
        <v>375.0</v>
      </c>
      <c r="F68" s="38">
        <v>9.0</v>
      </c>
      <c r="G68" s="38">
        <v>34.0</v>
      </c>
      <c r="H68" s="38">
        <v>11.0</v>
      </c>
      <c r="I68" s="48">
        <f t="shared" si="17"/>
        <v>795</v>
      </c>
      <c r="J68" s="48">
        <f t="shared" si="18"/>
        <v>840</v>
      </c>
      <c r="K68" s="49">
        <f t="shared" si="19"/>
        <v>0.5169811321</v>
      </c>
      <c r="L68" s="49">
        <f t="shared" si="20"/>
        <v>0.4716981132</v>
      </c>
      <c r="M68" s="49">
        <f t="shared" si="21"/>
        <v>0.01132075472</v>
      </c>
      <c r="N68" s="32" t="str">
        <f t="shared" si="22"/>
        <v>Jânio</v>
      </c>
      <c r="O68" s="50" t="s">
        <v>77</v>
      </c>
      <c r="P68" s="38">
        <v>365.0</v>
      </c>
      <c r="Q68" s="38">
        <v>337.0</v>
      </c>
      <c r="R68" s="38">
        <v>38.0</v>
      </c>
      <c r="S68" s="38">
        <v>79.0</v>
      </c>
      <c r="T68" s="38">
        <v>21.0</v>
      </c>
      <c r="U68" s="48">
        <f t="shared" si="23"/>
        <v>740</v>
      </c>
      <c r="V68" s="48">
        <f t="shared" si="24"/>
        <v>840</v>
      </c>
      <c r="W68" s="49">
        <f t="shared" si="25"/>
        <v>0.4932432432</v>
      </c>
      <c r="X68" s="49">
        <f t="shared" si="26"/>
        <v>0.4554054054</v>
      </c>
      <c r="Y68" s="49">
        <f t="shared" si="27"/>
        <v>0.05135135135</v>
      </c>
      <c r="Z68" s="32" t="str">
        <f t="shared" si="28"/>
        <v>Jango</v>
      </c>
      <c r="AA68" s="50" t="s">
        <v>77</v>
      </c>
      <c r="AB68" s="38">
        <v>1177.0</v>
      </c>
      <c r="AC68" s="48">
        <f t="shared" si="31"/>
        <v>337</v>
      </c>
      <c r="AD68" s="51">
        <f t="shared" si="32"/>
        <v>0.7136788445</v>
      </c>
    </row>
    <row r="69">
      <c r="A69" s="61" t="s">
        <v>135</v>
      </c>
      <c r="B69" s="46" t="s">
        <v>1300</v>
      </c>
      <c r="C69" s="47"/>
      <c r="D69" s="38">
        <v>441.0</v>
      </c>
      <c r="E69" s="38">
        <v>500.0</v>
      </c>
      <c r="F69" s="38">
        <v>29.0</v>
      </c>
      <c r="G69" s="38">
        <v>36.0</v>
      </c>
      <c r="H69" s="38">
        <v>24.0</v>
      </c>
      <c r="I69" s="48">
        <f t="shared" si="17"/>
        <v>970</v>
      </c>
      <c r="J69" s="48">
        <f t="shared" si="18"/>
        <v>1030</v>
      </c>
      <c r="K69" s="49">
        <f t="shared" si="19"/>
        <v>0.4546391753</v>
      </c>
      <c r="L69" s="49">
        <f t="shared" si="20"/>
        <v>0.5154639175</v>
      </c>
      <c r="M69" s="49">
        <f t="shared" si="21"/>
        <v>0.02989690722</v>
      </c>
      <c r="N69" s="32" t="str">
        <f t="shared" si="22"/>
        <v>Mal. Lott</v>
      </c>
      <c r="O69" s="50" t="s">
        <v>77</v>
      </c>
      <c r="P69" s="38">
        <v>463.0</v>
      </c>
      <c r="Q69" s="38">
        <v>344.0</v>
      </c>
      <c r="R69" s="38">
        <v>89.0</v>
      </c>
      <c r="S69" s="38">
        <v>106.0</v>
      </c>
      <c r="T69" s="38">
        <v>28.0</v>
      </c>
      <c r="U69" s="48">
        <f t="shared" si="23"/>
        <v>896</v>
      </c>
      <c r="V69" s="48">
        <f t="shared" si="24"/>
        <v>1030</v>
      </c>
      <c r="W69" s="49">
        <f t="shared" si="25"/>
        <v>0.5167410714</v>
      </c>
      <c r="X69" s="49">
        <f t="shared" si="26"/>
        <v>0.3839285714</v>
      </c>
      <c r="Y69" s="49">
        <f t="shared" si="27"/>
        <v>0.09933035714</v>
      </c>
      <c r="Z69" s="32" t="str">
        <f t="shared" si="28"/>
        <v>Jango</v>
      </c>
      <c r="AA69" s="50" t="s">
        <v>77</v>
      </c>
      <c r="AB69" s="38">
        <v>1639.0</v>
      </c>
      <c r="AC69" s="48">
        <f t="shared" si="31"/>
        <v>609</v>
      </c>
      <c r="AD69" s="51">
        <f t="shared" si="32"/>
        <v>0.6284319707</v>
      </c>
    </row>
    <row r="70">
      <c r="A70" s="23"/>
      <c r="B70" s="46" t="s">
        <v>1301</v>
      </c>
      <c r="C70" s="47"/>
      <c r="D70" s="38">
        <v>884.0</v>
      </c>
      <c r="E70" s="38">
        <v>296.0</v>
      </c>
      <c r="F70" s="38">
        <v>29.0</v>
      </c>
      <c r="G70" s="38">
        <v>54.0</v>
      </c>
      <c r="H70" s="38">
        <v>28.0</v>
      </c>
      <c r="I70" s="48">
        <f t="shared" si="17"/>
        <v>1209</v>
      </c>
      <c r="J70" s="48">
        <f t="shared" si="18"/>
        <v>1291</v>
      </c>
      <c r="K70" s="49">
        <f t="shared" si="19"/>
        <v>0.7311827957</v>
      </c>
      <c r="L70" s="49">
        <f t="shared" si="20"/>
        <v>0.2448304384</v>
      </c>
      <c r="M70" s="49">
        <f t="shared" si="21"/>
        <v>0.02398676592</v>
      </c>
      <c r="N70" s="32" t="str">
        <f t="shared" si="22"/>
        <v>Jânio</v>
      </c>
      <c r="O70" s="50" t="s">
        <v>77</v>
      </c>
      <c r="P70" s="38">
        <v>280.0</v>
      </c>
      <c r="Q70" s="38">
        <v>813.0</v>
      </c>
      <c r="R70" s="38">
        <v>56.0</v>
      </c>
      <c r="S70" s="38">
        <v>94.0</v>
      </c>
      <c r="T70" s="38">
        <v>48.0</v>
      </c>
      <c r="U70" s="48">
        <f t="shared" si="23"/>
        <v>1149</v>
      </c>
      <c r="V70" s="48">
        <f t="shared" si="24"/>
        <v>1291</v>
      </c>
      <c r="W70" s="49">
        <f t="shared" si="25"/>
        <v>0.2436901654</v>
      </c>
      <c r="X70" s="49">
        <f t="shared" si="26"/>
        <v>0.7075718016</v>
      </c>
      <c r="Y70" s="49">
        <f t="shared" si="27"/>
        <v>0.04873803307</v>
      </c>
      <c r="Z70" s="32" t="str">
        <f t="shared" si="28"/>
        <v>Milton</v>
      </c>
      <c r="AA70" s="50" t="s">
        <v>77</v>
      </c>
      <c r="AB70" s="38">
        <v>1873.0</v>
      </c>
      <c r="AC70" s="48">
        <f t="shared" si="31"/>
        <v>582</v>
      </c>
      <c r="AD70" s="51">
        <f t="shared" si="32"/>
        <v>0.6892685531</v>
      </c>
    </row>
    <row r="71">
      <c r="A71" s="23"/>
      <c r="B71" s="46" t="s">
        <v>1302</v>
      </c>
      <c r="C71" s="47"/>
      <c r="D71" s="38">
        <v>239.0</v>
      </c>
      <c r="E71" s="38">
        <v>207.0</v>
      </c>
      <c r="F71" s="38">
        <v>18.0</v>
      </c>
      <c r="G71" s="38">
        <v>32.0</v>
      </c>
      <c r="H71" s="38">
        <v>11.0</v>
      </c>
      <c r="I71" s="48">
        <f t="shared" si="17"/>
        <v>464</v>
      </c>
      <c r="J71" s="48">
        <f t="shared" si="18"/>
        <v>507</v>
      </c>
      <c r="K71" s="49">
        <f t="shared" si="19"/>
        <v>0.5150862069</v>
      </c>
      <c r="L71" s="49">
        <f t="shared" si="20"/>
        <v>0.4461206897</v>
      </c>
      <c r="M71" s="49">
        <f t="shared" si="21"/>
        <v>0.03879310345</v>
      </c>
      <c r="N71" s="32" t="str">
        <f t="shared" si="22"/>
        <v>Jânio</v>
      </c>
      <c r="O71" s="50" t="s">
        <v>77</v>
      </c>
      <c r="P71" s="38">
        <v>217.0</v>
      </c>
      <c r="Q71" s="38">
        <v>151.0</v>
      </c>
      <c r="R71" s="38">
        <v>42.0</v>
      </c>
      <c r="S71" s="38">
        <v>81.0</v>
      </c>
      <c r="T71" s="38">
        <v>16.0</v>
      </c>
      <c r="U71" s="48">
        <f t="shared" si="23"/>
        <v>410</v>
      </c>
      <c r="V71" s="48">
        <f t="shared" si="24"/>
        <v>507</v>
      </c>
      <c r="W71" s="49">
        <f t="shared" si="25"/>
        <v>0.5292682927</v>
      </c>
      <c r="X71" s="49">
        <f t="shared" si="26"/>
        <v>0.3682926829</v>
      </c>
      <c r="Y71" s="49">
        <f t="shared" si="27"/>
        <v>0.1024390244</v>
      </c>
      <c r="Z71" s="32" t="str">
        <f t="shared" si="28"/>
        <v>Jango</v>
      </c>
      <c r="AA71" s="50" t="s">
        <v>77</v>
      </c>
      <c r="AB71" s="38">
        <v>532.0</v>
      </c>
      <c r="AC71" s="48">
        <f t="shared" si="31"/>
        <v>25</v>
      </c>
      <c r="AD71" s="51">
        <f t="shared" si="32"/>
        <v>0.9530075188</v>
      </c>
    </row>
    <row r="72">
      <c r="A72" s="24"/>
      <c r="B72" s="46" t="s">
        <v>1303</v>
      </c>
      <c r="C72" s="47"/>
      <c r="D72" s="38">
        <v>399.0</v>
      </c>
      <c r="E72" s="38">
        <v>243.0</v>
      </c>
      <c r="F72" s="38">
        <v>19.0</v>
      </c>
      <c r="G72" s="38">
        <v>37.0</v>
      </c>
      <c r="H72" s="38">
        <v>27.0</v>
      </c>
      <c r="I72" s="48">
        <f t="shared" si="17"/>
        <v>661</v>
      </c>
      <c r="J72" s="48">
        <f t="shared" si="18"/>
        <v>725</v>
      </c>
      <c r="K72" s="49">
        <f t="shared" si="19"/>
        <v>0.6036308623</v>
      </c>
      <c r="L72" s="49">
        <f t="shared" si="20"/>
        <v>0.3676248109</v>
      </c>
      <c r="M72" s="49">
        <f t="shared" si="21"/>
        <v>0.02874432678</v>
      </c>
      <c r="N72" s="32" t="str">
        <f t="shared" si="22"/>
        <v>Jânio</v>
      </c>
      <c r="O72" s="50" t="s">
        <v>77</v>
      </c>
      <c r="P72" s="38">
        <v>260.0</v>
      </c>
      <c r="Q72" s="38">
        <v>356.0</v>
      </c>
      <c r="R72" s="38">
        <v>30.0</v>
      </c>
      <c r="S72" s="38">
        <v>50.0</v>
      </c>
      <c r="T72" s="38">
        <v>29.0</v>
      </c>
      <c r="U72" s="48">
        <f t="shared" si="23"/>
        <v>646</v>
      </c>
      <c r="V72" s="48">
        <f t="shared" si="24"/>
        <v>725</v>
      </c>
      <c r="W72" s="49">
        <f t="shared" si="25"/>
        <v>0.4024767802</v>
      </c>
      <c r="X72" s="49">
        <f t="shared" si="26"/>
        <v>0.5510835913</v>
      </c>
      <c r="Y72" s="49">
        <f t="shared" si="27"/>
        <v>0.04643962848</v>
      </c>
      <c r="Z72" s="32" t="str">
        <f t="shared" si="28"/>
        <v>Milton</v>
      </c>
      <c r="AA72" s="50" t="s">
        <v>77</v>
      </c>
      <c r="AB72" s="38">
        <v>750.0</v>
      </c>
      <c r="AC72" s="48">
        <f t="shared" si="31"/>
        <v>25</v>
      </c>
      <c r="AD72" s="51">
        <f t="shared" si="32"/>
        <v>0.9666666667</v>
      </c>
    </row>
    <row r="73">
      <c r="A73" s="61" t="s">
        <v>193</v>
      </c>
      <c r="B73" s="46" t="s">
        <v>1304</v>
      </c>
      <c r="C73" s="47"/>
      <c r="D73" s="38">
        <v>585.0</v>
      </c>
      <c r="E73" s="38">
        <v>357.0</v>
      </c>
      <c r="F73" s="38">
        <v>56.0</v>
      </c>
      <c r="G73" s="38">
        <v>76.0</v>
      </c>
      <c r="H73" s="38">
        <v>49.0</v>
      </c>
      <c r="I73" s="48">
        <f t="shared" si="17"/>
        <v>998</v>
      </c>
      <c r="J73" s="48">
        <f t="shared" si="18"/>
        <v>1123</v>
      </c>
      <c r="K73" s="49">
        <f t="shared" si="19"/>
        <v>0.5861723447</v>
      </c>
      <c r="L73" s="49">
        <f t="shared" si="20"/>
        <v>0.3577154309</v>
      </c>
      <c r="M73" s="49">
        <f t="shared" si="21"/>
        <v>0.05611222445</v>
      </c>
      <c r="N73" s="32" t="str">
        <f t="shared" si="22"/>
        <v>Jânio</v>
      </c>
      <c r="O73" s="50" t="s">
        <v>77</v>
      </c>
      <c r="P73" s="38">
        <v>334.0</v>
      </c>
      <c r="Q73" s="38">
        <v>423.0</v>
      </c>
      <c r="R73" s="38">
        <v>169.0</v>
      </c>
      <c r="S73" s="38">
        <v>139.0</v>
      </c>
      <c r="T73" s="38">
        <v>58.0</v>
      </c>
      <c r="U73" s="48">
        <f t="shared" si="23"/>
        <v>926</v>
      </c>
      <c r="V73" s="48">
        <f t="shared" si="24"/>
        <v>1123</v>
      </c>
      <c r="W73" s="49">
        <f t="shared" si="25"/>
        <v>0.3606911447</v>
      </c>
      <c r="X73" s="49">
        <f t="shared" si="26"/>
        <v>0.4568034557</v>
      </c>
      <c r="Y73" s="49">
        <f t="shared" si="27"/>
        <v>0.1825053996</v>
      </c>
      <c r="Z73" s="32" t="str">
        <f t="shared" si="28"/>
        <v>Milton</v>
      </c>
      <c r="AA73" s="50" t="s">
        <v>77</v>
      </c>
      <c r="AB73" s="38">
        <v>2356.0</v>
      </c>
      <c r="AC73" s="48">
        <f t="shared" si="31"/>
        <v>1233</v>
      </c>
      <c r="AD73" s="51">
        <f t="shared" si="32"/>
        <v>0.476655348</v>
      </c>
    </row>
    <row r="74">
      <c r="A74" s="24"/>
      <c r="B74" s="46" t="s">
        <v>1305</v>
      </c>
      <c r="C74" s="47"/>
      <c r="D74" s="38">
        <v>289.0</v>
      </c>
      <c r="E74" s="38">
        <v>334.0</v>
      </c>
      <c r="F74" s="38">
        <v>50.0</v>
      </c>
      <c r="G74" s="38">
        <v>31.0</v>
      </c>
      <c r="H74" s="38">
        <v>41.0</v>
      </c>
      <c r="I74" s="48">
        <f t="shared" si="17"/>
        <v>673</v>
      </c>
      <c r="J74" s="48">
        <f t="shared" si="18"/>
        <v>745</v>
      </c>
      <c r="K74" s="49">
        <f t="shared" si="19"/>
        <v>0.4294205052</v>
      </c>
      <c r="L74" s="49">
        <f t="shared" si="20"/>
        <v>0.4962852897</v>
      </c>
      <c r="M74" s="49">
        <f t="shared" si="21"/>
        <v>0.07429420505</v>
      </c>
      <c r="N74" s="32" t="str">
        <f t="shared" si="22"/>
        <v>Mal. Lott</v>
      </c>
      <c r="O74" s="50" t="s">
        <v>77</v>
      </c>
      <c r="P74" s="38">
        <v>368.0</v>
      </c>
      <c r="Q74" s="38">
        <v>202.0</v>
      </c>
      <c r="R74" s="38">
        <v>65.0</v>
      </c>
      <c r="S74" s="38">
        <v>76.0</v>
      </c>
      <c r="T74" s="38">
        <v>34.0</v>
      </c>
      <c r="U74" s="48">
        <f t="shared" si="23"/>
        <v>635</v>
      </c>
      <c r="V74" s="48">
        <f t="shared" si="24"/>
        <v>745</v>
      </c>
      <c r="W74" s="49">
        <f t="shared" si="25"/>
        <v>0.5795275591</v>
      </c>
      <c r="X74" s="49">
        <f t="shared" si="26"/>
        <v>0.3181102362</v>
      </c>
      <c r="Y74" s="49">
        <f t="shared" si="27"/>
        <v>0.1023622047</v>
      </c>
      <c r="Z74" s="32" t="str">
        <f t="shared" si="28"/>
        <v>Jango</v>
      </c>
      <c r="AA74" s="50" t="s">
        <v>77</v>
      </c>
      <c r="AB74" s="38">
        <v>1093.0</v>
      </c>
      <c r="AC74" s="48">
        <f t="shared" si="31"/>
        <v>348</v>
      </c>
      <c r="AD74" s="51">
        <f t="shared" si="32"/>
        <v>0.681610247</v>
      </c>
    </row>
    <row r="75">
      <c r="A75" s="110" t="s">
        <v>196</v>
      </c>
      <c r="B75" s="46" t="s">
        <v>1306</v>
      </c>
      <c r="C75" s="47"/>
      <c r="D75" s="38">
        <v>1300.0</v>
      </c>
      <c r="E75" s="38">
        <v>879.0</v>
      </c>
      <c r="F75" s="38">
        <v>190.0</v>
      </c>
      <c r="G75" s="38">
        <v>121.0</v>
      </c>
      <c r="H75" s="38">
        <v>82.0</v>
      </c>
      <c r="I75" s="48">
        <f t="shared" si="17"/>
        <v>2369</v>
      </c>
      <c r="J75" s="48">
        <f t="shared" si="18"/>
        <v>2572</v>
      </c>
      <c r="K75" s="49">
        <f t="shared" si="19"/>
        <v>0.5487547488</v>
      </c>
      <c r="L75" s="49">
        <f t="shared" si="20"/>
        <v>0.371042634</v>
      </c>
      <c r="M75" s="49">
        <f t="shared" si="21"/>
        <v>0.08020261714</v>
      </c>
      <c r="N75" s="32" t="str">
        <f t="shared" si="22"/>
        <v>Jânio</v>
      </c>
      <c r="O75" s="50" t="s">
        <v>77</v>
      </c>
      <c r="P75" s="38">
        <v>957.0</v>
      </c>
      <c r="Q75" s="38">
        <v>971.0</v>
      </c>
      <c r="R75" s="38">
        <v>319.0</v>
      </c>
      <c r="S75" s="38">
        <v>247.0</v>
      </c>
      <c r="T75" s="38">
        <v>78.0</v>
      </c>
      <c r="U75" s="48">
        <f t="shared" si="23"/>
        <v>2247</v>
      </c>
      <c r="V75" s="48">
        <f t="shared" si="24"/>
        <v>2572</v>
      </c>
      <c r="W75" s="49">
        <f t="shared" si="25"/>
        <v>0.4259012016</v>
      </c>
      <c r="X75" s="49">
        <f t="shared" si="26"/>
        <v>0.4321317312</v>
      </c>
      <c r="Y75" s="49">
        <f t="shared" si="27"/>
        <v>0.1419670672</v>
      </c>
      <c r="Z75" s="32" t="str">
        <f t="shared" si="28"/>
        <v>Milton</v>
      </c>
      <c r="AA75" s="50" t="s">
        <v>77</v>
      </c>
      <c r="AB75" s="38">
        <v>3241.0</v>
      </c>
      <c r="AC75" s="48">
        <f t="shared" si="31"/>
        <v>669</v>
      </c>
      <c r="AD75" s="51">
        <f t="shared" si="32"/>
        <v>0.7935822277</v>
      </c>
    </row>
    <row r="76">
      <c r="A76" s="110" t="s">
        <v>198</v>
      </c>
      <c r="B76" s="46" t="s">
        <v>1307</v>
      </c>
      <c r="C76" s="47"/>
      <c r="D76" s="38">
        <v>1772.0</v>
      </c>
      <c r="E76" s="38">
        <v>1528.0</v>
      </c>
      <c r="F76" s="38">
        <v>176.0</v>
      </c>
      <c r="G76" s="38">
        <v>318.0</v>
      </c>
      <c r="H76" s="38">
        <v>118.0</v>
      </c>
      <c r="I76" s="48">
        <f t="shared" si="17"/>
        <v>3476</v>
      </c>
      <c r="J76" s="48">
        <f t="shared" si="18"/>
        <v>3912</v>
      </c>
      <c r="K76" s="49">
        <f t="shared" si="19"/>
        <v>0.5097813579</v>
      </c>
      <c r="L76" s="49">
        <f t="shared" si="20"/>
        <v>0.4395857307</v>
      </c>
      <c r="M76" s="49">
        <f t="shared" si="21"/>
        <v>0.05063291139</v>
      </c>
      <c r="N76" s="32" t="str">
        <f t="shared" si="22"/>
        <v>Jânio</v>
      </c>
      <c r="O76" s="50" t="s">
        <v>77</v>
      </c>
      <c r="P76" s="38">
        <v>1560.0</v>
      </c>
      <c r="Q76" s="38">
        <v>1339.0</v>
      </c>
      <c r="R76" s="38">
        <v>348.0</v>
      </c>
      <c r="S76" s="38">
        <v>530.0</v>
      </c>
      <c r="T76" s="38">
        <v>135.0</v>
      </c>
      <c r="U76" s="48">
        <f t="shared" si="23"/>
        <v>3247</v>
      </c>
      <c r="V76" s="48">
        <f t="shared" si="24"/>
        <v>3912</v>
      </c>
      <c r="W76" s="49">
        <f t="shared" si="25"/>
        <v>0.4804434863</v>
      </c>
      <c r="X76" s="49">
        <f t="shared" si="26"/>
        <v>0.4123806591</v>
      </c>
      <c r="Y76" s="49">
        <f t="shared" si="27"/>
        <v>0.1071758546</v>
      </c>
      <c r="Z76" s="32" t="str">
        <f t="shared" si="28"/>
        <v>Jango</v>
      </c>
      <c r="AA76" s="50" t="s">
        <v>77</v>
      </c>
      <c r="AB76" s="38">
        <v>5027.0</v>
      </c>
      <c r="AC76" s="48">
        <f t="shared" si="31"/>
        <v>1115</v>
      </c>
      <c r="AD76" s="51">
        <f t="shared" si="32"/>
        <v>0.7781977322</v>
      </c>
    </row>
    <row r="77">
      <c r="A77" s="69" t="s">
        <v>54</v>
      </c>
      <c r="B77" s="13"/>
      <c r="C77" s="47"/>
      <c r="D77" s="38">
        <f t="shared" ref="D77:H77" si="33">SUM(D13:D76)</f>
        <v>77531</v>
      </c>
      <c r="E77" s="38">
        <f t="shared" si="33"/>
        <v>58448</v>
      </c>
      <c r="F77" s="38">
        <f t="shared" si="33"/>
        <v>7398</v>
      </c>
      <c r="G77" s="38">
        <f t="shared" si="33"/>
        <v>7866</v>
      </c>
      <c r="H77" s="38">
        <f t="shared" si="33"/>
        <v>4834</v>
      </c>
      <c r="I77" s="48">
        <f t="shared" si="17"/>
        <v>143377</v>
      </c>
      <c r="J77" s="48">
        <f t="shared" si="18"/>
        <v>156077</v>
      </c>
      <c r="K77" s="49">
        <f t="shared" si="19"/>
        <v>0.5407492136</v>
      </c>
      <c r="L77" s="49">
        <f t="shared" si="20"/>
        <v>0.4076525524</v>
      </c>
      <c r="M77" s="49">
        <f t="shared" si="21"/>
        <v>0.05159823403</v>
      </c>
      <c r="N77" s="32" t="str">
        <f t="shared" si="22"/>
        <v>Jânio</v>
      </c>
      <c r="O77" s="50"/>
      <c r="P77" s="38">
        <f t="shared" ref="P77:T77" si="34">SUM(P13:P76)</f>
        <v>59497</v>
      </c>
      <c r="Q77" s="38">
        <f t="shared" si="34"/>
        <v>60679</v>
      </c>
      <c r="R77" s="38">
        <f t="shared" si="34"/>
        <v>14924</v>
      </c>
      <c r="S77" s="38">
        <f t="shared" si="34"/>
        <v>15516</v>
      </c>
      <c r="T77" s="38">
        <f t="shared" si="34"/>
        <v>5461</v>
      </c>
      <c r="U77" s="48">
        <f t="shared" si="23"/>
        <v>135100</v>
      </c>
      <c r="V77" s="48">
        <f t="shared" si="24"/>
        <v>156077</v>
      </c>
      <c r="W77" s="49">
        <f t="shared" si="25"/>
        <v>0.440392302</v>
      </c>
      <c r="X77" s="49">
        <f t="shared" si="26"/>
        <v>0.4491413768</v>
      </c>
      <c r="Y77" s="49">
        <f t="shared" si="27"/>
        <v>0.1104663212</v>
      </c>
      <c r="Z77" s="32" t="str">
        <f t="shared" si="28"/>
        <v>Milton</v>
      </c>
      <c r="AA77" s="44"/>
      <c r="AB77" s="55">
        <v>203948.0</v>
      </c>
      <c r="AC77" s="48">
        <f t="shared" si="31"/>
        <v>47871</v>
      </c>
      <c r="AD77" s="51">
        <f t="shared" si="32"/>
        <v>0.7652784043</v>
      </c>
    </row>
    <row r="78">
      <c r="O78" s="73"/>
    </row>
    <row r="79">
      <c r="B79" s="74" t="s">
        <v>138</v>
      </c>
      <c r="D79" s="75"/>
      <c r="E79" s="75"/>
      <c r="F79" s="75"/>
      <c r="G79" s="75"/>
    </row>
    <row r="80">
      <c r="B80" s="76" t="s">
        <v>139</v>
      </c>
      <c r="C80" s="33"/>
      <c r="D80" s="29"/>
      <c r="E80" s="29"/>
      <c r="F80" s="77"/>
      <c r="G80" s="77"/>
    </row>
    <row r="81">
      <c r="B81" s="76" t="s">
        <v>139</v>
      </c>
      <c r="C81" s="33"/>
      <c r="D81" s="29"/>
      <c r="E81" s="29"/>
      <c r="F81" s="77"/>
      <c r="G81" s="77"/>
    </row>
    <row r="82">
      <c r="B82" s="76" t="s">
        <v>139</v>
      </c>
      <c r="D82" s="29"/>
      <c r="E82" s="29"/>
      <c r="F82" s="77"/>
      <c r="G82" s="77"/>
    </row>
    <row r="83">
      <c r="B83" s="76" t="s">
        <v>222</v>
      </c>
      <c r="D83" s="29"/>
      <c r="E83" s="29"/>
      <c r="F83" s="77"/>
      <c r="G83" s="77"/>
    </row>
    <row r="84">
      <c r="D84" s="29"/>
      <c r="E84" s="29"/>
      <c r="F84" s="77"/>
      <c r="G84" s="77"/>
    </row>
  </sheetData>
  <mergeCells count="28">
    <mergeCell ref="D2:G2"/>
    <mergeCell ref="A11:C11"/>
    <mergeCell ref="D11:N11"/>
    <mergeCell ref="P11:Z11"/>
    <mergeCell ref="AA11:AD11"/>
    <mergeCell ref="A13:A19"/>
    <mergeCell ref="A20:A21"/>
    <mergeCell ref="AC59:AC60"/>
    <mergeCell ref="AD59:AD60"/>
    <mergeCell ref="A44:A46"/>
    <mergeCell ref="A47:A48"/>
    <mergeCell ref="A49:A51"/>
    <mergeCell ref="A52:A53"/>
    <mergeCell ref="A56:A58"/>
    <mergeCell ref="A59:A61"/>
    <mergeCell ref="AB59:AB60"/>
    <mergeCell ref="A62:A63"/>
    <mergeCell ref="A65:A68"/>
    <mergeCell ref="A69:A72"/>
    <mergeCell ref="A73:A74"/>
    <mergeCell ref="A77:B77"/>
    <mergeCell ref="A22:A23"/>
    <mergeCell ref="A25:A26"/>
    <mergeCell ref="A27:A28"/>
    <mergeCell ref="A29:A30"/>
    <mergeCell ref="A31:A38"/>
    <mergeCell ref="A39:A40"/>
    <mergeCell ref="A41:A43"/>
  </mergeCells>
  <conditionalFormatting sqref="K13:M77 N13:N78 Z13:Z77 W19:Y19">
    <cfRule type="colorScale" priority="1">
      <colorScale>
        <cfvo type="percent" val="0"/>
        <cfvo type="percent" val="50"/>
        <cfvo type="percent" val="100"/>
        <color rgb="FFFFFFFF"/>
        <color rgb="FFABDDC5"/>
        <color rgb="FF57BB8A"/>
      </colorScale>
    </cfRule>
  </conditionalFormatting>
  <conditionalFormatting sqref="W13:Y77">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IF(COUNTIF($N$14:$N$192,D3)=0,"-",COUNTIF($N$14:$N$192,D3))</f>
        <v>79</v>
      </c>
      <c r="F3" s="32" t="s">
        <v>47</v>
      </c>
      <c r="G3" s="22">
        <f t="shared" ref="G3:G6" si="2">IF(COUNTIF($Z$14:$Z$192,F3)=0,"-",COUNTIF($Z$14:$Z$192,F3))</f>
        <v>157</v>
      </c>
    </row>
    <row r="4">
      <c r="D4" s="32" t="s">
        <v>48</v>
      </c>
      <c r="E4" s="22">
        <f t="shared" si="1"/>
        <v>100</v>
      </c>
      <c r="F4" s="32" t="s">
        <v>49</v>
      </c>
      <c r="G4" s="22">
        <f t="shared" si="2"/>
        <v>21</v>
      </c>
    </row>
    <row r="5">
      <c r="D5" s="32" t="s">
        <v>50</v>
      </c>
      <c r="E5" s="22" t="str">
        <f t="shared" si="1"/>
        <v>-</v>
      </c>
      <c r="F5" s="32" t="s">
        <v>51</v>
      </c>
      <c r="G5" s="22" t="str">
        <f t="shared" si="2"/>
        <v>-</v>
      </c>
    </row>
    <row r="6">
      <c r="D6" s="32" t="s">
        <v>52</v>
      </c>
      <c r="E6" s="22" t="str">
        <f t="shared" si="1"/>
        <v>-</v>
      </c>
      <c r="F6" s="32" t="s">
        <v>52</v>
      </c>
      <c r="G6" s="22">
        <f t="shared" si="2"/>
        <v>1</v>
      </c>
    </row>
    <row r="7">
      <c r="D7" s="32" t="s">
        <v>54</v>
      </c>
      <c r="E7" s="32">
        <f>SUM(E3:E6)</f>
        <v>179</v>
      </c>
      <c r="F7" s="32" t="s">
        <v>54</v>
      </c>
      <c r="G7" s="32">
        <f>SUM(G3:G6)</f>
        <v>179</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110" t="s">
        <v>73</v>
      </c>
      <c r="B12" s="46" t="s">
        <v>1308</v>
      </c>
      <c r="C12" s="47"/>
      <c r="D12" s="38">
        <v>11390.0</v>
      </c>
      <c r="E12" s="38">
        <v>8608.0</v>
      </c>
      <c r="F12" s="38">
        <v>1461.0</v>
      </c>
      <c r="G12" s="38">
        <v>899.0</v>
      </c>
      <c r="H12" s="38">
        <v>797.0</v>
      </c>
      <c r="I12" s="48">
        <f t="shared" ref="I12:I193" si="3">SUM(D12:F12)</f>
        <v>21459</v>
      </c>
      <c r="J12" s="48">
        <f t="shared" ref="J12:J193" si="4">SUM(G12:I12)</f>
        <v>23155</v>
      </c>
      <c r="K12" s="49">
        <f t="shared" ref="K12:K193" si="5">D12/I12</f>
        <v>0.5307796263</v>
      </c>
      <c r="L12" s="49">
        <f t="shared" ref="L12:L193" si="6">E12/I12</f>
        <v>0.4011370521</v>
      </c>
      <c r="M12" s="49">
        <f t="shared" ref="M12:M193" si="7">F12/I12</f>
        <v>0.06808332168</v>
      </c>
      <c r="N12" s="32" t="str">
        <f t="shared" ref="N12:N193" si="8">IF(LARGE(D12:F12,1)=0,#REF!,IF(LARGE(D12:F12,1)=LARGE(D12:F12,2),$D$6,IF(LARGE(D12:F12,1)=D12,$D$3,IF(LARGE(D12:F12,1)=E12,$D$4,IF(LARGE(D12:F12,1)=F12,$D$5)))))</f>
        <v>Jânio</v>
      </c>
      <c r="O12" s="50"/>
      <c r="P12" s="38">
        <v>8076.0</v>
      </c>
      <c r="Q12" s="38">
        <v>8704.0</v>
      </c>
      <c r="R12" s="38">
        <v>3306.0</v>
      </c>
      <c r="S12" s="38">
        <v>2393.0</v>
      </c>
      <c r="T12" s="55">
        <v>676.0</v>
      </c>
      <c r="U12" s="48">
        <f t="shared" ref="U12:U193" si="9">SUM(P12:R12)</f>
        <v>20086</v>
      </c>
      <c r="V12" s="114">
        <f t="shared" ref="V12:V193" si="10">SUM(S12:U12)</f>
        <v>23155</v>
      </c>
      <c r="W12" s="49">
        <f t="shared" ref="W12:W193" si="11">P12/U12</f>
        <v>0.4020710943</v>
      </c>
      <c r="X12" s="49">
        <f t="shared" ref="X12:X193" si="12">Q12/U12</f>
        <v>0.4333366524</v>
      </c>
      <c r="Y12" s="49">
        <f t="shared" ref="Y12:Y193" si="13">R12/U12</f>
        <v>0.1645922533</v>
      </c>
      <c r="Z12" s="32" t="str">
        <f t="shared" ref="Z12:Z193" si="14">IF(LARGE(P12:R12,1)=0,#REF!,IF(LARGE(P12:R12,1)=LARGE(P12:R12,2),$F$6,IF(LARGE(P12:R12,1)=P12,$F$3,IF(LARGE(P12:R12,1)=Q12,$F$4,IF(LARGE(P12:R12,1)=R12,$F$5)))))</f>
        <v>Milton</v>
      </c>
      <c r="AA12" s="44"/>
      <c r="AB12" s="38">
        <v>30765.0</v>
      </c>
      <c r="AC12" s="48">
        <f t="shared" ref="AC12:AC169" si="15">AB12-V12</f>
        <v>7610</v>
      </c>
      <c r="AD12" s="51">
        <f t="shared" ref="AD12:AD169" si="16">V12/AB12</f>
        <v>0.7526409881</v>
      </c>
    </row>
    <row r="13">
      <c r="A13" s="110" t="s">
        <v>75</v>
      </c>
      <c r="B13" s="46" t="s">
        <v>1309</v>
      </c>
      <c r="C13" s="47"/>
      <c r="D13" s="38">
        <v>5738.0</v>
      </c>
      <c r="E13" s="38">
        <v>4139.0</v>
      </c>
      <c r="F13" s="38">
        <v>875.0</v>
      </c>
      <c r="G13" s="38">
        <v>602.0</v>
      </c>
      <c r="H13" s="38">
        <v>480.0</v>
      </c>
      <c r="I13" s="48">
        <f t="shared" si="3"/>
        <v>10752</v>
      </c>
      <c r="J13" s="48">
        <f t="shared" si="4"/>
        <v>11834</v>
      </c>
      <c r="K13" s="49">
        <f t="shared" si="5"/>
        <v>0.5336681548</v>
      </c>
      <c r="L13" s="49">
        <f t="shared" si="6"/>
        <v>0.3849516369</v>
      </c>
      <c r="M13" s="49">
        <f t="shared" si="7"/>
        <v>0.08138020833</v>
      </c>
      <c r="N13" s="32" t="str">
        <f t="shared" si="8"/>
        <v>Jânio</v>
      </c>
      <c r="O13" s="50"/>
      <c r="P13" s="38">
        <v>4290.0</v>
      </c>
      <c r="Q13" s="38">
        <v>4218.0</v>
      </c>
      <c r="R13" s="38">
        <v>1293.0</v>
      </c>
      <c r="S13" s="38">
        <v>1669.0</v>
      </c>
      <c r="T13" s="38">
        <v>364.0</v>
      </c>
      <c r="U13" s="48">
        <f t="shared" si="9"/>
        <v>9801</v>
      </c>
      <c r="V13" s="48">
        <f t="shared" si="10"/>
        <v>11834</v>
      </c>
      <c r="W13" s="49">
        <f t="shared" si="11"/>
        <v>0.4377104377</v>
      </c>
      <c r="X13" s="49">
        <f t="shared" si="12"/>
        <v>0.4303642485</v>
      </c>
      <c r="Y13" s="49">
        <f t="shared" si="13"/>
        <v>0.1319253137</v>
      </c>
      <c r="Z13" s="32" t="str">
        <f t="shared" si="14"/>
        <v>Jango</v>
      </c>
      <c r="AA13" s="44"/>
      <c r="AB13" s="38">
        <v>16329.0</v>
      </c>
      <c r="AC13" s="48">
        <f t="shared" si="15"/>
        <v>4495</v>
      </c>
      <c r="AD13" s="51">
        <f t="shared" si="16"/>
        <v>0.7247228857</v>
      </c>
    </row>
    <row r="14">
      <c r="A14" s="110" t="s">
        <v>77</v>
      </c>
      <c r="B14" s="46" t="s">
        <v>1310</v>
      </c>
      <c r="C14" s="47"/>
      <c r="D14" s="38">
        <v>17128.0</v>
      </c>
      <c r="E14" s="38">
        <v>12747.0</v>
      </c>
      <c r="F14" s="38">
        <v>2336.0</v>
      </c>
      <c r="G14" s="38">
        <v>1501.0</v>
      </c>
      <c r="H14" s="38">
        <v>1277.0</v>
      </c>
      <c r="I14" s="48">
        <f t="shared" si="3"/>
        <v>32211</v>
      </c>
      <c r="J14" s="48">
        <f t="shared" si="4"/>
        <v>34989</v>
      </c>
      <c r="K14" s="49">
        <f t="shared" si="5"/>
        <v>0.5317438142</v>
      </c>
      <c r="L14" s="49">
        <f t="shared" si="6"/>
        <v>0.3957343765</v>
      </c>
      <c r="M14" s="49">
        <f t="shared" si="7"/>
        <v>0.07252180932</v>
      </c>
      <c r="N14" s="32" t="str">
        <f t="shared" si="8"/>
        <v>Jânio</v>
      </c>
      <c r="O14" s="50" t="s">
        <v>77</v>
      </c>
      <c r="P14" s="38">
        <v>12366.0</v>
      </c>
      <c r="Q14" s="38">
        <v>12922.0</v>
      </c>
      <c r="R14" s="38">
        <v>4599.0</v>
      </c>
      <c r="S14" s="38">
        <v>4062.0</v>
      </c>
      <c r="T14" s="38">
        <v>1040.0</v>
      </c>
      <c r="U14" s="48">
        <f t="shared" si="9"/>
        <v>29887</v>
      </c>
      <c r="V14" s="48">
        <f t="shared" si="10"/>
        <v>34989</v>
      </c>
      <c r="W14" s="49">
        <f t="shared" si="11"/>
        <v>0.4137584903</v>
      </c>
      <c r="X14" s="49">
        <f t="shared" si="12"/>
        <v>0.4323618965</v>
      </c>
      <c r="Y14" s="49">
        <f t="shared" si="13"/>
        <v>0.1538796132</v>
      </c>
      <c r="Z14" s="32" t="str">
        <f t="shared" si="14"/>
        <v>Milton</v>
      </c>
      <c r="AA14" s="50" t="s">
        <v>77</v>
      </c>
      <c r="AB14" s="38">
        <v>47094.0</v>
      </c>
      <c r="AC14" s="48">
        <f t="shared" si="15"/>
        <v>12105</v>
      </c>
      <c r="AD14" s="51">
        <f t="shared" si="16"/>
        <v>0.7429608867</v>
      </c>
    </row>
    <row r="15">
      <c r="A15" s="110" t="s">
        <v>75</v>
      </c>
      <c r="B15" s="46" t="s">
        <v>1311</v>
      </c>
      <c r="C15" s="47"/>
      <c r="D15" s="38">
        <v>436.0</v>
      </c>
      <c r="E15" s="38">
        <v>400.0</v>
      </c>
      <c r="F15" s="38">
        <v>101.0</v>
      </c>
      <c r="G15" s="38">
        <v>132.0</v>
      </c>
      <c r="H15" s="38">
        <v>90.0</v>
      </c>
      <c r="I15" s="48">
        <f t="shared" si="3"/>
        <v>937</v>
      </c>
      <c r="J15" s="48">
        <f t="shared" si="4"/>
        <v>1159</v>
      </c>
      <c r="K15" s="49">
        <f t="shared" si="5"/>
        <v>0.4653148346</v>
      </c>
      <c r="L15" s="49">
        <f t="shared" si="6"/>
        <v>0.4268943436</v>
      </c>
      <c r="M15" s="49">
        <f t="shared" si="7"/>
        <v>0.1077908218</v>
      </c>
      <c r="N15" s="32" t="str">
        <f t="shared" si="8"/>
        <v>Jânio</v>
      </c>
      <c r="O15" s="50" t="s">
        <v>77</v>
      </c>
      <c r="P15" s="38">
        <v>431.0</v>
      </c>
      <c r="Q15" s="38">
        <v>356.0</v>
      </c>
      <c r="R15" s="38">
        <v>79.0</v>
      </c>
      <c r="S15" s="38">
        <v>223.0</v>
      </c>
      <c r="T15" s="38">
        <v>70.0</v>
      </c>
      <c r="U15" s="48">
        <f t="shared" si="9"/>
        <v>866</v>
      </c>
      <c r="V15" s="48">
        <f t="shared" si="10"/>
        <v>1159</v>
      </c>
      <c r="W15" s="49">
        <f t="shared" si="11"/>
        <v>0.4976905312</v>
      </c>
      <c r="X15" s="49">
        <f t="shared" si="12"/>
        <v>0.4110854503</v>
      </c>
      <c r="Y15" s="49">
        <f t="shared" si="13"/>
        <v>0.09122401848</v>
      </c>
      <c r="Z15" s="32" t="str">
        <f t="shared" si="14"/>
        <v>Jango</v>
      </c>
      <c r="AA15" s="50" t="s">
        <v>77</v>
      </c>
      <c r="AB15" s="38">
        <v>1503.0</v>
      </c>
      <c r="AC15" s="48">
        <f t="shared" si="15"/>
        <v>344</v>
      </c>
      <c r="AD15" s="51">
        <f t="shared" si="16"/>
        <v>0.7711244178</v>
      </c>
    </row>
    <row r="16">
      <c r="A16" s="61" t="s">
        <v>79</v>
      </c>
      <c r="B16" s="46" t="s">
        <v>1312</v>
      </c>
      <c r="C16" s="47"/>
      <c r="D16" s="38">
        <v>5059.0</v>
      </c>
      <c r="E16" s="38">
        <v>5529.0</v>
      </c>
      <c r="F16" s="38">
        <v>755.0</v>
      </c>
      <c r="G16" s="38">
        <v>831.0</v>
      </c>
      <c r="H16" s="38">
        <v>540.0</v>
      </c>
      <c r="I16" s="48">
        <f t="shared" si="3"/>
        <v>11343</v>
      </c>
      <c r="J16" s="48">
        <f t="shared" si="4"/>
        <v>12714</v>
      </c>
      <c r="K16" s="49">
        <f t="shared" si="5"/>
        <v>0.4460019395</v>
      </c>
      <c r="L16" s="49">
        <f t="shared" si="6"/>
        <v>0.4874371859</v>
      </c>
      <c r="M16" s="49">
        <f t="shared" si="7"/>
        <v>0.06656087455</v>
      </c>
      <c r="N16" s="32" t="str">
        <f t="shared" si="8"/>
        <v>Mal. Lott</v>
      </c>
      <c r="O16" s="50" t="s">
        <v>77</v>
      </c>
      <c r="P16" s="38">
        <v>5270.0</v>
      </c>
      <c r="Q16" s="38">
        <v>3495.0</v>
      </c>
      <c r="R16" s="38">
        <v>1737.0</v>
      </c>
      <c r="S16" s="38">
        <v>1797.0</v>
      </c>
      <c r="T16" s="38">
        <v>415.0</v>
      </c>
      <c r="U16" s="48">
        <f t="shared" si="9"/>
        <v>10502</v>
      </c>
      <c r="V16" s="48">
        <f t="shared" si="10"/>
        <v>12714</v>
      </c>
      <c r="W16" s="49">
        <f t="shared" si="11"/>
        <v>0.5018091792</v>
      </c>
      <c r="X16" s="49">
        <f t="shared" si="12"/>
        <v>0.3327937536</v>
      </c>
      <c r="Y16" s="49">
        <f t="shared" si="13"/>
        <v>0.1653970672</v>
      </c>
      <c r="Z16" s="32" t="str">
        <f t="shared" si="14"/>
        <v>Jango</v>
      </c>
      <c r="AA16" s="50" t="s">
        <v>77</v>
      </c>
      <c r="AB16" s="38">
        <v>16399.0</v>
      </c>
      <c r="AC16" s="48">
        <f t="shared" si="15"/>
        <v>3685</v>
      </c>
      <c r="AD16" s="51">
        <f t="shared" si="16"/>
        <v>0.7752911763</v>
      </c>
    </row>
    <row r="17">
      <c r="A17" s="23"/>
      <c r="B17" s="46" t="s">
        <v>1313</v>
      </c>
      <c r="C17" s="47"/>
      <c r="D17" s="38">
        <v>176.0</v>
      </c>
      <c r="E17" s="38">
        <v>141.0</v>
      </c>
      <c r="F17" s="38">
        <v>34.0</v>
      </c>
      <c r="G17" s="38">
        <v>46.0</v>
      </c>
      <c r="H17" s="38">
        <v>37.0</v>
      </c>
      <c r="I17" s="48">
        <f t="shared" si="3"/>
        <v>351</v>
      </c>
      <c r="J17" s="48">
        <f t="shared" si="4"/>
        <v>434</v>
      </c>
      <c r="K17" s="49">
        <f t="shared" si="5"/>
        <v>0.5014245014</v>
      </c>
      <c r="L17" s="49">
        <f t="shared" si="6"/>
        <v>0.4017094017</v>
      </c>
      <c r="M17" s="49">
        <f t="shared" si="7"/>
        <v>0.09686609687</v>
      </c>
      <c r="N17" s="32" t="str">
        <f t="shared" si="8"/>
        <v>Jânio</v>
      </c>
      <c r="O17" s="50" t="s">
        <v>77</v>
      </c>
      <c r="P17" s="38">
        <v>162.0</v>
      </c>
      <c r="Q17" s="38">
        <v>128.0</v>
      </c>
      <c r="R17" s="38">
        <v>31.0</v>
      </c>
      <c r="S17" s="38">
        <v>89.0</v>
      </c>
      <c r="T17" s="38">
        <v>24.0</v>
      </c>
      <c r="U17" s="48">
        <f t="shared" si="9"/>
        <v>321</v>
      </c>
      <c r="V17" s="48">
        <f t="shared" si="10"/>
        <v>434</v>
      </c>
      <c r="W17" s="49">
        <f t="shared" si="11"/>
        <v>0.5046728972</v>
      </c>
      <c r="X17" s="49">
        <f t="shared" si="12"/>
        <v>0.3987538941</v>
      </c>
      <c r="Y17" s="49">
        <f t="shared" si="13"/>
        <v>0.09657320872</v>
      </c>
      <c r="Z17" s="32" t="str">
        <f t="shared" si="14"/>
        <v>Jango</v>
      </c>
      <c r="AA17" s="50" t="s">
        <v>77</v>
      </c>
      <c r="AB17" s="38">
        <v>675.0</v>
      </c>
      <c r="AC17" s="48">
        <f t="shared" si="15"/>
        <v>241</v>
      </c>
      <c r="AD17" s="51">
        <f t="shared" si="16"/>
        <v>0.642962963</v>
      </c>
    </row>
    <row r="18">
      <c r="A18" s="23"/>
      <c r="B18" s="46" t="s">
        <v>1314</v>
      </c>
      <c r="C18" s="47"/>
      <c r="D18" s="38">
        <v>276.0</v>
      </c>
      <c r="E18" s="38">
        <v>265.0</v>
      </c>
      <c r="F18" s="38">
        <v>37.0</v>
      </c>
      <c r="G18" s="38">
        <v>69.0</v>
      </c>
      <c r="H18" s="38">
        <v>49.0</v>
      </c>
      <c r="I18" s="48">
        <f t="shared" si="3"/>
        <v>578</v>
      </c>
      <c r="J18" s="48">
        <f t="shared" si="4"/>
        <v>696</v>
      </c>
      <c r="K18" s="49">
        <f t="shared" si="5"/>
        <v>0.4775086505</v>
      </c>
      <c r="L18" s="49">
        <f t="shared" si="6"/>
        <v>0.4584775087</v>
      </c>
      <c r="M18" s="49">
        <f t="shared" si="7"/>
        <v>0.06401384083</v>
      </c>
      <c r="N18" s="32" t="str">
        <f t="shared" si="8"/>
        <v>Jânio</v>
      </c>
      <c r="O18" s="50" t="s">
        <v>77</v>
      </c>
      <c r="P18" s="38">
        <v>275.0</v>
      </c>
      <c r="Q18" s="38">
        <v>227.0</v>
      </c>
      <c r="R18" s="38">
        <v>38.0</v>
      </c>
      <c r="S18" s="38">
        <v>119.0</v>
      </c>
      <c r="T18" s="38">
        <v>37.0</v>
      </c>
      <c r="U18" s="48">
        <f t="shared" si="9"/>
        <v>540</v>
      </c>
      <c r="V18" s="48">
        <f t="shared" si="10"/>
        <v>696</v>
      </c>
      <c r="W18" s="49">
        <f t="shared" si="11"/>
        <v>0.5092592593</v>
      </c>
      <c r="X18" s="49">
        <f t="shared" si="12"/>
        <v>0.4203703704</v>
      </c>
      <c r="Y18" s="49">
        <f t="shared" si="13"/>
        <v>0.07037037037</v>
      </c>
      <c r="Z18" s="32" t="str">
        <f t="shared" si="14"/>
        <v>Jango</v>
      </c>
      <c r="AA18" s="50" t="s">
        <v>77</v>
      </c>
      <c r="AB18" s="38">
        <v>882.0</v>
      </c>
      <c r="AC18" s="48">
        <f t="shared" si="15"/>
        <v>186</v>
      </c>
      <c r="AD18" s="51">
        <f t="shared" si="16"/>
        <v>0.7891156463</v>
      </c>
    </row>
    <row r="19">
      <c r="A19" s="23"/>
      <c r="B19" s="46" t="s">
        <v>1315</v>
      </c>
      <c r="C19" s="47"/>
      <c r="D19" s="38">
        <v>352.0</v>
      </c>
      <c r="E19" s="38">
        <v>401.0</v>
      </c>
      <c r="F19" s="38">
        <v>151.0</v>
      </c>
      <c r="G19" s="38">
        <v>189.0</v>
      </c>
      <c r="H19" s="38">
        <v>121.0</v>
      </c>
      <c r="I19" s="48">
        <f t="shared" si="3"/>
        <v>904</v>
      </c>
      <c r="J19" s="48">
        <f t="shared" si="4"/>
        <v>1214</v>
      </c>
      <c r="K19" s="49">
        <f t="shared" si="5"/>
        <v>0.389380531</v>
      </c>
      <c r="L19" s="49">
        <f t="shared" si="6"/>
        <v>0.4435840708</v>
      </c>
      <c r="M19" s="49">
        <f t="shared" si="7"/>
        <v>0.1670353982</v>
      </c>
      <c r="N19" s="32" t="str">
        <f t="shared" si="8"/>
        <v>Mal. Lott</v>
      </c>
      <c r="O19" s="50" t="s">
        <v>77</v>
      </c>
      <c r="P19" s="38">
        <v>495.0</v>
      </c>
      <c r="Q19" s="38">
        <v>165.0</v>
      </c>
      <c r="R19" s="38">
        <v>134.0</v>
      </c>
      <c r="S19" s="38">
        <v>368.0</v>
      </c>
      <c r="T19" s="38">
        <v>52.0</v>
      </c>
      <c r="U19" s="48">
        <f t="shared" si="9"/>
        <v>794</v>
      </c>
      <c r="V19" s="48">
        <f t="shared" si="10"/>
        <v>1214</v>
      </c>
      <c r="W19" s="49">
        <f t="shared" si="11"/>
        <v>0.6234256927</v>
      </c>
      <c r="X19" s="49">
        <f t="shared" si="12"/>
        <v>0.2078085642</v>
      </c>
      <c r="Y19" s="49">
        <f t="shared" si="13"/>
        <v>0.1687657431</v>
      </c>
      <c r="Z19" s="32" t="str">
        <f t="shared" si="14"/>
        <v>Jango</v>
      </c>
      <c r="AA19" s="50" t="s">
        <v>77</v>
      </c>
      <c r="AB19" s="38">
        <v>1528.0</v>
      </c>
      <c r="AC19" s="48">
        <f t="shared" si="15"/>
        <v>314</v>
      </c>
      <c r="AD19" s="51">
        <f t="shared" si="16"/>
        <v>0.7945026178</v>
      </c>
    </row>
    <row r="20">
      <c r="A20" s="24"/>
      <c r="B20" s="46" t="s">
        <v>1316</v>
      </c>
      <c r="C20" s="47"/>
      <c r="D20" s="38">
        <v>422.0</v>
      </c>
      <c r="E20" s="38">
        <v>207.0</v>
      </c>
      <c r="F20" s="38">
        <v>54.0</v>
      </c>
      <c r="G20" s="38">
        <v>86.0</v>
      </c>
      <c r="H20" s="38">
        <v>60.0</v>
      </c>
      <c r="I20" s="48">
        <f t="shared" si="3"/>
        <v>683</v>
      </c>
      <c r="J20" s="48">
        <f t="shared" si="4"/>
        <v>829</v>
      </c>
      <c r="K20" s="49">
        <f t="shared" si="5"/>
        <v>0.6178623719</v>
      </c>
      <c r="L20" s="49">
        <f t="shared" si="6"/>
        <v>0.3030746706</v>
      </c>
      <c r="M20" s="49">
        <f t="shared" si="7"/>
        <v>0.07906295754</v>
      </c>
      <c r="N20" s="32" t="str">
        <f t="shared" si="8"/>
        <v>Jânio</v>
      </c>
      <c r="O20" s="50" t="s">
        <v>77</v>
      </c>
      <c r="P20" s="38">
        <v>264.0</v>
      </c>
      <c r="Q20" s="38">
        <v>280.0</v>
      </c>
      <c r="R20" s="38">
        <v>62.0</v>
      </c>
      <c r="S20" s="38">
        <v>179.0</v>
      </c>
      <c r="T20" s="38">
        <v>44.0</v>
      </c>
      <c r="U20" s="48">
        <f t="shared" si="9"/>
        <v>606</v>
      </c>
      <c r="V20" s="48">
        <f t="shared" si="10"/>
        <v>829</v>
      </c>
      <c r="W20" s="49">
        <f t="shared" si="11"/>
        <v>0.4356435644</v>
      </c>
      <c r="X20" s="49">
        <f t="shared" si="12"/>
        <v>0.4620462046</v>
      </c>
      <c r="Y20" s="49">
        <f t="shared" si="13"/>
        <v>0.102310231</v>
      </c>
      <c r="Z20" s="32" t="str">
        <f t="shared" si="14"/>
        <v>Milton</v>
      </c>
      <c r="AA20" s="50" t="s">
        <v>77</v>
      </c>
      <c r="AB20" s="38">
        <v>985.0</v>
      </c>
      <c r="AC20" s="48">
        <f t="shared" si="15"/>
        <v>156</v>
      </c>
      <c r="AD20" s="51">
        <f t="shared" si="16"/>
        <v>0.8416243655</v>
      </c>
    </row>
    <row r="21">
      <c r="A21" s="61" t="s">
        <v>85</v>
      </c>
      <c r="B21" s="46" t="s">
        <v>1317</v>
      </c>
      <c r="C21" s="47"/>
      <c r="D21" s="38">
        <v>285.0</v>
      </c>
      <c r="E21" s="38">
        <v>497.0</v>
      </c>
      <c r="F21" s="38">
        <v>278.0</v>
      </c>
      <c r="G21" s="38">
        <v>54.0</v>
      </c>
      <c r="H21" s="38">
        <v>56.0</v>
      </c>
      <c r="I21" s="48">
        <f t="shared" si="3"/>
        <v>1060</v>
      </c>
      <c r="J21" s="48">
        <f t="shared" si="4"/>
        <v>1170</v>
      </c>
      <c r="K21" s="49">
        <f t="shared" si="5"/>
        <v>0.2688679245</v>
      </c>
      <c r="L21" s="49">
        <f t="shared" si="6"/>
        <v>0.4688679245</v>
      </c>
      <c r="M21" s="49">
        <f t="shared" si="7"/>
        <v>0.2622641509</v>
      </c>
      <c r="N21" s="32" t="str">
        <f t="shared" si="8"/>
        <v>Mal. Lott</v>
      </c>
      <c r="O21" s="50" t="s">
        <v>77</v>
      </c>
      <c r="P21" s="38">
        <v>537.0</v>
      </c>
      <c r="Q21" s="38">
        <v>400.0</v>
      </c>
      <c r="R21" s="38">
        <v>73.0</v>
      </c>
      <c r="S21" s="38">
        <v>127.0</v>
      </c>
      <c r="T21" s="38">
        <v>33.0</v>
      </c>
      <c r="U21" s="48">
        <f t="shared" si="9"/>
        <v>1010</v>
      </c>
      <c r="V21" s="48">
        <f t="shared" si="10"/>
        <v>1170</v>
      </c>
      <c r="W21" s="49">
        <f t="shared" si="11"/>
        <v>0.5316831683</v>
      </c>
      <c r="X21" s="49">
        <f t="shared" si="12"/>
        <v>0.396039604</v>
      </c>
      <c r="Y21" s="49">
        <f t="shared" si="13"/>
        <v>0.07227722772</v>
      </c>
      <c r="Z21" s="32" t="str">
        <f t="shared" si="14"/>
        <v>Jango</v>
      </c>
      <c r="AA21" s="50" t="s">
        <v>77</v>
      </c>
      <c r="AB21" s="38">
        <v>1418.0</v>
      </c>
      <c r="AC21" s="48">
        <f t="shared" si="15"/>
        <v>248</v>
      </c>
      <c r="AD21" s="51">
        <f t="shared" si="16"/>
        <v>0.8251057828</v>
      </c>
    </row>
    <row r="22">
      <c r="A22" s="23"/>
      <c r="B22" s="46" t="s">
        <v>1318</v>
      </c>
      <c r="C22" s="47"/>
      <c r="D22" s="38">
        <v>184.0</v>
      </c>
      <c r="E22" s="38">
        <v>302.0</v>
      </c>
      <c r="F22" s="38">
        <v>36.0</v>
      </c>
      <c r="G22" s="38">
        <v>32.0</v>
      </c>
      <c r="H22" s="38">
        <v>41.0</v>
      </c>
      <c r="I22" s="48">
        <f t="shared" si="3"/>
        <v>522</v>
      </c>
      <c r="J22" s="48">
        <f t="shared" si="4"/>
        <v>595</v>
      </c>
      <c r="K22" s="49">
        <f t="shared" si="5"/>
        <v>0.3524904215</v>
      </c>
      <c r="L22" s="49">
        <f t="shared" si="6"/>
        <v>0.5785440613</v>
      </c>
      <c r="M22" s="49">
        <f t="shared" si="7"/>
        <v>0.06896551724</v>
      </c>
      <c r="N22" s="32" t="str">
        <f t="shared" si="8"/>
        <v>Mal. Lott</v>
      </c>
      <c r="O22" s="50" t="s">
        <v>77</v>
      </c>
      <c r="P22" s="38">
        <v>319.0</v>
      </c>
      <c r="Q22" s="38">
        <v>132.0</v>
      </c>
      <c r="R22" s="38">
        <v>51.0</v>
      </c>
      <c r="S22" s="38">
        <v>73.0</v>
      </c>
      <c r="T22" s="38">
        <v>20.0</v>
      </c>
      <c r="U22" s="48">
        <f t="shared" si="9"/>
        <v>502</v>
      </c>
      <c r="V22" s="48">
        <f t="shared" si="10"/>
        <v>595</v>
      </c>
      <c r="W22" s="49">
        <f t="shared" si="11"/>
        <v>0.6354581673</v>
      </c>
      <c r="X22" s="49">
        <f t="shared" si="12"/>
        <v>0.2629482072</v>
      </c>
      <c r="Y22" s="49">
        <f t="shared" si="13"/>
        <v>0.1015936255</v>
      </c>
      <c r="Z22" s="32" t="str">
        <f t="shared" si="14"/>
        <v>Jango</v>
      </c>
      <c r="AA22" s="50" t="s">
        <v>77</v>
      </c>
      <c r="AB22" s="38">
        <v>659.0</v>
      </c>
      <c r="AC22" s="48">
        <f t="shared" si="15"/>
        <v>64</v>
      </c>
      <c r="AD22" s="51">
        <f t="shared" si="16"/>
        <v>0.9028831563</v>
      </c>
    </row>
    <row r="23">
      <c r="A23" s="24"/>
      <c r="B23" s="46" t="s">
        <v>1319</v>
      </c>
      <c r="C23" s="47"/>
      <c r="D23" s="38">
        <v>134.0</v>
      </c>
      <c r="E23" s="38">
        <v>303.0</v>
      </c>
      <c r="F23" s="38">
        <v>46.0</v>
      </c>
      <c r="G23" s="38">
        <v>33.0</v>
      </c>
      <c r="H23" s="38">
        <v>56.0</v>
      </c>
      <c r="I23" s="48">
        <f t="shared" si="3"/>
        <v>483</v>
      </c>
      <c r="J23" s="48">
        <f t="shared" si="4"/>
        <v>572</v>
      </c>
      <c r="K23" s="49">
        <f t="shared" si="5"/>
        <v>0.2774327122</v>
      </c>
      <c r="L23" s="49">
        <f t="shared" si="6"/>
        <v>0.6273291925</v>
      </c>
      <c r="M23" s="49">
        <f t="shared" si="7"/>
        <v>0.09523809524</v>
      </c>
      <c r="N23" s="32" t="str">
        <f t="shared" si="8"/>
        <v>Mal. Lott</v>
      </c>
      <c r="O23" s="50" t="s">
        <v>77</v>
      </c>
      <c r="P23" s="38">
        <v>314.0</v>
      </c>
      <c r="Q23" s="38">
        <v>105.0</v>
      </c>
      <c r="R23" s="38">
        <v>43.0</v>
      </c>
      <c r="S23" s="38">
        <v>64.0</v>
      </c>
      <c r="T23" s="38">
        <v>46.0</v>
      </c>
      <c r="U23" s="48">
        <f t="shared" si="9"/>
        <v>462</v>
      </c>
      <c r="V23" s="48">
        <f t="shared" si="10"/>
        <v>572</v>
      </c>
      <c r="W23" s="49">
        <f t="shared" si="11"/>
        <v>0.6796536797</v>
      </c>
      <c r="X23" s="49">
        <f t="shared" si="12"/>
        <v>0.2272727273</v>
      </c>
      <c r="Y23" s="49">
        <f t="shared" si="13"/>
        <v>0.09307359307</v>
      </c>
      <c r="Z23" s="32" t="str">
        <f t="shared" si="14"/>
        <v>Jango</v>
      </c>
      <c r="AA23" s="50" t="s">
        <v>77</v>
      </c>
      <c r="AB23" s="38">
        <v>594.0</v>
      </c>
      <c r="AC23" s="48">
        <f t="shared" si="15"/>
        <v>22</v>
      </c>
      <c r="AD23" s="51">
        <f t="shared" si="16"/>
        <v>0.962962963</v>
      </c>
    </row>
    <row r="24">
      <c r="A24" s="61" t="s">
        <v>90</v>
      </c>
      <c r="B24" s="46" t="s">
        <v>1320</v>
      </c>
      <c r="C24" s="47"/>
      <c r="D24" s="38">
        <v>1826.0</v>
      </c>
      <c r="E24" s="38">
        <v>2343.0</v>
      </c>
      <c r="F24" s="38">
        <v>182.0</v>
      </c>
      <c r="G24" s="38">
        <v>262.0</v>
      </c>
      <c r="H24" s="38">
        <v>319.0</v>
      </c>
      <c r="I24" s="48">
        <f t="shared" si="3"/>
        <v>4351</v>
      </c>
      <c r="J24" s="48">
        <f t="shared" si="4"/>
        <v>4932</v>
      </c>
      <c r="K24" s="49">
        <f t="shared" si="5"/>
        <v>0.4196736382</v>
      </c>
      <c r="L24" s="49">
        <f t="shared" si="6"/>
        <v>0.5384968973</v>
      </c>
      <c r="M24" s="49">
        <f t="shared" si="7"/>
        <v>0.04182946449</v>
      </c>
      <c r="N24" s="32" t="str">
        <f t="shared" si="8"/>
        <v>Mal. Lott</v>
      </c>
      <c r="O24" s="50" t="s">
        <v>77</v>
      </c>
      <c r="P24" s="38">
        <v>2307.0</v>
      </c>
      <c r="Q24" s="38">
        <v>1539.0</v>
      </c>
      <c r="R24" s="38">
        <v>216.0</v>
      </c>
      <c r="S24" s="38">
        <v>635.0</v>
      </c>
      <c r="T24" s="38">
        <v>235.0</v>
      </c>
      <c r="U24" s="48">
        <f t="shared" si="9"/>
        <v>4062</v>
      </c>
      <c r="V24" s="48">
        <f t="shared" si="10"/>
        <v>4932</v>
      </c>
      <c r="W24" s="49">
        <f t="shared" si="11"/>
        <v>0.5679468242</v>
      </c>
      <c r="X24" s="49">
        <f t="shared" si="12"/>
        <v>0.3788774003</v>
      </c>
      <c r="Y24" s="49">
        <f t="shared" si="13"/>
        <v>0.05317577548</v>
      </c>
      <c r="Z24" s="32" t="str">
        <f t="shared" si="14"/>
        <v>Jango</v>
      </c>
      <c r="AA24" s="50" t="s">
        <v>77</v>
      </c>
      <c r="AB24" s="38">
        <v>5673.0</v>
      </c>
      <c r="AC24" s="48">
        <f t="shared" si="15"/>
        <v>741</v>
      </c>
      <c r="AD24" s="51">
        <f t="shared" si="16"/>
        <v>0.8693812797</v>
      </c>
    </row>
    <row r="25">
      <c r="A25" s="24"/>
      <c r="B25" s="46" t="s">
        <v>1321</v>
      </c>
      <c r="C25" s="47"/>
      <c r="D25" s="38">
        <v>143.0</v>
      </c>
      <c r="E25" s="38">
        <v>214.0</v>
      </c>
      <c r="F25" s="38">
        <v>15.0</v>
      </c>
      <c r="G25" s="38">
        <v>60.0</v>
      </c>
      <c r="H25" s="38">
        <v>57.0</v>
      </c>
      <c r="I25" s="48">
        <f t="shared" si="3"/>
        <v>372</v>
      </c>
      <c r="J25" s="48">
        <f t="shared" si="4"/>
        <v>489</v>
      </c>
      <c r="K25" s="49">
        <f t="shared" si="5"/>
        <v>0.3844086022</v>
      </c>
      <c r="L25" s="49">
        <f t="shared" si="6"/>
        <v>0.5752688172</v>
      </c>
      <c r="M25" s="49">
        <f t="shared" si="7"/>
        <v>0.04032258065</v>
      </c>
      <c r="N25" s="32" t="str">
        <f t="shared" si="8"/>
        <v>Mal. Lott</v>
      </c>
      <c r="O25" s="50" t="s">
        <v>77</v>
      </c>
      <c r="P25" s="38">
        <v>179.0</v>
      </c>
      <c r="Q25" s="38">
        <v>124.0</v>
      </c>
      <c r="R25" s="38">
        <v>35.0</v>
      </c>
      <c r="S25" s="38">
        <v>91.0</v>
      </c>
      <c r="T25" s="38">
        <v>60.0</v>
      </c>
      <c r="U25" s="48">
        <f t="shared" si="9"/>
        <v>338</v>
      </c>
      <c r="V25" s="48">
        <f t="shared" si="10"/>
        <v>489</v>
      </c>
      <c r="W25" s="49">
        <f t="shared" si="11"/>
        <v>0.5295857988</v>
      </c>
      <c r="X25" s="49">
        <f t="shared" si="12"/>
        <v>0.3668639053</v>
      </c>
      <c r="Y25" s="49">
        <f t="shared" si="13"/>
        <v>0.1035502959</v>
      </c>
      <c r="Z25" s="32" t="str">
        <f t="shared" si="14"/>
        <v>Jango</v>
      </c>
      <c r="AA25" s="50" t="s">
        <v>77</v>
      </c>
      <c r="AB25" s="38">
        <v>577.0</v>
      </c>
      <c r="AC25" s="48">
        <f t="shared" si="15"/>
        <v>88</v>
      </c>
      <c r="AD25" s="51">
        <f t="shared" si="16"/>
        <v>0.8474870017</v>
      </c>
    </row>
    <row r="26">
      <c r="A26" s="61" t="s">
        <v>92</v>
      </c>
      <c r="B26" s="46" t="s">
        <v>1322</v>
      </c>
      <c r="C26" s="47"/>
      <c r="D26" s="38">
        <v>863.0</v>
      </c>
      <c r="E26" s="38">
        <v>730.0</v>
      </c>
      <c r="F26" s="38">
        <v>76.0</v>
      </c>
      <c r="G26" s="38">
        <v>52.0</v>
      </c>
      <c r="H26" s="38">
        <v>98.0</v>
      </c>
      <c r="I26" s="48">
        <f t="shared" si="3"/>
        <v>1669</v>
      </c>
      <c r="J26" s="48">
        <f t="shared" si="4"/>
        <v>1819</v>
      </c>
      <c r="K26" s="49">
        <f t="shared" si="5"/>
        <v>0.5170760935</v>
      </c>
      <c r="L26" s="49">
        <f t="shared" si="6"/>
        <v>0.4373876573</v>
      </c>
      <c r="M26" s="49">
        <f t="shared" si="7"/>
        <v>0.04553624925</v>
      </c>
      <c r="N26" s="32" t="str">
        <f t="shared" si="8"/>
        <v>Jânio</v>
      </c>
      <c r="O26" s="50" t="s">
        <v>77</v>
      </c>
      <c r="P26" s="38">
        <v>789.0</v>
      </c>
      <c r="Q26" s="38">
        <v>729.0</v>
      </c>
      <c r="R26" s="38">
        <v>68.0</v>
      </c>
      <c r="S26" s="38">
        <v>117.0</v>
      </c>
      <c r="T26" s="38">
        <v>116.0</v>
      </c>
      <c r="U26" s="48">
        <f t="shared" si="9"/>
        <v>1586</v>
      </c>
      <c r="V26" s="48">
        <f t="shared" si="10"/>
        <v>1819</v>
      </c>
      <c r="W26" s="49">
        <f t="shared" si="11"/>
        <v>0.4974779319</v>
      </c>
      <c r="X26" s="49">
        <f t="shared" si="12"/>
        <v>0.4596469105</v>
      </c>
      <c r="Y26" s="49">
        <f t="shared" si="13"/>
        <v>0.04287515763</v>
      </c>
      <c r="Z26" s="32" t="str">
        <f t="shared" si="14"/>
        <v>Jango</v>
      </c>
      <c r="AA26" s="50" t="s">
        <v>77</v>
      </c>
      <c r="AB26" s="38">
        <v>2079.0</v>
      </c>
      <c r="AC26" s="48">
        <f t="shared" si="15"/>
        <v>260</v>
      </c>
      <c r="AD26" s="51">
        <f t="shared" si="16"/>
        <v>0.8749398749</v>
      </c>
    </row>
    <row r="27">
      <c r="A27" s="24"/>
      <c r="B27" s="46" t="s">
        <v>956</v>
      </c>
      <c r="C27" s="47"/>
      <c r="D27" s="38">
        <v>360.0</v>
      </c>
      <c r="E27" s="38">
        <v>521.0</v>
      </c>
      <c r="F27" s="38">
        <v>39.0</v>
      </c>
      <c r="G27" s="38">
        <v>28.0</v>
      </c>
      <c r="H27" s="38">
        <v>83.0</v>
      </c>
      <c r="I27" s="48">
        <f t="shared" si="3"/>
        <v>920</v>
      </c>
      <c r="J27" s="48">
        <f t="shared" si="4"/>
        <v>1031</v>
      </c>
      <c r="K27" s="49">
        <f t="shared" si="5"/>
        <v>0.3913043478</v>
      </c>
      <c r="L27" s="49">
        <f t="shared" si="6"/>
        <v>0.5663043478</v>
      </c>
      <c r="M27" s="49">
        <f t="shared" si="7"/>
        <v>0.04239130435</v>
      </c>
      <c r="N27" s="32" t="str">
        <f t="shared" si="8"/>
        <v>Mal. Lott</v>
      </c>
      <c r="O27" s="50" t="s">
        <v>77</v>
      </c>
      <c r="P27" s="38">
        <v>506.0</v>
      </c>
      <c r="Q27" s="38">
        <v>309.0</v>
      </c>
      <c r="R27" s="38">
        <v>41.0</v>
      </c>
      <c r="S27" s="38">
        <v>67.0</v>
      </c>
      <c r="T27" s="38">
        <v>108.0</v>
      </c>
      <c r="U27" s="48">
        <f t="shared" si="9"/>
        <v>856</v>
      </c>
      <c r="V27" s="48">
        <f t="shared" si="10"/>
        <v>1031</v>
      </c>
      <c r="W27" s="49">
        <f t="shared" si="11"/>
        <v>0.5911214953</v>
      </c>
      <c r="X27" s="49">
        <f t="shared" si="12"/>
        <v>0.3609813084</v>
      </c>
      <c r="Y27" s="49">
        <f t="shared" si="13"/>
        <v>0.04789719626</v>
      </c>
      <c r="Z27" s="32" t="str">
        <f t="shared" si="14"/>
        <v>Jango</v>
      </c>
      <c r="AA27" s="50" t="s">
        <v>77</v>
      </c>
      <c r="AB27" s="38">
        <v>1233.0</v>
      </c>
      <c r="AC27" s="48">
        <f t="shared" si="15"/>
        <v>202</v>
      </c>
      <c r="AD27" s="51">
        <f t="shared" si="16"/>
        <v>0.8361719384</v>
      </c>
    </row>
    <row r="28">
      <c r="A28" s="61" t="s">
        <v>94</v>
      </c>
      <c r="B28" s="46" t="s">
        <v>1323</v>
      </c>
      <c r="C28" s="47"/>
      <c r="D28" s="38">
        <v>372.0</v>
      </c>
      <c r="E28" s="38">
        <v>660.0</v>
      </c>
      <c r="F28" s="38">
        <v>73.0</v>
      </c>
      <c r="G28" s="38">
        <v>79.0</v>
      </c>
      <c r="H28" s="38">
        <v>91.0</v>
      </c>
      <c r="I28" s="48">
        <f t="shared" si="3"/>
        <v>1105</v>
      </c>
      <c r="J28" s="48">
        <f t="shared" si="4"/>
        <v>1275</v>
      </c>
      <c r="K28" s="49">
        <f t="shared" si="5"/>
        <v>0.3366515837</v>
      </c>
      <c r="L28" s="49">
        <f t="shared" si="6"/>
        <v>0.5972850679</v>
      </c>
      <c r="M28" s="49">
        <f t="shared" si="7"/>
        <v>0.06606334842</v>
      </c>
      <c r="N28" s="32" t="str">
        <f t="shared" si="8"/>
        <v>Mal. Lott</v>
      </c>
      <c r="O28" s="50" t="s">
        <v>77</v>
      </c>
      <c r="P28" s="38">
        <v>711.0</v>
      </c>
      <c r="Q28" s="38">
        <v>258.0</v>
      </c>
      <c r="R28" s="38">
        <v>88.0</v>
      </c>
      <c r="S28" s="38">
        <v>164.0</v>
      </c>
      <c r="T28" s="38">
        <v>54.0</v>
      </c>
      <c r="U28" s="48">
        <f t="shared" si="9"/>
        <v>1057</v>
      </c>
      <c r="V28" s="48">
        <f t="shared" si="10"/>
        <v>1275</v>
      </c>
      <c r="W28" s="49">
        <f t="shared" si="11"/>
        <v>0.6726584674</v>
      </c>
      <c r="X28" s="49">
        <f t="shared" si="12"/>
        <v>0.2440870388</v>
      </c>
      <c r="Y28" s="49">
        <f t="shared" si="13"/>
        <v>0.08325449385</v>
      </c>
      <c r="Z28" s="32" t="str">
        <f t="shared" si="14"/>
        <v>Jango</v>
      </c>
      <c r="AA28" s="50" t="s">
        <v>77</v>
      </c>
      <c r="AB28" s="38">
        <v>1534.0</v>
      </c>
      <c r="AC28" s="48">
        <f t="shared" si="15"/>
        <v>259</v>
      </c>
      <c r="AD28" s="51">
        <f t="shared" si="16"/>
        <v>0.8311603651</v>
      </c>
    </row>
    <row r="29">
      <c r="A29" s="24"/>
      <c r="B29" s="46" t="s">
        <v>1324</v>
      </c>
      <c r="C29" s="47"/>
      <c r="D29" s="38">
        <v>259.0</v>
      </c>
      <c r="E29" s="38">
        <v>217.0</v>
      </c>
      <c r="F29" s="38">
        <v>23.0</v>
      </c>
      <c r="G29" s="38">
        <v>47.0</v>
      </c>
      <c r="H29" s="38">
        <v>31.0</v>
      </c>
      <c r="I29" s="48">
        <f t="shared" si="3"/>
        <v>499</v>
      </c>
      <c r="J29" s="48">
        <f t="shared" si="4"/>
        <v>577</v>
      </c>
      <c r="K29" s="49">
        <f t="shared" si="5"/>
        <v>0.5190380762</v>
      </c>
      <c r="L29" s="49">
        <f t="shared" si="6"/>
        <v>0.4348697395</v>
      </c>
      <c r="M29" s="49">
        <f t="shared" si="7"/>
        <v>0.04609218437</v>
      </c>
      <c r="N29" s="32" t="str">
        <f t="shared" si="8"/>
        <v>Jânio</v>
      </c>
      <c r="O29" s="50" t="s">
        <v>77</v>
      </c>
      <c r="P29" s="38">
        <v>225.0</v>
      </c>
      <c r="Q29" s="38">
        <v>230.0</v>
      </c>
      <c r="R29" s="38">
        <v>35.0</v>
      </c>
      <c r="S29" s="38">
        <v>62.0</v>
      </c>
      <c r="T29" s="38">
        <v>25.0</v>
      </c>
      <c r="U29" s="48">
        <f t="shared" si="9"/>
        <v>490</v>
      </c>
      <c r="V29" s="48">
        <f t="shared" si="10"/>
        <v>577</v>
      </c>
      <c r="W29" s="49">
        <f t="shared" si="11"/>
        <v>0.4591836735</v>
      </c>
      <c r="X29" s="49">
        <f t="shared" si="12"/>
        <v>0.4693877551</v>
      </c>
      <c r="Y29" s="49">
        <f t="shared" si="13"/>
        <v>0.07142857143</v>
      </c>
      <c r="Z29" s="32" t="str">
        <f t="shared" si="14"/>
        <v>Milton</v>
      </c>
      <c r="AA29" s="50" t="s">
        <v>77</v>
      </c>
      <c r="AB29" s="38">
        <v>730.0</v>
      </c>
      <c r="AC29" s="48">
        <f t="shared" si="15"/>
        <v>153</v>
      </c>
      <c r="AD29" s="51">
        <f t="shared" si="16"/>
        <v>0.7904109589</v>
      </c>
    </row>
    <row r="30">
      <c r="A30" s="61" t="s">
        <v>97</v>
      </c>
      <c r="B30" s="46" t="s">
        <v>1325</v>
      </c>
      <c r="C30" s="47"/>
      <c r="D30" s="38">
        <v>2087.0</v>
      </c>
      <c r="E30" s="38">
        <v>2153.0</v>
      </c>
      <c r="F30" s="38">
        <v>605.0</v>
      </c>
      <c r="G30" s="38">
        <v>666.0</v>
      </c>
      <c r="H30" s="38">
        <v>333.0</v>
      </c>
      <c r="I30" s="48">
        <f t="shared" si="3"/>
        <v>4845</v>
      </c>
      <c r="J30" s="48">
        <f t="shared" si="4"/>
        <v>5844</v>
      </c>
      <c r="K30" s="49">
        <f t="shared" si="5"/>
        <v>0.430753354</v>
      </c>
      <c r="L30" s="49">
        <f t="shared" si="6"/>
        <v>0.444375645</v>
      </c>
      <c r="M30" s="49">
        <f t="shared" si="7"/>
        <v>0.124871001</v>
      </c>
      <c r="N30" s="32" t="str">
        <f t="shared" si="8"/>
        <v>Mal. Lott</v>
      </c>
      <c r="O30" s="50" t="s">
        <v>77</v>
      </c>
      <c r="P30" s="38">
        <v>2126.0</v>
      </c>
      <c r="Q30" s="38">
        <v>1181.0</v>
      </c>
      <c r="R30" s="38">
        <v>657.0</v>
      </c>
      <c r="S30" s="38">
        <v>1645.0</v>
      </c>
      <c r="T30" s="38">
        <v>235.0</v>
      </c>
      <c r="U30" s="48">
        <f t="shared" si="9"/>
        <v>3964</v>
      </c>
      <c r="V30" s="48">
        <f t="shared" si="10"/>
        <v>5844</v>
      </c>
      <c r="W30" s="49">
        <f t="shared" si="11"/>
        <v>0.5363269425</v>
      </c>
      <c r="X30" s="49">
        <f t="shared" si="12"/>
        <v>0.2979313824</v>
      </c>
      <c r="Y30" s="49">
        <f t="shared" si="13"/>
        <v>0.1657416751</v>
      </c>
      <c r="Z30" s="32" t="str">
        <f t="shared" si="14"/>
        <v>Jango</v>
      </c>
      <c r="AA30" s="50" t="s">
        <v>77</v>
      </c>
      <c r="AB30" s="38">
        <v>6743.0</v>
      </c>
      <c r="AC30" s="48">
        <f t="shared" si="15"/>
        <v>899</v>
      </c>
      <c r="AD30" s="51">
        <f t="shared" si="16"/>
        <v>0.8666765535</v>
      </c>
    </row>
    <row r="31">
      <c r="A31" s="23"/>
      <c r="B31" s="46" t="s">
        <v>1326</v>
      </c>
      <c r="C31" s="47"/>
      <c r="D31" s="38">
        <v>297.0</v>
      </c>
      <c r="E31" s="38">
        <v>195.0</v>
      </c>
      <c r="F31" s="38">
        <v>42.0</v>
      </c>
      <c r="G31" s="38">
        <v>213.0</v>
      </c>
      <c r="H31" s="38">
        <v>46.0</v>
      </c>
      <c r="I31" s="48">
        <f t="shared" si="3"/>
        <v>534</v>
      </c>
      <c r="J31" s="48">
        <f t="shared" si="4"/>
        <v>793</v>
      </c>
      <c r="K31" s="49">
        <f t="shared" si="5"/>
        <v>0.5561797753</v>
      </c>
      <c r="L31" s="49">
        <f t="shared" si="6"/>
        <v>0.3651685393</v>
      </c>
      <c r="M31" s="49">
        <f t="shared" si="7"/>
        <v>0.07865168539</v>
      </c>
      <c r="N31" s="32" t="str">
        <f t="shared" si="8"/>
        <v>Jânio</v>
      </c>
      <c r="O31" s="50" t="s">
        <v>77</v>
      </c>
      <c r="P31" s="38">
        <v>206.0</v>
      </c>
      <c r="Q31" s="38">
        <v>49.0</v>
      </c>
      <c r="R31" s="38">
        <v>42.0</v>
      </c>
      <c r="S31" s="38">
        <v>467.0</v>
      </c>
      <c r="T31" s="38">
        <v>29.0</v>
      </c>
      <c r="U31" s="48">
        <f t="shared" si="9"/>
        <v>297</v>
      </c>
      <c r="V31" s="48">
        <f t="shared" si="10"/>
        <v>793</v>
      </c>
      <c r="W31" s="49">
        <f t="shared" si="11"/>
        <v>0.6936026936</v>
      </c>
      <c r="X31" s="49">
        <f t="shared" si="12"/>
        <v>0.164983165</v>
      </c>
      <c r="Y31" s="49">
        <f t="shared" si="13"/>
        <v>0.1414141414</v>
      </c>
      <c r="Z31" s="32" t="str">
        <f t="shared" si="14"/>
        <v>Jango</v>
      </c>
      <c r="AA31" s="50" t="s">
        <v>77</v>
      </c>
      <c r="AB31" s="38">
        <v>1118.0</v>
      </c>
      <c r="AC31" s="48">
        <f t="shared" si="15"/>
        <v>325</v>
      </c>
      <c r="AD31" s="51">
        <f t="shared" si="16"/>
        <v>0.7093023256</v>
      </c>
    </row>
    <row r="32">
      <c r="A32" s="24"/>
      <c r="B32" s="46" t="s">
        <v>1327</v>
      </c>
      <c r="C32" s="47"/>
      <c r="D32" s="38">
        <v>377.0</v>
      </c>
      <c r="E32" s="38">
        <v>240.0</v>
      </c>
      <c r="F32" s="38">
        <v>48.0</v>
      </c>
      <c r="G32" s="38">
        <v>68.0</v>
      </c>
      <c r="H32" s="38">
        <v>54.0</v>
      </c>
      <c r="I32" s="48">
        <f t="shared" si="3"/>
        <v>665</v>
      </c>
      <c r="J32" s="48">
        <f t="shared" si="4"/>
        <v>787</v>
      </c>
      <c r="K32" s="49">
        <f t="shared" si="5"/>
        <v>0.5669172932</v>
      </c>
      <c r="L32" s="49">
        <f t="shared" si="6"/>
        <v>0.3609022556</v>
      </c>
      <c r="M32" s="49">
        <f t="shared" si="7"/>
        <v>0.07218045113</v>
      </c>
      <c r="N32" s="32" t="str">
        <f t="shared" si="8"/>
        <v>Jânio</v>
      </c>
      <c r="O32" s="50" t="s">
        <v>77</v>
      </c>
      <c r="P32" s="38">
        <v>352.0</v>
      </c>
      <c r="Q32" s="38">
        <v>161.0</v>
      </c>
      <c r="R32" s="38">
        <v>75.0</v>
      </c>
      <c r="S32" s="38">
        <v>168.0</v>
      </c>
      <c r="T32" s="38">
        <v>31.0</v>
      </c>
      <c r="U32" s="48">
        <f t="shared" si="9"/>
        <v>588</v>
      </c>
      <c r="V32" s="48">
        <f t="shared" si="10"/>
        <v>787</v>
      </c>
      <c r="W32" s="49">
        <f t="shared" si="11"/>
        <v>0.5986394558</v>
      </c>
      <c r="X32" s="49">
        <f t="shared" si="12"/>
        <v>0.2738095238</v>
      </c>
      <c r="Y32" s="49">
        <f t="shared" si="13"/>
        <v>0.1275510204</v>
      </c>
      <c r="Z32" s="32" t="str">
        <f t="shared" si="14"/>
        <v>Jango</v>
      </c>
      <c r="AA32" s="50" t="s">
        <v>77</v>
      </c>
      <c r="AB32" s="38">
        <v>875.0</v>
      </c>
      <c r="AC32" s="48">
        <f t="shared" si="15"/>
        <v>88</v>
      </c>
      <c r="AD32" s="51">
        <f t="shared" si="16"/>
        <v>0.8994285714</v>
      </c>
    </row>
    <row r="33">
      <c r="A33" s="61" t="s">
        <v>99</v>
      </c>
      <c r="B33" s="46" t="s">
        <v>1328</v>
      </c>
      <c r="C33" s="47"/>
      <c r="D33" s="38">
        <v>540.0</v>
      </c>
      <c r="E33" s="38">
        <v>511.0</v>
      </c>
      <c r="F33" s="38">
        <v>184.0</v>
      </c>
      <c r="G33" s="38">
        <v>227.0</v>
      </c>
      <c r="H33" s="38">
        <v>129.0</v>
      </c>
      <c r="I33" s="48">
        <f t="shared" si="3"/>
        <v>1235</v>
      </c>
      <c r="J33" s="48">
        <f t="shared" si="4"/>
        <v>1591</v>
      </c>
      <c r="K33" s="49">
        <f t="shared" si="5"/>
        <v>0.4372469636</v>
      </c>
      <c r="L33" s="49">
        <f t="shared" si="6"/>
        <v>0.4137651822</v>
      </c>
      <c r="M33" s="49">
        <f t="shared" si="7"/>
        <v>0.1489878543</v>
      </c>
      <c r="N33" s="32" t="str">
        <f t="shared" si="8"/>
        <v>Jânio</v>
      </c>
      <c r="O33" s="50" t="s">
        <v>77</v>
      </c>
      <c r="P33" s="38">
        <v>615.0</v>
      </c>
      <c r="Q33" s="38">
        <v>339.0</v>
      </c>
      <c r="R33" s="38">
        <v>167.0</v>
      </c>
      <c r="S33" s="38">
        <v>401.0</v>
      </c>
      <c r="T33" s="38">
        <v>69.0</v>
      </c>
      <c r="U33" s="48">
        <f t="shared" si="9"/>
        <v>1121</v>
      </c>
      <c r="V33" s="48">
        <f t="shared" si="10"/>
        <v>1591</v>
      </c>
      <c r="W33" s="49">
        <f t="shared" si="11"/>
        <v>0.548617306</v>
      </c>
      <c r="X33" s="49">
        <f t="shared" si="12"/>
        <v>0.3024085638</v>
      </c>
      <c r="Y33" s="49">
        <f t="shared" si="13"/>
        <v>0.1489741302</v>
      </c>
      <c r="Z33" s="32" t="str">
        <f t="shared" si="14"/>
        <v>Jango</v>
      </c>
      <c r="AA33" s="50" t="s">
        <v>77</v>
      </c>
      <c r="AB33" s="38">
        <v>1975.0</v>
      </c>
      <c r="AC33" s="48">
        <f t="shared" si="15"/>
        <v>384</v>
      </c>
      <c r="AD33" s="51">
        <f t="shared" si="16"/>
        <v>0.8055696203</v>
      </c>
    </row>
    <row r="34">
      <c r="A34" s="23"/>
      <c r="B34" s="46" t="s">
        <v>1329</v>
      </c>
      <c r="C34" s="47"/>
      <c r="D34" s="38">
        <v>171.0</v>
      </c>
      <c r="E34" s="38">
        <v>302.0</v>
      </c>
      <c r="F34" s="38">
        <v>85.0</v>
      </c>
      <c r="G34" s="38">
        <v>128.0</v>
      </c>
      <c r="H34" s="38">
        <v>52.0</v>
      </c>
      <c r="I34" s="48">
        <f t="shared" si="3"/>
        <v>558</v>
      </c>
      <c r="J34" s="48">
        <f t="shared" si="4"/>
        <v>738</v>
      </c>
      <c r="K34" s="49">
        <f t="shared" si="5"/>
        <v>0.3064516129</v>
      </c>
      <c r="L34" s="49">
        <f t="shared" si="6"/>
        <v>0.541218638</v>
      </c>
      <c r="M34" s="49">
        <f t="shared" si="7"/>
        <v>0.1523297491</v>
      </c>
      <c r="N34" s="32" t="str">
        <f t="shared" si="8"/>
        <v>Mal. Lott</v>
      </c>
      <c r="O34" s="50" t="s">
        <v>77</v>
      </c>
      <c r="P34" s="38">
        <v>295.0</v>
      </c>
      <c r="Q34" s="38">
        <v>122.0</v>
      </c>
      <c r="R34" s="38">
        <v>59.0</v>
      </c>
      <c r="S34" s="38">
        <v>211.0</v>
      </c>
      <c r="T34" s="38">
        <v>51.0</v>
      </c>
      <c r="U34" s="48">
        <f t="shared" si="9"/>
        <v>476</v>
      </c>
      <c r="V34" s="48">
        <f t="shared" si="10"/>
        <v>738</v>
      </c>
      <c r="W34" s="49">
        <f t="shared" si="11"/>
        <v>0.6197478992</v>
      </c>
      <c r="X34" s="49">
        <f t="shared" si="12"/>
        <v>0.256302521</v>
      </c>
      <c r="Y34" s="49">
        <f t="shared" si="13"/>
        <v>0.1239495798</v>
      </c>
      <c r="Z34" s="32" t="str">
        <f t="shared" si="14"/>
        <v>Jango</v>
      </c>
      <c r="AA34" s="50" t="s">
        <v>77</v>
      </c>
      <c r="AB34" s="38">
        <v>924.0</v>
      </c>
      <c r="AC34" s="48">
        <f t="shared" si="15"/>
        <v>186</v>
      </c>
      <c r="AD34" s="51">
        <f t="shared" si="16"/>
        <v>0.7987012987</v>
      </c>
    </row>
    <row r="35">
      <c r="A35" s="24"/>
      <c r="B35" s="46" t="s">
        <v>1330</v>
      </c>
      <c r="C35" s="47"/>
      <c r="D35" s="38">
        <v>315.0</v>
      </c>
      <c r="E35" s="38">
        <v>473.0</v>
      </c>
      <c r="F35" s="38">
        <v>105.0</v>
      </c>
      <c r="G35" s="38">
        <v>106.0</v>
      </c>
      <c r="H35" s="38">
        <v>83.0</v>
      </c>
      <c r="I35" s="48">
        <f t="shared" si="3"/>
        <v>893</v>
      </c>
      <c r="J35" s="48">
        <f t="shared" si="4"/>
        <v>1082</v>
      </c>
      <c r="K35" s="49">
        <f t="shared" si="5"/>
        <v>0.352743561</v>
      </c>
      <c r="L35" s="49">
        <f t="shared" si="6"/>
        <v>0.529675252</v>
      </c>
      <c r="M35" s="49">
        <f t="shared" si="7"/>
        <v>0.117581187</v>
      </c>
      <c r="N35" s="32" t="str">
        <f t="shared" si="8"/>
        <v>Mal. Lott</v>
      </c>
      <c r="O35" s="50" t="s">
        <v>77</v>
      </c>
      <c r="P35" s="38">
        <v>487.0</v>
      </c>
      <c r="Q35" s="38">
        <v>152.0</v>
      </c>
      <c r="R35" s="38">
        <v>113.0</v>
      </c>
      <c r="S35" s="38">
        <v>270.0</v>
      </c>
      <c r="T35" s="38">
        <v>60.0</v>
      </c>
      <c r="U35" s="48">
        <f t="shared" si="9"/>
        <v>752</v>
      </c>
      <c r="V35" s="48">
        <f t="shared" si="10"/>
        <v>1082</v>
      </c>
      <c r="W35" s="49">
        <f t="shared" si="11"/>
        <v>0.647606383</v>
      </c>
      <c r="X35" s="49">
        <f t="shared" si="12"/>
        <v>0.2021276596</v>
      </c>
      <c r="Y35" s="49">
        <f t="shared" si="13"/>
        <v>0.1502659574</v>
      </c>
      <c r="Z35" s="32" t="str">
        <f t="shared" si="14"/>
        <v>Jango</v>
      </c>
      <c r="AA35" s="50" t="s">
        <v>77</v>
      </c>
      <c r="AB35" s="38">
        <v>1160.0</v>
      </c>
      <c r="AC35" s="48">
        <f t="shared" si="15"/>
        <v>78</v>
      </c>
      <c r="AD35" s="51">
        <f t="shared" si="16"/>
        <v>0.9327586207</v>
      </c>
    </row>
    <row r="36">
      <c r="A36" s="110" t="s">
        <v>104</v>
      </c>
      <c r="B36" s="46" t="s">
        <v>1331</v>
      </c>
      <c r="C36" s="47"/>
      <c r="D36" s="38">
        <v>638.0</v>
      </c>
      <c r="E36" s="38">
        <v>505.0</v>
      </c>
      <c r="F36" s="38">
        <v>117.0</v>
      </c>
      <c r="G36" s="38">
        <v>111.0</v>
      </c>
      <c r="H36" s="38">
        <v>123.0</v>
      </c>
      <c r="I36" s="48">
        <f t="shared" si="3"/>
        <v>1260</v>
      </c>
      <c r="J36" s="48">
        <f t="shared" si="4"/>
        <v>1494</v>
      </c>
      <c r="K36" s="49">
        <f t="shared" si="5"/>
        <v>0.5063492063</v>
      </c>
      <c r="L36" s="49">
        <f t="shared" si="6"/>
        <v>0.4007936508</v>
      </c>
      <c r="M36" s="49">
        <f t="shared" si="7"/>
        <v>0.09285714286</v>
      </c>
      <c r="N36" s="32" t="str">
        <f t="shared" si="8"/>
        <v>Jânio</v>
      </c>
      <c r="O36" s="50" t="s">
        <v>77</v>
      </c>
      <c r="P36" s="55">
        <v>544.0</v>
      </c>
      <c r="Q36" s="38">
        <v>478.0</v>
      </c>
      <c r="R36" s="38">
        <v>131.0</v>
      </c>
      <c r="S36" s="38">
        <v>271.0</v>
      </c>
      <c r="T36" s="38">
        <v>70.0</v>
      </c>
      <c r="U36" s="48">
        <f t="shared" si="9"/>
        <v>1153</v>
      </c>
      <c r="V36" s="114">
        <f t="shared" si="10"/>
        <v>1494</v>
      </c>
      <c r="W36" s="49">
        <f t="shared" si="11"/>
        <v>0.4718126626</v>
      </c>
      <c r="X36" s="49">
        <f t="shared" si="12"/>
        <v>0.4145706852</v>
      </c>
      <c r="Y36" s="49">
        <f t="shared" si="13"/>
        <v>0.1136166522</v>
      </c>
      <c r="Z36" s="32" t="str">
        <f t="shared" si="14"/>
        <v>Jango</v>
      </c>
      <c r="AA36" s="50" t="s">
        <v>77</v>
      </c>
      <c r="AB36" s="38">
        <v>1841.0</v>
      </c>
      <c r="AC36" s="48">
        <f t="shared" si="15"/>
        <v>347</v>
      </c>
      <c r="AD36" s="51">
        <f t="shared" si="16"/>
        <v>0.8115154807</v>
      </c>
    </row>
    <row r="37">
      <c r="A37" s="61" t="s">
        <v>107</v>
      </c>
      <c r="B37" s="46" t="s">
        <v>1332</v>
      </c>
      <c r="C37" s="47"/>
      <c r="D37" s="38">
        <v>542.0</v>
      </c>
      <c r="E37" s="38">
        <v>1404.0</v>
      </c>
      <c r="F37" s="38">
        <v>309.0</v>
      </c>
      <c r="G37" s="38">
        <v>221.0</v>
      </c>
      <c r="H37" s="38">
        <v>155.0</v>
      </c>
      <c r="I37" s="48">
        <f t="shared" si="3"/>
        <v>2255</v>
      </c>
      <c r="J37" s="48">
        <f t="shared" si="4"/>
        <v>2631</v>
      </c>
      <c r="K37" s="49">
        <f t="shared" si="5"/>
        <v>0.2403547672</v>
      </c>
      <c r="L37" s="49">
        <f t="shared" si="6"/>
        <v>0.622616408</v>
      </c>
      <c r="M37" s="49">
        <f t="shared" si="7"/>
        <v>0.1370288248</v>
      </c>
      <c r="N37" s="32" t="str">
        <f t="shared" si="8"/>
        <v>Mal. Lott</v>
      </c>
      <c r="O37" s="50" t="s">
        <v>77</v>
      </c>
      <c r="P37" s="38">
        <v>1291.0</v>
      </c>
      <c r="Q37" s="38">
        <v>450.0</v>
      </c>
      <c r="R37" s="38">
        <v>274.0</v>
      </c>
      <c r="S37" s="38">
        <v>522.0</v>
      </c>
      <c r="T37" s="38">
        <v>94.0</v>
      </c>
      <c r="U37" s="48">
        <f t="shared" si="9"/>
        <v>2015</v>
      </c>
      <c r="V37" s="48">
        <f t="shared" si="10"/>
        <v>2631</v>
      </c>
      <c r="W37" s="49">
        <f t="shared" si="11"/>
        <v>0.6406947891</v>
      </c>
      <c r="X37" s="49">
        <f t="shared" si="12"/>
        <v>0.223325062</v>
      </c>
      <c r="Y37" s="49">
        <f t="shared" si="13"/>
        <v>0.1359801489</v>
      </c>
      <c r="Z37" s="32" t="str">
        <f t="shared" si="14"/>
        <v>Jango</v>
      </c>
      <c r="AA37" s="50" t="s">
        <v>77</v>
      </c>
      <c r="AB37" s="38">
        <v>3463.0</v>
      </c>
      <c r="AC37" s="48">
        <f t="shared" si="15"/>
        <v>832</v>
      </c>
      <c r="AD37" s="51">
        <f t="shared" si="16"/>
        <v>0.7597458851</v>
      </c>
    </row>
    <row r="38">
      <c r="A38" s="23"/>
      <c r="B38" s="46" t="s">
        <v>707</v>
      </c>
      <c r="C38" s="47"/>
      <c r="D38" s="38">
        <v>88.0</v>
      </c>
      <c r="E38" s="38">
        <v>192.0</v>
      </c>
      <c r="F38" s="38">
        <v>17.0</v>
      </c>
      <c r="G38" s="38">
        <v>32.0</v>
      </c>
      <c r="H38" s="38">
        <v>19.0</v>
      </c>
      <c r="I38" s="48">
        <f t="shared" si="3"/>
        <v>297</v>
      </c>
      <c r="J38" s="48">
        <f t="shared" si="4"/>
        <v>348</v>
      </c>
      <c r="K38" s="49">
        <f t="shared" si="5"/>
        <v>0.2962962963</v>
      </c>
      <c r="L38" s="49">
        <f t="shared" si="6"/>
        <v>0.6464646465</v>
      </c>
      <c r="M38" s="49">
        <f t="shared" si="7"/>
        <v>0.05723905724</v>
      </c>
      <c r="N38" s="32" t="str">
        <f t="shared" si="8"/>
        <v>Mal. Lott</v>
      </c>
      <c r="O38" s="50" t="s">
        <v>77</v>
      </c>
      <c r="P38" s="38">
        <v>192.0</v>
      </c>
      <c r="Q38" s="38">
        <v>37.0</v>
      </c>
      <c r="R38" s="38">
        <v>25.0</v>
      </c>
      <c r="S38" s="38">
        <v>83.0</v>
      </c>
      <c r="T38" s="38">
        <v>11.0</v>
      </c>
      <c r="U38" s="48">
        <f t="shared" si="9"/>
        <v>254</v>
      </c>
      <c r="V38" s="48">
        <f t="shared" si="10"/>
        <v>348</v>
      </c>
      <c r="W38" s="49">
        <f t="shared" si="11"/>
        <v>0.7559055118</v>
      </c>
      <c r="X38" s="49">
        <f t="shared" si="12"/>
        <v>0.1456692913</v>
      </c>
      <c r="Y38" s="49">
        <f t="shared" si="13"/>
        <v>0.09842519685</v>
      </c>
      <c r="Z38" s="32" t="str">
        <f t="shared" si="14"/>
        <v>Jango</v>
      </c>
      <c r="AA38" s="50" t="s">
        <v>77</v>
      </c>
      <c r="AB38" s="38">
        <v>359.0</v>
      </c>
      <c r="AC38" s="48">
        <f t="shared" si="15"/>
        <v>11</v>
      </c>
      <c r="AD38" s="51">
        <f t="shared" si="16"/>
        <v>0.9693593315</v>
      </c>
    </row>
    <row r="39">
      <c r="A39" s="23"/>
      <c r="B39" s="46" t="s">
        <v>1333</v>
      </c>
      <c r="C39" s="47"/>
      <c r="D39" s="55">
        <v>77.0</v>
      </c>
      <c r="E39" s="38">
        <v>313.0</v>
      </c>
      <c r="F39" s="55">
        <v>66.0</v>
      </c>
      <c r="G39" s="38">
        <v>25.0</v>
      </c>
      <c r="H39" s="38">
        <v>38.0</v>
      </c>
      <c r="I39" s="48">
        <f t="shared" si="3"/>
        <v>456</v>
      </c>
      <c r="J39" s="114">
        <f t="shared" si="4"/>
        <v>519</v>
      </c>
      <c r="K39" s="49">
        <f t="shared" si="5"/>
        <v>0.1688596491</v>
      </c>
      <c r="L39" s="49">
        <f t="shared" si="6"/>
        <v>0.6864035088</v>
      </c>
      <c r="M39" s="49">
        <f t="shared" si="7"/>
        <v>0.1447368421</v>
      </c>
      <c r="N39" s="32" t="str">
        <f t="shared" si="8"/>
        <v>Mal. Lott</v>
      </c>
      <c r="O39" s="50" t="s">
        <v>77</v>
      </c>
      <c r="P39" s="38">
        <v>334.0</v>
      </c>
      <c r="Q39" s="38">
        <v>65.0</v>
      </c>
      <c r="R39" s="38">
        <v>37.0</v>
      </c>
      <c r="S39" s="38">
        <v>64.0</v>
      </c>
      <c r="T39" s="38">
        <v>19.0</v>
      </c>
      <c r="U39" s="48">
        <f t="shared" si="9"/>
        <v>436</v>
      </c>
      <c r="V39" s="48">
        <f t="shared" si="10"/>
        <v>519</v>
      </c>
      <c r="W39" s="49">
        <f t="shared" si="11"/>
        <v>0.7660550459</v>
      </c>
      <c r="X39" s="49">
        <f t="shared" si="12"/>
        <v>0.1490825688</v>
      </c>
      <c r="Y39" s="49">
        <f t="shared" si="13"/>
        <v>0.08486238532</v>
      </c>
      <c r="Z39" s="32" t="str">
        <f t="shared" si="14"/>
        <v>Jango</v>
      </c>
      <c r="AA39" s="50" t="s">
        <v>77</v>
      </c>
      <c r="AB39" s="38">
        <v>663.0</v>
      </c>
      <c r="AC39" s="48">
        <f t="shared" si="15"/>
        <v>144</v>
      </c>
      <c r="AD39" s="51">
        <f t="shared" si="16"/>
        <v>0.7828054299</v>
      </c>
    </row>
    <row r="40">
      <c r="A40" s="23"/>
      <c r="B40" s="46" t="s">
        <v>1334</v>
      </c>
      <c r="C40" s="47"/>
      <c r="D40" s="38">
        <v>197.0</v>
      </c>
      <c r="E40" s="38">
        <v>261.0</v>
      </c>
      <c r="F40" s="38">
        <v>45.0</v>
      </c>
      <c r="G40" s="38">
        <v>46.0</v>
      </c>
      <c r="H40" s="38">
        <v>54.0</v>
      </c>
      <c r="I40" s="48">
        <f t="shared" si="3"/>
        <v>503</v>
      </c>
      <c r="J40" s="48">
        <f t="shared" si="4"/>
        <v>603</v>
      </c>
      <c r="K40" s="49">
        <f t="shared" si="5"/>
        <v>0.3916500994</v>
      </c>
      <c r="L40" s="49">
        <f t="shared" si="6"/>
        <v>0.5188866799</v>
      </c>
      <c r="M40" s="49">
        <f t="shared" si="7"/>
        <v>0.08946322068</v>
      </c>
      <c r="N40" s="32" t="str">
        <f t="shared" si="8"/>
        <v>Mal. Lott</v>
      </c>
      <c r="O40" s="50" t="s">
        <v>77</v>
      </c>
      <c r="P40" s="38">
        <v>299.0</v>
      </c>
      <c r="Q40" s="38">
        <v>149.0</v>
      </c>
      <c r="R40" s="38">
        <v>51.0</v>
      </c>
      <c r="S40" s="38">
        <v>61.0</v>
      </c>
      <c r="T40" s="38">
        <v>43.0</v>
      </c>
      <c r="U40" s="48">
        <f t="shared" si="9"/>
        <v>499</v>
      </c>
      <c r="V40" s="48">
        <f t="shared" si="10"/>
        <v>603</v>
      </c>
      <c r="W40" s="49">
        <f t="shared" si="11"/>
        <v>0.5991983968</v>
      </c>
      <c r="X40" s="49">
        <f t="shared" si="12"/>
        <v>0.2985971944</v>
      </c>
      <c r="Y40" s="49">
        <f t="shared" si="13"/>
        <v>0.1022044088</v>
      </c>
      <c r="Z40" s="32" t="str">
        <f t="shared" si="14"/>
        <v>Jango</v>
      </c>
      <c r="AA40" s="50" t="s">
        <v>77</v>
      </c>
      <c r="AB40" s="38">
        <v>667.0</v>
      </c>
      <c r="AC40" s="48">
        <f t="shared" si="15"/>
        <v>64</v>
      </c>
      <c r="AD40" s="51">
        <f t="shared" si="16"/>
        <v>0.904047976</v>
      </c>
    </row>
    <row r="41">
      <c r="A41" s="23"/>
      <c r="B41" s="46" t="s">
        <v>1335</v>
      </c>
      <c r="C41" s="47"/>
      <c r="D41" s="38">
        <v>172.0</v>
      </c>
      <c r="E41" s="38">
        <v>160.0</v>
      </c>
      <c r="F41" s="38">
        <v>37.0</v>
      </c>
      <c r="G41" s="38">
        <v>47.0</v>
      </c>
      <c r="H41" s="38">
        <v>37.0</v>
      </c>
      <c r="I41" s="48">
        <f t="shared" si="3"/>
        <v>369</v>
      </c>
      <c r="J41" s="48">
        <f t="shared" si="4"/>
        <v>453</v>
      </c>
      <c r="K41" s="49">
        <f t="shared" si="5"/>
        <v>0.4661246612</v>
      </c>
      <c r="L41" s="49">
        <f t="shared" si="6"/>
        <v>0.433604336</v>
      </c>
      <c r="M41" s="49">
        <f t="shared" si="7"/>
        <v>0.1002710027</v>
      </c>
      <c r="N41" s="32" t="str">
        <f t="shared" si="8"/>
        <v>Jânio</v>
      </c>
      <c r="O41" s="50" t="s">
        <v>77</v>
      </c>
      <c r="P41" s="38">
        <v>227.0</v>
      </c>
      <c r="Q41" s="38">
        <v>113.0</v>
      </c>
      <c r="R41" s="38">
        <v>27.0</v>
      </c>
      <c r="S41" s="38">
        <v>67.0</v>
      </c>
      <c r="T41" s="38">
        <v>19.0</v>
      </c>
      <c r="U41" s="48">
        <f t="shared" si="9"/>
        <v>367</v>
      </c>
      <c r="V41" s="48">
        <f t="shared" si="10"/>
        <v>453</v>
      </c>
      <c r="W41" s="49">
        <f t="shared" si="11"/>
        <v>0.6185286104</v>
      </c>
      <c r="X41" s="49">
        <f t="shared" si="12"/>
        <v>0.3079019074</v>
      </c>
      <c r="Y41" s="49">
        <f t="shared" si="13"/>
        <v>0.07356948229</v>
      </c>
      <c r="Z41" s="32" t="str">
        <f t="shared" si="14"/>
        <v>Jango</v>
      </c>
      <c r="AA41" s="50" t="s">
        <v>77</v>
      </c>
      <c r="AB41" s="38">
        <v>505.0</v>
      </c>
      <c r="AC41" s="48">
        <f t="shared" si="15"/>
        <v>52</v>
      </c>
      <c r="AD41" s="51">
        <f t="shared" si="16"/>
        <v>0.897029703</v>
      </c>
    </row>
    <row r="42">
      <c r="A42" s="24"/>
      <c r="B42" s="46" t="s">
        <v>1336</v>
      </c>
      <c r="C42" s="47"/>
      <c r="D42" s="38">
        <v>63.0</v>
      </c>
      <c r="E42" s="38">
        <v>217.0</v>
      </c>
      <c r="F42" s="38">
        <v>29.0</v>
      </c>
      <c r="G42" s="38">
        <v>20.0</v>
      </c>
      <c r="H42" s="38">
        <v>15.0</v>
      </c>
      <c r="I42" s="48">
        <f t="shared" si="3"/>
        <v>309</v>
      </c>
      <c r="J42" s="48">
        <f t="shared" si="4"/>
        <v>344</v>
      </c>
      <c r="K42" s="49">
        <f t="shared" si="5"/>
        <v>0.2038834951</v>
      </c>
      <c r="L42" s="49">
        <f t="shared" si="6"/>
        <v>0.7022653722</v>
      </c>
      <c r="M42" s="49">
        <f t="shared" si="7"/>
        <v>0.09385113269</v>
      </c>
      <c r="N42" s="32" t="str">
        <f t="shared" si="8"/>
        <v>Mal. Lott</v>
      </c>
      <c r="O42" s="50" t="s">
        <v>77</v>
      </c>
      <c r="P42" s="38">
        <v>173.0</v>
      </c>
      <c r="Q42" s="38">
        <v>48.0</v>
      </c>
      <c r="R42" s="38">
        <v>73.0</v>
      </c>
      <c r="S42" s="38">
        <v>32.0</v>
      </c>
      <c r="T42" s="38">
        <v>18.0</v>
      </c>
      <c r="U42" s="48">
        <f t="shared" si="9"/>
        <v>294</v>
      </c>
      <c r="V42" s="48">
        <f t="shared" si="10"/>
        <v>344</v>
      </c>
      <c r="W42" s="49">
        <f t="shared" si="11"/>
        <v>0.5884353741</v>
      </c>
      <c r="X42" s="49">
        <f t="shared" si="12"/>
        <v>0.1632653061</v>
      </c>
      <c r="Y42" s="49">
        <f t="shared" si="13"/>
        <v>0.2482993197</v>
      </c>
      <c r="Z42" s="32" t="str">
        <f t="shared" si="14"/>
        <v>Jango</v>
      </c>
      <c r="AA42" s="50" t="s">
        <v>77</v>
      </c>
      <c r="AB42" s="38">
        <v>533.0</v>
      </c>
      <c r="AC42" s="48">
        <f t="shared" si="15"/>
        <v>189</v>
      </c>
      <c r="AD42" s="51">
        <f t="shared" si="16"/>
        <v>0.6454033771</v>
      </c>
    </row>
    <row r="43">
      <c r="A43" s="61" t="s">
        <v>111</v>
      </c>
      <c r="B43" s="46" t="s">
        <v>1337</v>
      </c>
      <c r="C43" s="47"/>
      <c r="D43" s="38">
        <v>1601.0</v>
      </c>
      <c r="E43" s="38">
        <v>1168.0</v>
      </c>
      <c r="F43" s="38">
        <v>497.0</v>
      </c>
      <c r="G43" s="38">
        <v>272.0</v>
      </c>
      <c r="H43" s="38">
        <v>307.0</v>
      </c>
      <c r="I43" s="48">
        <f t="shared" si="3"/>
        <v>3266</v>
      </c>
      <c r="J43" s="48">
        <f t="shared" si="4"/>
        <v>3845</v>
      </c>
      <c r="K43" s="49">
        <f t="shared" si="5"/>
        <v>0.4902020821</v>
      </c>
      <c r="L43" s="49">
        <f t="shared" si="6"/>
        <v>0.3576240049</v>
      </c>
      <c r="M43" s="49">
        <f t="shared" si="7"/>
        <v>0.152173913</v>
      </c>
      <c r="N43" s="32" t="str">
        <f t="shared" si="8"/>
        <v>Jânio</v>
      </c>
      <c r="O43" s="50" t="s">
        <v>77</v>
      </c>
      <c r="P43" s="38">
        <v>1352.0</v>
      </c>
      <c r="Q43" s="38">
        <v>1081.0</v>
      </c>
      <c r="R43" s="38">
        <v>658.0</v>
      </c>
      <c r="S43" s="38">
        <v>546.0</v>
      </c>
      <c r="T43" s="38">
        <v>208.0</v>
      </c>
      <c r="U43" s="48">
        <f t="shared" si="9"/>
        <v>3091</v>
      </c>
      <c r="V43" s="48">
        <f t="shared" si="10"/>
        <v>3845</v>
      </c>
      <c r="W43" s="49">
        <f t="shared" si="11"/>
        <v>0.4373989</v>
      </c>
      <c r="X43" s="49">
        <f t="shared" si="12"/>
        <v>0.3497250081</v>
      </c>
      <c r="Y43" s="49">
        <f t="shared" si="13"/>
        <v>0.2128760919</v>
      </c>
      <c r="Z43" s="32" t="str">
        <f t="shared" si="14"/>
        <v>Jango</v>
      </c>
      <c r="AA43" s="50" t="s">
        <v>77</v>
      </c>
      <c r="AB43" s="38">
        <v>4851.0</v>
      </c>
      <c r="AC43" s="48">
        <f t="shared" si="15"/>
        <v>1006</v>
      </c>
      <c r="AD43" s="51">
        <f t="shared" si="16"/>
        <v>0.7926200783</v>
      </c>
    </row>
    <row r="44">
      <c r="A44" s="23"/>
      <c r="B44" s="46" t="s">
        <v>1338</v>
      </c>
      <c r="C44" s="47"/>
      <c r="D44" s="38">
        <v>127.0</v>
      </c>
      <c r="E44" s="38">
        <v>125.0</v>
      </c>
      <c r="F44" s="38">
        <v>48.0</v>
      </c>
      <c r="G44" s="38">
        <v>28.0</v>
      </c>
      <c r="H44" s="38">
        <v>21.0</v>
      </c>
      <c r="I44" s="48">
        <f t="shared" si="3"/>
        <v>300</v>
      </c>
      <c r="J44" s="48">
        <f t="shared" si="4"/>
        <v>349</v>
      </c>
      <c r="K44" s="49">
        <f t="shared" si="5"/>
        <v>0.4233333333</v>
      </c>
      <c r="L44" s="49">
        <f t="shared" si="6"/>
        <v>0.4166666667</v>
      </c>
      <c r="M44" s="49">
        <f t="shared" si="7"/>
        <v>0.16</v>
      </c>
      <c r="N44" s="32" t="str">
        <f t="shared" si="8"/>
        <v>Jânio</v>
      </c>
      <c r="O44" s="50" t="s">
        <v>77</v>
      </c>
      <c r="P44" s="38">
        <v>154.0</v>
      </c>
      <c r="Q44" s="38">
        <v>69.0</v>
      </c>
      <c r="R44" s="38">
        <v>63.0</v>
      </c>
      <c r="S44" s="38">
        <v>43.0</v>
      </c>
      <c r="T44" s="38">
        <v>20.0</v>
      </c>
      <c r="U44" s="48">
        <f t="shared" si="9"/>
        <v>286</v>
      </c>
      <c r="V44" s="48">
        <f t="shared" si="10"/>
        <v>349</v>
      </c>
      <c r="W44" s="49">
        <f t="shared" si="11"/>
        <v>0.5384615385</v>
      </c>
      <c r="X44" s="49">
        <f t="shared" si="12"/>
        <v>0.2412587413</v>
      </c>
      <c r="Y44" s="49">
        <f t="shared" si="13"/>
        <v>0.2202797203</v>
      </c>
      <c r="Z44" s="32" t="str">
        <f t="shared" si="14"/>
        <v>Jango</v>
      </c>
      <c r="AA44" s="50" t="s">
        <v>77</v>
      </c>
      <c r="AB44" s="38">
        <v>445.0</v>
      </c>
      <c r="AC44" s="48">
        <f t="shared" si="15"/>
        <v>96</v>
      </c>
      <c r="AD44" s="51">
        <f t="shared" si="16"/>
        <v>0.7842696629</v>
      </c>
    </row>
    <row r="45">
      <c r="A45" s="23"/>
      <c r="B45" s="46" t="s">
        <v>1339</v>
      </c>
      <c r="C45" s="47"/>
      <c r="D45" s="38">
        <v>372.0</v>
      </c>
      <c r="E45" s="38">
        <v>367.0</v>
      </c>
      <c r="F45" s="38">
        <v>65.0</v>
      </c>
      <c r="G45" s="38">
        <v>99.0</v>
      </c>
      <c r="H45" s="38">
        <v>102.0</v>
      </c>
      <c r="I45" s="48">
        <f t="shared" si="3"/>
        <v>804</v>
      </c>
      <c r="J45" s="48">
        <f t="shared" si="4"/>
        <v>1005</v>
      </c>
      <c r="K45" s="49">
        <f t="shared" si="5"/>
        <v>0.4626865672</v>
      </c>
      <c r="L45" s="49">
        <f t="shared" si="6"/>
        <v>0.4564676617</v>
      </c>
      <c r="M45" s="49">
        <f t="shared" si="7"/>
        <v>0.08084577114</v>
      </c>
      <c r="N45" s="32" t="str">
        <f t="shared" si="8"/>
        <v>Jânio</v>
      </c>
      <c r="O45" s="50" t="s">
        <v>77</v>
      </c>
      <c r="P45" s="38">
        <v>416.0</v>
      </c>
      <c r="Q45" s="38">
        <v>257.0</v>
      </c>
      <c r="R45" s="38">
        <v>76.0</v>
      </c>
      <c r="S45" s="38">
        <v>196.0</v>
      </c>
      <c r="T45" s="38">
        <v>60.0</v>
      </c>
      <c r="U45" s="48">
        <f t="shared" si="9"/>
        <v>749</v>
      </c>
      <c r="V45" s="48">
        <f t="shared" si="10"/>
        <v>1005</v>
      </c>
      <c r="W45" s="49">
        <f t="shared" si="11"/>
        <v>0.5554072096</v>
      </c>
      <c r="X45" s="49">
        <f t="shared" si="12"/>
        <v>0.3431241656</v>
      </c>
      <c r="Y45" s="49">
        <f t="shared" si="13"/>
        <v>0.1014686248</v>
      </c>
      <c r="Z45" s="32" t="str">
        <f t="shared" si="14"/>
        <v>Jango</v>
      </c>
      <c r="AA45" s="50" t="s">
        <v>77</v>
      </c>
      <c r="AB45" s="38">
        <v>1255.0</v>
      </c>
      <c r="AC45" s="48">
        <f t="shared" si="15"/>
        <v>250</v>
      </c>
      <c r="AD45" s="51">
        <f t="shared" si="16"/>
        <v>0.8007968127</v>
      </c>
    </row>
    <row r="46">
      <c r="A46" s="23"/>
      <c r="B46" s="46" t="s">
        <v>1340</v>
      </c>
      <c r="C46" s="47"/>
      <c r="D46" s="38">
        <v>647.0</v>
      </c>
      <c r="E46" s="38">
        <v>648.0</v>
      </c>
      <c r="F46" s="38">
        <v>176.0</v>
      </c>
      <c r="G46" s="38">
        <v>294.0</v>
      </c>
      <c r="H46" s="38">
        <v>229.0</v>
      </c>
      <c r="I46" s="48">
        <f t="shared" si="3"/>
        <v>1471</v>
      </c>
      <c r="J46" s="48">
        <f t="shared" si="4"/>
        <v>1994</v>
      </c>
      <c r="K46" s="49">
        <f t="shared" si="5"/>
        <v>0.4398368457</v>
      </c>
      <c r="L46" s="49">
        <f t="shared" si="6"/>
        <v>0.4405166553</v>
      </c>
      <c r="M46" s="49">
        <f t="shared" si="7"/>
        <v>0.119646499</v>
      </c>
      <c r="N46" s="32" t="str">
        <f t="shared" si="8"/>
        <v>Mal. Lott</v>
      </c>
      <c r="O46" s="50" t="s">
        <v>77</v>
      </c>
      <c r="P46" s="38">
        <v>698.0</v>
      </c>
      <c r="Q46" s="38">
        <v>456.0</v>
      </c>
      <c r="R46" s="38">
        <v>187.0</v>
      </c>
      <c r="S46" s="38">
        <v>481.0</v>
      </c>
      <c r="T46" s="38">
        <v>172.0</v>
      </c>
      <c r="U46" s="48">
        <f t="shared" si="9"/>
        <v>1341</v>
      </c>
      <c r="V46" s="48">
        <f t="shared" si="10"/>
        <v>1994</v>
      </c>
      <c r="W46" s="49">
        <f t="shared" si="11"/>
        <v>0.5205070843</v>
      </c>
      <c r="X46" s="49">
        <f t="shared" si="12"/>
        <v>0.3400447427</v>
      </c>
      <c r="Y46" s="49">
        <f t="shared" si="13"/>
        <v>0.139448173</v>
      </c>
      <c r="Z46" s="32" t="str">
        <f t="shared" si="14"/>
        <v>Jango</v>
      </c>
      <c r="AA46" s="50" t="s">
        <v>77</v>
      </c>
      <c r="AB46" s="38">
        <v>2632.0</v>
      </c>
      <c r="AC46" s="48">
        <f t="shared" si="15"/>
        <v>638</v>
      </c>
      <c r="AD46" s="51">
        <f t="shared" si="16"/>
        <v>0.7575987842</v>
      </c>
    </row>
    <row r="47">
      <c r="A47" s="24"/>
      <c r="B47" s="46" t="s">
        <v>1341</v>
      </c>
      <c r="C47" s="47"/>
      <c r="D47" s="38">
        <v>366.0</v>
      </c>
      <c r="E47" s="38">
        <v>401.0</v>
      </c>
      <c r="F47" s="38">
        <v>105.0</v>
      </c>
      <c r="G47" s="38">
        <v>114.0</v>
      </c>
      <c r="H47" s="38">
        <v>132.0</v>
      </c>
      <c r="I47" s="48">
        <f t="shared" si="3"/>
        <v>872</v>
      </c>
      <c r="J47" s="48">
        <f t="shared" si="4"/>
        <v>1118</v>
      </c>
      <c r="K47" s="49">
        <f t="shared" si="5"/>
        <v>0.4197247706</v>
      </c>
      <c r="L47" s="49">
        <f t="shared" si="6"/>
        <v>0.4598623853</v>
      </c>
      <c r="M47" s="49">
        <f t="shared" si="7"/>
        <v>0.120412844</v>
      </c>
      <c r="N47" s="32" t="str">
        <f t="shared" si="8"/>
        <v>Mal. Lott</v>
      </c>
      <c r="O47" s="50" t="s">
        <v>77</v>
      </c>
      <c r="P47" s="38">
        <v>484.0</v>
      </c>
      <c r="Q47" s="38">
        <v>224.0</v>
      </c>
      <c r="R47" s="38">
        <v>104.0</v>
      </c>
      <c r="S47" s="38">
        <v>245.0</v>
      </c>
      <c r="T47" s="38">
        <v>61.0</v>
      </c>
      <c r="U47" s="48">
        <f t="shared" si="9"/>
        <v>812</v>
      </c>
      <c r="V47" s="48">
        <f t="shared" si="10"/>
        <v>1118</v>
      </c>
      <c r="W47" s="49">
        <f t="shared" si="11"/>
        <v>0.5960591133</v>
      </c>
      <c r="X47" s="49">
        <f t="shared" si="12"/>
        <v>0.275862069</v>
      </c>
      <c r="Y47" s="49">
        <f t="shared" si="13"/>
        <v>0.1280788177</v>
      </c>
      <c r="Z47" s="32" t="str">
        <f t="shared" si="14"/>
        <v>Jango</v>
      </c>
      <c r="AA47" s="50" t="s">
        <v>77</v>
      </c>
      <c r="AB47" s="38">
        <v>1349.0</v>
      </c>
      <c r="AC47" s="48">
        <f t="shared" si="15"/>
        <v>231</v>
      </c>
      <c r="AD47" s="51">
        <f t="shared" si="16"/>
        <v>0.828762046</v>
      </c>
    </row>
    <row r="48">
      <c r="A48" s="61" t="s">
        <v>114</v>
      </c>
      <c r="B48" s="46" t="s">
        <v>369</v>
      </c>
      <c r="C48" s="47"/>
      <c r="D48" s="38">
        <v>2606.0</v>
      </c>
      <c r="E48" s="38">
        <v>1806.0</v>
      </c>
      <c r="F48" s="38">
        <v>420.0</v>
      </c>
      <c r="G48" s="38">
        <v>385.0</v>
      </c>
      <c r="H48" s="38">
        <v>585.0</v>
      </c>
      <c r="I48" s="48">
        <f t="shared" si="3"/>
        <v>4832</v>
      </c>
      <c r="J48" s="48">
        <f t="shared" si="4"/>
        <v>5802</v>
      </c>
      <c r="K48" s="49">
        <f t="shared" si="5"/>
        <v>0.5393211921</v>
      </c>
      <c r="L48" s="49">
        <f t="shared" si="6"/>
        <v>0.3737582781</v>
      </c>
      <c r="M48" s="49">
        <f t="shared" si="7"/>
        <v>0.0869205298</v>
      </c>
      <c r="N48" s="32" t="str">
        <f t="shared" si="8"/>
        <v>Jânio</v>
      </c>
      <c r="O48" s="50" t="s">
        <v>77</v>
      </c>
      <c r="P48" s="38">
        <v>2033.0</v>
      </c>
      <c r="Q48" s="38">
        <v>2186.0</v>
      </c>
      <c r="R48" s="38">
        <v>359.0</v>
      </c>
      <c r="S48" s="38">
        <v>742.0</v>
      </c>
      <c r="T48" s="38">
        <v>482.0</v>
      </c>
      <c r="U48" s="48">
        <f t="shared" si="9"/>
        <v>4578</v>
      </c>
      <c r="V48" s="48">
        <f t="shared" si="10"/>
        <v>5802</v>
      </c>
      <c r="W48" s="49">
        <f t="shared" si="11"/>
        <v>0.4440803844</v>
      </c>
      <c r="X48" s="49">
        <f t="shared" si="12"/>
        <v>0.4775010922</v>
      </c>
      <c r="Y48" s="49">
        <f t="shared" si="13"/>
        <v>0.07841852337</v>
      </c>
      <c r="Z48" s="32" t="str">
        <f t="shared" si="14"/>
        <v>Milton</v>
      </c>
      <c r="AA48" s="50" t="s">
        <v>77</v>
      </c>
      <c r="AB48" s="38">
        <v>7323.0</v>
      </c>
      <c r="AC48" s="48">
        <f t="shared" si="15"/>
        <v>1521</v>
      </c>
      <c r="AD48" s="51">
        <f t="shared" si="16"/>
        <v>0.7922982384</v>
      </c>
    </row>
    <row r="49">
      <c r="A49" s="24"/>
      <c r="B49" s="46" t="s">
        <v>1342</v>
      </c>
      <c r="C49" s="47"/>
      <c r="D49" s="38">
        <v>192.0</v>
      </c>
      <c r="E49" s="38">
        <v>203.0</v>
      </c>
      <c r="F49" s="38">
        <v>25.0</v>
      </c>
      <c r="G49" s="38">
        <v>28.0</v>
      </c>
      <c r="H49" s="38">
        <v>67.0</v>
      </c>
      <c r="I49" s="48">
        <f t="shared" si="3"/>
        <v>420</v>
      </c>
      <c r="J49" s="48">
        <f t="shared" si="4"/>
        <v>515</v>
      </c>
      <c r="K49" s="49">
        <f t="shared" si="5"/>
        <v>0.4571428571</v>
      </c>
      <c r="L49" s="49">
        <f t="shared" si="6"/>
        <v>0.4833333333</v>
      </c>
      <c r="M49" s="49">
        <f t="shared" si="7"/>
        <v>0.05952380952</v>
      </c>
      <c r="N49" s="32" t="str">
        <f t="shared" si="8"/>
        <v>Mal. Lott</v>
      </c>
      <c r="O49" s="50" t="s">
        <v>77</v>
      </c>
      <c r="P49" s="38">
        <v>208.0</v>
      </c>
      <c r="Q49" s="38">
        <v>154.0</v>
      </c>
      <c r="R49" s="38">
        <v>38.0</v>
      </c>
      <c r="S49" s="38">
        <v>69.0</v>
      </c>
      <c r="T49" s="38">
        <v>46.0</v>
      </c>
      <c r="U49" s="48">
        <f t="shared" si="9"/>
        <v>400</v>
      </c>
      <c r="V49" s="48">
        <f t="shared" si="10"/>
        <v>515</v>
      </c>
      <c r="W49" s="49">
        <f t="shared" si="11"/>
        <v>0.52</v>
      </c>
      <c r="X49" s="49">
        <f t="shared" si="12"/>
        <v>0.385</v>
      </c>
      <c r="Y49" s="49">
        <f t="shared" si="13"/>
        <v>0.095</v>
      </c>
      <c r="Z49" s="32" t="str">
        <f t="shared" si="14"/>
        <v>Jango</v>
      </c>
      <c r="AA49" s="50" t="s">
        <v>77</v>
      </c>
      <c r="AB49" s="38">
        <v>598.0</v>
      </c>
      <c r="AC49" s="48">
        <f t="shared" si="15"/>
        <v>83</v>
      </c>
      <c r="AD49" s="51">
        <f t="shared" si="16"/>
        <v>0.8612040134</v>
      </c>
    </row>
    <row r="50">
      <c r="A50" s="61" t="s">
        <v>117</v>
      </c>
      <c r="B50" s="46" t="s">
        <v>1343</v>
      </c>
      <c r="C50" s="47"/>
      <c r="D50" s="38">
        <v>1916.0</v>
      </c>
      <c r="E50" s="38">
        <v>1435.0</v>
      </c>
      <c r="F50" s="38">
        <v>225.0</v>
      </c>
      <c r="G50" s="38">
        <v>147.0</v>
      </c>
      <c r="H50" s="38">
        <v>90.0</v>
      </c>
      <c r="I50" s="48">
        <f t="shared" si="3"/>
        <v>3576</v>
      </c>
      <c r="J50" s="48">
        <f t="shared" si="4"/>
        <v>3813</v>
      </c>
      <c r="K50" s="49">
        <f t="shared" si="5"/>
        <v>0.5357941834</v>
      </c>
      <c r="L50" s="49">
        <f t="shared" si="6"/>
        <v>0.4012863535</v>
      </c>
      <c r="M50" s="49">
        <f t="shared" si="7"/>
        <v>0.06291946309</v>
      </c>
      <c r="N50" s="32" t="str">
        <f t="shared" si="8"/>
        <v>Jânio</v>
      </c>
      <c r="O50" s="50" t="s">
        <v>77</v>
      </c>
      <c r="P50" s="38">
        <v>1426.0</v>
      </c>
      <c r="Q50" s="38">
        <v>1592.0</v>
      </c>
      <c r="R50" s="38">
        <v>285.0</v>
      </c>
      <c r="S50" s="38">
        <v>444.0</v>
      </c>
      <c r="T50" s="38">
        <v>66.0</v>
      </c>
      <c r="U50" s="48">
        <f t="shared" si="9"/>
        <v>3303</v>
      </c>
      <c r="V50" s="48">
        <f t="shared" si="10"/>
        <v>3813</v>
      </c>
      <c r="W50" s="49">
        <f t="shared" si="11"/>
        <v>0.4317287315</v>
      </c>
      <c r="X50" s="49">
        <f t="shared" si="12"/>
        <v>0.4819860733</v>
      </c>
      <c r="Y50" s="49">
        <f t="shared" si="13"/>
        <v>0.08628519528</v>
      </c>
      <c r="Z50" s="32" t="str">
        <f t="shared" si="14"/>
        <v>Milton</v>
      </c>
      <c r="AA50" s="50" t="s">
        <v>77</v>
      </c>
      <c r="AB50" s="38">
        <v>4247.0</v>
      </c>
      <c r="AC50" s="48">
        <f t="shared" si="15"/>
        <v>434</v>
      </c>
      <c r="AD50" s="51">
        <f t="shared" si="16"/>
        <v>0.897810219</v>
      </c>
    </row>
    <row r="51">
      <c r="A51" s="24"/>
      <c r="B51" s="46" t="s">
        <v>1344</v>
      </c>
      <c r="C51" s="47"/>
      <c r="D51" s="38">
        <v>322.0</v>
      </c>
      <c r="E51" s="38">
        <v>321.0</v>
      </c>
      <c r="F51" s="38">
        <v>86.0</v>
      </c>
      <c r="G51" s="38">
        <v>107.0</v>
      </c>
      <c r="H51" s="38">
        <v>36.0</v>
      </c>
      <c r="I51" s="48">
        <f t="shared" si="3"/>
        <v>729</v>
      </c>
      <c r="J51" s="48">
        <f t="shared" si="4"/>
        <v>872</v>
      </c>
      <c r="K51" s="49">
        <f t="shared" si="5"/>
        <v>0.4417009602</v>
      </c>
      <c r="L51" s="49">
        <f t="shared" si="6"/>
        <v>0.4403292181</v>
      </c>
      <c r="M51" s="49">
        <f t="shared" si="7"/>
        <v>0.1179698217</v>
      </c>
      <c r="N51" s="32" t="str">
        <f t="shared" si="8"/>
        <v>Jânio</v>
      </c>
      <c r="O51" s="50" t="s">
        <v>77</v>
      </c>
      <c r="P51" s="38">
        <v>270.0</v>
      </c>
      <c r="Q51" s="38">
        <v>282.0</v>
      </c>
      <c r="R51" s="38">
        <v>59.0</v>
      </c>
      <c r="S51" s="38">
        <v>235.0</v>
      </c>
      <c r="T51" s="38">
        <v>26.0</v>
      </c>
      <c r="U51" s="48">
        <f t="shared" si="9"/>
        <v>611</v>
      </c>
      <c r="V51" s="48">
        <f t="shared" si="10"/>
        <v>872</v>
      </c>
      <c r="W51" s="49">
        <f t="shared" si="11"/>
        <v>0.441898527</v>
      </c>
      <c r="X51" s="49">
        <f t="shared" si="12"/>
        <v>0.4615384615</v>
      </c>
      <c r="Y51" s="49">
        <f t="shared" si="13"/>
        <v>0.09656301146</v>
      </c>
      <c r="Z51" s="32" t="str">
        <f t="shared" si="14"/>
        <v>Milton</v>
      </c>
      <c r="AA51" s="50" t="s">
        <v>77</v>
      </c>
      <c r="AB51" s="38">
        <v>1020.0</v>
      </c>
      <c r="AC51" s="48">
        <f t="shared" si="15"/>
        <v>148</v>
      </c>
      <c r="AD51" s="51">
        <f t="shared" si="16"/>
        <v>0.8549019608</v>
      </c>
    </row>
    <row r="52">
      <c r="A52" s="110" t="s">
        <v>119</v>
      </c>
      <c r="B52" s="46" t="s">
        <v>1345</v>
      </c>
      <c r="C52" s="47"/>
      <c r="D52" s="38">
        <v>1997.0</v>
      </c>
      <c r="E52" s="38">
        <v>909.0</v>
      </c>
      <c r="F52" s="38">
        <v>341.0</v>
      </c>
      <c r="G52" s="38">
        <v>301.0</v>
      </c>
      <c r="H52" s="38">
        <v>152.0</v>
      </c>
      <c r="I52" s="48">
        <f t="shared" si="3"/>
        <v>3247</v>
      </c>
      <c r="J52" s="48">
        <f t="shared" si="4"/>
        <v>3700</v>
      </c>
      <c r="K52" s="49">
        <f t="shared" si="5"/>
        <v>0.6150292578</v>
      </c>
      <c r="L52" s="49">
        <f t="shared" si="6"/>
        <v>0.2799507237</v>
      </c>
      <c r="M52" s="49">
        <f t="shared" si="7"/>
        <v>0.1050200185</v>
      </c>
      <c r="N52" s="32" t="str">
        <f t="shared" si="8"/>
        <v>Jânio</v>
      </c>
      <c r="O52" s="50" t="s">
        <v>77</v>
      </c>
      <c r="P52" s="38">
        <v>975.0</v>
      </c>
      <c r="Q52" s="38">
        <v>1577.0</v>
      </c>
      <c r="R52" s="38">
        <v>311.0</v>
      </c>
      <c r="S52" s="38">
        <v>735.0</v>
      </c>
      <c r="T52" s="38">
        <v>102.0</v>
      </c>
      <c r="U52" s="48">
        <f t="shared" si="9"/>
        <v>2863</v>
      </c>
      <c r="V52" s="48">
        <f t="shared" si="10"/>
        <v>3700</v>
      </c>
      <c r="W52" s="49">
        <f t="shared" si="11"/>
        <v>0.3405518687</v>
      </c>
      <c r="X52" s="49">
        <f t="shared" si="12"/>
        <v>0.5508208173</v>
      </c>
      <c r="Y52" s="49">
        <f t="shared" si="13"/>
        <v>0.108627314</v>
      </c>
      <c r="Z52" s="32" t="str">
        <f t="shared" si="14"/>
        <v>Milton</v>
      </c>
      <c r="AA52" s="50" t="s">
        <v>77</v>
      </c>
      <c r="AB52" s="38">
        <v>4550.0</v>
      </c>
      <c r="AC52" s="48">
        <f t="shared" si="15"/>
        <v>850</v>
      </c>
      <c r="AD52" s="51">
        <f t="shared" si="16"/>
        <v>0.8131868132</v>
      </c>
    </row>
    <row r="53">
      <c r="A53" s="61" t="s">
        <v>123</v>
      </c>
      <c r="B53" s="46" t="s">
        <v>1346</v>
      </c>
      <c r="C53" s="47"/>
      <c r="D53" s="38">
        <v>3446.0</v>
      </c>
      <c r="E53" s="38">
        <v>3669.0</v>
      </c>
      <c r="F53" s="38">
        <v>431.0</v>
      </c>
      <c r="G53" s="38">
        <v>616.0</v>
      </c>
      <c r="H53" s="38">
        <v>314.0</v>
      </c>
      <c r="I53" s="48">
        <f t="shared" si="3"/>
        <v>7546</v>
      </c>
      <c r="J53" s="48">
        <f t="shared" si="4"/>
        <v>8476</v>
      </c>
      <c r="K53" s="49">
        <f t="shared" si="5"/>
        <v>0.4566657832</v>
      </c>
      <c r="L53" s="49">
        <f t="shared" si="6"/>
        <v>0.4862178638</v>
      </c>
      <c r="M53" s="49">
        <f t="shared" si="7"/>
        <v>0.05711635303</v>
      </c>
      <c r="N53" s="32" t="str">
        <f t="shared" si="8"/>
        <v>Mal. Lott</v>
      </c>
      <c r="O53" s="50" t="s">
        <v>77</v>
      </c>
      <c r="P53" s="38">
        <v>3458.0</v>
      </c>
      <c r="Q53" s="38">
        <v>2630.0</v>
      </c>
      <c r="R53" s="38">
        <v>631.0</v>
      </c>
      <c r="S53" s="38">
        <v>1487.0</v>
      </c>
      <c r="T53" s="38">
        <v>270.0</v>
      </c>
      <c r="U53" s="48">
        <f t="shared" si="9"/>
        <v>6719</v>
      </c>
      <c r="V53" s="48">
        <f t="shared" si="10"/>
        <v>8476</v>
      </c>
      <c r="W53" s="49">
        <f t="shared" si="11"/>
        <v>0.5146599196</v>
      </c>
      <c r="X53" s="49">
        <f t="shared" si="12"/>
        <v>0.3914272957</v>
      </c>
      <c r="Y53" s="49">
        <f t="shared" si="13"/>
        <v>0.09391278464</v>
      </c>
      <c r="Z53" s="32" t="str">
        <f t="shared" si="14"/>
        <v>Jango</v>
      </c>
      <c r="AA53" s="50" t="s">
        <v>77</v>
      </c>
      <c r="AB53" s="38">
        <v>11943.0</v>
      </c>
      <c r="AC53" s="48">
        <f t="shared" si="15"/>
        <v>3467</v>
      </c>
      <c r="AD53" s="51">
        <f t="shared" si="16"/>
        <v>0.7097044294</v>
      </c>
    </row>
    <row r="54">
      <c r="A54" s="24"/>
      <c r="B54" s="46" t="s">
        <v>1347</v>
      </c>
      <c r="C54" s="47"/>
      <c r="D54" s="38">
        <v>378.0</v>
      </c>
      <c r="E54" s="38">
        <v>634.0</v>
      </c>
      <c r="F54" s="38">
        <v>78.0</v>
      </c>
      <c r="G54" s="38">
        <v>178.0</v>
      </c>
      <c r="H54" s="38">
        <v>94.0</v>
      </c>
      <c r="I54" s="48">
        <f t="shared" si="3"/>
        <v>1090</v>
      </c>
      <c r="J54" s="48">
        <f t="shared" si="4"/>
        <v>1362</v>
      </c>
      <c r="K54" s="49">
        <f t="shared" si="5"/>
        <v>0.3467889908</v>
      </c>
      <c r="L54" s="49">
        <f t="shared" si="6"/>
        <v>0.5816513761</v>
      </c>
      <c r="M54" s="49">
        <f t="shared" si="7"/>
        <v>0.07155963303</v>
      </c>
      <c r="N54" s="32" t="str">
        <f t="shared" si="8"/>
        <v>Mal. Lott</v>
      </c>
      <c r="O54" s="50" t="s">
        <v>77</v>
      </c>
      <c r="P54" s="38">
        <v>600.0</v>
      </c>
      <c r="Q54" s="38">
        <v>223.0</v>
      </c>
      <c r="R54" s="38">
        <v>109.0</v>
      </c>
      <c r="S54" s="38">
        <v>379.0</v>
      </c>
      <c r="T54" s="38">
        <v>51.0</v>
      </c>
      <c r="U54" s="48">
        <f t="shared" si="9"/>
        <v>932</v>
      </c>
      <c r="V54" s="48">
        <f t="shared" si="10"/>
        <v>1362</v>
      </c>
      <c r="W54" s="49">
        <f t="shared" si="11"/>
        <v>0.643776824</v>
      </c>
      <c r="X54" s="49">
        <f t="shared" si="12"/>
        <v>0.2392703863</v>
      </c>
      <c r="Y54" s="49">
        <f t="shared" si="13"/>
        <v>0.1169527897</v>
      </c>
      <c r="Z54" s="32" t="str">
        <f t="shared" si="14"/>
        <v>Jango</v>
      </c>
      <c r="AA54" s="50" t="s">
        <v>77</v>
      </c>
      <c r="AB54" s="38">
        <v>1519.0</v>
      </c>
      <c r="AC54" s="48">
        <f t="shared" si="15"/>
        <v>157</v>
      </c>
      <c r="AD54" s="51">
        <f t="shared" si="16"/>
        <v>0.896642528</v>
      </c>
    </row>
    <row r="55">
      <c r="A55" s="61" t="s">
        <v>125</v>
      </c>
      <c r="B55" s="46" t="s">
        <v>1348</v>
      </c>
      <c r="C55" s="47"/>
      <c r="D55" s="38">
        <v>1992.0</v>
      </c>
      <c r="E55" s="38">
        <v>1347.0</v>
      </c>
      <c r="F55" s="38">
        <v>274.0</v>
      </c>
      <c r="G55" s="38">
        <v>209.0</v>
      </c>
      <c r="H55" s="38">
        <v>304.0</v>
      </c>
      <c r="I55" s="48">
        <f t="shared" si="3"/>
        <v>3613</v>
      </c>
      <c r="J55" s="48">
        <f t="shared" si="4"/>
        <v>4126</v>
      </c>
      <c r="K55" s="49">
        <f t="shared" si="5"/>
        <v>0.5513423748</v>
      </c>
      <c r="L55" s="49">
        <f t="shared" si="6"/>
        <v>0.3728203709</v>
      </c>
      <c r="M55" s="49">
        <f t="shared" si="7"/>
        <v>0.07583725436</v>
      </c>
      <c r="N55" s="32" t="str">
        <f t="shared" si="8"/>
        <v>Jânio</v>
      </c>
      <c r="O55" s="50" t="s">
        <v>77</v>
      </c>
      <c r="P55" s="38">
        <v>1380.0</v>
      </c>
      <c r="Q55" s="38">
        <v>1812.0</v>
      </c>
      <c r="R55" s="38">
        <v>238.0</v>
      </c>
      <c r="S55" s="38">
        <v>485.0</v>
      </c>
      <c r="T55" s="38">
        <v>211.0</v>
      </c>
      <c r="U55" s="48">
        <f t="shared" si="9"/>
        <v>3430</v>
      </c>
      <c r="V55" s="48">
        <f t="shared" si="10"/>
        <v>4126</v>
      </c>
      <c r="W55" s="49">
        <f t="shared" si="11"/>
        <v>0.4023323615</v>
      </c>
      <c r="X55" s="49">
        <f t="shared" si="12"/>
        <v>0.5282798834</v>
      </c>
      <c r="Y55" s="49">
        <f t="shared" si="13"/>
        <v>0.0693877551</v>
      </c>
      <c r="Z55" s="32" t="str">
        <f t="shared" si="14"/>
        <v>Milton</v>
      </c>
      <c r="AA55" s="50" t="s">
        <v>77</v>
      </c>
      <c r="AB55" s="38">
        <v>5404.0</v>
      </c>
      <c r="AC55" s="48">
        <f t="shared" si="15"/>
        <v>1278</v>
      </c>
      <c r="AD55" s="51">
        <f t="shared" si="16"/>
        <v>0.7635085122</v>
      </c>
    </row>
    <row r="56">
      <c r="A56" s="23"/>
      <c r="B56" s="46" t="s">
        <v>1349</v>
      </c>
      <c r="C56" s="47"/>
      <c r="D56" s="38">
        <v>320.0</v>
      </c>
      <c r="E56" s="38">
        <v>424.0</v>
      </c>
      <c r="F56" s="38">
        <v>98.0</v>
      </c>
      <c r="G56" s="38">
        <v>142.0</v>
      </c>
      <c r="H56" s="38">
        <v>103.0</v>
      </c>
      <c r="I56" s="48">
        <f t="shared" si="3"/>
        <v>842</v>
      </c>
      <c r="J56" s="48">
        <f t="shared" si="4"/>
        <v>1087</v>
      </c>
      <c r="K56" s="49">
        <f t="shared" si="5"/>
        <v>0.3800475059</v>
      </c>
      <c r="L56" s="49">
        <f t="shared" si="6"/>
        <v>0.5035629454</v>
      </c>
      <c r="M56" s="49">
        <f t="shared" si="7"/>
        <v>0.1163895487</v>
      </c>
      <c r="N56" s="32" t="str">
        <f t="shared" si="8"/>
        <v>Mal. Lott</v>
      </c>
      <c r="O56" s="50" t="s">
        <v>77</v>
      </c>
      <c r="P56" s="38">
        <v>461.0</v>
      </c>
      <c r="Q56" s="38">
        <v>229.0</v>
      </c>
      <c r="R56" s="38">
        <v>83.0</v>
      </c>
      <c r="S56" s="38">
        <v>254.0</v>
      </c>
      <c r="T56" s="38">
        <v>60.0</v>
      </c>
      <c r="U56" s="48">
        <f t="shared" si="9"/>
        <v>773</v>
      </c>
      <c r="V56" s="48">
        <f t="shared" si="10"/>
        <v>1087</v>
      </c>
      <c r="W56" s="49">
        <f t="shared" si="11"/>
        <v>0.596377749</v>
      </c>
      <c r="X56" s="49">
        <f t="shared" si="12"/>
        <v>0.2962483829</v>
      </c>
      <c r="Y56" s="49">
        <f t="shared" si="13"/>
        <v>0.107373868</v>
      </c>
      <c r="Z56" s="32" t="str">
        <f t="shared" si="14"/>
        <v>Jango</v>
      </c>
      <c r="AA56" s="50" t="s">
        <v>77</v>
      </c>
      <c r="AB56" s="38">
        <v>1368.0</v>
      </c>
      <c r="AC56" s="48">
        <f t="shared" si="15"/>
        <v>281</v>
      </c>
      <c r="AD56" s="51">
        <f t="shared" si="16"/>
        <v>0.7945906433</v>
      </c>
    </row>
    <row r="57">
      <c r="A57" s="23"/>
      <c r="B57" s="46" t="s">
        <v>1350</v>
      </c>
      <c r="C57" s="47"/>
      <c r="D57" s="38">
        <v>163.0</v>
      </c>
      <c r="E57" s="38">
        <v>121.0</v>
      </c>
      <c r="F57" s="38">
        <v>37.0</v>
      </c>
      <c r="G57" s="38">
        <v>47.0</v>
      </c>
      <c r="H57" s="38">
        <v>45.0</v>
      </c>
      <c r="I57" s="48">
        <f t="shared" si="3"/>
        <v>321</v>
      </c>
      <c r="J57" s="48">
        <f t="shared" si="4"/>
        <v>413</v>
      </c>
      <c r="K57" s="49">
        <f t="shared" si="5"/>
        <v>0.507788162</v>
      </c>
      <c r="L57" s="49">
        <f t="shared" si="6"/>
        <v>0.3769470405</v>
      </c>
      <c r="M57" s="49">
        <f t="shared" si="7"/>
        <v>0.1152647975</v>
      </c>
      <c r="N57" s="32" t="str">
        <f t="shared" si="8"/>
        <v>Jânio</v>
      </c>
      <c r="O57" s="50" t="s">
        <v>77</v>
      </c>
      <c r="P57" s="38">
        <v>121.0</v>
      </c>
      <c r="Q57" s="38">
        <v>134.0</v>
      </c>
      <c r="R57" s="38">
        <v>36.0</v>
      </c>
      <c r="S57" s="38">
        <v>91.0</v>
      </c>
      <c r="T57" s="38">
        <v>31.0</v>
      </c>
      <c r="U57" s="48">
        <f t="shared" si="9"/>
        <v>291</v>
      </c>
      <c r="V57" s="48">
        <f t="shared" si="10"/>
        <v>413</v>
      </c>
      <c r="W57" s="49">
        <f t="shared" si="11"/>
        <v>0.4158075601</v>
      </c>
      <c r="X57" s="49">
        <f t="shared" si="12"/>
        <v>0.4604810997</v>
      </c>
      <c r="Y57" s="49">
        <f t="shared" si="13"/>
        <v>0.1237113402</v>
      </c>
      <c r="Z57" s="32" t="str">
        <f t="shared" si="14"/>
        <v>Milton</v>
      </c>
      <c r="AA57" s="50" t="s">
        <v>77</v>
      </c>
      <c r="AB57" s="38">
        <v>719.0</v>
      </c>
      <c r="AC57" s="48">
        <f t="shared" si="15"/>
        <v>306</v>
      </c>
      <c r="AD57" s="51">
        <f t="shared" si="16"/>
        <v>0.5744089013</v>
      </c>
    </row>
    <row r="58">
      <c r="A58" s="24"/>
      <c r="B58" s="46" t="s">
        <v>1351</v>
      </c>
      <c r="C58" s="47"/>
      <c r="D58" s="38">
        <v>529.0</v>
      </c>
      <c r="E58" s="38">
        <v>505.0</v>
      </c>
      <c r="F58" s="38">
        <v>107.0</v>
      </c>
      <c r="G58" s="38">
        <v>156.0</v>
      </c>
      <c r="H58" s="38">
        <v>150.0</v>
      </c>
      <c r="I58" s="48">
        <f t="shared" si="3"/>
        <v>1141</v>
      </c>
      <c r="J58" s="48">
        <f t="shared" si="4"/>
        <v>1447</v>
      </c>
      <c r="K58" s="49">
        <f t="shared" si="5"/>
        <v>0.4636283961</v>
      </c>
      <c r="L58" s="49">
        <f t="shared" si="6"/>
        <v>0.4425942156</v>
      </c>
      <c r="M58" s="49">
        <f t="shared" si="7"/>
        <v>0.09377738826</v>
      </c>
      <c r="N58" s="32" t="str">
        <f t="shared" si="8"/>
        <v>Jânio</v>
      </c>
      <c r="O58" s="50" t="s">
        <v>77</v>
      </c>
      <c r="P58" s="38">
        <v>541.0</v>
      </c>
      <c r="Q58" s="38">
        <v>418.0</v>
      </c>
      <c r="R58" s="38">
        <v>131.0</v>
      </c>
      <c r="S58" s="38">
        <v>261.0</v>
      </c>
      <c r="T58" s="38">
        <v>96.0</v>
      </c>
      <c r="U58" s="48">
        <f t="shared" si="9"/>
        <v>1090</v>
      </c>
      <c r="V58" s="48">
        <f t="shared" si="10"/>
        <v>1447</v>
      </c>
      <c r="W58" s="49">
        <f t="shared" si="11"/>
        <v>0.4963302752</v>
      </c>
      <c r="X58" s="49">
        <f t="shared" si="12"/>
        <v>0.3834862385</v>
      </c>
      <c r="Y58" s="49">
        <f t="shared" si="13"/>
        <v>0.1201834862</v>
      </c>
      <c r="Z58" s="32" t="str">
        <f t="shared" si="14"/>
        <v>Jango</v>
      </c>
      <c r="AA58" s="50" t="s">
        <v>77</v>
      </c>
      <c r="AB58" s="38">
        <v>1815.0</v>
      </c>
      <c r="AC58" s="48">
        <f t="shared" si="15"/>
        <v>368</v>
      </c>
      <c r="AD58" s="51">
        <f t="shared" si="16"/>
        <v>0.7972451791</v>
      </c>
    </row>
    <row r="59">
      <c r="A59" s="61" t="s">
        <v>127</v>
      </c>
      <c r="B59" s="46" t="s">
        <v>1352</v>
      </c>
      <c r="C59" s="47"/>
      <c r="D59" s="38">
        <v>1953.0</v>
      </c>
      <c r="E59" s="38">
        <v>2896.0</v>
      </c>
      <c r="F59" s="38">
        <v>248.0</v>
      </c>
      <c r="G59" s="38">
        <v>359.0</v>
      </c>
      <c r="H59" s="38">
        <v>335.0</v>
      </c>
      <c r="I59" s="48">
        <f t="shared" si="3"/>
        <v>5097</v>
      </c>
      <c r="J59" s="48">
        <f t="shared" si="4"/>
        <v>5791</v>
      </c>
      <c r="K59" s="49">
        <f t="shared" si="5"/>
        <v>0.3831665686</v>
      </c>
      <c r="L59" s="49">
        <f t="shared" si="6"/>
        <v>0.5681773592</v>
      </c>
      <c r="M59" s="49">
        <f t="shared" si="7"/>
        <v>0.0486560722</v>
      </c>
      <c r="N59" s="32" t="str">
        <f t="shared" si="8"/>
        <v>Mal. Lott</v>
      </c>
      <c r="O59" s="50" t="s">
        <v>77</v>
      </c>
      <c r="P59" s="38">
        <v>2588.0</v>
      </c>
      <c r="Q59" s="38">
        <v>1344.0</v>
      </c>
      <c r="R59" s="38">
        <v>569.0</v>
      </c>
      <c r="S59" s="38">
        <v>1059.0</v>
      </c>
      <c r="T59" s="38">
        <v>231.0</v>
      </c>
      <c r="U59" s="48">
        <f t="shared" si="9"/>
        <v>4501</v>
      </c>
      <c r="V59" s="48">
        <f t="shared" si="10"/>
        <v>5791</v>
      </c>
      <c r="W59" s="49">
        <f t="shared" si="11"/>
        <v>0.574983337</v>
      </c>
      <c r="X59" s="49">
        <f t="shared" si="12"/>
        <v>0.298600311</v>
      </c>
      <c r="Y59" s="49">
        <f t="shared" si="13"/>
        <v>0.1264163519</v>
      </c>
      <c r="Z59" s="32" t="str">
        <f t="shared" si="14"/>
        <v>Jango</v>
      </c>
      <c r="AA59" s="50" t="s">
        <v>77</v>
      </c>
      <c r="AB59" s="38">
        <v>7323.0</v>
      </c>
      <c r="AC59" s="48">
        <f t="shared" si="15"/>
        <v>1532</v>
      </c>
      <c r="AD59" s="51">
        <f t="shared" si="16"/>
        <v>0.7907961218</v>
      </c>
    </row>
    <row r="60">
      <c r="A60" s="23"/>
      <c r="B60" s="46" t="s">
        <v>1353</v>
      </c>
      <c r="C60" s="47"/>
      <c r="D60" s="38">
        <v>265.0</v>
      </c>
      <c r="E60" s="38">
        <v>217.0</v>
      </c>
      <c r="F60" s="38">
        <v>26.0</v>
      </c>
      <c r="G60" s="38">
        <v>41.0</v>
      </c>
      <c r="H60" s="38">
        <v>39.0</v>
      </c>
      <c r="I60" s="48">
        <f t="shared" si="3"/>
        <v>508</v>
      </c>
      <c r="J60" s="48">
        <f t="shared" si="4"/>
        <v>588</v>
      </c>
      <c r="K60" s="49">
        <f t="shared" si="5"/>
        <v>0.5216535433</v>
      </c>
      <c r="L60" s="49">
        <f t="shared" si="6"/>
        <v>0.4271653543</v>
      </c>
      <c r="M60" s="49">
        <f t="shared" si="7"/>
        <v>0.05118110236</v>
      </c>
      <c r="N60" s="32" t="str">
        <f t="shared" si="8"/>
        <v>Jânio</v>
      </c>
      <c r="O60" s="50" t="s">
        <v>77</v>
      </c>
      <c r="P60" s="38">
        <v>236.0</v>
      </c>
      <c r="Q60" s="38">
        <v>223.0</v>
      </c>
      <c r="R60" s="38">
        <v>27.0</v>
      </c>
      <c r="S60" s="38">
        <v>80.0</v>
      </c>
      <c r="T60" s="38">
        <v>22.0</v>
      </c>
      <c r="U60" s="48">
        <f t="shared" si="9"/>
        <v>486</v>
      </c>
      <c r="V60" s="48">
        <f t="shared" si="10"/>
        <v>588</v>
      </c>
      <c r="W60" s="49">
        <f t="shared" si="11"/>
        <v>0.4855967078</v>
      </c>
      <c r="X60" s="49">
        <f t="shared" si="12"/>
        <v>0.4588477366</v>
      </c>
      <c r="Y60" s="49">
        <f t="shared" si="13"/>
        <v>0.05555555556</v>
      </c>
      <c r="Z60" s="32" t="str">
        <f t="shared" si="14"/>
        <v>Jango</v>
      </c>
      <c r="AA60" s="50" t="s">
        <v>77</v>
      </c>
      <c r="AB60" s="38">
        <v>720.0</v>
      </c>
      <c r="AC60" s="48">
        <f t="shared" si="15"/>
        <v>132</v>
      </c>
      <c r="AD60" s="51">
        <f t="shared" si="16"/>
        <v>0.8166666667</v>
      </c>
    </row>
    <row r="61">
      <c r="A61" s="23"/>
      <c r="B61" s="46" t="s">
        <v>1354</v>
      </c>
      <c r="C61" s="47"/>
      <c r="D61" s="38">
        <v>266.0</v>
      </c>
      <c r="E61" s="38">
        <v>545.0</v>
      </c>
      <c r="F61" s="38">
        <v>65.0</v>
      </c>
      <c r="G61" s="38">
        <v>98.0</v>
      </c>
      <c r="H61" s="38">
        <v>91.0</v>
      </c>
      <c r="I61" s="48">
        <f t="shared" si="3"/>
        <v>876</v>
      </c>
      <c r="J61" s="48">
        <f t="shared" si="4"/>
        <v>1065</v>
      </c>
      <c r="K61" s="49">
        <f t="shared" si="5"/>
        <v>0.303652968</v>
      </c>
      <c r="L61" s="49">
        <f t="shared" si="6"/>
        <v>0.6221461187</v>
      </c>
      <c r="M61" s="49">
        <f t="shared" si="7"/>
        <v>0.07420091324</v>
      </c>
      <c r="N61" s="32" t="str">
        <f t="shared" si="8"/>
        <v>Mal. Lott</v>
      </c>
      <c r="O61" s="50" t="s">
        <v>77</v>
      </c>
      <c r="P61" s="38">
        <v>568.0</v>
      </c>
      <c r="Q61" s="38">
        <v>200.0</v>
      </c>
      <c r="R61" s="38">
        <v>49.0</v>
      </c>
      <c r="S61" s="38">
        <v>174.0</v>
      </c>
      <c r="T61" s="38">
        <v>74.0</v>
      </c>
      <c r="U61" s="48">
        <f t="shared" si="9"/>
        <v>817</v>
      </c>
      <c r="V61" s="48">
        <f t="shared" si="10"/>
        <v>1065</v>
      </c>
      <c r="W61" s="49">
        <f t="shared" si="11"/>
        <v>0.6952264382</v>
      </c>
      <c r="X61" s="49">
        <f t="shared" si="12"/>
        <v>0.2447980416</v>
      </c>
      <c r="Y61" s="49">
        <f t="shared" si="13"/>
        <v>0.0599755202</v>
      </c>
      <c r="Z61" s="32" t="str">
        <f t="shared" si="14"/>
        <v>Jango</v>
      </c>
      <c r="AA61" s="50" t="s">
        <v>77</v>
      </c>
      <c r="AB61" s="38">
        <v>1402.0</v>
      </c>
      <c r="AC61" s="48">
        <f t="shared" si="15"/>
        <v>337</v>
      </c>
      <c r="AD61" s="51">
        <f t="shared" si="16"/>
        <v>0.7596291013</v>
      </c>
    </row>
    <row r="62">
      <c r="A62" s="23"/>
      <c r="B62" s="46" t="s">
        <v>1355</v>
      </c>
      <c r="C62" s="47"/>
      <c r="D62" s="38">
        <v>292.0</v>
      </c>
      <c r="E62" s="38">
        <v>309.0</v>
      </c>
      <c r="F62" s="38">
        <v>43.0</v>
      </c>
      <c r="G62" s="38">
        <v>74.0</v>
      </c>
      <c r="H62" s="38">
        <v>87.0</v>
      </c>
      <c r="I62" s="48">
        <f t="shared" si="3"/>
        <v>644</v>
      </c>
      <c r="J62" s="48">
        <f t="shared" si="4"/>
        <v>805</v>
      </c>
      <c r="K62" s="49">
        <f t="shared" si="5"/>
        <v>0.4534161491</v>
      </c>
      <c r="L62" s="49">
        <f t="shared" si="6"/>
        <v>0.4798136646</v>
      </c>
      <c r="M62" s="49">
        <f t="shared" si="7"/>
        <v>0.06677018634</v>
      </c>
      <c r="N62" s="32" t="str">
        <f t="shared" si="8"/>
        <v>Mal. Lott</v>
      </c>
      <c r="O62" s="50" t="s">
        <v>77</v>
      </c>
      <c r="P62" s="38">
        <v>313.0</v>
      </c>
      <c r="Q62" s="38">
        <v>235.0</v>
      </c>
      <c r="R62" s="38">
        <v>40.0</v>
      </c>
      <c r="S62" s="38">
        <v>135.0</v>
      </c>
      <c r="T62" s="38">
        <v>82.0</v>
      </c>
      <c r="U62" s="48">
        <f t="shared" si="9"/>
        <v>588</v>
      </c>
      <c r="V62" s="48">
        <f t="shared" si="10"/>
        <v>805</v>
      </c>
      <c r="W62" s="49">
        <f t="shared" si="11"/>
        <v>0.5323129252</v>
      </c>
      <c r="X62" s="49">
        <f t="shared" si="12"/>
        <v>0.3996598639</v>
      </c>
      <c r="Y62" s="49">
        <f t="shared" si="13"/>
        <v>0.06802721088</v>
      </c>
      <c r="Z62" s="32" t="str">
        <f t="shared" si="14"/>
        <v>Jango</v>
      </c>
      <c r="AA62" s="50" t="s">
        <v>77</v>
      </c>
      <c r="AB62" s="38">
        <v>1051.0</v>
      </c>
      <c r="AC62" s="48">
        <f t="shared" si="15"/>
        <v>246</v>
      </c>
      <c r="AD62" s="51">
        <f t="shared" si="16"/>
        <v>0.7659372027</v>
      </c>
    </row>
    <row r="63">
      <c r="A63" s="23"/>
      <c r="B63" s="46" t="s">
        <v>1356</v>
      </c>
      <c r="C63" s="47"/>
      <c r="D63" s="38">
        <v>252.0</v>
      </c>
      <c r="E63" s="38">
        <v>231.0</v>
      </c>
      <c r="F63" s="38">
        <v>34.0</v>
      </c>
      <c r="G63" s="38">
        <v>30.0</v>
      </c>
      <c r="H63" s="38">
        <v>45.0</v>
      </c>
      <c r="I63" s="48">
        <f t="shared" si="3"/>
        <v>517</v>
      </c>
      <c r="J63" s="48">
        <f t="shared" si="4"/>
        <v>592</v>
      </c>
      <c r="K63" s="49">
        <f t="shared" si="5"/>
        <v>0.4874274662</v>
      </c>
      <c r="L63" s="49">
        <f t="shared" si="6"/>
        <v>0.4468085106</v>
      </c>
      <c r="M63" s="49">
        <f t="shared" si="7"/>
        <v>0.06576402321</v>
      </c>
      <c r="N63" s="32" t="str">
        <f t="shared" si="8"/>
        <v>Jânio</v>
      </c>
      <c r="O63" s="50" t="s">
        <v>77</v>
      </c>
      <c r="P63" s="38">
        <v>234.0</v>
      </c>
      <c r="Q63" s="38">
        <v>191.0</v>
      </c>
      <c r="R63" s="38">
        <v>38.0</v>
      </c>
      <c r="S63" s="38">
        <v>97.0</v>
      </c>
      <c r="T63" s="38">
        <v>32.0</v>
      </c>
      <c r="U63" s="48">
        <f t="shared" si="9"/>
        <v>463</v>
      </c>
      <c r="V63" s="48">
        <f t="shared" si="10"/>
        <v>592</v>
      </c>
      <c r="W63" s="49">
        <f t="shared" si="11"/>
        <v>0.505399568</v>
      </c>
      <c r="X63" s="49">
        <f t="shared" si="12"/>
        <v>0.4125269978</v>
      </c>
      <c r="Y63" s="49">
        <f t="shared" si="13"/>
        <v>0.08207343413</v>
      </c>
      <c r="Z63" s="32" t="str">
        <f t="shared" si="14"/>
        <v>Jango</v>
      </c>
      <c r="AA63" s="50" t="s">
        <v>77</v>
      </c>
      <c r="AB63" s="38">
        <v>740.0</v>
      </c>
      <c r="AC63" s="48">
        <f t="shared" si="15"/>
        <v>148</v>
      </c>
      <c r="AD63" s="51">
        <f t="shared" si="16"/>
        <v>0.8</v>
      </c>
    </row>
    <row r="64">
      <c r="A64" s="24"/>
      <c r="B64" s="46" t="s">
        <v>1357</v>
      </c>
      <c r="C64" s="47"/>
      <c r="D64" s="38">
        <v>109.0</v>
      </c>
      <c r="E64" s="38">
        <v>211.0</v>
      </c>
      <c r="F64" s="38">
        <v>15.0</v>
      </c>
      <c r="G64" s="38">
        <v>43.0</v>
      </c>
      <c r="H64" s="38">
        <v>32.0</v>
      </c>
      <c r="I64" s="48">
        <f t="shared" si="3"/>
        <v>335</v>
      </c>
      <c r="J64" s="48">
        <f t="shared" si="4"/>
        <v>410</v>
      </c>
      <c r="K64" s="49">
        <f t="shared" si="5"/>
        <v>0.3253731343</v>
      </c>
      <c r="L64" s="49">
        <f t="shared" si="6"/>
        <v>0.6298507463</v>
      </c>
      <c r="M64" s="49">
        <f t="shared" si="7"/>
        <v>0.0447761194</v>
      </c>
      <c r="N64" s="32" t="str">
        <f t="shared" si="8"/>
        <v>Mal. Lott</v>
      </c>
      <c r="O64" s="50" t="s">
        <v>77</v>
      </c>
      <c r="P64" s="38">
        <v>225.0</v>
      </c>
      <c r="Q64" s="38">
        <v>72.0</v>
      </c>
      <c r="R64" s="38">
        <v>9.0</v>
      </c>
      <c r="S64" s="38">
        <v>79.0</v>
      </c>
      <c r="T64" s="38">
        <v>25.0</v>
      </c>
      <c r="U64" s="48">
        <f t="shared" si="9"/>
        <v>306</v>
      </c>
      <c r="V64" s="48">
        <f t="shared" si="10"/>
        <v>410</v>
      </c>
      <c r="W64" s="49">
        <f t="shared" si="11"/>
        <v>0.7352941176</v>
      </c>
      <c r="X64" s="49">
        <f t="shared" si="12"/>
        <v>0.2352941176</v>
      </c>
      <c r="Y64" s="49">
        <f t="shared" si="13"/>
        <v>0.02941176471</v>
      </c>
      <c r="Z64" s="32" t="str">
        <f t="shared" si="14"/>
        <v>Jango</v>
      </c>
      <c r="AA64" s="50" t="s">
        <v>77</v>
      </c>
      <c r="AB64" s="38">
        <v>514.0</v>
      </c>
      <c r="AC64" s="48">
        <f t="shared" si="15"/>
        <v>104</v>
      </c>
      <c r="AD64" s="51">
        <f t="shared" si="16"/>
        <v>0.7976653696</v>
      </c>
    </row>
    <row r="65">
      <c r="A65" s="110" t="s">
        <v>129</v>
      </c>
      <c r="B65" s="46" t="s">
        <v>1358</v>
      </c>
      <c r="C65" s="47"/>
      <c r="D65" s="38">
        <v>1248.0</v>
      </c>
      <c r="E65" s="38">
        <v>1410.0</v>
      </c>
      <c r="F65" s="38">
        <v>422.0</v>
      </c>
      <c r="G65" s="38">
        <v>239.0</v>
      </c>
      <c r="H65" s="38">
        <v>266.0</v>
      </c>
      <c r="I65" s="48">
        <f t="shared" si="3"/>
        <v>3080</v>
      </c>
      <c r="J65" s="48">
        <f t="shared" si="4"/>
        <v>3585</v>
      </c>
      <c r="K65" s="49">
        <f t="shared" si="5"/>
        <v>0.4051948052</v>
      </c>
      <c r="L65" s="49">
        <f t="shared" si="6"/>
        <v>0.4577922078</v>
      </c>
      <c r="M65" s="49">
        <f t="shared" si="7"/>
        <v>0.137012987</v>
      </c>
      <c r="N65" s="32" t="str">
        <f t="shared" si="8"/>
        <v>Mal. Lott</v>
      </c>
      <c r="O65" s="50" t="s">
        <v>77</v>
      </c>
      <c r="P65" s="38">
        <v>1563.0</v>
      </c>
      <c r="Q65" s="38">
        <v>1191.0</v>
      </c>
      <c r="R65" s="38">
        <v>213.0</v>
      </c>
      <c r="S65" s="38">
        <v>464.0</v>
      </c>
      <c r="T65" s="38">
        <v>154.0</v>
      </c>
      <c r="U65" s="48">
        <f t="shared" si="9"/>
        <v>2967</v>
      </c>
      <c r="V65" s="48">
        <f t="shared" si="10"/>
        <v>3585</v>
      </c>
      <c r="W65" s="49">
        <f t="shared" si="11"/>
        <v>0.5267947422</v>
      </c>
      <c r="X65" s="49">
        <f t="shared" si="12"/>
        <v>0.4014155713</v>
      </c>
      <c r="Y65" s="49">
        <f t="shared" si="13"/>
        <v>0.07178968655</v>
      </c>
      <c r="Z65" s="32" t="str">
        <f t="shared" si="14"/>
        <v>Jango</v>
      </c>
      <c r="AA65" s="50" t="s">
        <v>77</v>
      </c>
      <c r="AB65" s="38">
        <v>4392.0</v>
      </c>
      <c r="AC65" s="48">
        <f t="shared" si="15"/>
        <v>807</v>
      </c>
      <c r="AD65" s="51">
        <f t="shared" si="16"/>
        <v>0.8162568306</v>
      </c>
    </row>
    <row r="66">
      <c r="A66" s="61" t="s">
        <v>131</v>
      </c>
      <c r="B66" s="46" t="s">
        <v>1359</v>
      </c>
      <c r="C66" s="47"/>
      <c r="D66" s="38">
        <v>928.0</v>
      </c>
      <c r="E66" s="38">
        <v>746.0</v>
      </c>
      <c r="F66" s="38">
        <v>177.0</v>
      </c>
      <c r="G66" s="38">
        <v>168.0</v>
      </c>
      <c r="H66" s="38">
        <v>131.0</v>
      </c>
      <c r="I66" s="48">
        <f t="shared" si="3"/>
        <v>1851</v>
      </c>
      <c r="J66" s="48">
        <f t="shared" si="4"/>
        <v>2150</v>
      </c>
      <c r="K66" s="49">
        <f t="shared" si="5"/>
        <v>0.5013506213</v>
      </c>
      <c r="L66" s="49">
        <f t="shared" si="6"/>
        <v>0.4030253917</v>
      </c>
      <c r="M66" s="49">
        <f t="shared" si="7"/>
        <v>0.09562398703</v>
      </c>
      <c r="N66" s="32" t="str">
        <f t="shared" si="8"/>
        <v>Jânio</v>
      </c>
      <c r="O66" s="50" t="s">
        <v>77</v>
      </c>
      <c r="P66" s="38">
        <v>835.0</v>
      </c>
      <c r="Q66" s="38">
        <v>837.0</v>
      </c>
      <c r="R66" s="38">
        <v>106.0</v>
      </c>
      <c r="S66" s="38">
        <v>289.0</v>
      </c>
      <c r="T66" s="38">
        <v>83.0</v>
      </c>
      <c r="U66" s="48">
        <f t="shared" si="9"/>
        <v>1778</v>
      </c>
      <c r="V66" s="48">
        <f t="shared" si="10"/>
        <v>2150</v>
      </c>
      <c r="W66" s="49">
        <f t="shared" si="11"/>
        <v>0.4696287964</v>
      </c>
      <c r="X66" s="49">
        <f t="shared" si="12"/>
        <v>0.4707536558</v>
      </c>
      <c r="Y66" s="49">
        <f t="shared" si="13"/>
        <v>0.05961754781</v>
      </c>
      <c r="Z66" s="32" t="str">
        <f t="shared" si="14"/>
        <v>Milton</v>
      </c>
      <c r="AA66" s="50" t="s">
        <v>77</v>
      </c>
      <c r="AB66" s="38">
        <v>2576.0</v>
      </c>
      <c r="AC66" s="48">
        <f t="shared" si="15"/>
        <v>426</v>
      </c>
      <c r="AD66" s="51">
        <f t="shared" si="16"/>
        <v>0.8346273292</v>
      </c>
    </row>
    <row r="67">
      <c r="A67" s="24"/>
      <c r="B67" s="46" t="s">
        <v>1360</v>
      </c>
      <c r="C67" s="47"/>
      <c r="D67" s="38">
        <v>502.0</v>
      </c>
      <c r="E67" s="38">
        <v>894.0</v>
      </c>
      <c r="F67" s="38">
        <v>111.0</v>
      </c>
      <c r="G67" s="38">
        <v>152.0</v>
      </c>
      <c r="H67" s="38">
        <v>161.0</v>
      </c>
      <c r="I67" s="48">
        <f t="shared" si="3"/>
        <v>1507</v>
      </c>
      <c r="J67" s="48">
        <f t="shared" si="4"/>
        <v>1820</v>
      </c>
      <c r="K67" s="49">
        <f t="shared" si="5"/>
        <v>0.3331121433</v>
      </c>
      <c r="L67" s="49">
        <f t="shared" si="6"/>
        <v>0.5932315859</v>
      </c>
      <c r="M67" s="49">
        <f t="shared" si="7"/>
        <v>0.07365627074</v>
      </c>
      <c r="N67" s="32" t="str">
        <f t="shared" si="8"/>
        <v>Mal. Lott</v>
      </c>
      <c r="O67" s="50" t="s">
        <v>77</v>
      </c>
      <c r="P67" s="38">
        <v>923.0</v>
      </c>
      <c r="Q67" s="38">
        <v>367.0</v>
      </c>
      <c r="R67" s="38">
        <v>124.0</v>
      </c>
      <c r="S67" s="38">
        <v>311.0</v>
      </c>
      <c r="T67" s="38">
        <v>95.0</v>
      </c>
      <c r="U67" s="48">
        <f t="shared" si="9"/>
        <v>1414</v>
      </c>
      <c r="V67" s="48">
        <f t="shared" si="10"/>
        <v>1820</v>
      </c>
      <c r="W67" s="49">
        <f t="shared" si="11"/>
        <v>0.652758133</v>
      </c>
      <c r="X67" s="49">
        <f t="shared" si="12"/>
        <v>0.2595473833</v>
      </c>
      <c r="Y67" s="49">
        <f t="shared" si="13"/>
        <v>0.08769448373</v>
      </c>
      <c r="Z67" s="32" t="str">
        <f t="shared" si="14"/>
        <v>Jango</v>
      </c>
      <c r="AA67" s="50" t="s">
        <v>77</v>
      </c>
      <c r="AB67" s="38">
        <v>2029.0</v>
      </c>
      <c r="AC67" s="48">
        <f t="shared" si="15"/>
        <v>209</v>
      </c>
      <c r="AD67" s="51">
        <f t="shared" si="16"/>
        <v>0.8969935929</v>
      </c>
    </row>
    <row r="68">
      <c r="A68" s="61" t="s">
        <v>133</v>
      </c>
      <c r="B68" s="46" t="s">
        <v>1361</v>
      </c>
      <c r="C68" s="47"/>
      <c r="D68" s="38">
        <v>1093.0</v>
      </c>
      <c r="E68" s="38">
        <v>1009.0</v>
      </c>
      <c r="F68" s="38">
        <v>35.0</v>
      </c>
      <c r="G68" s="38">
        <v>88.0</v>
      </c>
      <c r="H68" s="38">
        <v>90.0</v>
      </c>
      <c r="I68" s="48">
        <f t="shared" si="3"/>
        <v>2137</v>
      </c>
      <c r="J68" s="48">
        <f t="shared" si="4"/>
        <v>2315</v>
      </c>
      <c r="K68" s="49">
        <f t="shared" si="5"/>
        <v>0.5114646701</v>
      </c>
      <c r="L68" s="49">
        <f t="shared" si="6"/>
        <v>0.4721572298</v>
      </c>
      <c r="M68" s="49">
        <f t="shared" si="7"/>
        <v>0.01637810014</v>
      </c>
      <c r="N68" s="32" t="str">
        <f t="shared" si="8"/>
        <v>Jânio</v>
      </c>
      <c r="O68" s="50" t="s">
        <v>77</v>
      </c>
      <c r="P68" s="38">
        <v>961.0</v>
      </c>
      <c r="Q68" s="38">
        <v>1015.0</v>
      </c>
      <c r="R68" s="38">
        <v>59.0</v>
      </c>
      <c r="S68" s="38">
        <v>221.0</v>
      </c>
      <c r="T68" s="38">
        <v>59.0</v>
      </c>
      <c r="U68" s="48">
        <f t="shared" si="9"/>
        <v>2035</v>
      </c>
      <c r="V68" s="48">
        <f t="shared" si="10"/>
        <v>2315</v>
      </c>
      <c r="W68" s="49">
        <f t="shared" si="11"/>
        <v>0.4722358722</v>
      </c>
      <c r="X68" s="49">
        <f t="shared" si="12"/>
        <v>0.4987714988</v>
      </c>
      <c r="Y68" s="49">
        <f t="shared" si="13"/>
        <v>0.02899262899</v>
      </c>
      <c r="Z68" s="32" t="str">
        <f t="shared" si="14"/>
        <v>Milton</v>
      </c>
      <c r="AA68" s="50" t="s">
        <v>77</v>
      </c>
      <c r="AB68" s="38">
        <v>3425.0</v>
      </c>
      <c r="AC68" s="48">
        <f t="shared" si="15"/>
        <v>1110</v>
      </c>
      <c r="AD68" s="51">
        <f t="shared" si="16"/>
        <v>0.6759124088</v>
      </c>
    </row>
    <row r="69">
      <c r="A69" s="24"/>
      <c r="B69" s="46" t="s">
        <v>1362</v>
      </c>
      <c r="C69" s="47"/>
      <c r="D69" s="38">
        <v>171.0</v>
      </c>
      <c r="E69" s="38">
        <v>209.0</v>
      </c>
      <c r="F69" s="38">
        <v>13.0</v>
      </c>
      <c r="G69" s="38">
        <v>27.0</v>
      </c>
      <c r="H69" s="38">
        <v>19.0</v>
      </c>
      <c r="I69" s="48">
        <f t="shared" si="3"/>
        <v>393</v>
      </c>
      <c r="J69" s="48">
        <f t="shared" si="4"/>
        <v>439</v>
      </c>
      <c r="K69" s="49">
        <f t="shared" si="5"/>
        <v>0.4351145038</v>
      </c>
      <c r="L69" s="49">
        <f t="shared" si="6"/>
        <v>0.5318066158</v>
      </c>
      <c r="M69" s="49">
        <f t="shared" si="7"/>
        <v>0.03307888041</v>
      </c>
      <c r="N69" s="32" t="str">
        <f t="shared" si="8"/>
        <v>Mal. Lott</v>
      </c>
      <c r="O69" s="50" t="s">
        <v>77</v>
      </c>
      <c r="P69" s="38">
        <v>220.0</v>
      </c>
      <c r="Q69" s="38">
        <v>119.0</v>
      </c>
      <c r="R69" s="38">
        <v>26.0</v>
      </c>
      <c r="S69" s="38">
        <v>67.0</v>
      </c>
      <c r="T69" s="38">
        <v>7.0</v>
      </c>
      <c r="U69" s="48">
        <f t="shared" si="9"/>
        <v>365</v>
      </c>
      <c r="V69" s="48">
        <f t="shared" si="10"/>
        <v>439</v>
      </c>
      <c r="W69" s="49">
        <f t="shared" si="11"/>
        <v>0.602739726</v>
      </c>
      <c r="X69" s="49">
        <f t="shared" si="12"/>
        <v>0.3260273973</v>
      </c>
      <c r="Y69" s="49">
        <f t="shared" si="13"/>
        <v>0.07123287671</v>
      </c>
      <c r="Z69" s="32" t="str">
        <f t="shared" si="14"/>
        <v>Jango</v>
      </c>
      <c r="AA69" s="50" t="s">
        <v>77</v>
      </c>
      <c r="AB69" s="38">
        <v>543.0</v>
      </c>
      <c r="AC69" s="48">
        <f t="shared" si="15"/>
        <v>104</v>
      </c>
      <c r="AD69" s="51">
        <f t="shared" si="16"/>
        <v>0.8084714549</v>
      </c>
    </row>
    <row r="70">
      <c r="A70" s="110" t="s">
        <v>135</v>
      </c>
      <c r="B70" s="46" t="s">
        <v>491</v>
      </c>
      <c r="C70" s="47"/>
      <c r="D70" s="38">
        <v>2077.0</v>
      </c>
      <c r="E70" s="38">
        <v>2660.0</v>
      </c>
      <c r="F70" s="38">
        <v>318.0</v>
      </c>
      <c r="G70" s="38">
        <v>328.0</v>
      </c>
      <c r="H70" s="38">
        <v>390.0</v>
      </c>
      <c r="I70" s="48">
        <f t="shared" si="3"/>
        <v>5055</v>
      </c>
      <c r="J70" s="48">
        <f t="shared" si="4"/>
        <v>5773</v>
      </c>
      <c r="K70" s="49">
        <f t="shared" si="5"/>
        <v>0.4108803165</v>
      </c>
      <c r="L70" s="49">
        <f t="shared" si="6"/>
        <v>0.5262116716</v>
      </c>
      <c r="M70" s="49">
        <f t="shared" si="7"/>
        <v>0.06290801187</v>
      </c>
      <c r="N70" s="32" t="str">
        <f t="shared" si="8"/>
        <v>Mal. Lott</v>
      </c>
      <c r="O70" s="50" t="s">
        <v>77</v>
      </c>
      <c r="P70" s="38">
        <v>2807.0</v>
      </c>
      <c r="Q70" s="38">
        <v>1722.0</v>
      </c>
      <c r="R70" s="38">
        <v>286.0</v>
      </c>
      <c r="S70" s="38">
        <v>717.0</v>
      </c>
      <c r="T70" s="38">
        <v>241.0</v>
      </c>
      <c r="U70" s="48">
        <f t="shared" si="9"/>
        <v>4815</v>
      </c>
      <c r="V70" s="48">
        <f t="shared" si="10"/>
        <v>5773</v>
      </c>
      <c r="W70" s="49">
        <f t="shared" si="11"/>
        <v>0.5829698858</v>
      </c>
      <c r="X70" s="49">
        <f t="shared" si="12"/>
        <v>0.3576323988</v>
      </c>
      <c r="Y70" s="49">
        <f t="shared" si="13"/>
        <v>0.05939771547</v>
      </c>
      <c r="Z70" s="32" t="str">
        <f t="shared" si="14"/>
        <v>Jango</v>
      </c>
      <c r="AA70" s="50" t="s">
        <v>77</v>
      </c>
      <c r="AB70" s="38">
        <v>6858.0</v>
      </c>
      <c r="AC70" s="48">
        <f t="shared" si="15"/>
        <v>1085</v>
      </c>
      <c r="AD70" s="51">
        <f t="shared" si="16"/>
        <v>0.8417906095</v>
      </c>
    </row>
    <row r="71">
      <c r="A71" s="110" t="s">
        <v>193</v>
      </c>
      <c r="B71" s="46" t="s">
        <v>1363</v>
      </c>
      <c r="C71" s="47"/>
      <c r="D71" s="38">
        <v>544.0</v>
      </c>
      <c r="E71" s="38">
        <v>751.0</v>
      </c>
      <c r="F71" s="38">
        <v>101.0</v>
      </c>
      <c r="G71" s="38">
        <v>103.0</v>
      </c>
      <c r="H71" s="38">
        <v>106.0</v>
      </c>
      <c r="I71" s="48">
        <f t="shared" si="3"/>
        <v>1396</v>
      </c>
      <c r="J71" s="48">
        <f t="shared" si="4"/>
        <v>1605</v>
      </c>
      <c r="K71" s="49">
        <f t="shared" si="5"/>
        <v>0.3896848138</v>
      </c>
      <c r="L71" s="49">
        <f t="shared" si="6"/>
        <v>0.537965616</v>
      </c>
      <c r="M71" s="49">
        <f t="shared" si="7"/>
        <v>0.0723495702</v>
      </c>
      <c r="N71" s="32" t="str">
        <f t="shared" si="8"/>
        <v>Mal. Lott</v>
      </c>
      <c r="O71" s="50" t="s">
        <v>77</v>
      </c>
      <c r="P71" s="38">
        <v>795.0</v>
      </c>
      <c r="Q71" s="38">
        <v>355.0</v>
      </c>
      <c r="R71" s="38">
        <v>162.0</v>
      </c>
      <c r="S71" s="38">
        <v>225.0</v>
      </c>
      <c r="T71" s="38">
        <v>68.0</v>
      </c>
      <c r="U71" s="48">
        <f t="shared" si="9"/>
        <v>1312</v>
      </c>
      <c r="V71" s="48">
        <f t="shared" si="10"/>
        <v>1605</v>
      </c>
      <c r="W71" s="49">
        <f t="shared" si="11"/>
        <v>0.605945122</v>
      </c>
      <c r="X71" s="49">
        <f t="shared" si="12"/>
        <v>0.2705792683</v>
      </c>
      <c r="Y71" s="49">
        <f t="shared" si="13"/>
        <v>0.1234756098</v>
      </c>
      <c r="Z71" s="32" t="str">
        <f t="shared" si="14"/>
        <v>Jango</v>
      </c>
      <c r="AA71" s="50" t="s">
        <v>77</v>
      </c>
      <c r="AB71" s="38">
        <v>2215.0</v>
      </c>
      <c r="AC71" s="48">
        <f t="shared" si="15"/>
        <v>610</v>
      </c>
      <c r="AD71" s="51">
        <f t="shared" si="16"/>
        <v>0.7246049661</v>
      </c>
    </row>
    <row r="72">
      <c r="A72" s="61" t="s">
        <v>196</v>
      </c>
      <c r="B72" s="46" t="s">
        <v>1364</v>
      </c>
      <c r="C72" s="47"/>
      <c r="D72" s="38">
        <v>662.0</v>
      </c>
      <c r="E72" s="38">
        <v>946.0</v>
      </c>
      <c r="F72" s="38">
        <v>79.0</v>
      </c>
      <c r="G72" s="38">
        <v>68.0</v>
      </c>
      <c r="H72" s="38">
        <v>98.0</v>
      </c>
      <c r="I72" s="48">
        <f t="shared" si="3"/>
        <v>1687</v>
      </c>
      <c r="J72" s="48">
        <f t="shared" si="4"/>
        <v>1853</v>
      </c>
      <c r="K72" s="49">
        <f t="shared" si="5"/>
        <v>0.3924125667</v>
      </c>
      <c r="L72" s="49">
        <f t="shared" si="6"/>
        <v>0.5607587433</v>
      </c>
      <c r="M72" s="49">
        <f t="shared" si="7"/>
        <v>0.04682868998</v>
      </c>
      <c r="N72" s="32" t="str">
        <f t="shared" si="8"/>
        <v>Mal. Lott</v>
      </c>
      <c r="O72" s="50" t="s">
        <v>77</v>
      </c>
      <c r="P72" s="38">
        <v>956.0</v>
      </c>
      <c r="Q72" s="38">
        <v>522.0</v>
      </c>
      <c r="R72" s="38">
        <v>172.0</v>
      </c>
      <c r="S72" s="38">
        <v>137.0</v>
      </c>
      <c r="T72" s="38">
        <v>66.0</v>
      </c>
      <c r="U72" s="48">
        <f t="shared" si="9"/>
        <v>1650</v>
      </c>
      <c r="V72" s="48">
        <f t="shared" si="10"/>
        <v>1853</v>
      </c>
      <c r="W72" s="49">
        <f t="shared" si="11"/>
        <v>0.5793939394</v>
      </c>
      <c r="X72" s="49">
        <f t="shared" si="12"/>
        <v>0.3163636364</v>
      </c>
      <c r="Y72" s="49">
        <f t="shared" si="13"/>
        <v>0.1042424242</v>
      </c>
      <c r="Z72" s="32" t="str">
        <f t="shared" si="14"/>
        <v>Jango</v>
      </c>
      <c r="AA72" s="50" t="s">
        <v>77</v>
      </c>
      <c r="AB72" s="38">
        <v>2642.0</v>
      </c>
      <c r="AC72" s="48">
        <f t="shared" si="15"/>
        <v>789</v>
      </c>
      <c r="AD72" s="51">
        <f t="shared" si="16"/>
        <v>0.7013626041</v>
      </c>
    </row>
    <row r="73">
      <c r="A73" s="23"/>
      <c r="B73" s="46" t="s">
        <v>1365</v>
      </c>
      <c r="C73" s="47"/>
      <c r="D73" s="38">
        <v>430.0</v>
      </c>
      <c r="E73" s="38">
        <v>640.0</v>
      </c>
      <c r="F73" s="38">
        <v>79.0</v>
      </c>
      <c r="G73" s="38">
        <v>65.0</v>
      </c>
      <c r="H73" s="38">
        <v>124.0</v>
      </c>
      <c r="I73" s="48">
        <f t="shared" si="3"/>
        <v>1149</v>
      </c>
      <c r="J73" s="48">
        <f t="shared" si="4"/>
        <v>1338</v>
      </c>
      <c r="K73" s="49">
        <f t="shared" si="5"/>
        <v>0.3742384682</v>
      </c>
      <c r="L73" s="49">
        <f t="shared" si="6"/>
        <v>0.5570060923</v>
      </c>
      <c r="M73" s="49">
        <f t="shared" si="7"/>
        <v>0.06875543951</v>
      </c>
      <c r="N73" s="32" t="str">
        <f t="shared" si="8"/>
        <v>Mal. Lott</v>
      </c>
      <c r="O73" s="50" t="s">
        <v>77</v>
      </c>
      <c r="P73" s="38">
        <v>673.0</v>
      </c>
      <c r="Q73" s="38">
        <v>98.0</v>
      </c>
      <c r="R73" s="38">
        <v>374.0</v>
      </c>
      <c r="S73" s="38">
        <v>100.0</v>
      </c>
      <c r="T73" s="38">
        <v>93.0</v>
      </c>
      <c r="U73" s="48">
        <f t="shared" si="9"/>
        <v>1145</v>
      </c>
      <c r="V73" s="48">
        <f t="shared" si="10"/>
        <v>1338</v>
      </c>
      <c r="W73" s="49">
        <f t="shared" si="11"/>
        <v>0.5877729258</v>
      </c>
      <c r="X73" s="49">
        <f t="shared" si="12"/>
        <v>0.08558951965</v>
      </c>
      <c r="Y73" s="49">
        <f t="shared" si="13"/>
        <v>0.3266375546</v>
      </c>
      <c r="Z73" s="32" t="str">
        <f t="shared" si="14"/>
        <v>Jango</v>
      </c>
      <c r="AA73" s="50" t="s">
        <v>77</v>
      </c>
      <c r="AB73" s="38">
        <v>1725.0</v>
      </c>
      <c r="AC73" s="48">
        <f t="shared" si="15"/>
        <v>387</v>
      </c>
      <c r="AD73" s="51">
        <f t="shared" si="16"/>
        <v>0.7756521739</v>
      </c>
    </row>
    <row r="74">
      <c r="A74" s="23"/>
      <c r="B74" s="46" t="s">
        <v>1366</v>
      </c>
      <c r="C74" s="47"/>
      <c r="D74" s="38">
        <v>357.0</v>
      </c>
      <c r="E74" s="38">
        <v>351.0</v>
      </c>
      <c r="F74" s="38">
        <v>54.0</v>
      </c>
      <c r="G74" s="38">
        <v>35.0</v>
      </c>
      <c r="H74" s="38">
        <v>61.0</v>
      </c>
      <c r="I74" s="48">
        <f t="shared" si="3"/>
        <v>762</v>
      </c>
      <c r="J74" s="48">
        <f t="shared" si="4"/>
        <v>858</v>
      </c>
      <c r="K74" s="49">
        <f t="shared" si="5"/>
        <v>0.468503937</v>
      </c>
      <c r="L74" s="49">
        <f t="shared" si="6"/>
        <v>0.4606299213</v>
      </c>
      <c r="M74" s="49">
        <f t="shared" si="7"/>
        <v>0.07086614173</v>
      </c>
      <c r="N74" s="32" t="str">
        <f t="shared" si="8"/>
        <v>Jânio</v>
      </c>
      <c r="O74" s="50" t="s">
        <v>77</v>
      </c>
      <c r="P74" s="38">
        <v>359.0</v>
      </c>
      <c r="Q74" s="38">
        <v>322.0</v>
      </c>
      <c r="R74" s="38">
        <v>46.0</v>
      </c>
      <c r="S74" s="38">
        <v>84.0</v>
      </c>
      <c r="T74" s="38">
        <v>47.0</v>
      </c>
      <c r="U74" s="48">
        <f t="shared" si="9"/>
        <v>727</v>
      </c>
      <c r="V74" s="48">
        <f t="shared" si="10"/>
        <v>858</v>
      </c>
      <c r="W74" s="49">
        <f t="shared" si="11"/>
        <v>0.4938101788</v>
      </c>
      <c r="X74" s="49">
        <f t="shared" si="12"/>
        <v>0.4429160935</v>
      </c>
      <c r="Y74" s="49">
        <f t="shared" si="13"/>
        <v>0.06327372765</v>
      </c>
      <c r="Z74" s="32" t="str">
        <f t="shared" si="14"/>
        <v>Jango</v>
      </c>
      <c r="AA74" s="50" t="s">
        <v>77</v>
      </c>
      <c r="AB74" s="38">
        <v>1403.0</v>
      </c>
      <c r="AC74" s="48">
        <f t="shared" si="15"/>
        <v>545</v>
      </c>
      <c r="AD74" s="51">
        <f t="shared" si="16"/>
        <v>0.6115466857</v>
      </c>
    </row>
    <row r="75">
      <c r="A75" s="23"/>
      <c r="B75" s="46" t="s">
        <v>1367</v>
      </c>
      <c r="C75" s="47"/>
      <c r="D75" s="38">
        <v>247.0</v>
      </c>
      <c r="E75" s="38">
        <v>419.0</v>
      </c>
      <c r="F75" s="38">
        <v>77.0</v>
      </c>
      <c r="G75" s="38">
        <v>55.0</v>
      </c>
      <c r="H75" s="38">
        <v>63.0</v>
      </c>
      <c r="I75" s="48">
        <f t="shared" si="3"/>
        <v>743</v>
      </c>
      <c r="J75" s="48">
        <f t="shared" si="4"/>
        <v>861</v>
      </c>
      <c r="K75" s="49">
        <f t="shared" si="5"/>
        <v>0.33243607</v>
      </c>
      <c r="L75" s="49">
        <f t="shared" si="6"/>
        <v>0.5639300135</v>
      </c>
      <c r="M75" s="49">
        <f t="shared" si="7"/>
        <v>0.1036339166</v>
      </c>
      <c r="N75" s="32" t="str">
        <f t="shared" si="8"/>
        <v>Mal. Lott</v>
      </c>
      <c r="O75" s="50" t="s">
        <v>77</v>
      </c>
      <c r="P75" s="38">
        <v>455.0</v>
      </c>
      <c r="Q75" s="38">
        <v>204.0</v>
      </c>
      <c r="R75" s="38">
        <v>52.0</v>
      </c>
      <c r="S75" s="38">
        <v>91.0</v>
      </c>
      <c r="T75" s="38">
        <v>59.0</v>
      </c>
      <c r="U75" s="48">
        <f t="shared" si="9"/>
        <v>711</v>
      </c>
      <c r="V75" s="48">
        <f t="shared" si="10"/>
        <v>861</v>
      </c>
      <c r="W75" s="49">
        <f t="shared" si="11"/>
        <v>0.6399437412</v>
      </c>
      <c r="X75" s="49">
        <f t="shared" si="12"/>
        <v>0.2869198312</v>
      </c>
      <c r="Y75" s="49">
        <f t="shared" si="13"/>
        <v>0.07313642757</v>
      </c>
      <c r="Z75" s="32" t="str">
        <f t="shared" si="14"/>
        <v>Jango</v>
      </c>
      <c r="AA75" s="50" t="s">
        <v>77</v>
      </c>
      <c r="AB75" s="38">
        <v>2012.0</v>
      </c>
      <c r="AC75" s="48">
        <f t="shared" si="15"/>
        <v>1151</v>
      </c>
      <c r="AD75" s="51">
        <f t="shared" si="16"/>
        <v>0.4279324056</v>
      </c>
    </row>
    <row r="76">
      <c r="A76" s="23"/>
      <c r="B76" s="46" t="s">
        <v>1368</v>
      </c>
      <c r="C76" s="47"/>
      <c r="D76" s="38">
        <v>399.0</v>
      </c>
      <c r="E76" s="38">
        <v>474.0</v>
      </c>
      <c r="F76" s="38">
        <v>101.0</v>
      </c>
      <c r="G76" s="38">
        <v>67.0</v>
      </c>
      <c r="H76" s="38">
        <v>107.0</v>
      </c>
      <c r="I76" s="48">
        <f t="shared" si="3"/>
        <v>974</v>
      </c>
      <c r="J76" s="48">
        <f t="shared" si="4"/>
        <v>1148</v>
      </c>
      <c r="K76" s="49">
        <f t="shared" si="5"/>
        <v>0.409650924</v>
      </c>
      <c r="L76" s="49">
        <f t="shared" si="6"/>
        <v>0.4866529774</v>
      </c>
      <c r="M76" s="49">
        <f t="shared" si="7"/>
        <v>0.1036960986</v>
      </c>
      <c r="N76" s="32" t="str">
        <f t="shared" si="8"/>
        <v>Mal. Lott</v>
      </c>
      <c r="O76" s="50" t="s">
        <v>77</v>
      </c>
      <c r="P76" s="38">
        <v>505.0</v>
      </c>
      <c r="Q76" s="38">
        <v>289.0</v>
      </c>
      <c r="R76" s="38">
        <v>144.0</v>
      </c>
      <c r="S76" s="38">
        <v>114.0</v>
      </c>
      <c r="T76" s="38">
        <v>96.0</v>
      </c>
      <c r="U76" s="48">
        <f t="shared" si="9"/>
        <v>938</v>
      </c>
      <c r="V76" s="48">
        <f t="shared" si="10"/>
        <v>1148</v>
      </c>
      <c r="W76" s="49">
        <f t="shared" si="11"/>
        <v>0.5383795309</v>
      </c>
      <c r="X76" s="49">
        <f t="shared" si="12"/>
        <v>0.3081023454</v>
      </c>
      <c r="Y76" s="49">
        <f t="shared" si="13"/>
        <v>0.1535181237</v>
      </c>
      <c r="Z76" s="32" t="str">
        <f t="shared" si="14"/>
        <v>Jango</v>
      </c>
      <c r="AA76" s="50" t="s">
        <v>77</v>
      </c>
      <c r="AB76" s="38">
        <v>1677.0</v>
      </c>
      <c r="AC76" s="48">
        <f t="shared" si="15"/>
        <v>529</v>
      </c>
      <c r="AD76" s="51">
        <f t="shared" si="16"/>
        <v>0.6845557543</v>
      </c>
    </row>
    <row r="77">
      <c r="A77" s="24"/>
      <c r="B77" s="46" t="s">
        <v>1369</v>
      </c>
      <c r="C77" s="47"/>
      <c r="D77" s="38">
        <v>241.0</v>
      </c>
      <c r="E77" s="38">
        <v>270.0</v>
      </c>
      <c r="F77" s="38">
        <v>51.0</v>
      </c>
      <c r="G77" s="38">
        <v>54.0</v>
      </c>
      <c r="H77" s="38">
        <v>36.0</v>
      </c>
      <c r="I77" s="48">
        <f t="shared" si="3"/>
        <v>562</v>
      </c>
      <c r="J77" s="48">
        <f t="shared" si="4"/>
        <v>652</v>
      </c>
      <c r="K77" s="49">
        <f t="shared" si="5"/>
        <v>0.4288256228</v>
      </c>
      <c r="L77" s="49">
        <f t="shared" si="6"/>
        <v>0.4804270463</v>
      </c>
      <c r="M77" s="49">
        <f t="shared" si="7"/>
        <v>0.09074733096</v>
      </c>
      <c r="N77" s="32" t="str">
        <f t="shared" si="8"/>
        <v>Mal. Lott</v>
      </c>
      <c r="O77" s="50" t="s">
        <v>77</v>
      </c>
      <c r="P77" s="38">
        <v>259.0</v>
      </c>
      <c r="Q77" s="38">
        <v>195.0</v>
      </c>
      <c r="R77" s="38">
        <v>74.0</v>
      </c>
      <c r="S77" s="38">
        <v>75.0</v>
      </c>
      <c r="T77" s="38">
        <v>49.0</v>
      </c>
      <c r="U77" s="48">
        <f t="shared" si="9"/>
        <v>528</v>
      </c>
      <c r="V77" s="48">
        <f t="shared" si="10"/>
        <v>652</v>
      </c>
      <c r="W77" s="49">
        <f t="shared" si="11"/>
        <v>0.490530303</v>
      </c>
      <c r="X77" s="49">
        <f t="shared" si="12"/>
        <v>0.3693181818</v>
      </c>
      <c r="Y77" s="49">
        <f t="shared" si="13"/>
        <v>0.1401515152</v>
      </c>
      <c r="Z77" s="32" t="str">
        <f t="shared" si="14"/>
        <v>Jango</v>
      </c>
      <c r="AA77" s="50" t="s">
        <v>77</v>
      </c>
      <c r="AB77" s="38">
        <v>824.0</v>
      </c>
      <c r="AC77" s="48">
        <f t="shared" si="15"/>
        <v>172</v>
      </c>
      <c r="AD77" s="51">
        <f t="shared" si="16"/>
        <v>0.7912621359</v>
      </c>
    </row>
    <row r="78">
      <c r="A78" s="110" t="s">
        <v>198</v>
      </c>
      <c r="B78" s="46" t="s">
        <v>1370</v>
      </c>
      <c r="C78" s="47"/>
      <c r="D78" s="38">
        <v>1660.0</v>
      </c>
      <c r="E78" s="38">
        <v>946.0</v>
      </c>
      <c r="F78" s="38">
        <v>155.0</v>
      </c>
      <c r="G78" s="38">
        <v>246.0</v>
      </c>
      <c r="H78" s="38">
        <v>150.0</v>
      </c>
      <c r="I78" s="48">
        <f t="shared" si="3"/>
        <v>2761</v>
      </c>
      <c r="J78" s="48">
        <f t="shared" si="4"/>
        <v>3157</v>
      </c>
      <c r="K78" s="49">
        <f t="shared" si="5"/>
        <v>0.6012314379</v>
      </c>
      <c r="L78" s="49">
        <f t="shared" si="6"/>
        <v>0.3426294821</v>
      </c>
      <c r="M78" s="49">
        <f t="shared" si="7"/>
        <v>0.05613908004</v>
      </c>
      <c r="N78" s="32" t="str">
        <f t="shared" si="8"/>
        <v>Jânio</v>
      </c>
      <c r="O78" s="50" t="s">
        <v>77</v>
      </c>
      <c r="P78" s="38">
        <v>995.0</v>
      </c>
      <c r="Q78" s="38">
        <v>1345.0</v>
      </c>
      <c r="R78" s="38">
        <v>200.0</v>
      </c>
      <c r="S78" s="38">
        <v>513.0</v>
      </c>
      <c r="T78" s="38">
        <v>104.0</v>
      </c>
      <c r="U78" s="48">
        <f t="shared" si="9"/>
        <v>2540</v>
      </c>
      <c r="V78" s="48">
        <f t="shared" si="10"/>
        <v>3157</v>
      </c>
      <c r="W78" s="49">
        <f t="shared" si="11"/>
        <v>0.3917322835</v>
      </c>
      <c r="X78" s="49">
        <f t="shared" si="12"/>
        <v>0.5295275591</v>
      </c>
      <c r="Y78" s="49">
        <f t="shared" si="13"/>
        <v>0.07874015748</v>
      </c>
      <c r="Z78" s="32" t="str">
        <f t="shared" si="14"/>
        <v>Milton</v>
      </c>
      <c r="AA78" s="50" t="s">
        <v>77</v>
      </c>
      <c r="AB78" s="38">
        <v>3492.0</v>
      </c>
      <c r="AC78" s="48">
        <f t="shared" si="15"/>
        <v>335</v>
      </c>
      <c r="AD78" s="51">
        <f t="shared" si="16"/>
        <v>0.9040664376</v>
      </c>
    </row>
    <row r="79">
      <c r="A79" s="61" t="s">
        <v>202</v>
      </c>
      <c r="B79" s="46" t="s">
        <v>1371</v>
      </c>
      <c r="C79" s="47"/>
      <c r="D79" s="38">
        <v>883.0</v>
      </c>
      <c r="E79" s="38">
        <v>1231.0</v>
      </c>
      <c r="F79" s="38">
        <v>190.0</v>
      </c>
      <c r="G79" s="38">
        <v>239.0</v>
      </c>
      <c r="H79" s="38">
        <v>222.0</v>
      </c>
      <c r="I79" s="48">
        <f t="shared" si="3"/>
        <v>2304</v>
      </c>
      <c r="J79" s="48">
        <f t="shared" si="4"/>
        <v>2765</v>
      </c>
      <c r="K79" s="49">
        <f t="shared" si="5"/>
        <v>0.3832465278</v>
      </c>
      <c r="L79" s="49">
        <f t="shared" si="6"/>
        <v>0.5342881944</v>
      </c>
      <c r="M79" s="49">
        <f t="shared" si="7"/>
        <v>0.08246527778</v>
      </c>
      <c r="N79" s="32" t="str">
        <f t="shared" si="8"/>
        <v>Mal. Lott</v>
      </c>
      <c r="O79" s="50" t="s">
        <v>77</v>
      </c>
      <c r="P79" s="38">
        <v>1336.0</v>
      </c>
      <c r="Q79" s="38">
        <v>495.0</v>
      </c>
      <c r="R79" s="38">
        <v>277.0</v>
      </c>
      <c r="S79" s="38">
        <v>529.0</v>
      </c>
      <c r="T79" s="38">
        <v>128.0</v>
      </c>
      <c r="U79" s="48">
        <f t="shared" si="9"/>
        <v>2108</v>
      </c>
      <c r="V79" s="48">
        <f t="shared" si="10"/>
        <v>2765</v>
      </c>
      <c r="W79" s="49">
        <f t="shared" si="11"/>
        <v>0.6337760911</v>
      </c>
      <c r="X79" s="49">
        <f t="shared" si="12"/>
        <v>0.2348197343</v>
      </c>
      <c r="Y79" s="49">
        <f t="shared" si="13"/>
        <v>0.1314041746</v>
      </c>
      <c r="Z79" s="32" t="str">
        <f t="shared" si="14"/>
        <v>Jango</v>
      </c>
      <c r="AA79" s="50" t="s">
        <v>77</v>
      </c>
      <c r="AB79" s="55">
        <v>3757.0</v>
      </c>
      <c r="AC79" s="48">
        <f t="shared" si="15"/>
        <v>992</v>
      </c>
      <c r="AD79" s="51">
        <f t="shared" si="16"/>
        <v>0.7359595422</v>
      </c>
    </row>
    <row r="80">
      <c r="A80" s="24"/>
      <c r="B80" s="46" t="s">
        <v>1372</v>
      </c>
      <c r="C80" s="47"/>
      <c r="D80" s="38">
        <v>217.0</v>
      </c>
      <c r="E80" s="48">
        <v>193.0</v>
      </c>
      <c r="F80" s="48">
        <v>121.0</v>
      </c>
      <c r="G80" s="38">
        <v>90.0</v>
      </c>
      <c r="H80" s="38">
        <v>116.0</v>
      </c>
      <c r="I80" s="48">
        <f t="shared" si="3"/>
        <v>531</v>
      </c>
      <c r="J80" s="48">
        <f t="shared" si="4"/>
        <v>737</v>
      </c>
      <c r="K80" s="49">
        <f t="shared" si="5"/>
        <v>0.4086629002</v>
      </c>
      <c r="L80" s="49">
        <f t="shared" si="6"/>
        <v>0.3634651601</v>
      </c>
      <c r="M80" s="49">
        <f t="shared" si="7"/>
        <v>0.2278719397</v>
      </c>
      <c r="N80" s="32" t="str">
        <f t="shared" si="8"/>
        <v>Jânio</v>
      </c>
      <c r="O80" s="50" t="s">
        <v>77</v>
      </c>
      <c r="P80" s="38">
        <v>277.0</v>
      </c>
      <c r="Q80" s="38">
        <v>107.0</v>
      </c>
      <c r="R80" s="38">
        <v>113.0</v>
      </c>
      <c r="S80" s="38">
        <v>194.0</v>
      </c>
      <c r="T80" s="38">
        <v>46.0</v>
      </c>
      <c r="U80" s="48">
        <f t="shared" si="9"/>
        <v>497</v>
      </c>
      <c r="V80" s="48">
        <f t="shared" si="10"/>
        <v>737</v>
      </c>
      <c r="W80" s="49">
        <f t="shared" si="11"/>
        <v>0.5573440644</v>
      </c>
      <c r="X80" s="49">
        <f t="shared" si="12"/>
        <v>0.2152917505</v>
      </c>
      <c r="Y80" s="49">
        <f t="shared" si="13"/>
        <v>0.2273641851</v>
      </c>
      <c r="Z80" s="32" t="str">
        <f t="shared" si="14"/>
        <v>Jango</v>
      </c>
      <c r="AA80" s="50" t="s">
        <v>77</v>
      </c>
      <c r="AB80" s="38">
        <v>1073.0</v>
      </c>
      <c r="AC80" s="48">
        <f t="shared" si="15"/>
        <v>336</v>
      </c>
      <c r="AD80" s="51">
        <f t="shared" si="16"/>
        <v>0.6868592731</v>
      </c>
    </row>
    <row r="81">
      <c r="A81" s="61" t="s">
        <v>205</v>
      </c>
      <c r="B81" s="46" t="s">
        <v>1373</v>
      </c>
      <c r="C81" s="47"/>
      <c r="D81" s="38">
        <v>1758.0</v>
      </c>
      <c r="E81" s="48">
        <v>1394.0</v>
      </c>
      <c r="F81" s="48">
        <v>446.0</v>
      </c>
      <c r="G81" s="130">
        <v>310.0</v>
      </c>
      <c r="H81" s="38">
        <v>298.0</v>
      </c>
      <c r="I81" s="48">
        <f t="shared" si="3"/>
        <v>3598</v>
      </c>
      <c r="J81" s="48">
        <f t="shared" si="4"/>
        <v>4206</v>
      </c>
      <c r="K81" s="49">
        <f t="shared" si="5"/>
        <v>0.4886047804</v>
      </c>
      <c r="L81" s="49">
        <f t="shared" si="6"/>
        <v>0.3874374653</v>
      </c>
      <c r="M81" s="49">
        <f t="shared" si="7"/>
        <v>0.1239577543</v>
      </c>
      <c r="N81" s="32" t="str">
        <f t="shared" si="8"/>
        <v>Jânio</v>
      </c>
      <c r="O81" s="50" t="s">
        <v>77</v>
      </c>
      <c r="P81" s="38">
        <v>1607.0</v>
      </c>
      <c r="Q81" s="38">
        <v>1249.0</v>
      </c>
      <c r="R81" s="38">
        <v>521.0</v>
      </c>
      <c r="S81" s="38">
        <v>652.0</v>
      </c>
      <c r="T81" s="38">
        <v>177.0</v>
      </c>
      <c r="U81" s="48">
        <f t="shared" si="9"/>
        <v>3377</v>
      </c>
      <c r="V81" s="48">
        <f t="shared" si="10"/>
        <v>4206</v>
      </c>
      <c r="W81" s="49">
        <f t="shared" si="11"/>
        <v>0.4758661534</v>
      </c>
      <c r="X81" s="49">
        <f t="shared" si="12"/>
        <v>0.3698549008</v>
      </c>
      <c r="Y81" s="49">
        <f t="shared" si="13"/>
        <v>0.1542789458</v>
      </c>
      <c r="Z81" s="32" t="str">
        <f t="shared" si="14"/>
        <v>Jango</v>
      </c>
      <c r="AA81" s="50" t="s">
        <v>77</v>
      </c>
      <c r="AB81" s="38">
        <v>4902.0</v>
      </c>
      <c r="AC81" s="48">
        <f t="shared" si="15"/>
        <v>696</v>
      </c>
      <c r="AD81" s="51">
        <f t="shared" si="16"/>
        <v>0.8580171359</v>
      </c>
    </row>
    <row r="82">
      <c r="A82" s="23"/>
      <c r="B82" s="46" t="s">
        <v>1374</v>
      </c>
      <c r="C82" s="47"/>
      <c r="D82" s="38">
        <v>305.0</v>
      </c>
      <c r="E82" s="48">
        <v>277.0</v>
      </c>
      <c r="F82" s="48">
        <v>51.0</v>
      </c>
      <c r="G82" s="130">
        <v>52.0</v>
      </c>
      <c r="H82" s="38">
        <v>32.0</v>
      </c>
      <c r="I82" s="48">
        <f t="shared" si="3"/>
        <v>633</v>
      </c>
      <c r="J82" s="48">
        <f t="shared" si="4"/>
        <v>717</v>
      </c>
      <c r="K82" s="49">
        <f t="shared" si="5"/>
        <v>0.4818325434</v>
      </c>
      <c r="L82" s="49">
        <f t="shared" si="6"/>
        <v>0.4375987362</v>
      </c>
      <c r="M82" s="49">
        <f t="shared" si="7"/>
        <v>0.08056872038</v>
      </c>
      <c r="N82" s="32" t="str">
        <f t="shared" si="8"/>
        <v>Jânio</v>
      </c>
      <c r="O82" s="50" t="s">
        <v>77</v>
      </c>
      <c r="P82" s="38">
        <v>257.0</v>
      </c>
      <c r="Q82" s="38">
        <v>250.0</v>
      </c>
      <c r="R82" s="38">
        <v>45.0</v>
      </c>
      <c r="S82" s="38">
        <v>141.0</v>
      </c>
      <c r="T82" s="38">
        <v>24.0</v>
      </c>
      <c r="U82" s="48">
        <f t="shared" si="9"/>
        <v>552</v>
      </c>
      <c r="V82" s="48">
        <f t="shared" si="10"/>
        <v>717</v>
      </c>
      <c r="W82" s="49">
        <f t="shared" si="11"/>
        <v>0.4655797101</v>
      </c>
      <c r="X82" s="49">
        <f t="shared" si="12"/>
        <v>0.4528985507</v>
      </c>
      <c r="Y82" s="49">
        <f t="shared" si="13"/>
        <v>0.08152173913</v>
      </c>
      <c r="Z82" s="32" t="str">
        <f t="shared" si="14"/>
        <v>Jango</v>
      </c>
      <c r="AA82" s="50" t="s">
        <v>77</v>
      </c>
      <c r="AB82" s="38">
        <v>780.0</v>
      </c>
      <c r="AC82" s="48">
        <f t="shared" si="15"/>
        <v>63</v>
      </c>
      <c r="AD82" s="51">
        <f t="shared" si="16"/>
        <v>0.9192307692</v>
      </c>
    </row>
    <row r="83">
      <c r="A83" s="24"/>
      <c r="B83" s="46" t="s">
        <v>1375</v>
      </c>
      <c r="C83" s="47"/>
      <c r="D83" s="38">
        <v>143.0</v>
      </c>
      <c r="E83" s="48">
        <v>231.0</v>
      </c>
      <c r="F83" s="48">
        <v>18.0</v>
      </c>
      <c r="G83" s="130">
        <v>28.0</v>
      </c>
      <c r="H83" s="38">
        <v>20.0</v>
      </c>
      <c r="I83" s="48">
        <f t="shared" si="3"/>
        <v>392</v>
      </c>
      <c r="J83" s="48">
        <f t="shared" si="4"/>
        <v>440</v>
      </c>
      <c r="K83" s="49">
        <f t="shared" si="5"/>
        <v>0.3647959184</v>
      </c>
      <c r="L83" s="49">
        <f t="shared" si="6"/>
        <v>0.5892857143</v>
      </c>
      <c r="M83" s="49">
        <f t="shared" si="7"/>
        <v>0.04591836735</v>
      </c>
      <c r="N83" s="32" t="str">
        <f t="shared" si="8"/>
        <v>Mal. Lott</v>
      </c>
      <c r="O83" s="50" t="s">
        <v>77</v>
      </c>
      <c r="P83" s="38">
        <v>251.0</v>
      </c>
      <c r="Q83" s="38">
        <v>93.0</v>
      </c>
      <c r="R83" s="38">
        <v>28.0</v>
      </c>
      <c r="S83" s="38">
        <v>54.0</v>
      </c>
      <c r="T83" s="38">
        <v>14.0</v>
      </c>
      <c r="U83" s="48">
        <f t="shared" si="9"/>
        <v>372</v>
      </c>
      <c r="V83" s="48">
        <f t="shared" si="10"/>
        <v>440</v>
      </c>
      <c r="W83" s="49">
        <f t="shared" si="11"/>
        <v>0.6747311828</v>
      </c>
      <c r="X83" s="49">
        <f t="shared" si="12"/>
        <v>0.25</v>
      </c>
      <c r="Y83" s="49">
        <f t="shared" si="13"/>
        <v>0.0752688172</v>
      </c>
      <c r="Z83" s="32" t="str">
        <f t="shared" si="14"/>
        <v>Jango</v>
      </c>
      <c r="AA83" s="50" t="s">
        <v>77</v>
      </c>
      <c r="AB83" s="38">
        <v>639.0</v>
      </c>
      <c r="AC83" s="48">
        <f t="shared" si="15"/>
        <v>199</v>
      </c>
      <c r="AD83" s="51">
        <f t="shared" si="16"/>
        <v>0.6885758998</v>
      </c>
    </row>
    <row r="84">
      <c r="A84" s="61" t="s">
        <v>141</v>
      </c>
      <c r="B84" s="46" t="s">
        <v>1376</v>
      </c>
      <c r="C84" s="47"/>
      <c r="D84" s="38">
        <v>1273.0</v>
      </c>
      <c r="E84" s="48">
        <v>1330.0</v>
      </c>
      <c r="F84" s="48">
        <v>185.0</v>
      </c>
      <c r="G84" s="130">
        <v>134.0</v>
      </c>
      <c r="H84" s="38">
        <v>181.0</v>
      </c>
      <c r="I84" s="48">
        <f t="shared" si="3"/>
        <v>2788</v>
      </c>
      <c r="J84" s="48">
        <f t="shared" si="4"/>
        <v>3103</v>
      </c>
      <c r="K84" s="49">
        <f t="shared" si="5"/>
        <v>0.4565997131</v>
      </c>
      <c r="L84" s="49">
        <f t="shared" si="6"/>
        <v>0.4770444763</v>
      </c>
      <c r="M84" s="49">
        <f t="shared" si="7"/>
        <v>0.06635581062</v>
      </c>
      <c r="N84" s="32" t="str">
        <f t="shared" si="8"/>
        <v>Mal. Lott</v>
      </c>
      <c r="O84" s="50" t="s">
        <v>77</v>
      </c>
      <c r="P84" s="38">
        <v>1407.0</v>
      </c>
      <c r="Q84" s="38">
        <v>1114.0</v>
      </c>
      <c r="R84" s="38">
        <v>184.0</v>
      </c>
      <c r="S84" s="38">
        <v>288.0</v>
      </c>
      <c r="T84" s="38">
        <v>110.0</v>
      </c>
      <c r="U84" s="48">
        <f t="shared" si="9"/>
        <v>2705</v>
      </c>
      <c r="V84" s="48">
        <f t="shared" si="10"/>
        <v>3103</v>
      </c>
      <c r="W84" s="49">
        <f t="shared" si="11"/>
        <v>0.5201478743</v>
      </c>
      <c r="X84" s="49">
        <f t="shared" si="12"/>
        <v>0.4118299445</v>
      </c>
      <c r="Y84" s="49">
        <f t="shared" si="13"/>
        <v>0.06802218115</v>
      </c>
      <c r="Z84" s="32" t="str">
        <f t="shared" si="14"/>
        <v>Jango</v>
      </c>
      <c r="AA84" s="50" t="s">
        <v>77</v>
      </c>
      <c r="AB84" s="38">
        <v>3617.0</v>
      </c>
      <c r="AC84" s="48">
        <f t="shared" si="15"/>
        <v>514</v>
      </c>
      <c r="AD84" s="51">
        <f t="shared" si="16"/>
        <v>0.8578932817</v>
      </c>
    </row>
    <row r="85">
      <c r="A85" s="23"/>
      <c r="B85" s="46" t="s">
        <v>1377</v>
      </c>
      <c r="C85" s="47"/>
      <c r="D85" s="38">
        <v>135.0</v>
      </c>
      <c r="E85" s="48">
        <v>132.0</v>
      </c>
      <c r="F85" s="48">
        <v>59.0</v>
      </c>
      <c r="G85" s="130">
        <v>32.0</v>
      </c>
      <c r="H85" s="38">
        <v>37.0</v>
      </c>
      <c r="I85" s="48">
        <f t="shared" si="3"/>
        <v>326</v>
      </c>
      <c r="J85" s="48">
        <f t="shared" si="4"/>
        <v>395</v>
      </c>
      <c r="K85" s="49">
        <f t="shared" si="5"/>
        <v>0.4141104294</v>
      </c>
      <c r="L85" s="49">
        <f t="shared" si="6"/>
        <v>0.4049079755</v>
      </c>
      <c r="M85" s="49">
        <f t="shared" si="7"/>
        <v>0.1809815951</v>
      </c>
      <c r="N85" s="32" t="str">
        <f t="shared" si="8"/>
        <v>Jânio</v>
      </c>
      <c r="O85" s="50" t="s">
        <v>77</v>
      </c>
      <c r="P85" s="38">
        <v>180.0</v>
      </c>
      <c r="Q85" s="38">
        <v>86.0</v>
      </c>
      <c r="R85" s="38">
        <v>50.0</v>
      </c>
      <c r="S85" s="38">
        <v>64.0</v>
      </c>
      <c r="T85" s="38">
        <v>15.0</v>
      </c>
      <c r="U85" s="48">
        <f t="shared" si="9"/>
        <v>316</v>
      </c>
      <c r="V85" s="48">
        <f t="shared" si="10"/>
        <v>395</v>
      </c>
      <c r="W85" s="49">
        <f t="shared" si="11"/>
        <v>0.5696202532</v>
      </c>
      <c r="X85" s="49">
        <f t="shared" si="12"/>
        <v>0.2721518987</v>
      </c>
      <c r="Y85" s="49">
        <f t="shared" si="13"/>
        <v>0.1582278481</v>
      </c>
      <c r="Z85" s="32" t="str">
        <f t="shared" si="14"/>
        <v>Jango</v>
      </c>
      <c r="AA85" s="50" t="s">
        <v>77</v>
      </c>
      <c r="AB85" s="38">
        <v>444.0</v>
      </c>
      <c r="AC85" s="48">
        <f t="shared" si="15"/>
        <v>49</v>
      </c>
      <c r="AD85" s="51">
        <f t="shared" si="16"/>
        <v>0.8896396396</v>
      </c>
    </row>
    <row r="86">
      <c r="A86" s="23"/>
      <c r="B86" s="46" t="s">
        <v>1378</v>
      </c>
      <c r="C86" s="47"/>
      <c r="D86" s="38">
        <v>218.0</v>
      </c>
      <c r="E86" s="48">
        <v>186.0</v>
      </c>
      <c r="F86" s="48">
        <v>37.0</v>
      </c>
      <c r="G86" s="130">
        <v>24.0</v>
      </c>
      <c r="H86" s="38">
        <v>57.0</v>
      </c>
      <c r="I86" s="48">
        <f t="shared" si="3"/>
        <v>441</v>
      </c>
      <c r="J86" s="48">
        <f t="shared" si="4"/>
        <v>522</v>
      </c>
      <c r="K86" s="49">
        <f t="shared" si="5"/>
        <v>0.4943310658</v>
      </c>
      <c r="L86" s="49">
        <f t="shared" si="6"/>
        <v>0.4217687075</v>
      </c>
      <c r="M86" s="49">
        <f t="shared" si="7"/>
        <v>0.08390022676</v>
      </c>
      <c r="N86" s="32" t="str">
        <f t="shared" si="8"/>
        <v>Jânio</v>
      </c>
      <c r="O86" s="50" t="s">
        <v>77</v>
      </c>
      <c r="P86" s="38">
        <v>227.0</v>
      </c>
      <c r="Q86" s="38">
        <v>158.0</v>
      </c>
      <c r="R86" s="38">
        <v>34.0</v>
      </c>
      <c r="S86" s="38">
        <v>70.0</v>
      </c>
      <c r="T86" s="38">
        <v>33.0</v>
      </c>
      <c r="U86" s="48">
        <f t="shared" si="9"/>
        <v>419</v>
      </c>
      <c r="V86" s="48">
        <f t="shared" si="10"/>
        <v>522</v>
      </c>
      <c r="W86" s="49">
        <f t="shared" si="11"/>
        <v>0.5417661098</v>
      </c>
      <c r="X86" s="49">
        <f t="shared" si="12"/>
        <v>0.3770883055</v>
      </c>
      <c r="Y86" s="49">
        <f t="shared" si="13"/>
        <v>0.08114558473</v>
      </c>
      <c r="Z86" s="32" t="str">
        <f t="shared" si="14"/>
        <v>Jango</v>
      </c>
      <c r="AA86" s="50" t="s">
        <v>77</v>
      </c>
      <c r="AB86" s="38">
        <v>604.0</v>
      </c>
      <c r="AC86" s="48">
        <f t="shared" si="15"/>
        <v>82</v>
      </c>
      <c r="AD86" s="51">
        <f t="shared" si="16"/>
        <v>0.8642384106</v>
      </c>
    </row>
    <row r="87">
      <c r="A87" s="23"/>
      <c r="B87" s="46" t="s">
        <v>1379</v>
      </c>
      <c r="C87" s="47"/>
      <c r="D87" s="38">
        <v>461.0</v>
      </c>
      <c r="E87" s="48">
        <v>320.0</v>
      </c>
      <c r="F87" s="48">
        <v>115.0</v>
      </c>
      <c r="G87" s="130">
        <v>122.0</v>
      </c>
      <c r="H87" s="38">
        <v>48.0</v>
      </c>
      <c r="I87" s="48">
        <f t="shared" si="3"/>
        <v>896</v>
      </c>
      <c r="J87" s="48">
        <f t="shared" si="4"/>
        <v>1066</v>
      </c>
      <c r="K87" s="49">
        <f t="shared" si="5"/>
        <v>0.5145089286</v>
      </c>
      <c r="L87" s="49">
        <f t="shared" si="6"/>
        <v>0.3571428571</v>
      </c>
      <c r="M87" s="49">
        <f t="shared" si="7"/>
        <v>0.1283482143</v>
      </c>
      <c r="N87" s="32" t="str">
        <f t="shared" si="8"/>
        <v>Jânio</v>
      </c>
      <c r="O87" s="50" t="s">
        <v>77</v>
      </c>
      <c r="P87" s="38">
        <v>353.0</v>
      </c>
      <c r="Q87" s="38">
        <v>324.0</v>
      </c>
      <c r="R87" s="38">
        <v>117.0</v>
      </c>
      <c r="S87" s="38">
        <v>235.0</v>
      </c>
      <c r="T87" s="38">
        <v>37.0</v>
      </c>
      <c r="U87" s="48">
        <f t="shared" si="9"/>
        <v>794</v>
      </c>
      <c r="V87" s="48">
        <f t="shared" si="10"/>
        <v>1066</v>
      </c>
      <c r="W87" s="49">
        <f t="shared" si="11"/>
        <v>0.4445843829</v>
      </c>
      <c r="X87" s="49">
        <f t="shared" si="12"/>
        <v>0.4080604534</v>
      </c>
      <c r="Y87" s="49">
        <f t="shared" si="13"/>
        <v>0.1473551637</v>
      </c>
      <c r="Z87" s="32" t="str">
        <f t="shared" si="14"/>
        <v>Jango</v>
      </c>
      <c r="AA87" s="50" t="s">
        <v>77</v>
      </c>
      <c r="AB87" s="38">
        <v>1315.0</v>
      </c>
      <c r="AC87" s="48">
        <f t="shared" si="15"/>
        <v>249</v>
      </c>
      <c r="AD87" s="51">
        <f t="shared" si="16"/>
        <v>0.8106463878</v>
      </c>
    </row>
    <row r="88">
      <c r="A88" s="23"/>
      <c r="B88" s="46" t="s">
        <v>1380</v>
      </c>
      <c r="C88" s="47"/>
      <c r="D88" s="38">
        <v>333.0</v>
      </c>
      <c r="E88" s="48">
        <v>325.0</v>
      </c>
      <c r="F88" s="48">
        <v>69.0</v>
      </c>
      <c r="G88" s="130">
        <v>37.0</v>
      </c>
      <c r="H88" s="38">
        <v>60.0</v>
      </c>
      <c r="I88" s="48">
        <f t="shared" si="3"/>
        <v>727</v>
      </c>
      <c r="J88" s="48">
        <f t="shared" si="4"/>
        <v>824</v>
      </c>
      <c r="K88" s="49">
        <f t="shared" si="5"/>
        <v>0.4580467675</v>
      </c>
      <c r="L88" s="49">
        <f t="shared" si="6"/>
        <v>0.447042641</v>
      </c>
      <c r="M88" s="49">
        <f t="shared" si="7"/>
        <v>0.09491059147</v>
      </c>
      <c r="N88" s="32" t="str">
        <f t="shared" si="8"/>
        <v>Jânio</v>
      </c>
      <c r="O88" s="50" t="s">
        <v>77</v>
      </c>
      <c r="P88" s="38">
        <v>404.0</v>
      </c>
      <c r="Q88" s="38">
        <v>263.0</v>
      </c>
      <c r="R88" s="38">
        <v>63.0</v>
      </c>
      <c r="S88" s="38">
        <v>57.0</v>
      </c>
      <c r="T88" s="38">
        <v>37.0</v>
      </c>
      <c r="U88" s="48">
        <f t="shared" si="9"/>
        <v>730</v>
      </c>
      <c r="V88" s="48">
        <f t="shared" si="10"/>
        <v>824</v>
      </c>
      <c r="W88" s="49">
        <f t="shared" si="11"/>
        <v>0.5534246575</v>
      </c>
      <c r="X88" s="49">
        <f t="shared" si="12"/>
        <v>0.3602739726</v>
      </c>
      <c r="Y88" s="49">
        <f t="shared" si="13"/>
        <v>0.08630136986</v>
      </c>
      <c r="Z88" s="32" t="str">
        <f t="shared" si="14"/>
        <v>Jango</v>
      </c>
      <c r="AA88" s="50" t="s">
        <v>77</v>
      </c>
      <c r="AB88" s="38">
        <v>914.0</v>
      </c>
      <c r="AC88" s="48">
        <f t="shared" si="15"/>
        <v>90</v>
      </c>
      <c r="AD88" s="51">
        <f t="shared" si="16"/>
        <v>0.9015317287</v>
      </c>
    </row>
    <row r="89">
      <c r="A89" s="23"/>
      <c r="B89" s="46" t="s">
        <v>1381</v>
      </c>
      <c r="C89" s="47"/>
      <c r="D89" s="38">
        <v>673.0</v>
      </c>
      <c r="E89" s="48">
        <v>612.0</v>
      </c>
      <c r="F89" s="48">
        <v>161.0</v>
      </c>
      <c r="G89" s="130">
        <v>143.0</v>
      </c>
      <c r="H89" s="38">
        <v>167.0</v>
      </c>
      <c r="I89" s="48">
        <f t="shared" si="3"/>
        <v>1446</v>
      </c>
      <c r="J89" s="48">
        <f t="shared" si="4"/>
        <v>1756</v>
      </c>
      <c r="K89" s="49">
        <f t="shared" si="5"/>
        <v>0.4654218534</v>
      </c>
      <c r="L89" s="49">
        <f t="shared" si="6"/>
        <v>0.4232365145</v>
      </c>
      <c r="M89" s="49">
        <f t="shared" si="7"/>
        <v>0.1113416321</v>
      </c>
      <c r="N89" s="32" t="str">
        <f t="shared" si="8"/>
        <v>Jânio</v>
      </c>
      <c r="O89" s="50" t="s">
        <v>77</v>
      </c>
      <c r="P89" s="38">
        <v>640.0</v>
      </c>
      <c r="Q89" s="38">
        <v>574.0</v>
      </c>
      <c r="R89" s="38">
        <v>188.0</v>
      </c>
      <c r="S89" s="38">
        <v>230.0</v>
      </c>
      <c r="T89" s="38">
        <v>124.0</v>
      </c>
      <c r="U89" s="48">
        <f t="shared" si="9"/>
        <v>1402</v>
      </c>
      <c r="V89" s="48">
        <f t="shared" si="10"/>
        <v>1756</v>
      </c>
      <c r="W89" s="49">
        <f t="shared" si="11"/>
        <v>0.4564907275</v>
      </c>
      <c r="X89" s="49">
        <f t="shared" si="12"/>
        <v>0.4094151213</v>
      </c>
      <c r="Y89" s="49">
        <f t="shared" si="13"/>
        <v>0.1340941512</v>
      </c>
      <c r="Z89" s="32" t="str">
        <f t="shared" si="14"/>
        <v>Jango</v>
      </c>
      <c r="AA89" s="50" t="s">
        <v>77</v>
      </c>
      <c r="AB89" s="38">
        <v>2406.0</v>
      </c>
      <c r="AC89" s="48">
        <f t="shared" si="15"/>
        <v>650</v>
      </c>
      <c r="AD89" s="51">
        <f t="shared" si="16"/>
        <v>0.7298420615</v>
      </c>
    </row>
    <row r="90">
      <c r="A90" s="24"/>
      <c r="B90" s="46" t="s">
        <v>1382</v>
      </c>
      <c r="C90" s="47"/>
      <c r="D90" s="38">
        <v>426.0</v>
      </c>
      <c r="E90" s="48">
        <v>418.0</v>
      </c>
      <c r="F90" s="48">
        <v>62.0</v>
      </c>
      <c r="G90" s="130">
        <v>55.0</v>
      </c>
      <c r="H90" s="38">
        <v>45.0</v>
      </c>
      <c r="I90" s="48">
        <f t="shared" si="3"/>
        <v>906</v>
      </c>
      <c r="J90" s="48">
        <f t="shared" si="4"/>
        <v>1006</v>
      </c>
      <c r="K90" s="49">
        <f t="shared" si="5"/>
        <v>0.4701986755</v>
      </c>
      <c r="L90" s="49">
        <f t="shared" si="6"/>
        <v>0.4613686534</v>
      </c>
      <c r="M90" s="49">
        <f t="shared" si="7"/>
        <v>0.06843267108</v>
      </c>
      <c r="N90" s="32" t="str">
        <f t="shared" si="8"/>
        <v>Jânio</v>
      </c>
      <c r="O90" s="50" t="s">
        <v>77</v>
      </c>
      <c r="P90" s="38">
        <v>539.0</v>
      </c>
      <c r="Q90" s="38">
        <v>295.0</v>
      </c>
      <c r="R90" s="38">
        <v>43.0</v>
      </c>
      <c r="S90" s="38">
        <v>117.0</v>
      </c>
      <c r="T90" s="38">
        <v>12.0</v>
      </c>
      <c r="U90" s="48">
        <f t="shared" si="9"/>
        <v>877</v>
      </c>
      <c r="V90" s="48">
        <f t="shared" si="10"/>
        <v>1006</v>
      </c>
      <c r="W90" s="49">
        <f t="shared" si="11"/>
        <v>0.6145952109</v>
      </c>
      <c r="X90" s="49">
        <f t="shared" si="12"/>
        <v>0.3363740023</v>
      </c>
      <c r="Y90" s="49">
        <f t="shared" si="13"/>
        <v>0.04903078677</v>
      </c>
      <c r="Z90" s="32" t="str">
        <f t="shared" si="14"/>
        <v>Jango</v>
      </c>
      <c r="AA90" s="50" t="s">
        <v>77</v>
      </c>
      <c r="AB90" s="38">
        <v>1283.0</v>
      </c>
      <c r="AC90" s="48">
        <f t="shared" si="15"/>
        <v>277</v>
      </c>
      <c r="AD90" s="51">
        <f t="shared" si="16"/>
        <v>0.7840997662</v>
      </c>
    </row>
    <row r="91">
      <c r="A91" s="61" t="s">
        <v>143</v>
      </c>
      <c r="B91" s="46" t="s">
        <v>1383</v>
      </c>
      <c r="C91" s="47"/>
      <c r="D91" s="38">
        <v>666.0</v>
      </c>
      <c r="E91" s="38">
        <v>575.0</v>
      </c>
      <c r="F91" s="38">
        <v>114.0</v>
      </c>
      <c r="G91" s="38">
        <v>61.0</v>
      </c>
      <c r="H91" s="38">
        <v>39.0</v>
      </c>
      <c r="I91" s="48">
        <f t="shared" si="3"/>
        <v>1355</v>
      </c>
      <c r="J91" s="48">
        <f t="shared" si="4"/>
        <v>1455</v>
      </c>
      <c r="K91" s="49">
        <f t="shared" si="5"/>
        <v>0.4915129151</v>
      </c>
      <c r="L91" s="49">
        <f t="shared" si="6"/>
        <v>0.4243542435</v>
      </c>
      <c r="M91" s="49">
        <f t="shared" si="7"/>
        <v>0.08413284133</v>
      </c>
      <c r="N91" s="32" t="str">
        <f t="shared" si="8"/>
        <v>Jânio</v>
      </c>
      <c r="O91" s="50" t="s">
        <v>77</v>
      </c>
      <c r="P91" s="38">
        <v>541.0</v>
      </c>
      <c r="Q91" s="38">
        <v>345.0</v>
      </c>
      <c r="R91" s="38">
        <v>407.0</v>
      </c>
      <c r="S91" s="38">
        <v>129.0</v>
      </c>
      <c r="T91" s="38">
        <v>33.0</v>
      </c>
      <c r="U91" s="48">
        <f t="shared" si="9"/>
        <v>1293</v>
      </c>
      <c r="V91" s="48">
        <f t="shared" si="10"/>
        <v>1455</v>
      </c>
      <c r="W91" s="49">
        <f t="shared" si="11"/>
        <v>0.4184068059</v>
      </c>
      <c r="X91" s="49">
        <f t="shared" si="12"/>
        <v>0.2668213457</v>
      </c>
      <c r="Y91" s="49">
        <f t="shared" si="13"/>
        <v>0.3147718484</v>
      </c>
      <c r="Z91" s="32" t="str">
        <f t="shared" si="14"/>
        <v>Jango</v>
      </c>
      <c r="AA91" s="50" t="s">
        <v>77</v>
      </c>
      <c r="AB91" s="38">
        <v>1618.0</v>
      </c>
      <c r="AC91" s="48">
        <f t="shared" si="15"/>
        <v>163</v>
      </c>
      <c r="AD91" s="51">
        <f t="shared" si="16"/>
        <v>0.8992583436</v>
      </c>
    </row>
    <row r="92">
      <c r="A92" s="23"/>
      <c r="B92" s="46" t="s">
        <v>1384</v>
      </c>
      <c r="C92" s="47"/>
      <c r="D92" s="38">
        <v>88.0</v>
      </c>
      <c r="E92" s="38">
        <v>386.0</v>
      </c>
      <c r="F92" s="38">
        <v>24.0</v>
      </c>
      <c r="G92" s="38">
        <v>45.0</v>
      </c>
      <c r="H92" s="38">
        <v>40.0</v>
      </c>
      <c r="I92" s="48">
        <f t="shared" si="3"/>
        <v>498</v>
      </c>
      <c r="J92" s="48">
        <f t="shared" si="4"/>
        <v>583</v>
      </c>
      <c r="K92" s="49">
        <f t="shared" si="5"/>
        <v>0.1767068273</v>
      </c>
      <c r="L92" s="49">
        <f t="shared" si="6"/>
        <v>0.7751004016</v>
      </c>
      <c r="M92" s="49">
        <f t="shared" si="7"/>
        <v>0.04819277108</v>
      </c>
      <c r="N92" s="32" t="str">
        <f t="shared" si="8"/>
        <v>Mal. Lott</v>
      </c>
      <c r="O92" s="50" t="s">
        <v>77</v>
      </c>
      <c r="P92" s="38">
        <v>392.0</v>
      </c>
      <c r="Q92" s="38">
        <v>47.0</v>
      </c>
      <c r="R92" s="38">
        <v>39.0</v>
      </c>
      <c r="S92" s="38">
        <v>90.0</v>
      </c>
      <c r="T92" s="38">
        <v>15.0</v>
      </c>
      <c r="U92" s="48">
        <f t="shared" si="9"/>
        <v>478</v>
      </c>
      <c r="V92" s="48">
        <f t="shared" si="10"/>
        <v>583</v>
      </c>
      <c r="W92" s="49">
        <f t="shared" si="11"/>
        <v>0.820083682</v>
      </c>
      <c r="X92" s="49">
        <f t="shared" si="12"/>
        <v>0.09832635983</v>
      </c>
      <c r="Y92" s="49">
        <f t="shared" si="13"/>
        <v>0.08158995816</v>
      </c>
      <c r="Z92" s="32" t="str">
        <f t="shared" si="14"/>
        <v>Jango</v>
      </c>
      <c r="AA92" s="50" t="s">
        <v>77</v>
      </c>
      <c r="AB92" s="38">
        <v>698.0</v>
      </c>
      <c r="AC92" s="48">
        <f t="shared" si="15"/>
        <v>115</v>
      </c>
      <c r="AD92" s="51">
        <f t="shared" si="16"/>
        <v>0.835243553</v>
      </c>
    </row>
    <row r="93">
      <c r="A93" s="24"/>
      <c r="B93" s="46" t="s">
        <v>1385</v>
      </c>
      <c r="C93" s="47"/>
      <c r="D93" s="38">
        <v>38.0</v>
      </c>
      <c r="E93" s="38">
        <v>283.0</v>
      </c>
      <c r="F93" s="38">
        <v>9.0</v>
      </c>
      <c r="G93" s="38">
        <v>17.0</v>
      </c>
      <c r="H93" s="38">
        <v>8.0</v>
      </c>
      <c r="I93" s="48">
        <f t="shared" si="3"/>
        <v>330</v>
      </c>
      <c r="J93" s="48">
        <f t="shared" si="4"/>
        <v>355</v>
      </c>
      <c r="K93" s="49">
        <f t="shared" si="5"/>
        <v>0.1151515152</v>
      </c>
      <c r="L93" s="49">
        <f t="shared" si="6"/>
        <v>0.8575757576</v>
      </c>
      <c r="M93" s="49">
        <f t="shared" si="7"/>
        <v>0.02727272727</v>
      </c>
      <c r="N93" s="32" t="str">
        <f t="shared" si="8"/>
        <v>Mal. Lott</v>
      </c>
      <c r="O93" s="50" t="s">
        <v>77</v>
      </c>
      <c r="P93" s="38">
        <v>284.0</v>
      </c>
      <c r="Q93" s="38">
        <v>38.0</v>
      </c>
      <c r="R93" s="38">
        <v>8.0</v>
      </c>
      <c r="S93" s="38">
        <v>20.0</v>
      </c>
      <c r="T93" s="38">
        <v>5.0</v>
      </c>
      <c r="U93" s="48">
        <f t="shared" si="9"/>
        <v>330</v>
      </c>
      <c r="V93" s="48">
        <f t="shared" si="10"/>
        <v>355</v>
      </c>
      <c r="W93" s="49">
        <f t="shared" si="11"/>
        <v>0.8606060606</v>
      </c>
      <c r="X93" s="49">
        <f t="shared" si="12"/>
        <v>0.1151515152</v>
      </c>
      <c r="Y93" s="49">
        <f t="shared" si="13"/>
        <v>0.02424242424</v>
      </c>
      <c r="Z93" s="32" t="str">
        <f t="shared" si="14"/>
        <v>Jango</v>
      </c>
      <c r="AA93" s="50" t="s">
        <v>77</v>
      </c>
      <c r="AB93" s="38">
        <v>435.0</v>
      </c>
      <c r="AC93" s="48">
        <f t="shared" si="15"/>
        <v>80</v>
      </c>
      <c r="AD93" s="51">
        <f t="shared" si="16"/>
        <v>0.816091954</v>
      </c>
    </row>
    <row r="94">
      <c r="A94" s="61" t="s">
        <v>145</v>
      </c>
      <c r="B94" s="46" t="s">
        <v>1386</v>
      </c>
      <c r="C94" s="47"/>
      <c r="D94" s="38">
        <v>3778.0</v>
      </c>
      <c r="E94" s="38">
        <v>3444.0</v>
      </c>
      <c r="F94" s="38">
        <v>329.0</v>
      </c>
      <c r="G94" s="38">
        <v>432.0</v>
      </c>
      <c r="H94" s="38">
        <v>409.0</v>
      </c>
      <c r="I94" s="48">
        <f t="shared" si="3"/>
        <v>7551</v>
      </c>
      <c r="J94" s="48">
        <f t="shared" si="4"/>
        <v>8392</v>
      </c>
      <c r="K94" s="49">
        <f t="shared" si="5"/>
        <v>0.500331082</v>
      </c>
      <c r="L94" s="49">
        <f t="shared" si="6"/>
        <v>0.45609853</v>
      </c>
      <c r="M94" s="49">
        <f t="shared" si="7"/>
        <v>0.04357038803</v>
      </c>
      <c r="N94" s="32" t="str">
        <f t="shared" si="8"/>
        <v>Jânio</v>
      </c>
      <c r="O94" s="50" t="s">
        <v>77</v>
      </c>
      <c r="P94" s="38">
        <v>3533.0</v>
      </c>
      <c r="Q94" s="38">
        <v>2997.0</v>
      </c>
      <c r="R94" s="38">
        <v>556.0</v>
      </c>
      <c r="S94" s="38">
        <v>1022.0</v>
      </c>
      <c r="T94" s="38">
        <v>284.0</v>
      </c>
      <c r="U94" s="48">
        <f t="shared" si="9"/>
        <v>7086</v>
      </c>
      <c r="V94" s="48">
        <f t="shared" si="10"/>
        <v>8392</v>
      </c>
      <c r="W94" s="49">
        <f t="shared" si="11"/>
        <v>0.4985887666</v>
      </c>
      <c r="X94" s="49">
        <f t="shared" si="12"/>
        <v>0.4229466554</v>
      </c>
      <c r="Y94" s="49">
        <f t="shared" si="13"/>
        <v>0.07846457804</v>
      </c>
      <c r="Z94" s="32" t="str">
        <f t="shared" si="14"/>
        <v>Jango</v>
      </c>
      <c r="AA94" s="50" t="s">
        <v>77</v>
      </c>
      <c r="AB94" s="38">
        <v>9933.0</v>
      </c>
      <c r="AC94" s="48">
        <f t="shared" si="15"/>
        <v>1541</v>
      </c>
      <c r="AD94" s="51">
        <f t="shared" si="16"/>
        <v>0.8448605658</v>
      </c>
    </row>
    <row r="95">
      <c r="A95" s="24"/>
      <c r="B95" s="46" t="s">
        <v>1387</v>
      </c>
      <c r="C95" s="47"/>
      <c r="D95" s="38">
        <v>399.0</v>
      </c>
      <c r="E95" s="38">
        <v>472.0</v>
      </c>
      <c r="F95" s="38">
        <v>75.0</v>
      </c>
      <c r="G95" s="38">
        <v>86.0</v>
      </c>
      <c r="H95" s="38">
        <v>64.0</v>
      </c>
      <c r="I95" s="48">
        <f t="shared" si="3"/>
        <v>946</v>
      </c>
      <c r="J95" s="48">
        <f t="shared" si="4"/>
        <v>1096</v>
      </c>
      <c r="K95" s="49">
        <f t="shared" si="5"/>
        <v>0.4217758985</v>
      </c>
      <c r="L95" s="49">
        <f t="shared" si="6"/>
        <v>0.4989429175</v>
      </c>
      <c r="M95" s="49">
        <f t="shared" si="7"/>
        <v>0.07928118393</v>
      </c>
      <c r="N95" s="32" t="str">
        <f t="shared" si="8"/>
        <v>Mal. Lott</v>
      </c>
      <c r="O95" s="50" t="s">
        <v>77</v>
      </c>
      <c r="P95" s="38">
        <v>512.0</v>
      </c>
      <c r="Q95" s="38">
        <v>351.0</v>
      </c>
      <c r="R95" s="38">
        <v>63.0</v>
      </c>
      <c r="S95" s="38">
        <v>137.0</v>
      </c>
      <c r="T95" s="38">
        <v>33.0</v>
      </c>
      <c r="U95" s="48">
        <f t="shared" si="9"/>
        <v>926</v>
      </c>
      <c r="V95" s="48">
        <f t="shared" si="10"/>
        <v>1096</v>
      </c>
      <c r="W95" s="49">
        <f t="shared" si="11"/>
        <v>0.5529157667</v>
      </c>
      <c r="X95" s="49">
        <f t="shared" si="12"/>
        <v>0.379049676</v>
      </c>
      <c r="Y95" s="49">
        <f t="shared" si="13"/>
        <v>0.06803455724</v>
      </c>
      <c r="Z95" s="32" t="str">
        <f t="shared" si="14"/>
        <v>Jango</v>
      </c>
      <c r="AA95" s="50" t="s">
        <v>77</v>
      </c>
      <c r="AB95" s="38">
        <v>1302.0</v>
      </c>
      <c r="AC95" s="48">
        <f t="shared" si="15"/>
        <v>206</v>
      </c>
      <c r="AD95" s="51">
        <f t="shared" si="16"/>
        <v>0.841781874</v>
      </c>
    </row>
    <row r="96">
      <c r="A96" s="110" t="s">
        <v>207</v>
      </c>
      <c r="B96" s="46" t="s">
        <v>1388</v>
      </c>
      <c r="C96" s="47"/>
      <c r="D96" s="38">
        <v>445.0</v>
      </c>
      <c r="E96" s="38">
        <v>1045.0</v>
      </c>
      <c r="F96" s="38">
        <v>86.0</v>
      </c>
      <c r="G96" s="38">
        <v>134.0</v>
      </c>
      <c r="H96" s="38">
        <v>88.0</v>
      </c>
      <c r="I96" s="48">
        <f t="shared" si="3"/>
        <v>1576</v>
      </c>
      <c r="J96" s="48">
        <f t="shared" si="4"/>
        <v>1798</v>
      </c>
      <c r="K96" s="49">
        <f t="shared" si="5"/>
        <v>0.2823604061</v>
      </c>
      <c r="L96" s="49">
        <f t="shared" si="6"/>
        <v>0.663071066</v>
      </c>
      <c r="M96" s="49">
        <f t="shared" si="7"/>
        <v>0.05456852792</v>
      </c>
      <c r="N96" s="32" t="str">
        <f t="shared" si="8"/>
        <v>Mal. Lott</v>
      </c>
      <c r="O96" s="50" t="s">
        <v>77</v>
      </c>
      <c r="P96" s="38">
        <v>821.0</v>
      </c>
      <c r="Q96" s="38">
        <v>345.0</v>
      </c>
      <c r="R96" s="38">
        <v>156.0</v>
      </c>
      <c r="S96" s="38">
        <v>423.0</v>
      </c>
      <c r="T96" s="38">
        <v>53.0</v>
      </c>
      <c r="U96" s="48">
        <f t="shared" si="9"/>
        <v>1322</v>
      </c>
      <c r="V96" s="48">
        <f t="shared" si="10"/>
        <v>1798</v>
      </c>
      <c r="W96" s="49">
        <f t="shared" si="11"/>
        <v>0.6210287443</v>
      </c>
      <c r="X96" s="49">
        <f t="shared" si="12"/>
        <v>0.26096823</v>
      </c>
      <c r="Y96" s="49">
        <f t="shared" si="13"/>
        <v>0.1180030257</v>
      </c>
      <c r="Z96" s="32" t="str">
        <f t="shared" si="14"/>
        <v>Jango</v>
      </c>
      <c r="AA96" s="50" t="s">
        <v>77</v>
      </c>
      <c r="AB96" s="38">
        <v>2102.0</v>
      </c>
      <c r="AC96" s="48">
        <f t="shared" si="15"/>
        <v>304</v>
      </c>
      <c r="AD96" s="51">
        <f t="shared" si="16"/>
        <v>0.8553758325</v>
      </c>
    </row>
    <row r="97">
      <c r="A97" s="110" t="s">
        <v>209</v>
      </c>
      <c r="B97" s="46" t="s">
        <v>1389</v>
      </c>
      <c r="C97" s="47"/>
      <c r="D97" s="38">
        <v>846.0</v>
      </c>
      <c r="E97" s="38">
        <v>796.0</v>
      </c>
      <c r="F97" s="38">
        <v>128.0</v>
      </c>
      <c r="G97" s="38">
        <v>175.0</v>
      </c>
      <c r="H97" s="38">
        <v>122.0</v>
      </c>
      <c r="I97" s="48">
        <f t="shared" si="3"/>
        <v>1770</v>
      </c>
      <c r="J97" s="48">
        <f t="shared" si="4"/>
        <v>2067</v>
      </c>
      <c r="K97" s="49">
        <f t="shared" si="5"/>
        <v>0.4779661017</v>
      </c>
      <c r="L97" s="49">
        <f t="shared" si="6"/>
        <v>0.4497175141</v>
      </c>
      <c r="M97" s="49">
        <f t="shared" si="7"/>
        <v>0.07231638418</v>
      </c>
      <c r="N97" s="32" t="str">
        <f t="shared" si="8"/>
        <v>Jânio</v>
      </c>
      <c r="O97" s="50" t="s">
        <v>77</v>
      </c>
      <c r="P97" s="38">
        <v>831.0</v>
      </c>
      <c r="Q97" s="38">
        <v>681.0</v>
      </c>
      <c r="R97" s="38">
        <v>139.0</v>
      </c>
      <c r="S97" s="38">
        <v>312.0</v>
      </c>
      <c r="T97" s="38">
        <v>104.0</v>
      </c>
      <c r="U97" s="48">
        <f t="shared" si="9"/>
        <v>1651</v>
      </c>
      <c r="V97" s="48">
        <f t="shared" si="10"/>
        <v>2067</v>
      </c>
      <c r="W97" s="49">
        <f t="shared" si="11"/>
        <v>0.5033313144</v>
      </c>
      <c r="X97" s="49">
        <f t="shared" si="12"/>
        <v>0.4124772865</v>
      </c>
      <c r="Y97" s="49">
        <f t="shared" si="13"/>
        <v>0.08419139915</v>
      </c>
      <c r="Z97" s="32" t="str">
        <f t="shared" si="14"/>
        <v>Jango</v>
      </c>
      <c r="AA97" s="50" t="s">
        <v>77</v>
      </c>
      <c r="AB97" s="38">
        <v>2312.0</v>
      </c>
      <c r="AC97" s="48">
        <f t="shared" si="15"/>
        <v>245</v>
      </c>
      <c r="AD97" s="51">
        <f t="shared" si="16"/>
        <v>0.8940311419</v>
      </c>
    </row>
    <row r="98">
      <c r="A98" s="61" t="s">
        <v>211</v>
      </c>
      <c r="B98" s="46" t="s">
        <v>1390</v>
      </c>
      <c r="C98" s="47"/>
      <c r="D98" s="38">
        <v>1054.0</v>
      </c>
      <c r="E98" s="38">
        <v>1172.0</v>
      </c>
      <c r="F98" s="38">
        <v>154.0</v>
      </c>
      <c r="G98" s="38">
        <v>127.0</v>
      </c>
      <c r="H98" s="38">
        <v>182.0</v>
      </c>
      <c r="I98" s="48">
        <f t="shared" si="3"/>
        <v>2380</v>
      </c>
      <c r="J98" s="48">
        <f t="shared" si="4"/>
        <v>2689</v>
      </c>
      <c r="K98" s="49">
        <f t="shared" si="5"/>
        <v>0.4428571429</v>
      </c>
      <c r="L98" s="49">
        <f t="shared" si="6"/>
        <v>0.4924369748</v>
      </c>
      <c r="M98" s="49">
        <f t="shared" si="7"/>
        <v>0.06470588235</v>
      </c>
      <c r="N98" s="32" t="str">
        <f t="shared" si="8"/>
        <v>Mal. Lott</v>
      </c>
      <c r="O98" s="50" t="s">
        <v>77</v>
      </c>
      <c r="P98" s="38">
        <v>1161.0</v>
      </c>
      <c r="Q98" s="38">
        <v>763.0</v>
      </c>
      <c r="R98" s="38">
        <v>303.0</v>
      </c>
      <c r="S98" s="38">
        <v>364.0</v>
      </c>
      <c r="T98" s="38">
        <v>98.0</v>
      </c>
      <c r="U98" s="48">
        <f t="shared" si="9"/>
        <v>2227</v>
      </c>
      <c r="V98" s="48">
        <f t="shared" si="10"/>
        <v>2689</v>
      </c>
      <c r="W98" s="49">
        <f t="shared" si="11"/>
        <v>0.5213291423</v>
      </c>
      <c r="X98" s="49">
        <f t="shared" si="12"/>
        <v>0.3426133812</v>
      </c>
      <c r="Y98" s="49">
        <f t="shared" si="13"/>
        <v>0.1360574764</v>
      </c>
      <c r="Z98" s="32" t="str">
        <f t="shared" si="14"/>
        <v>Jango</v>
      </c>
      <c r="AA98" s="50" t="s">
        <v>77</v>
      </c>
      <c r="AB98" s="38">
        <v>3865.0</v>
      </c>
      <c r="AC98" s="48">
        <f t="shared" si="15"/>
        <v>1176</v>
      </c>
      <c r="AD98" s="51">
        <f t="shared" si="16"/>
        <v>0.6957309185</v>
      </c>
    </row>
    <row r="99">
      <c r="A99" s="23"/>
      <c r="B99" s="46" t="s">
        <v>1391</v>
      </c>
      <c r="C99" s="47"/>
      <c r="D99" s="38">
        <v>371.0</v>
      </c>
      <c r="E99" s="38">
        <v>417.0</v>
      </c>
      <c r="F99" s="38">
        <v>157.0</v>
      </c>
      <c r="G99" s="38">
        <v>104.0</v>
      </c>
      <c r="H99" s="38">
        <v>81.0</v>
      </c>
      <c r="I99" s="48">
        <f t="shared" si="3"/>
        <v>945</v>
      </c>
      <c r="J99" s="48">
        <f t="shared" si="4"/>
        <v>1130</v>
      </c>
      <c r="K99" s="49">
        <f t="shared" si="5"/>
        <v>0.3925925926</v>
      </c>
      <c r="L99" s="49">
        <f t="shared" si="6"/>
        <v>0.4412698413</v>
      </c>
      <c r="M99" s="49">
        <f t="shared" si="7"/>
        <v>0.1661375661</v>
      </c>
      <c r="N99" s="32" t="str">
        <f t="shared" si="8"/>
        <v>Mal. Lott</v>
      </c>
      <c r="O99" s="50" t="s">
        <v>77</v>
      </c>
      <c r="P99" s="38">
        <v>482.0</v>
      </c>
      <c r="Q99" s="38">
        <v>286.0</v>
      </c>
      <c r="R99" s="38">
        <v>115.0</v>
      </c>
      <c r="S99" s="38">
        <v>200.0</v>
      </c>
      <c r="T99" s="38">
        <v>47.0</v>
      </c>
      <c r="U99" s="48">
        <f t="shared" si="9"/>
        <v>883</v>
      </c>
      <c r="V99" s="48">
        <f t="shared" si="10"/>
        <v>1130</v>
      </c>
      <c r="W99" s="49">
        <f t="shared" si="11"/>
        <v>0.5458663647</v>
      </c>
      <c r="X99" s="49">
        <f t="shared" si="12"/>
        <v>0.3238958097</v>
      </c>
      <c r="Y99" s="49">
        <f t="shared" si="13"/>
        <v>0.1302378256</v>
      </c>
      <c r="Z99" s="32" t="str">
        <f t="shared" si="14"/>
        <v>Jango</v>
      </c>
      <c r="AA99" s="50" t="s">
        <v>77</v>
      </c>
      <c r="AB99" s="38">
        <v>1617.0</v>
      </c>
      <c r="AC99" s="48">
        <f t="shared" si="15"/>
        <v>487</v>
      </c>
      <c r="AD99" s="51">
        <f t="shared" si="16"/>
        <v>0.6988249845</v>
      </c>
    </row>
    <row r="100">
      <c r="A100" s="24"/>
      <c r="B100" s="46" t="s">
        <v>1060</v>
      </c>
      <c r="C100" s="47"/>
      <c r="D100" s="38">
        <v>613.0</v>
      </c>
      <c r="E100" s="38">
        <v>652.0</v>
      </c>
      <c r="F100" s="38">
        <v>126.0</v>
      </c>
      <c r="G100" s="38">
        <v>97.0</v>
      </c>
      <c r="H100" s="38">
        <v>107.0</v>
      </c>
      <c r="I100" s="48">
        <f t="shared" si="3"/>
        <v>1391</v>
      </c>
      <c r="J100" s="48">
        <f t="shared" si="4"/>
        <v>1595</v>
      </c>
      <c r="K100" s="49">
        <f t="shared" si="5"/>
        <v>0.440690151</v>
      </c>
      <c r="L100" s="49">
        <f t="shared" si="6"/>
        <v>0.4687275341</v>
      </c>
      <c r="M100" s="49">
        <f t="shared" si="7"/>
        <v>0.09058231488</v>
      </c>
      <c r="N100" s="32" t="str">
        <f t="shared" si="8"/>
        <v>Mal. Lott</v>
      </c>
      <c r="O100" s="50" t="s">
        <v>77</v>
      </c>
      <c r="P100" s="38">
        <v>720.0</v>
      </c>
      <c r="Q100" s="38">
        <v>511.0</v>
      </c>
      <c r="R100" s="38">
        <v>94.0</v>
      </c>
      <c r="S100" s="38">
        <v>209.0</v>
      </c>
      <c r="T100" s="38">
        <v>61.0</v>
      </c>
      <c r="U100" s="48">
        <f t="shared" si="9"/>
        <v>1325</v>
      </c>
      <c r="V100" s="48">
        <f t="shared" si="10"/>
        <v>1595</v>
      </c>
      <c r="W100" s="49">
        <f t="shared" si="11"/>
        <v>0.5433962264</v>
      </c>
      <c r="X100" s="49">
        <f t="shared" si="12"/>
        <v>0.3856603774</v>
      </c>
      <c r="Y100" s="49">
        <f t="shared" si="13"/>
        <v>0.07094339623</v>
      </c>
      <c r="Z100" s="32" t="str">
        <f t="shared" si="14"/>
        <v>Jango</v>
      </c>
      <c r="AA100" s="50" t="s">
        <v>77</v>
      </c>
      <c r="AB100" s="38">
        <v>2283.0</v>
      </c>
      <c r="AC100" s="48">
        <f t="shared" si="15"/>
        <v>688</v>
      </c>
      <c r="AD100" s="51">
        <f t="shared" si="16"/>
        <v>0.6986421375</v>
      </c>
    </row>
    <row r="101">
      <c r="A101" s="61" t="s">
        <v>213</v>
      </c>
      <c r="B101" s="46" t="s">
        <v>1392</v>
      </c>
      <c r="C101" s="47"/>
      <c r="D101" s="38">
        <v>1281.0</v>
      </c>
      <c r="E101" s="38">
        <v>1005.0</v>
      </c>
      <c r="F101" s="38">
        <v>200.0</v>
      </c>
      <c r="G101" s="38">
        <v>206.0</v>
      </c>
      <c r="H101" s="38">
        <v>231.0</v>
      </c>
      <c r="I101" s="48">
        <f t="shared" si="3"/>
        <v>2486</v>
      </c>
      <c r="J101" s="48">
        <f t="shared" si="4"/>
        <v>2923</v>
      </c>
      <c r="K101" s="49">
        <f t="shared" si="5"/>
        <v>0.5152855994</v>
      </c>
      <c r="L101" s="49">
        <f t="shared" si="6"/>
        <v>0.4042638777</v>
      </c>
      <c r="M101" s="49">
        <f t="shared" si="7"/>
        <v>0.08045052293</v>
      </c>
      <c r="N101" s="32" t="str">
        <f t="shared" si="8"/>
        <v>Jânio</v>
      </c>
      <c r="O101" s="50" t="s">
        <v>77</v>
      </c>
      <c r="P101" s="38">
        <v>1037.0</v>
      </c>
      <c r="Q101" s="38">
        <v>1113.0</v>
      </c>
      <c r="R101" s="38">
        <v>189.0</v>
      </c>
      <c r="S101" s="38">
        <v>422.0</v>
      </c>
      <c r="T101" s="38">
        <v>162.0</v>
      </c>
      <c r="U101" s="48">
        <f t="shared" si="9"/>
        <v>2339</v>
      </c>
      <c r="V101" s="48">
        <f t="shared" si="10"/>
        <v>2923</v>
      </c>
      <c r="W101" s="49">
        <f t="shared" si="11"/>
        <v>0.4433518598</v>
      </c>
      <c r="X101" s="49">
        <f t="shared" si="12"/>
        <v>0.4758443779</v>
      </c>
      <c r="Y101" s="49">
        <f t="shared" si="13"/>
        <v>0.08080376229</v>
      </c>
      <c r="Z101" s="32" t="str">
        <f t="shared" si="14"/>
        <v>Milton</v>
      </c>
      <c r="AA101" s="50" t="s">
        <v>77</v>
      </c>
      <c r="AB101" s="38">
        <v>3802.0</v>
      </c>
      <c r="AC101" s="48">
        <f t="shared" si="15"/>
        <v>879</v>
      </c>
      <c r="AD101" s="51">
        <f t="shared" si="16"/>
        <v>0.7688058916</v>
      </c>
    </row>
    <row r="102">
      <c r="A102" s="23"/>
      <c r="B102" s="46" t="s">
        <v>1393</v>
      </c>
      <c r="C102" s="47"/>
      <c r="D102" s="38">
        <v>253.0</v>
      </c>
      <c r="E102" s="38">
        <v>308.0</v>
      </c>
      <c r="F102" s="38">
        <v>36.0</v>
      </c>
      <c r="G102" s="38">
        <v>147.0</v>
      </c>
      <c r="H102" s="38">
        <v>66.0</v>
      </c>
      <c r="I102" s="48">
        <f t="shared" si="3"/>
        <v>597</v>
      </c>
      <c r="J102" s="48">
        <f t="shared" si="4"/>
        <v>810</v>
      </c>
      <c r="K102" s="49">
        <f t="shared" si="5"/>
        <v>0.4237855946</v>
      </c>
      <c r="L102" s="49">
        <f t="shared" si="6"/>
        <v>0.5159128978</v>
      </c>
      <c r="M102" s="49">
        <f t="shared" si="7"/>
        <v>0.06030150754</v>
      </c>
      <c r="N102" s="32" t="str">
        <f t="shared" si="8"/>
        <v>Mal. Lott</v>
      </c>
      <c r="O102" s="50" t="s">
        <v>77</v>
      </c>
      <c r="P102" s="38">
        <v>300.0</v>
      </c>
      <c r="Q102" s="38">
        <v>184.0</v>
      </c>
      <c r="R102" s="38">
        <v>37.0</v>
      </c>
      <c r="S102" s="38">
        <v>261.0</v>
      </c>
      <c r="T102" s="38">
        <v>28.0</v>
      </c>
      <c r="U102" s="48">
        <f t="shared" si="9"/>
        <v>521</v>
      </c>
      <c r="V102" s="48">
        <f t="shared" si="10"/>
        <v>810</v>
      </c>
      <c r="W102" s="49">
        <f t="shared" si="11"/>
        <v>0.575815739</v>
      </c>
      <c r="X102" s="49">
        <f t="shared" si="12"/>
        <v>0.3531669866</v>
      </c>
      <c r="Y102" s="49">
        <f t="shared" si="13"/>
        <v>0.07101727447</v>
      </c>
      <c r="Z102" s="32" t="str">
        <f t="shared" si="14"/>
        <v>Jango</v>
      </c>
      <c r="AA102" s="50" t="s">
        <v>77</v>
      </c>
      <c r="AB102" s="38">
        <v>1012.0</v>
      </c>
      <c r="AC102" s="48">
        <f t="shared" si="15"/>
        <v>202</v>
      </c>
      <c r="AD102" s="51">
        <f t="shared" si="16"/>
        <v>0.8003952569</v>
      </c>
    </row>
    <row r="103">
      <c r="A103" s="24"/>
      <c r="B103" s="46" t="s">
        <v>1394</v>
      </c>
      <c r="C103" s="47"/>
      <c r="D103" s="38">
        <v>374.0</v>
      </c>
      <c r="E103" s="38">
        <v>292.0</v>
      </c>
      <c r="F103" s="38">
        <v>63.0</v>
      </c>
      <c r="G103" s="38">
        <v>135.0</v>
      </c>
      <c r="H103" s="38">
        <v>34.0</v>
      </c>
      <c r="I103" s="48">
        <f t="shared" si="3"/>
        <v>729</v>
      </c>
      <c r="J103" s="48">
        <f t="shared" si="4"/>
        <v>898</v>
      </c>
      <c r="K103" s="49">
        <f t="shared" si="5"/>
        <v>0.5130315501</v>
      </c>
      <c r="L103" s="49">
        <f t="shared" si="6"/>
        <v>0.4005486968</v>
      </c>
      <c r="M103" s="49">
        <f t="shared" si="7"/>
        <v>0.08641975309</v>
      </c>
      <c r="N103" s="32" t="str">
        <f t="shared" si="8"/>
        <v>Jânio</v>
      </c>
      <c r="O103" s="50" t="s">
        <v>77</v>
      </c>
      <c r="P103" s="38">
        <v>306.0</v>
      </c>
      <c r="Q103" s="38">
        <v>303.0</v>
      </c>
      <c r="R103" s="38">
        <v>47.0</v>
      </c>
      <c r="S103" s="55">
        <v>214.0</v>
      </c>
      <c r="T103" s="38">
        <v>28.0</v>
      </c>
      <c r="U103" s="48">
        <f t="shared" si="9"/>
        <v>656</v>
      </c>
      <c r="V103" s="114">
        <f t="shared" si="10"/>
        <v>898</v>
      </c>
      <c r="W103" s="49">
        <f t="shared" si="11"/>
        <v>0.4664634146</v>
      </c>
      <c r="X103" s="49">
        <f t="shared" si="12"/>
        <v>0.4618902439</v>
      </c>
      <c r="Y103" s="49">
        <f t="shared" si="13"/>
        <v>0.07164634146</v>
      </c>
      <c r="Z103" s="32" t="str">
        <f t="shared" si="14"/>
        <v>Jango</v>
      </c>
      <c r="AA103" s="50" t="s">
        <v>77</v>
      </c>
      <c r="AB103" s="38">
        <v>1097.0</v>
      </c>
      <c r="AC103" s="48">
        <f t="shared" si="15"/>
        <v>199</v>
      </c>
      <c r="AD103" s="51">
        <f t="shared" si="16"/>
        <v>0.8185961714</v>
      </c>
    </row>
    <row r="104">
      <c r="A104" s="61" t="s">
        <v>215</v>
      </c>
      <c r="B104" s="46" t="s">
        <v>1395</v>
      </c>
      <c r="C104" s="47"/>
      <c r="D104" s="38">
        <v>182.0</v>
      </c>
      <c r="E104" s="38">
        <v>234.0</v>
      </c>
      <c r="F104" s="38">
        <v>21.0</v>
      </c>
      <c r="G104" s="38">
        <v>40.0</v>
      </c>
      <c r="H104" s="38">
        <v>44.0</v>
      </c>
      <c r="I104" s="48">
        <f t="shared" si="3"/>
        <v>437</v>
      </c>
      <c r="J104" s="48">
        <f t="shared" si="4"/>
        <v>521</v>
      </c>
      <c r="K104" s="49">
        <f t="shared" si="5"/>
        <v>0.4164759725</v>
      </c>
      <c r="L104" s="49">
        <f t="shared" si="6"/>
        <v>0.5354691076</v>
      </c>
      <c r="M104" s="49">
        <f t="shared" si="7"/>
        <v>0.04805491991</v>
      </c>
      <c r="N104" s="32" t="str">
        <f t="shared" si="8"/>
        <v>Mal. Lott</v>
      </c>
      <c r="O104" s="50" t="s">
        <v>77</v>
      </c>
      <c r="P104" s="38">
        <v>226.0</v>
      </c>
      <c r="Q104" s="38">
        <v>130.0</v>
      </c>
      <c r="R104" s="38">
        <v>41.0</v>
      </c>
      <c r="S104" s="38">
        <v>95.0</v>
      </c>
      <c r="T104" s="38">
        <v>29.0</v>
      </c>
      <c r="U104" s="48">
        <f t="shared" si="9"/>
        <v>397</v>
      </c>
      <c r="V104" s="48">
        <f t="shared" si="10"/>
        <v>521</v>
      </c>
      <c r="W104" s="49">
        <f t="shared" si="11"/>
        <v>0.5692695214</v>
      </c>
      <c r="X104" s="49">
        <f t="shared" si="12"/>
        <v>0.3274559194</v>
      </c>
      <c r="Y104" s="49">
        <f t="shared" si="13"/>
        <v>0.1032745592</v>
      </c>
      <c r="Z104" s="32" t="str">
        <f t="shared" si="14"/>
        <v>Jango</v>
      </c>
      <c r="AA104" s="50" t="s">
        <v>77</v>
      </c>
      <c r="AB104" s="38">
        <v>668.0</v>
      </c>
      <c r="AC104" s="48">
        <f t="shared" si="15"/>
        <v>147</v>
      </c>
      <c r="AD104" s="51">
        <f t="shared" si="16"/>
        <v>0.7799401198</v>
      </c>
    </row>
    <row r="105">
      <c r="A105" s="23"/>
      <c r="B105" s="46" t="s">
        <v>1396</v>
      </c>
      <c r="C105" s="47"/>
      <c r="D105" s="38">
        <v>290.0</v>
      </c>
      <c r="E105" s="38">
        <v>314.0</v>
      </c>
      <c r="F105" s="38">
        <v>45.0</v>
      </c>
      <c r="G105" s="38">
        <v>36.0</v>
      </c>
      <c r="H105" s="38">
        <v>41.0</v>
      </c>
      <c r="I105" s="48">
        <f t="shared" si="3"/>
        <v>649</v>
      </c>
      <c r="J105" s="48">
        <f t="shared" si="4"/>
        <v>726</v>
      </c>
      <c r="K105" s="49">
        <f t="shared" si="5"/>
        <v>0.4468412943</v>
      </c>
      <c r="L105" s="49">
        <f t="shared" si="6"/>
        <v>0.4838212635</v>
      </c>
      <c r="M105" s="49">
        <f t="shared" si="7"/>
        <v>0.06933744222</v>
      </c>
      <c r="N105" s="32" t="str">
        <f t="shared" si="8"/>
        <v>Mal. Lott</v>
      </c>
      <c r="O105" s="50" t="s">
        <v>77</v>
      </c>
      <c r="P105" s="38">
        <v>337.0</v>
      </c>
      <c r="Q105" s="38">
        <v>194.0</v>
      </c>
      <c r="R105" s="38">
        <v>56.0</v>
      </c>
      <c r="S105" s="38">
        <v>105.0</v>
      </c>
      <c r="T105" s="38">
        <v>34.0</v>
      </c>
      <c r="U105" s="48">
        <f t="shared" si="9"/>
        <v>587</v>
      </c>
      <c r="V105" s="48">
        <f t="shared" si="10"/>
        <v>726</v>
      </c>
      <c r="W105" s="49">
        <f t="shared" si="11"/>
        <v>0.5741056218</v>
      </c>
      <c r="X105" s="49">
        <f t="shared" si="12"/>
        <v>0.3304940375</v>
      </c>
      <c r="Y105" s="49">
        <f t="shared" si="13"/>
        <v>0.09540034072</v>
      </c>
      <c r="Z105" s="32" t="str">
        <f t="shared" si="14"/>
        <v>Jango</v>
      </c>
      <c r="AA105" s="50" t="s">
        <v>77</v>
      </c>
      <c r="AB105" s="38">
        <v>925.0</v>
      </c>
      <c r="AC105" s="48">
        <f t="shared" si="15"/>
        <v>199</v>
      </c>
      <c r="AD105" s="51">
        <f t="shared" si="16"/>
        <v>0.7848648649</v>
      </c>
    </row>
    <row r="106">
      <c r="A106" s="24"/>
      <c r="B106" s="46" t="s">
        <v>1397</v>
      </c>
      <c r="C106" s="47"/>
      <c r="D106" s="38">
        <v>173.0</v>
      </c>
      <c r="E106" s="38">
        <v>197.0</v>
      </c>
      <c r="F106" s="38">
        <v>9.0</v>
      </c>
      <c r="G106" s="38">
        <v>10.0</v>
      </c>
      <c r="H106" s="38">
        <v>27.0</v>
      </c>
      <c r="I106" s="48">
        <f t="shared" si="3"/>
        <v>379</v>
      </c>
      <c r="J106" s="48">
        <f t="shared" si="4"/>
        <v>416</v>
      </c>
      <c r="K106" s="49">
        <f t="shared" si="5"/>
        <v>0.4564643799</v>
      </c>
      <c r="L106" s="49">
        <f t="shared" si="6"/>
        <v>0.5197889182</v>
      </c>
      <c r="M106" s="49">
        <f t="shared" si="7"/>
        <v>0.02374670185</v>
      </c>
      <c r="N106" s="32" t="str">
        <f t="shared" si="8"/>
        <v>Mal. Lott</v>
      </c>
      <c r="O106" s="50" t="s">
        <v>77</v>
      </c>
      <c r="P106" s="38">
        <v>183.0</v>
      </c>
      <c r="Q106" s="38">
        <v>135.0</v>
      </c>
      <c r="R106" s="38">
        <v>22.0</v>
      </c>
      <c r="S106" s="38">
        <v>56.0</v>
      </c>
      <c r="T106" s="38">
        <v>20.0</v>
      </c>
      <c r="U106" s="48">
        <f t="shared" si="9"/>
        <v>340</v>
      </c>
      <c r="V106" s="48">
        <f t="shared" si="10"/>
        <v>416</v>
      </c>
      <c r="W106" s="49">
        <f t="shared" si="11"/>
        <v>0.5382352941</v>
      </c>
      <c r="X106" s="49">
        <f t="shared" si="12"/>
        <v>0.3970588235</v>
      </c>
      <c r="Y106" s="49">
        <f t="shared" si="13"/>
        <v>0.06470588235</v>
      </c>
      <c r="Z106" s="32" t="str">
        <f t="shared" si="14"/>
        <v>Jango</v>
      </c>
      <c r="AA106" s="50" t="s">
        <v>77</v>
      </c>
      <c r="AB106" s="38">
        <v>529.0</v>
      </c>
      <c r="AC106" s="48">
        <f t="shared" si="15"/>
        <v>113</v>
      </c>
      <c r="AD106" s="51">
        <f t="shared" si="16"/>
        <v>0.786389414</v>
      </c>
    </row>
    <row r="107">
      <c r="A107" s="110" t="s">
        <v>218</v>
      </c>
      <c r="B107" s="46" t="s">
        <v>1398</v>
      </c>
      <c r="C107" s="47"/>
      <c r="D107" s="38">
        <v>358.0</v>
      </c>
      <c r="E107" s="38">
        <v>733.0</v>
      </c>
      <c r="F107" s="38">
        <v>117.0</v>
      </c>
      <c r="G107" s="38">
        <v>116.0</v>
      </c>
      <c r="H107" s="38">
        <v>98.0</v>
      </c>
      <c r="I107" s="48">
        <f t="shared" si="3"/>
        <v>1208</v>
      </c>
      <c r="J107" s="48">
        <f t="shared" si="4"/>
        <v>1422</v>
      </c>
      <c r="K107" s="49">
        <f t="shared" si="5"/>
        <v>0.2963576159</v>
      </c>
      <c r="L107" s="49">
        <f t="shared" si="6"/>
        <v>0.6067880795</v>
      </c>
      <c r="M107" s="49">
        <f t="shared" si="7"/>
        <v>0.09685430464</v>
      </c>
      <c r="N107" s="32" t="str">
        <f t="shared" si="8"/>
        <v>Mal. Lott</v>
      </c>
      <c r="O107" s="50" t="s">
        <v>77</v>
      </c>
      <c r="P107" s="38">
        <v>714.0</v>
      </c>
      <c r="Q107" s="38">
        <v>309.0</v>
      </c>
      <c r="R107" s="38">
        <v>71.0</v>
      </c>
      <c r="S107" s="38">
        <v>250.0</v>
      </c>
      <c r="T107" s="38">
        <v>78.0</v>
      </c>
      <c r="U107" s="48">
        <f t="shared" si="9"/>
        <v>1094</v>
      </c>
      <c r="V107" s="48">
        <f t="shared" si="10"/>
        <v>1422</v>
      </c>
      <c r="W107" s="49">
        <f t="shared" si="11"/>
        <v>0.6526508227</v>
      </c>
      <c r="X107" s="49">
        <f t="shared" si="12"/>
        <v>0.2824497258</v>
      </c>
      <c r="Y107" s="49">
        <f t="shared" si="13"/>
        <v>0.06489945155</v>
      </c>
      <c r="Z107" s="32" t="str">
        <f t="shared" si="14"/>
        <v>Jango</v>
      </c>
      <c r="AA107" s="50" t="s">
        <v>77</v>
      </c>
      <c r="AB107" s="38">
        <v>1667.0</v>
      </c>
      <c r="AC107" s="48">
        <f t="shared" si="15"/>
        <v>245</v>
      </c>
      <c r="AD107" s="51">
        <f t="shared" si="16"/>
        <v>0.8530293941</v>
      </c>
    </row>
    <row r="108">
      <c r="A108" s="61" t="s">
        <v>220</v>
      </c>
      <c r="B108" s="46" t="s">
        <v>1399</v>
      </c>
      <c r="C108" s="47"/>
      <c r="D108" s="38">
        <v>753.0</v>
      </c>
      <c r="E108" s="38">
        <v>486.0</v>
      </c>
      <c r="F108" s="38">
        <v>122.0</v>
      </c>
      <c r="G108" s="38">
        <v>112.0</v>
      </c>
      <c r="H108" s="38">
        <v>146.0</v>
      </c>
      <c r="I108" s="48">
        <f t="shared" si="3"/>
        <v>1361</v>
      </c>
      <c r="J108" s="48">
        <f t="shared" si="4"/>
        <v>1619</v>
      </c>
      <c r="K108" s="49">
        <f t="shared" si="5"/>
        <v>0.5532696547</v>
      </c>
      <c r="L108" s="49">
        <f t="shared" si="6"/>
        <v>0.3570903747</v>
      </c>
      <c r="M108" s="49">
        <f t="shared" si="7"/>
        <v>0.08963997061</v>
      </c>
      <c r="N108" s="32" t="str">
        <f t="shared" si="8"/>
        <v>Jânio</v>
      </c>
      <c r="O108" s="50" t="s">
        <v>77</v>
      </c>
      <c r="P108" s="38">
        <v>521.0</v>
      </c>
      <c r="Q108" s="38">
        <v>531.0</v>
      </c>
      <c r="R108" s="38">
        <v>193.0</v>
      </c>
      <c r="S108" s="38">
        <v>284.0</v>
      </c>
      <c r="T108" s="38">
        <v>90.0</v>
      </c>
      <c r="U108" s="48">
        <f t="shared" si="9"/>
        <v>1245</v>
      </c>
      <c r="V108" s="48">
        <f t="shared" si="10"/>
        <v>1619</v>
      </c>
      <c r="W108" s="49">
        <f t="shared" si="11"/>
        <v>0.4184738956</v>
      </c>
      <c r="X108" s="49">
        <f t="shared" si="12"/>
        <v>0.4265060241</v>
      </c>
      <c r="Y108" s="49">
        <f t="shared" si="13"/>
        <v>0.1550200803</v>
      </c>
      <c r="Z108" s="32" t="str">
        <f t="shared" si="14"/>
        <v>Milton</v>
      </c>
      <c r="AA108" s="50" t="s">
        <v>77</v>
      </c>
      <c r="AB108" s="38">
        <v>1905.0</v>
      </c>
      <c r="AC108" s="48">
        <f t="shared" si="15"/>
        <v>286</v>
      </c>
      <c r="AD108" s="51">
        <f t="shared" si="16"/>
        <v>0.8498687664</v>
      </c>
    </row>
    <row r="109">
      <c r="A109" s="24"/>
      <c r="B109" s="46" t="s">
        <v>1400</v>
      </c>
      <c r="C109" s="47"/>
      <c r="D109" s="38">
        <v>154.0</v>
      </c>
      <c r="E109" s="38">
        <v>272.0</v>
      </c>
      <c r="F109" s="38">
        <v>39.0</v>
      </c>
      <c r="G109" s="38">
        <v>34.0</v>
      </c>
      <c r="H109" s="38">
        <v>39.0</v>
      </c>
      <c r="I109" s="48">
        <f t="shared" si="3"/>
        <v>465</v>
      </c>
      <c r="J109" s="48">
        <f t="shared" si="4"/>
        <v>538</v>
      </c>
      <c r="K109" s="49">
        <f t="shared" si="5"/>
        <v>0.3311827957</v>
      </c>
      <c r="L109" s="49">
        <f t="shared" si="6"/>
        <v>0.5849462366</v>
      </c>
      <c r="M109" s="49">
        <f t="shared" si="7"/>
        <v>0.08387096774</v>
      </c>
      <c r="N109" s="32" t="str">
        <f t="shared" si="8"/>
        <v>Mal. Lott</v>
      </c>
      <c r="O109" s="50" t="s">
        <v>77</v>
      </c>
      <c r="P109" s="38">
        <v>275.0</v>
      </c>
      <c r="Q109" s="38">
        <v>111.0</v>
      </c>
      <c r="R109" s="38">
        <v>36.0</v>
      </c>
      <c r="S109" s="38">
        <v>87.0</v>
      </c>
      <c r="T109" s="38">
        <v>29.0</v>
      </c>
      <c r="U109" s="48">
        <f t="shared" si="9"/>
        <v>422</v>
      </c>
      <c r="V109" s="48">
        <f t="shared" si="10"/>
        <v>538</v>
      </c>
      <c r="W109" s="49">
        <f t="shared" si="11"/>
        <v>0.6516587678</v>
      </c>
      <c r="X109" s="49">
        <f t="shared" si="12"/>
        <v>0.2630331754</v>
      </c>
      <c r="Y109" s="49">
        <f t="shared" si="13"/>
        <v>0.08530805687</v>
      </c>
      <c r="Z109" s="32" t="str">
        <f t="shared" si="14"/>
        <v>Jango</v>
      </c>
      <c r="AA109" s="50" t="s">
        <v>77</v>
      </c>
      <c r="AB109" s="38">
        <v>678.0</v>
      </c>
      <c r="AC109" s="48">
        <f t="shared" si="15"/>
        <v>140</v>
      </c>
      <c r="AD109" s="51">
        <f t="shared" si="16"/>
        <v>0.7935103245</v>
      </c>
    </row>
    <row r="110">
      <c r="A110" s="61" t="s">
        <v>295</v>
      </c>
      <c r="B110" s="46" t="s">
        <v>1401</v>
      </c>
      <c r="C110" s="47"/>
      <c r="D110" s="38">
        <v>1113.0</v>
      </c>
      <c r="E110" s="38">
        <v>1369.0</v>
      </c>
      <c r="F110" s="38">
        <v>213.0</v>
      </c>
      <c r="G110" s="38">
        <v>388.0</v>
      </c>
      <c r="H110" s="38">
        <v>122.0</v>
      </c>
      <c r="I110" s="48">
        <f t="shared" si="3"/>
        <v>2695</v>
      </c>
      <c r="J110" s="48">
        <f t="shared" si="4"/>
        <v>3205</v>
      </c>
      <c r="K110" s="49">
        <f t="shared" si="5"/>
        <v>0.412987013</v>
      </c>
      <c r="L110" s="49">
        <f t="shared" si="6"/>
        <v>0.5079777365</v>
      </c>
      <c r="M110" s="49">
        <f t="shared" si="7"/>
        <v>0.07903525046</v>
      </c>
      <c r="N110" s="32" t="str">
        <f t="shared" si="8"/>
        <v>Mal. Lott</v>
      </c>
      <c r="O110" s="50" t="s">
        <v>77</v>
      </c>
      <c r="P110" s="38">
        <v>1389.0</v>
      </c>
      <c r="Q110" s="38">
        <v>649.0</v>
      </c>
      <c r="R110" s="38">
        <v>234.0</v>
      </c>
      <c r="S110" s="38">
        <v>865.0</v>
      </c>
      <c r="T110" s="38">
        <v>68.0</v>
      </c>
      <c r="U110" s="48">
        <f t="shared" si="9"/>
        <v>2272</v>
      </c>
      <c r="V110" s="48">
        <f t="shared" si="10"/>
        <v>3205</v>
      </c>
      <c r="W110" s="49">
        <f t="shared" si="11"/>
        <v>0.6113556338</v>
      </c>
      <c r="X110" s="49">
        <f t="shared" si="12"/>
        <v>0.2856514085</v>
      </c>
      <c r="Y110" s="49">
        <f t="shared" si="13"/>
        <v>0.1029929577</v>
      </c>
      <c r="Z110" s="32" t="str">
        <f t="shared" si="14"/>
        <v>Jango</v>
      </c>
      <c r="AA110" s="50" t="s">
        <v>77</v>
      </c>
      <c r="AB110" s="38">
        <v>3688.0</v>
      </c>
      <c r="AC110" s="48">
        <f t="shared" si="15"/>
        <v>483</v>
      </c>
      <c r="AD110" s="51">
        <f t="shared" si="16"/>
        <v>0.8690347072</v>
      </c>
    </row>
    <row r="111">
      <c r="A111" s="24"/>
      <c r="B111" s="46" t="s">
        <v>1402</v>
      </c>
      <c r="C111" s="47"/>
      <c r="D111" s="38">
        <v>746.0</v>
      </c>
      <c r="E111" s="38">
        <v>733.0</v>
      </c>
      <c r="F111" s="38">
        <v>158.0</v>
      </c>
      <c r="G111" s="38">
        <v>181.0</v>
      </c>
      <c r="H111" s="38">
        <v>157.0</v>
      </c>
      <c r="I111" s="48">
        <f t="shared" si="3"/>
        <v>1637</v>
      </c>
      <c r="J111" s="48">
        <f t="shared" si="4"/>
        <v>1975</v>
      </c>
      <c r="K111" s="49">
        <f t="shared" si="5"/>
        <v>0.4557116677</v>
      </c>
      <c r="L111" s="49">
        <f t="shared" si="6"/>
        <v>0.4477703115</v>
      </c>
      <c r="M111" s="49">
        <f t="shared" si="7"/>
        <v>0.09651802077</v>
      </c>
      <c r="N111" s="32" t="str">
        <f t="shared" si="8"/>
        <v>Jânio</v>
      </c>
      <c r="O111" s="50" t="s">
        <v>77</v>
      </c>
      <c r="P111" s="38">
        <v>752.0</v>
      </c>
      <c r="Q111" s="38">
        <v>674.0</v>
      </c>
      <c r="R111" s="38">
        <v>90.0</v>
      </c>
      <c r="S111" s="38">
        <v>395.0</v>
      </c>
      <c r="T111" s="38">
        <v>64.0</v>
      </c>
      <c r="U111" s="48">
        <f t="shared" si="9"/>
        <v>1516</v>
      </c>
      <c r="V111" s="48">
        <f t="shared" si="10"/>
        <v>1975</v>
      </c>
      <c r="W111" s="49">
        <f t="shared" si="11"/>
        <v>0.4960422164</v>
      </c>
      <c r="X111" s="49">
        <f t="shared" si="12"/>
        <v>0.444591029</v>
      </c>
      <c r="Y111" s="49">
        <f t="shared" si="13"/>
        <v>0.05936675462</v>
      </c>
      <c r="Z111" s="32" t="str">
        <f t="shared" si="14"/>
        <v>Jango</v>
      </c>
      <c r="AA111" s="50" t="s">
        <v>77</v>
      </c>
      <c r="AB111" s="38">
        <v>2170.0</v>
      </c>
      <c r="AC111" s="48">
        <f t="shared" si="15"/>
        <v>195</v>
      </c>
      <c r="AD111" s="51">
        <f t="shared" si="16"/>
        <v>0.9101382488</v>
      </c>
    </row>
    <row r="112">
      <c r="A112" s="61" t="s">
        <v>299</v>
      </c>
      <c r="B112" s="46" t="s">
        <v>1403</v>
      </c>
      <c r="C112" s="47"/>
      <c r="D112" s="38">
        <v>794.0</v>
      </c>
      <c r="E112" s="38">
        <v>824.0</v>
      </c>
      <c r="F112" s="38">
        <v>143.0</v>
      </c>
      <c r="G112" s="38">
        <v>195.0</v>
      </c>
      <c r="H112" s="38">
        <v>168.0</v>
      </c>
      <c r="I112" s="48">
        <f t="shared" si="3"/>
        <v>1761</v>
      </c>
      <c r="J112" s="48">
        <f t="shared" si="4"/>
        <v>2124</v>
      </c>
      <c r="K112" s="49">
        <f t="shared" si="5"/>
        <v>0.4508801817</v>
      </c>
      <c r="L112" s="49">
        <f t="shared" si="6"/>
        <v>0.4679159568</v>
      </c>
      <c r="M112" s="49">
        <f t="shared" si="7"/>
        <v>0.08120386144</v>
      </c>
      <c r="N112" s="32" t="str">
        <f t="shared" si="8"/>
        <v>Mal. Lott</v>
      </c>
      <c r="O112" s="50" t="s">
        <v>77</v>
      </c>
      <c r="P112" s="38">
        <v>897.0</v>
      </c>
      <c r="Q112" s="38">
        <v>499.0</v>
      </c>
      <c r="R112" s="38">
        <v>141.0</v>
      </c>
      <c r="S112" s="38">
        <v>457.0</v>
      </c>
      <c r="T112" s="38">
        <v>130.0</v>
      </c>
      <c r="U112" s="48">
        <f t="shared" si="9"/>
        <v>1537</v>
      </c>
      <c r="V112" s="48">
        <f t="shared" si="10"/>
        <v>2124</v>
      </c>
      <c r="W112" s="49">
        <f t="shared" si="11"/>
        <v>0.5836044242</v>
      </c>
      <c r="X112" s="49">
        <f t="shared" si="12"/>
        <v>0.3246584255</v>
      </c>
      <c r="Y112" s="49">
        <f t="shared" si="13"/>
        <v>0.09173715029</v>
      </c>
      <c r="Z112" s="32" t="str">
        <f t="shared" si="14"/>
        <v>Jango</v>
      </c>
      <c r="AA112" s="50" t="s">
        <v>77</v>
      </c>
      <c r="AB112" s="38">
        <v>2542.0</v>
      </c>
      <c r="AC112" s="48">
        <f t="shared" si="15"/>
        <v>418</v>
      </c>
      <c r="AD112" s="51">
        <f t="shared" si="16"/>
        <v>0.8355625492</v>
      </c>
    </row>
    <row r="113">
      <c r="A113" s="23"/>
      <c r="B113" s="46" t="s">
        <v>1404</v>
      </c>
      <c r="C113" s="47"/>
      <c r="D113" s="38">
        <v>283.0</v>
      </c>
      <c r="E113" s="38">
        <v>276.0</v>
      </c>
      <c r="F113" s="38">
        <v>59.0</v>
      </c>
      <c r="G113" s="38">
        <v>49.0</v>
      </c>
      <c r="H113" s="38">
        <v>62.0</v>
      </c>
      <c r="I113" s="48">
        <f t="shared" si="3"/>
        <v>618</v>
      </c>
      <c r="J113" s="48">
        <f t="shared" si="4"/>
        <v>729</v>
      </c>
      <c r="K113" s="49">
        <f t="shared" si="5"/>
        <v>0.4579288026</v>
      </c>
      <c r="L113" s="49">
        <f t="shared" si="6"/>
        <v>0.4466019417</v>
      </c>
      <c r="M113" s="49">
        <f t="shared" si="7"/>
        <v>0.09546925566</v>
      </c>
      <c r="N113" s="32" t="str">
        <f t="shared" si="8"/>
        <v>Jânio</v>
      </c>
      <c r="O113" s="50" t="s">
        <v>77</v>
      </c>
      <c r="P113" s="38">
        <v>349.0</v>
      </c>
      <c r="Q113" s="38">
        <v>192.0</v>
      </c>
      <c r="R113" s="38">
        <v>50.0</v>
      </c>
      <c r="S113" s="38">
        <v>108.0</v>
      </c>
      <c r="T113" s="38">
        <v>30.0</v>
      </c>
      <c r="U113" s="48">
        <f t="shared" si="9"/>
        <v>591</v>
      </c>
      <c r="V113" s="48">
        <f t="shared" si="10"/>
        <v>729</v>
      </c>
      <c r="W113" s="49">
        <f t="shared" si="11"/>
        <v>0.5905245347</v>
      </c>
      <c r="X113" s="49">
        <f t="shared" si="12"/>
        <v>0.3248730964</v>
      </c>
      <c r="Y113" s="49">
        <f t="shared" si="13"/>
        <v>0.08460236887</v>
      </c>
      <c r="Z113" s="32" t="str">
        <f t="shared" si="14"/>
        <v>Jango</v>
      </c>
      <c r="AA113" s="50" t="s">
        <v>77</v>
      </c>
      <c r="AB113" s="38">
        <v>1057.0</v>
      </c>
      <c r="AC113" s="48">
        <f t="shared" si="15"/>
        <v>328</v>
      </c>
      <c r="AD113" s="51">
        <f t="shared" si="16"/>
        <v>0.6896877956</v>
      </c>
    </row>
    <row r="114">
      <c r="A114" s="23"/>
      <c r="B114" s="46" t="s">
        <v>1405</v>
      </c>
      <c r="C114" s="47"/>
      <c r="D114" s="38">
        <v>238.0</v>
      </c>
      <c r="E114" s="38">
        <v>320.0</v>
      </c>
      <c r="F114" s="38">
        <v>44.0</v>
      </c>
      <c r="G114" s="38">
        <v>119.0</v>
      </c>
      <c r="H114" s="38">
        <v>57.0</v>
      </c>
      <c r="I114" s="48">
        <f t="shared" si="3"/>
        <v>602</v>
      </c>
      <c r="J114" s="48">
        <f t="shared" si="4"/>
        <v>778</v>
      </c>
      <c r="K114" s="49">
        <f t="shared" si="5"/>
        <v>0.3953488372</v>
      </c>
      <c r="L114" s="49">
        <f t="shared" si="6"/>
        <v>0.5315614618</v>
      </c>
      <c r="M114" s="49">
        <f t="shared" si="7"/>
        <v>0.073089701</v>
      </c>
      <c r="N114" s="32" t="str">
        <f t="shared" si="8"/>
        <v>Mal. Lott</v>
      </c>
      <c r="O114" s="50" t="s">
        <v>77</v>
      </c>
      <c r="P114" s="38">
        <v>307.0</v>
      </c>
      <c r="Q114" s="38">
        <v>178.0</v>
      </c>
      <c r="R114" s="38">
        <v>28.0</v>
      </c>
      <c r="S114" s="38">
        <v>227.0</v>
      </c>
      <c r="T114" s="38">
        <v>38.0</v>
      </c>
      <c r="U114" s="48">
        <f t="shared" si="9"/>
        <v>513</v>
      </c>
      <c r="V114" s="48">
        <f t="shared" si="10"/>
        <v>778</v>
      </c>
      <c r="W114" s="49">
        <f t="shared" si="11"/>
        <v>0.5984405458</v>
      </c>
      <c r="X114" s="49">
        <f t="shared" si="12"/>
        <v>0.3469785575</v>
      </c>
      <c r="Y114" s="49">
        <f t="shared" si="13"/>
        <v>0.05458089669</v>
      </c>
      <c r="Z114" s="32" t="str">
        <f t="shared" si="14"/>
        <v>Jango</v>
      </c>
      <c r="AA114" s="50" t="s">
        <v>77</v>
      </c>
      <c r="AB114" s="38">
        <v>872.0</v>
      </c>
      <c r="AC114" s="48">
        <f t="shared" si="15"/>
        <v>94</v>
      </c>
      <c r="AD114" s="51">
        <f t="shared" si="16"/>
        <v>0.8922018349</v>
      </c>
    </row>
    <row r="115">
      <c r="A115" s="23"/>
      <c r="B115" s="46" t="s">
        <v>1406</v>
      </c>
      <c r="C115" s="47"/>
      <c r="D115" s="38">
        <v>189.0</v>
      </c>
      <c r="E115" s="38">
        <v>160.0</v>
      </c>
      <c r="F115" s="38">
        <v>31.0</v>
      </c>
      <c r="G115" s="38">
        <v>67.0</v>
      </c>
      <c r="H115" s="38">
        <v>34.0</v>
      </c>
      <c r="I115" s="48">
        <f t="shared" si="3"/>
        <v>380</v>
      </c>
      <c r="J115" s="48">
        <f t="shared" si="4"/>
        <v>481</v>
      </c>
      <c r="K115" s="49">
        <f t="shared" si="5"/>
        <v>0.4973684211</v>
      </c>
      <c r="L115" s="49">
        <f t="shared" si="6"/>
        <v>0.4210526316</v>
      </c>
      <c r="M115" s="49">
        <f t="shared" si="7"/>
        <v>0.08157894737</v>
      </c>
      <c r="N115" s="32" t="str">
        <f t="shared" si="8"/>
        <v>Jânio</v>
      </c>
      <c r="O115" s="50" t="s">
        <v>77</v>
      </c>
      <c r="P115" s="38">
        <v>165.0</v>
      </c>
      <c r="Q115" s="38">
        <v>150.0</v>
      </c>
      <c r="R115" s="38">
        <v>35.0</v>
      </c>
      <c r="S115" s="38">
        <v>116.0</v>
      </c>
      <c r="T115" s="38">
        <v>15.0</v>
      </c>
      <c r="U115" s="48">
        <f t="shared" si="9"/>
        <v>350</v>
      </c>
      <c r="V115" s="48">
        <f t="shared" si="10"/>
        <v>481</v>
      </c>
      <c r="W115" s="49">
        <f t="shared" si="11"/>
        <v>0.4714285714</v>
      </c>
      <c r="X115" s="49">
        <f t="shared" si="12"/>
        <v>0.4285714286</v>
      </c>
      <c r="Y115" s="49">
        <f t="shared" si="13"/>
        <v>0.1</v>
      </c>
      <c r="Z115" s="32" t="str">
        <f t="shared" si="14"/>
        <v>Jango</v>
      </c>
      <c r="AA115" s="50" t="s">
        <v>77</v>
      </c>
      <c r="AB115" s="38">
        <v>847.0</v>
      </c>
      <c r="AC115" s="48">
        <f t="shared" si="15"/>
        <v>366</v>
      </c>
      <c r="AD115" s="51">
        <f t="shared" si="16"/>
        <v>0.5678866588</v>
      </c>
    </row>
    <row r="116">
      <c r="A116" s="24"/>
      <c r="B116" s="46" t="s">
        <v>1407</v>
      </c>
      <c r="C116" s="47"/>
      <c r="D116" s="38">
        <v>198.0</v>
      </c>
      <c r="E116" s="38">
        <v>260.0</v>
      </c>
      <c r="F116" s="38">
        <v>28.0</v>
      </c>
      <c r="G116" s="38">
        <v>23.0</v>
      </c>
      <c r="H116" s="38">
        <v>37.0</v>
      </c>
      <c r="I116" s="48">
        <f t="shared" si="3"/>
        <v>486</v>
      </c>
      <c r="J116" s="48">
        <f t="shared" si="4"/>
        <v>546</v>
      </c>
      <c r="K116" s="49">
        <f t="shared" si="5"/>
        <v>0.4074074074</v>
      </c>
      <c r="L116" s="49">
        <f t="shared" si="6"/>
        <v>0.5349794239</v>
      </c>
      <c r="M116" s="49">
        <f t="shared" si="7"/>
        <v>0.05761316872</v>
      </c>
      <c r="N116" s="32" t="str">
        <f t="shared" si="8"/>
        <v>Mal. Lott</v>
      </c>
      <c r="O116" s="50" t="s">
        <v>77</v>
      </c>
      <c r="P116" s="38">
        <v>254.0</v>
      </c>
      <c r="Q116" s="38">
        <v>162.0</v>
      </c>
      <c r="R116" s="38">
        <v>44.0</v>
      </c>
      <c r="S116" s="38">
        <v>67.0</v>
      </c>
      <c r="T116" s="38">
        <v>19.0</v>
      </c>
      <c r="U116" s="48">
        <f t="shared" si="9"/>
        <v>460</v>
      </c>
      <c r="V116" s="48">
        <f t="shared" si="10"/>
        <v>546</v>
      </c>
      <c r="W116" s="49">
        <f t="shared" si="11"/>
        <v>0.552173913</v>
      </c>
      <c r="X116" s="49">
        <f t="shared" si="12"/>
        <v>0.352173913</v>
      </c>
      <c r="Y116" s="49">
        <f t="shared" si="13"/>
        <v>0.09565217391</v>
      </c>
      <c r="Z116" s="32" t="str">
        <f t="shared" si="14"/>
        <v>Jango</v>
      </c>
      <c r="AA116" s="50" t="s">
        <v>77</v>
      </c>
      <c r="AB116" s="38">
        <v>814.0</v>
      </c>
      <c r="AC116" s="48">
        <f t="shared" si="15"/>
        <v>268</v>
      </c>
      <c r="AD116" s="51">
        <f t="shared" si="16"/>
        <v>0.6707616708</v>
      </c>
    </row>
    <row r="117">
      <c r="A117" s="110" t="s">
        <v>302</v>
      </c>
      <c r="B117" s="46" t="s">
        <v>1408</v>
      </c>
      <c r="C117" s="47"/>
      <c r="D117" s="38">
        <v>622.0</v>
      </c>
      <c r="E117" s="38">
        <v>592.0</v>
      </c>
      <c r="F117" s="38">
        <v>121.0</v>
      </c>
      <c r="G117" s="38">
        <v>115.0</v>
      </c>
      <c r="H117" s="38">
        <v>103.0</v>
      </c>
      <c r="I117" s="48">
        <f t="shared" si="3"/>
        <v>1335</v>
      </c>
      <c r="J117" s="48">
        <f t="shared" si="4"/>
        <v>1553</v>
      </c>
      <c r="K117" s="49">
        <f t="shared" si="5"/>
        <v>0.465917603</v>
      </c>
      <c r="L117" s="49">
        <f t="shared" si="6"/>
        <v>0.4434456929</v>
      </c>
      <c r="M117" s="49">
        <f t="shared" si="7"/>
        <v>0.09063670412</v>
      </c>
      <c r="N117" s="32" t="str">
        <f t="shared" si="8"/>
        <v>Jânio</v>
      </c>
      <c r="O117" s="50" t="s">
        <v>77</v>
      </c>
      <c r="P117" s="38">
        <v>662.0</v>
      </c>
      <c r="Q117" s="38">
        <v>506.0</v>
      </c>
      <c r="R117" s="38">
        <v>119.0</v>
      </c>
      <c r="S117" s="38">
        <v>200.0</v>
      </c>
      <c r="T117" s="38">
        <v>66.0</v>
      </c>
      <c r="U117" s="48">
        <f t="shared" si="9"/>
        <v>1287</v>
      </c>
      <c r="V117" s="48">
        <f t="shared" si="10"/>
        <v>1553</v>
      </c>
      <c r="W117" s="49">
        <f t="shared" si="11"/>
        <v>0.5143745144</v>
      </c>
      <c r="X117" s="49">
        <f t="shared" si="12"/>
        <v>0.3931623932</v>
      </c>
      <c r="Y117" s="49">
        <f t="shared" si="13"/>
        <v>0.09246309246</v>
      </c>
      <c r="Z117" s="32" t="str">
        <f t="shared" si="14"/>
        <v>Jango</v>
      </c>
      <c r="AA117" s="50" t="s">
        <v>77</v>
      </c>
      <c r="AB117" s="38">
        <v>2403.0</v>
      </c>
      <c r="AC117" s="48">
        <f t="shared" si="15"/>
        <v>850</v>
      </c>
      <c r="AD117" s="51">
        <f t="shared" si="16"/>
        <v>0.646275489</v>
      </c>
    </row>
    <row r="118">
      <c r="A118" s="110" t="s">
        <v>304</v>
      </c>
      <c r="B118" s="46" t="s">
        <v>1409</v>
      </c>
      <c r="C118" s="47"/>
      <c r="D118" s="38">
        <v>393.0</v>
      </c>
      <c r="E118" s="38">
        <v>461.0</v>
      </c>
      <c r="F118" s="38">
        <v>250.0</v>
      </c>
      <c r="G118" s="38">
        <v>130.0</v>
      </c>
      <c r="H118" s="38">
        <v>87.0</v>
      </c>
      <c r="I118" s="48">
        <f t="shared" si="3"/>
        <v>1104</v>
      </c>
      <c r="J118" s="48">
        <f t="shared" si="4"/>
        <v>1321</v>
      </c>
      <c r="K118" s="49">
        <f t="shared" si="5"/>
        <v>0.3559782609</v>
      </c>
      <c r="L118" s="49">
        <f t="shared" si="6"/>
        <v>0.4175724638</v>
      </c>
      <c r="M118" s="49">
        <f t="shared" si="7"/>
        <v>0.2264492754</v>
      </c>
      <c r="N118" s="32" t="str">
        <f t="shared" si="8"/>
        <v>Mal. Lott</v>
      </c>
      <c r="O118" s="50" t="s">
        <v>77</v>
      </c>
      <c r="P118" s="38">
        <v>423.0</v>
      </c>
      <c r="Q118" s="38">
        <v>408.0</v>
      </c>
      <c r="R118" s="38">
        <v>150.0</v>
      </c>
      <c r="S118" s="38">
        <v>281.0</v>
      </c>
      <c r="T118" s="38">
        <v>59.0</v>
      </c>
      <c r="U118" s="48">
        <f t="shared" si="9"/>
        <v>981</v>
      </c>
      <c r="V118" s="48">
        <f t="shared" si="10"/>
        <v>1321</v>
      </c>
      <c r="W118" s="49">
        <f t="shared" si="11"/>
        <v>0.4311926606</v>
      </c>
      <c r="X118" s="49">
        <f t="shared" si="12"/>
        <v>0.4159021407</v>
      </c>
      <c r="Y118" s="49">
        <f t="shared" si="13"/>
        <v>0.1529051988</v>
      </c>
      <c r="Z118" s="32" t="str">
        <f t="shared" si="14"/>
        <v>Jango</v>
      </c>
      <c r="AA118" s="50" t="s">
        <v>77</v>
      </c>
      <c r="AB118" s="38">
        <v>1869.0</v>
      </c>
      <c r="AC118" s="48">
        <f t="shared" si="15"/>
        <v>548</v>
      </c>
      <c r="AD118" s="51">
        <f t="shared" si="16"/>
        <v>0.7067950776</v>
      </c>
    </row>
    <row r="119">
      <c r="A119" s="110" t="s">
        <v>308</v>
      </c>
      <c r="B119" s="46" t="s">
        <v>1410</v>
      </c>
      <c r="C119" s="47"/>
      <c r="D119" s="38">
        <v>465.0</v>
      </c>
      <c r="E119" s="38">
        <v>488.0</v>
      </c>
      <c r="F119" s="38">
        <v>98.0</v>
      </c>
      <c r="G119" s="38">
        <v>39.0</v>
      </c>
      <c r="H119" s="38">
        <v>53.0</v>
      </c>
      <c r="I119" s="48">
        <f t="shared" si="3"/>
        <v>1051</v>
      </c>
      <c r="J119" s="48">
        <f t="shared" si="4"/>
        <v>1143</v>
      </c>
      <c r="K119" s="49">
        <f t="shared" si="5"/>
        <v>0.4424357755</v>
      </c>
      <c r="L119" s="49">
        <f t="shared" si="6"/>
        <v>0.4643196955</v>
      </c>
      <c r="M119" s="49">
        <f t="shared" si="7"/>
        <v>0.09324452902</v>
      </c>
      <c r="N119" s="32" t="str">
        <f t="shared" si="8"/>
        <v>Mal. Lott</v>
      </c>
      <c r="O119" s="50" t="s">
        <v>77</v>
      </c>
      <c r="P119" s="38">
        <v>580.0</v>
      </c>
      <c r="Q119" s="38">
        <v>410.0</v>
      </c>
      <c r="R119" s="38">
        <v>45.0</v>
      </c>
      <c r="S119" s="38">
        <v>81.0</v>
      </c>
      <c r="T119" s="38">
        <v>27.0</v>
      </c>
      <c r="U119" s="48">
        <f t="shared" si="9"/>
        <v>1035</v>
      </c>
      <c r="V119" s="48">
        <f t="shared" si="10"/>
        <v>1143</v>
      </c>
      <c r="W119" s="49">
        <f t="shared" si="11"/>
        <v>0.5603864734</v>
      </c>
      <c r="X119" s="49">
        <f t="shared" si="12"/>
        <v>0.3961352657</v>
      </c>
      <c r="Y119" s="49">
        <f t="shared" si="13"/>
        <v>0.04347826087</v>
      </c>
      <c r="Z119" s="32" t="str">
        <f t="shared" si="14"/>
        <v>Jango</v>
      </c>
      <c r="AA119" s="50" t="s">
        <v>77</v>
      </c>
      <c r="AB119" s="38">
        <v>1300.0</v>
      </c>
      <c r="AC119" s="48">
        <f t="shared" si="15"/>
        <v>157</v>
      </c>
      <c r="AD119" s="51">
        <f t="shared" si="16"/>
        <v>0.8792307692</v>
      </c>
    </row>
    <row r="120">
      <c r="A120" s="110" t="s">
        <v>312</v>
      </c>
      <c r="B120" s="46" t="s">
        <v>1411</v>
      </c>
      <c r="C120" s="47"/>
      <c r="D120" s="38">
        <v>295.0</v>
      </c>
      <c r="E120" s="38">
        <v>557.0</v>
      </c>
      <c r="F120" s="38">
        <v>123.0</v>
      </c>
      <c r="G120" s="38">
        <v>154.0</v>
      </c>
      <c r="H120" s="38">
        <v>87.0</v>
      </c>
      <c r="I120" s="48">
        <f t="shared" si="3"/>
        <v>975</v>
      </c>
      <c r="J120" s="48">
        <f t="shared" si="4"/>
        <v>1216</v>
      </c>
      <c r="K120" s="49">
        <f t="shared" si="5"/>
        <v>0.3025641026</v>
      </c>
      <c r="L120" s="49">
        <f t="shared" si="6"/>
        <v>0.5712820513</v>
      </c>
      <c r="M120" s="49">
        <f t="shared" si="7"/>
        <v>0.1261538462</v>
      </c>
      <c r="N120" s="32" t="str">
        <f t="shared" si="8"/>
        <v>Mal. Lott</v>
      </c>
      <c r="O120" s="50" t="s">
        <v>77</v>
      </c>
      <c r="P120" s="38">
        <v>561.0</v>
      </c>
      <c r="Q120" s="38">
        <v>183.0</v>
      </c>
      <c r="R120" s="38">
        <v>144.0</v>
      </c>
      <c r="S120" s="38">
        <v>286.0</v>
      </c>
      <c r="T120" s="38">
        <v>42.0</v>
      </c>
      <c r="U120" s="48">
        <f t="shared" si="9"/>
        <v>888</v>
      </c>
      <c r="V120" s="48">
        <f t="shared" si="10"/>
        <v>1216</v>
      </c>
      <c r="W120" s="49">
        <f t="shared" si="11"/>
        <v>0.6317567568</v>
      </c>
      <c r="X120" s="49">
        <f t="shared" si="12"/>
        <v>0.2060810811</v>
      </c>
      <c r="Y120" s="49">
        <f t="shared" si="13"/>
        <v>0.1621621622</v>
      </c>
      <c r="Z120" s="32" t="str">
        <f t="shared" si="14"/>
        <v>Jango</v>
      </c>
      <c r="AA120" s="50" t="s">
        <v>77</v>
      </c>
      <c r="AB120" s="38">
        <v>1441.0</v>
      </c>
      <c r="AC120" s="48">
        <f t="shared" si="15"/>
        <v>225</v>
      </c>
      <c r="AD120" s="51">
        <f t="shared" si="16"/>
        <v>0.8438584316</v>
      </c>
    </row>
    <row r="121">
      <c r="A121" s="110" t="s">
        <v>314</v>
      </c>
      <c r="B121" s="46" t="s">
        <v>1412</v>
      </c>
      <c r="C121" s="47"/>
      <c r="D121" s="38">
        <v>123.0</v>
      </c>
      <c r="E121" s="38">
        <v>233.0</v>
      </c>
      <c r="F121" s="38">
        <v>54.0</v>
      </c>
      <c r="G121" s="38">
        <v>50.0</v>
      </c>
      <c r="H121" s="38">
        <v>25.0</v>
      </c>
      <c r="I121" s="48">
        <f t="shared" si="3"/>
        <v>410</v>
      </c>
      <c r="J121" s="48">
        <f t="shared" si="4"/>
        <v>485</v>
      </c>
      <c r="K121" s="49">
        <f t="shared" si="5"/>
        <v>0.3</v>
      </c>
      <c r="L121" s="49">
        <f t="shared" si="6"/>
        <v>0.5682926829</v>
      </c>
      <c r="M121" s="49">
        <f t="shared" si="7"/>
        <v>0.1317073171</v>
      </c>
      <c r="N121" s="32" t="str">
        <f t="shared" si="8"/>
        <v>Mal. Lott</v>
      </c>
      <c r="O121" s="50" t="s">
        <v>77</v>
      </c>
      <c r="P121" s="38">
        <v>208.0</v>
      </c>
      <c r="Q121" s="38">
        <v>78.0</v>
      </c>
      <c r="R121" s="38">
        <v>66.0</v>
      </c>
      <c r="S121" s="38">
        <v>114.0</v>
      </c>
      <c r="T121" s="38">
        <v>19.0</v>
      </c>
      <c r="U121" s="48">
        <f t="shared" si="9"/>
        <v>352</v>
      </c>
      <c r="V121" s="48">
        <f t="shared" si="10"/>
        <v>485</v>
      </c>
      <c r="W121" s="49">
        <f t="shared" si="11"/>
        <v>0.5909090909</v>
      </c>
      <c r="X121" s="49">
        <f t="shared" si="12"/>
        <v>0.2215909091</v>
      </c>
      <c r="Y121" s="49">
        <f t="shared" si="13"/>
        <v>0.1875</v>
      </c>
      <c r="Z121" s="32" t="str">
        <f t="shared" si="14"/>
        <v>Jango</v>
      </c>
      <c r="AA121" s="50" t="s">
        <v>77</v>
      </c>
      <c r="AB121" s="38">
        <v>542.0</v>
      </c>
      <c r="AC121" s="48">
        <f t="shared" si="15"/>
        <v>57</v>
      </c>
      <c r="AD121" s="51">
        <f t="shared" si="16"/>
        <v>0.8948339483</v>
      </c>
    </row>
    <row r="122">
      <c r="A122" s="61" t="s">
        <v>254</v>
      </c>
      <c r="B122" s="46" t="s">
        <v>1413</v>
      </c>
      <c r="C122" s="47"/>
      <c r="D122" s="38">
        <v>1522.0</v>
      </c>
      <c r="E122" s="38">
        <v>1305.0</v>
      </c>
      <c r="F122" s="38">
        <v>162.0</v>
      </c>
      <c r="G122" s="38">
        <v>281.0</v>
      </c>
      <c r="H122" s="38">
        <v>254.0</v>
      </c>
      <c r="I122" s="48">
        <f t="shared" si="3"/>
        <v>2989</v>
      </c>
      <c r="J122" s="48">
        <f t="shared" si="4"/>
        <v>3524</v>
      </c>
      <c r="K122" s="49">
        <f t="shared" si="5"/>
        <v>0.5092004015</v>
      </c>
      <c r="L122" s="49">
        <f t="shared" si="6"/>
        <v>0.4366008699</v>
      </c>
      <c r="M122" s="49">
        <f t="shared" si="7"/>
        <v>0.05419872867</v>
      </c>
      <c r="N122" s="32" t="str">
        <f t="shared" si="8"/>
        <v>Jânio</v>
      </c>
      <c r="O122" s="50" t="s">
        <v>77</v>
      </c>
      <c r="P122" s="38">
        <v>1326.0</v>
      </c>
      <c r="Q122" s="38">
        <v>1360.0</v>
      </c>
      <c r="R122" s="38">
        <v>133.0</v>
      </c>
      <c r="S122" s="38">
        <v>529.0</v>
      </c>
      <c r="T122" s="38">
        <v>176.0</v>
      </c>
      <c r="U122" s="48">
        <f t="shared" si="9"/>
        <v>2819</v>
      </c>
      <c r="V122" s="48">
        <f t="shared" si="10"/>
        <v>3524</v>
      </c>
      <c r="W122" s="49">
        <f t="shared" si="11"/>
        <v>0.4703795672</v>
      </c>
      <c r="X122" s="49">
        <f t="shared" si="12"/>
        <v>0.4824405818</v>
      </c>
      <c r="Y122" s="49">
        <f t="shared" si="13"/>
        <v>0.04717985101</v>
      </c>
      <c r="Z122" s="32" t="str">
        <f t="shared" si="14"/>
        <v>Milton</v>
      </c>
      <c r="AA122" s="50" t="s">
        <v>77</v>
      </c>
      <c r="AB122" s="38">
        <v>4028.0</v>
      </c>
      <c r="AC122" s="48">
        <f t="shared" si="15"/>
        <v>504</v>
      </c>
      <c r="AD122" s="51">
        <f t="shared" si="16"/>
        <v>0.8748758689</v>
      </c>
    </row>
    <row r="123">
      <c r="A123" s="23"/>
      <c r="B123" s="46" t="s">
        <v>1414</v>
      </c>
      <c r="C123" s="47"/>
      <c r="D123" s="38">
        <v>534.0</v>
      </c>
      <c r="E123" s="38">
        <v>513.0</v>
      </c>
      <c r="F123" s="38">
        <v>66.0</v>
      </c>
      <c r="G123" s="38">
        <v>69.0</v>
      </c>
      <c r="H123" s="38">
        <v>65.0</v>
      </c>
      <c r="I123" s="48">
        <f t="shared" si="3"/>
        <v>1113</v>
      </c>
      <c r="J123" s="48">
        <f t="shared" si="4"/>
        <v>1247</v>
      </c>
      <c r="K123" s="49">
        <f t="shared" si="5"/>
        <v>0.4797843666</v>
      </c>
      <c r="L123" s="49">
        <f t="shared" si="6"/>
        <v>0.460916442</v>
      </c>
      <c r="M123" s="49">
        <f t="shared" si="7"/>
        <v>0.05929919137</v>
      </c>
      <c r="N123" s="32" t="str">
        <f t="shared" si="8"/>
        <v>Jânio</v>
      </c>
      <c r="O123" s="50" t="s">
        <v>77</v>
      </c>
      <c r="P123" s="38">
        <v>514.0</v>
      </c>
      <c r="Q123" s="38">
        <v>450.0</v>
      </c>
      <c r="R123" s="38">
        <v>73.0</v>
      </c>
      <c r="S123" s="38">
        <v>161.0</v>
      </c>
      <c r="T123" s="38">
        <v>49.0</v>
      </c>
      <c r="U123" s="48">
        <f t="shared" si="9"/>
        <v>1037</v>
      </c>
      <c r="V123" s="48">
        <f t="shared" si="10"/>
        <v>1247</v>
      </c>
      <c r="W123" s="49">
        <f t="shared" si="11"/>
        <v>0.4956605593</v>
      </c>
      <c r="X123" s="49">
        <f t="shared" si="12"/>
        <v>0.4339440694</v>
      </c>
      <c r="Y123" s="49">
        <f t="shared" si="13"/>
        <v>0.07039537126</v>
      </c>
      <c r="Z123" s="32" t="str">
        <f t="shared" si="14"/>
        <v>Jango</v>
      </c>
      <c r="AA123" s="50" t="s">
        <v>77</v>
      </c>
      <c r="AB123" s="38">
        <v>1360.0</v>
      </c>
      <c r="AC123" s="48">
        <f t="shared" si="15"/>
        <v>113</v>
      </c>
      <c r="AD123" s="51">
        <f t="shared" si="16"/>
        <v>0.9169117647</v>
      </c>
    </row>
    <row r="124">
      <c r="A124" s="23"/>
      <c r="B124" s="46" t="s">
        <v>1415</v>
      </c>
      <c r="C124" s="47"/>
      <c r="D124" s="38">
        <v>171.0</v>
      </c>
      <c r="E124" s="38">
        <v>327.0</v>
      </c>
      <c r="F124" s="38">
        <v>31.0</v>
      </c>
      <c r="G124" s="38">
        <v>49.0</v>
      </c>
      <c r="H124" s="38">
        <v>32.0</v>
      </c>
      <c r="I124" s="48">
        <f t="shared" si="3"/>
        <v>529</v>
      </c>
      <c r="J124" s="48">
        <f t="shared" si="4"/>
        <v>610</v>
      </c>
      <c r="K124" s="49">
        <f t="shared" si="5"/>
        <v>0.3232514178</v>
      </c>
      <c r="L124" s="49">
        <f t="shared" si="6"/>
        <v>0.618147448</v>
      </c>
      <c r="M124" s="49">
        <f t="shared" si="7"/>
        <v>0.05860113422</v>
      </c>
      <c r="N124" s="32" t="str">
        <f t="shared" si="8"/>
        <v>Mal. Lott</v>
      </c>
      <c r="O124" s="50" t="s">
        <v>77</v>
      </c>
      <c r="P124" s="38">
        <v>306.0</v>
      </c>
      <c r="Q124" s="38">
        <v>150.0</v>
      </c>
      <c r="R124" s="38">
        <v>39.0</v>
      </c>
      <c r="S124" s="38">
        <v>94.0</v>
      </c>
      <c r="T124" s="38">
        <v>21.0</v>
      </c>
      <c r="U124" s="48">
        <f t="shared" si="9"/>
        <v>495</v>
      </c>
      <c r="V124" s="48">
        <f t="shared" si="10"/>
        <v>610</v>
      </c>
      <c r="W124" s="49">
        <f t="shared" si="11"/>
        <v>0.6181818182</v>
      </c>
      <c r="X124" s="49">
        <f t="shared" si="12"/>
        <v>0.303030303</v>
      </c>
      <c r="Y124" s="49">
        <f t="shared" si="13"/>
        <v>0.07878787879</v>
      </c>
      <c r="Z124" s="32" t="str">
        <f t="shared" si="14"/>
        <v>Jango</v>
      </c>
      <c r="AA124" s="50" t="s">
        <v>77</v>
      </c>
      <c r="AB124" s="38">
        <v>703.0</v>
      </c>
      <c r="AC124" s="48">
        <f t="shared" si="15"/>
        <v>93</v>
      </c>
      <c r="AD124" s="51">
        <f t="shared" si="16"/>
        <v>0.8677098151</v>
      </c>
    </row>
    <row r="125">
      <c r="A125" s="24"/>
      <c r="B125" s="46" t="s">
        <v>1416</v>
      </c>
      <c r="C125" s="47"/>
      <c r="D125" s="38">
        <v>251.0</v>
      </c>
      <c r="E125" s="38">
        <v>234.0</v>
      </c>
      <c r="F125" s="38">
        <v>22.0</v>
      </c>
      <c r="G125" s="38">
        <v>46.0</v>
      </c>
      <c r="H125" s="38">
        <v>23.0</v>
      </c>
      <c r="I125" s="48">
        <f t="shared" si="3"/>
        <v>507</v>
      </c>
      <c r="J125" s="48">
        <f t="shared" si="4"/>
        <v>576</v>
      </c>
      <c r="K125" s="49">
        <f t="shared" si="5"/>
        <v>0.4950690335</v>
      </c>
      <c r="L125" s="49">
        <f t="shared" si="6"/>
        <v>0.4615384615</v>
      </c>
      <c r="M125" s="49">
        <f t="shared" si="7"/>
        <v>0.04339250493</v>
      </c>
      <c r="N125" s="32" t="str">
        <f t="shared" si="8"/>
        <v>Jânio</v>
      </c>
      <c r="O125" s="50" t="s">
        <v>77</v>
      </c>
      <c r="P125" s="38">
        <v>243.0</v>
      </c>
      <c r="Q125" s="38">
        <v>218.0</v>
      </c>
      <c r="R125" s="38">
        <v>29.0</v>
      </c>
      <c r="S125" s="38">
        <v>72.0</v>
      </c>
      <c r="T125" s="38">
        <v>14.0</v>
      </c>
      <c r="U125" s="48">
        <f t="shared" si="9"/>
        <v>490</v>
      </c>
      <c r="V125" s="48">
        <f t="shared" si="10"/>
        <v>576</v>
      </c>
      <c r="W125" s="49">
        <f t="shared" si="11"/>
        <v>0.4959183673</v>
      </c>
      <c r="X125" s="49">
        <f t="shared" si="12"/>
        <v>0.4448979592</v>
      </c>
      <c r="Y125" s="49">
        <f t="shared" si="13"/>
        <v>0.05918367347</v>
      </c>
      <c r="Z125" s="32" t="str">
        <f t="shared" si="14"/>
        <v>Jango</v>
      </c>
      <c r="AA125" s="50" t="s">
        <v>77</v>
      </c>
      <c r="AB125" s="38">
        <v>744.0</v>
      </c>
      <c r="AC125" s="48">
        <f t="shared" si="15"/>
        <v>168</v>
      </c>
      <c r="AD125" s="51">
        <f t="shared" si="16"/>
        <v>0.7741935484</v>
      </c>
    </row>
    <row r="126">
      <c r="A126" s="61" t="s">
        <v>258</v>
      </c>
      <c r="B126" s="46" t="s">
        <v>1417</v>
      </c>
      <c r="C126" s="47"/>
      <c r="D126" s="38">
        <v>800.0</v>
      </c>
      <c r="E126" s="38">
        <v>903.0</v>
      </c>
      <c r="F126" s="38">
        <v>183.0</v>
      </c>
      <c r="G126" s="38">
        <v>287.0</v>
      </c>
      <c r="H126" s="38">
        <v>195.0</v>
      </c>
      <c r="I126" s="48">
        <f t="shared" si="3"/>
        <v>1886</v>
      </c>
      <c r="J126" s="48">
        <f t="shared" si="4"/>
        <v>2368</v>
      </c>
      <c r="K126" s="49">
        <f t="shared" si="5"/>
        <v>0.4241781548</v>
      </c>
      <c r="L126" s="49">
        <f t="shared" si="6"/>
        <v>0.4787910923</v>
      </c>
      <c r="M126" s="49">
        <f t="shared" si="7"/>
        <v>0.09703075292</v>
      </c>
      <c r="N126" s="32" t="str">
        <f t="shared" si="8"/>
        <v>Mal. Lott</v>
      </c>
      <c r="O126" s="50" t="s">
        <v>77</v>
      </c>
      <c r="P126" s="38">
        <v>923.0</v>
      </c>
      <c r="Q126" s="38">
        <v>533.0</v>
      </c>
      <c r="R126" s="38">
        <v>203.0</v>
      </c>
      <c r="S126" s="38">
        <v>598.0</v>
      </c>
      <c r="T126" s="38">
        <v>111.0</v>
      </c>
      <c r="U126" s="48">
        <f t="shared" si="9"/>
        <v>1659</v>
      </c>
      <c r="V126" s="48">
        <f t="shared" si="10"/>
        <v>2368</v>
      </c>
      <c r="W126" s="49">
        <f t="shared" si="11"/>
        <v>0.5563592526</v>
      </c>
      <c r="X126" s="49">
        <f t="shared" si="12"/>
        <v>0.3212778782</v>
      </c>
      <c r="Y126" s="49">
        <f t="shared" si="13"/>
        <v>0.1223628692</v>
      </c>
      <c r="Z126" s="32" t="str">
        <f t="shared" si="14"/>
        <v>Jango</v>
      </c>
      <c r="AA126" s="50" t="s">
        <v>77</v>
      </c>
      <c r="AB126" s="38">
        <v>2921.0</v>
      </c>
      <c r="AC126" s="48">
        <f t="shared" si="15"/>
        <v>553</v>
      </c>
      <c r="AD126" s="51">
        <f t="shared" si="16"/>
        <v>0.8106812735</v>
      </c>
    </row>
    <row r="127">
      <c r="A127" s="23"/>
      <c r="B127" s="46" t="s">
        <v>1418</v>
      </c>
      <c r="C127" s="47"/>
      <c r="D127" s="38">
        <v>504.0</v>
      </c>
      <c r="E127" s="38">
        <v>454.0</v>
      </c>
      <c r="F127" s="38">
        <v>88.0</v>
      </c>
      <c r="G127" s="38">
        <v>85.0</v>
      </c>
      <c r="H127" s="38">
        <v>123.0</v>
      </c>
      <c r="I127" s="48">
        <f t="shared" si="3"/>
        <v>1046</v>
      </c>
      <c r="J127" s="48">
        <f t="shared" si="4"/>
        <v>1254</v>
      </c>
      <c r="K127" s="49">
        <f t="shared" si="5"/>
        <v>0.4818355641</v>
      </c>
      <c r="L127" s="49">
        <f t="shared" si="6"/>
        <v>0.4340344168</v>
      </c>
      <c r="M127" s="49">
        <f t="shared" si="7"/>
        <v>0.08413001912</v>
      </c>
      <c r="N127" s="32" t="str">
        <f t="shared" si="8"/>
        <v>Jânio</v>
      </c>
      <c r="O127" s="50" t="s">
        <v>77</v>
      </c>
      <c r="P127" s="38">
        <v>487.0</v>
      </c>
      <c r="Q127" s="38">
        <v>421.0</v>
      </c>
      <c r="R127" s="38">
        <v>85.0</v>
      </c>
      <c r="S127" s="38">
        <v>171.0</v>
      </c>
      <c r="T127" s="38">
        <v>90.0</v>
      </c>
      <c r="U127" s="48">
        <f t="shared" si="9"/>
        <v>993</v>
      </c>
      <c r="V127" s="48">
        <f t="shared" si="10"/>
        <v>1254</v>
      </c>
      <c r="W127" s="49">
        <f t="shared" si="11"/>
        <v>0.4904330312</v>
      </c>
      <c r="X127" s="49">
        <f t="shared" si="12"/>
        <v>0.4239677744</v>
      </c>
      <c r="Y127" s="49">
        <f t="shared" si="13"/>
        <v>0.08559919436</v>
      </c>
      <c r="Z127" s="32" t="str">
        <f t="shared" si="14"/>
        <v>Jango</v>
      </c>
      <c r="AA127" s="50" t="s">
        <v>77</v>
      </c>
      <c r="AB127" s="38">
        <v>1767.0</v>
      </c>
      <c r="AC127" s="48">
        <f t="shared" si="15"/>
        <v>513</v>
      </c>
      <c r="AD127" s="51">
        <f t="shared" si="16"/>
        <v>0.7096774194</v>
      </c>
    </row>
    <row r="128">
      <c r="A128" s="24"/>
      <c r="B128" s="46" t="s">
        <v>1419</v>
      </c>
      <c r="C128" s="47"/>
      <c r="D128" s="38">
        <v>216.0</v>
      </c>
      <c r="E128" s="38">
        <v>196.0</v>
      </c>
      <c r="F128" s="38">
        <v>34.0</v>
      </c>
      <c r="G128" s="38">
        <v>41.0</v>
      </c>
      <c r="H128" s="38">
        <v>39.0</v>
      </c>
      <c r="I128" s="48">
        <f t="shared" si="3"/>
        <v>446</v>
      </c>
      <c r="J128" s="48">
        <f t="shared" si="4"/>
        <v>526</v>
      </c>
      <c r="K128" s="49">
        <f t="shared" si="5"/>
        <v>0.4843049327</v>
      </c>
      <c r="L128" s="49">
        <f t="shared" si="6"/>
        <v>0.4394618834</v>
      </c>
      <c r="M128" s="49">
        <f t="shared" si="7"/>
        <v>0.07623318386</v>
      </c>
      <c r="N128" s="32" t="str">
        <f t="shared" si="8"/>
        <v>Jânio</v>
      </c>
      <c r="O128" s="50" t="s">
        <v>77</v>
      </c>
      <c r="P128" s="38">
        <v>222.0</v>
      </c>
      <c r="Q128" s="38">
        <v>151.0</v>
      </c>
      <c r="R128" s="38">
        <v>43.0</v>
      </c>
      <c r="S128" s="38">
        <v>81.0</v>
      </c>
      <c r="T128" s="38">
        <v>29.0</v>
      </c>
      <c r="U128" s="48">
        <f t="shared" si="9"/>
        <v>416</v>
      </c>
      <c r="V128" s="48">
        <f t="shared" si="10"/>
        <v>526</v>
      </c>
      <c r="W128" s="49">
        <f t="shared" si="11"/>
        <v>0.5336538462</v>
      </c>
      <c r="X128" s="49">
        <f t="shared" si="12"/>
        <v>0.3629807692</v>
      </c>
      <c r="Y128" s="49">
        <f t="shared" si="13"/>
        <v>0.1033653846</v>
      </c>
      <c r="Z128" s="32" t="str">
        <f t="shared" si="14"/>
        <v>Jango</v>
      </c>
      <c r="AA128" s="50" t="s">
        <v>77</v>
      </c>
      <c r="AB128" s="38">
        <v>577.0</v>
      </c>
      <c r="AC128" s="48">
        <f t="shared" si="15"/>
        <v>51</v>
      </c>
      <c r="AD128" s="51">
        <f t="shared" si="16"/>
        <v>0.9116117851</v>
      </c>
    </row>
    <row r="129">
      <c r="A129" s="61" t="s">
        <v>319</v>
      </c>
      <c r="B129" s="46" t="s">
        <v>1420</v>
      </c>
      <c r="C129" s="47"/>
      <c r="D129" s="38">
        <v>284.0</v>
      </c>
      <c r="E129" s="38">
        <v>357.0</v>
      </c>
      <c r="F129" s="38">
        <v>89.0</v>
      </c>
      <c r="G129" s="38">
        <v>141.0</v>
      </c>
      <c r="H129" s="38">
        <v>50.0</v>
      </c>
      <c r="I129" s="48">
        <f t="shared" si="3"/>
        <v>730</v>
      </c>
      <c r="J129" s="48">
        <f t="shared" si="4"/>
        <v>921</v>
      </c>
      <c r="K129" s="49">
        <f t="shared" si="5"/>
        <v>0.3890410959</v>
      </c>
      <c r="L129" s="49">
        <f t="shared" si="6"/>
        <v>0.4890410959</v>
      </c>
      <c r="M129" s="49">
        <f t="shared" si="7"/>
        <v>0.1219178082</v>
      </c>
      <c r="N129" s="32" t="str">
        <f t="shared" si="8"/>
        <v>Mal. Lott</v>
      </c>
      <c r="O129" s="50" t="s">
        <v>77</v>
      </c>
      <c r="P129" s="38">
        <v>328.0</v>
      </c>
      <c r="Q129" s="38">
        <v>169.0</v>
      </c>
      <c r="R129" s="38">
        <v>181.0</v>
      </c>
      <c r="S129" s="38">
        <v>213.0</v>
      </c>
      <c r="T129" s="38">
        <v>30.0</v>
      </c>
      <c r="U129" s="48">
        <f t="shared" si="9"/>
        <v>678</v>
      </c>
      <c r="V129" s="48">
        <f t="shared" si="10"/>
        <v>921</v>
      </c>
      <c r="W129" s="49">
        <f t="shared" si="11"/>
        <v>0.4837758112</v>
      </c>
      <c r="X129" s="49">
        <f t="shared" si="12"/>
        <v>0.2492625369</v>
      </c>
      <c r="Y129" s="49">
        <f t="shared" si="13"/>
        <v>0.2669616519</v>
      </c>
      <c r="Z129" s="32" t="str">
        <f t="shared" si="14"/>
        <v>Jango</v>
      </c>
      <c r="AA129" s="50" t="s">
        <v>77</v>
      </c>
      <c r="AB129" s="38">
        <v>1091.0</v>
      </c>
      <c r="AC129" s="48">
        <f t="shared" si="15"/>
        <v>170</v>
      </c>
      <c r="AD129" s="51">
        <f t="shared" si="16"/>
        <v>0.8441796517</v>
      </c>
    </row>
    <row r="130">
      <c r="A130" s="24"/>
      <c r="B130" s="46" t="s">
        <v>1421</v>
      </c>
      <c r="C130" s="47"/>
      <c r="D130" s="38">
        <v>96.0</v>
      </c>
      <c r="E130" s="38">
        <v>283.0</v>
      </c>
      <c r="F130" s="38">
        <v>39.0</v>
      </c>
      <c r="G130" s="38">
        <v>35.0</v>
      </c>
      <c r="H130" s="38">
        <v>44.0</v>
      </c>
      <c r="I130" s="48">
        <f t="shared" si="3"/>
        <v>418</v>
      </c>
      <c r="J130" s="48">
        <f t="shared" si="4"/>
        <v>497</v>
      </c>
      <c r="K130" s="49">
        <f t="shared" si="5"/>
        <v>0.2296650718</v>
      </c>
      <c r="L130" s="49">
        <f t="shared" si="6"/>
        <v>0.6770334928</v>
      </c>
      <c r="M130" s="49">
        <f t="shared" si="7"/>
        <v>0.09330143541</v>
      </c>
      <c r="N130" s="32" t="str">
        <f t="shared" si="8"/>
        <v>Mal. Lott</v>
      </c>
      <c r="O130" s="50" t="s">
        <v>77</v>
      </c>
      <c r="P130" s="38">
        <v>277.0</v>
      </c>
      <c r="Q130" s="38">
        <v>58.0</v>
      </c>
      <c r="R130" s="38">
        <v>53.0</v>
      </c>
      <c r="S130" s="38">
        <v>92.0</v>
      </c>
      <c r="T130" s="38">
        <v>17.0</v>
      </c>
      <c r="U130" s="48">
        <f t="shared" si="9"/>
        <v>388</v>
      </c>
      <c r="V130" s="48">
        <f t="shared" si="10"/>
        <v>497</v>
      </c>
      <c r="W130" s="49">
        <f t="shared" si="11"/>
        <v>0.7139175258</v>
      </c>
      <c r="X130" s="49">
        <f t="shared" si="12"/>
        <v>0.1494845361</v>
      </c>
      <c r="Y130" s="49">
        <f t="shared" si="13"/>
        <v>0.1365979381</v>
      </c>
      <c r="Z130" s="32" t="str">
        <f t="shared" si="14"/>
        <v>Jango</v>
      </c>
      <c r="AA130" s="50" t="s">
        <v>77</v>
      </c>
      <c r="AB130" s="38">
        <v>534.0</v>
      </c>
      <c r="AC130" s="48">
        <f t="shared" si="15"/>
        <v>37</v>
      </c>
      <c r="AD130" s="51">
        <f t="shared" si="16"/>
        <v>0.9307116105</v>
      </c>
    </row>
    <row r="131">
      <c r="A131" s="61" t="s">
        <v>321</v>
      </c>
      <c r="B131" s="46" t="s">
        <v>1422</v>
      </c>
      <c r="C131" s="47"/>
      <c r="D131" s="38">
        <v>790.0</v>
      </c>
      <c r="E131" s="38">
        <v>539.0</v>
      </c>
      <c r="F131" s="38">
        <v>113.0</v>
      </c>
      <c r="G131" s="38">
        <v>125.0</v>
      </c>
      <c r="H131" s="38">
        <v>108.0</v>
      </c>
      <c r="I131" s="48">
        <f t="shared" si="3"/>
        <v>1442</v>
      </c>
      <c r="J131" s="48">
        <f t="shared" si="4"/>
        <v>1675</v>
      </c>
      <c r="K131" s="49">
        <f t="shared" si="5"/>
        <v>0.547850208</v>
      </c>
      <c r="L131" s="49">
        <f t="shared" si="6"/>
        <v>0.3737864078</v>
      </c>
      <c r="M131" s="49">
        <f t="shared" si="7"/>
        <v>0.07836338419</v>
      </c>
      <c r="N131" s="32" t="str">
        <f t="shared" si="8"/>
        <v>Jânio</v>
      </c>
      <c r="O131" s="50" t="s">
        <v>77</v>
      </c>
      <c r="P131" s="38">
        <v>868.0</v>
      </c>
      <c r="Q131" s="38">
        <v>429.0</v>
      </c>
      <c r="R131" s="38">
        <v>106.0</v>
      </c>
      <c r="S131" s="38">
        <v>199.0</v>
      </c>
      <c r="T131" s="38">
        <v>73.0</v>
      </c>
      <c r="U131" s="48">
        <f t="shared" si="9"/>
        <v>1403</v>
      </c>
      <c r="V131" s="48">
        <f t="shared" si="10"/>
        <v>1675</v>
      </c>
      <c r="W131" s="49">
        <f t="shared" si="11"/>
        <v>0.6186742694</v>
      </c>
      <c r="X131" s="49">
        <f t="shared" si="12"/>
        <v>0.3057733428</v>
      </c>
      <c r="Y131" s="49">
        <f t="shared" si="13"/>
        <v>0.07555238774</v>
      </c>
      <c r="Z131" s="32" t="str">
        <f t="shared" si="14"/>
        <v>Jango</v>
      </c>
      <c r="AA131" s="50" t="s">
        <v>77</v>
      </c>
      <c r="AB131" s="38">
        <v>1996.0</v>
      </c>
      <c r="AC131" s="48">
        <f t="shared" si="15"/>
        <v>321</v>
      </c>
      <c r="AD131" s="51">
        <f t="shared" si="16"/>
        <v>0.8391783567</v>
      </c>
    </row>
    <row r="132">
      <c r="A132" s="24"/>
      <c r="B132" s="46" t="s">
        <v>1423</v>
      </c>
      <c r="C132" s="47"/>
      <c r="D132" s="38">
        <v>115.0</v>
      </c>
      <c r="E132" s="38">
        <v>389.0</v>
      </c>
      <c r="F132" s="38">
        <v>64.0</v>
      </c>
      <c r="G132" s="38">
        <v>60.0</v>
      </c>
      <c r="H132" s="38">
        <v>58.0</v>
      </c>
      <c r="I132" s="48">
        <f t="shared" si="3"/>
        <v>568</v>
      </c>
      <c r="J132" s="48">
        <f t="shared" si="4"/>
        <v>686</v>
      </c>
      <c r="K132" s="49">
        <f t="shared" si="5"/>
        <v>0.2024647887</v>
      </c>
      <c r="L132" s="49">
        <f t="shared" si="6"/>
        <v>0.6848591549</v>
      </c>
      <c r="M132" s="49">
        <f t="shared" si="7"/>
        <v>0.1126760563</v>
      </c>
      <c r="N132" s="32" t="str">
        <f t="shared" si="8"/>
        <v>Mal. Lott</v>
      </c>
      <c r="O132" s="50" t="s">
        <v>77</v>
      </c>
      <c r="P132" s="38">
        <v>451.0</v>
      </c>
      <c r="Q132" s="38">
        <v>83.0</v>
      </c>
      <c r="R132" s="38">
        <v>55.0</v>
      </c>
      <c r="S132" s="38">
        <v>80.0</v>
      </c>
      <c r="T132" s="38">
        <v>17.0</v>
      </c>
      <c r="U132" s="48">
        <f t="shared" si="9"/>
        <v>589</v>
      </c>
      <c r="V132" s="48">
        <f t="shared" si="10"/>
        <v>686</v>
      </c>
      <c r="W132" s="49">
        <f t="shared" si="11"/>
        <v>0.765704584</v>
      </c>
      <c r="X132" s="49">
        <f t="shared" si="12"/>
        <v>0.1409168081</v>
      </c>
      <c r="Y132" s="49">
        <f t="shared" si="13"/>
        <v>0.09337860781</v>
      </c>
      <c r="Z132" s="32" t="str">
        <f t="shared" si="14"/>
        <v>Jango</v>
      </c>
      <c r="AA132" s="50" t="s">
        <v>77</v>
      </c>
      <c r="AB132" s="38">
        <v>771.0</v>
      </c>
      <c r="AC132" s="48">
        <f t="shared" si="15"/>
        <v>85</v>
      </c>
      <c r="AD132" s="51">
        <f t="shared" si="16"/>
        <v>0.8897535668</v>
      </c>
    </row>
    <row r="133">
      <c r="A133" s="110" t="s">
        <v>324</v>
      </c>
      <c r="B133" s="46" t="s">
        <v>1424</v>
      </c>
      <c r="C133" s="47"/>
      <c r="D133" s="38">
        <v>1031.0</v>
      </c>
      <c r="E133" s="38">
        <v>1335.0</v>
      </c>
      <c r="F133" s="38">
        <v>171.0</v>
      </c>
      <c r="G133" s="38">
        <v>181.0</v>
      </c>
      <c r="H133" s="38">
        <v>189.0</v>
      </c>
      <c r="I133" s="48">
        <f t="shared" si="3"/>
        <v>2537</v>
      </c>
      <c r="J133" s="48">
        <f t="shared" si="4"/>
        <v>2907</v>
      </c>
      <c r="K133" s="49">
        <f t="shared" si="5"/>
        <v>0.4063854947</v>
      </c>
      <c r="L133" s="49">
        <f t="shared" si="6"/>
        <v>0.5262120615</v>
      </c>
      <c r="M133" s="49">
        <f t="shared" si="7"/>
        <v>0.06740244383</v>
      </c>
      <c r="N133" s="32" t="str">
        <f t="shared" si="8"/>
        <v>Mal. Lott</v>
      </c>
      <c r="O133" s="50" t="s">
        <v>77</v>
      </c>
      <c r="P133" s="38">
        <v>1368.0</v>
      </c>
      <c r="Q133" s="38">
        <v>777.0</v>
      </c>
      <c r="R133" s="38">
        <v>224.0</v>
      </c>
      <c r="S133" s="38">
        <v>349.0</v>
      </c>
      <c r="T133" s="38">
        <v>189.0</v>
      </c>
      <c r="U133" s="48">
        <f t="shared" si="9"/>
        <v>2369</v>
      </c>
      <c r="V133" s="48">
        <f t="shared" si="10"/>
        <v>2907</v>
      </c>
      <c r="W133" s="49">
        <f t="shared" si="11"/>
        <v>0.5774588434</v>
      </c>
      <c r="X133" s="49">
        <f t="shared" si="12"/>
        <v>0.3279864922</v>
      </c>
      <c r="Y133" s="49">
        <f t="shared" si="13"/>
        <v>0.09455466442</v>
      </c>
      <c r="Z133" s="32" t="str">
        <f t="shared" si="14"/>
        <v>Jango</v>
      </c>
      <c r="AA133" s="50" t="s">
        <v>77</v>
      </c>
      <c r="AB133" s="38">
        <v>3510.0</v>
      </c>
      <c r="AC133" s="48">
        <f t="shared" si="15"/>
        <v>603</v>
      </c>
      <c r="AD133" s="51">
        <f t="shared" si="16"/>
        <v>0.8282051282</v>
      </c>
    </row>
    <row r="134">
      <c r="A134" s="61" t="s">
        <v>327</v>
      </c>
      <c r="B134" s="46" t="s">
        <v>1425</v>
      </c>
      <c r="C134" s="47"/>
      <c r="D134" s="38">
        <v>674.0</v>
      </c>
      <c r="E134" s="38">
        <v>928.0</v>
      </c>
      <c r="F134" s="38">
        <v>135.0</v>
      </c>
      <c r="G134" s="38">
        <v>216.0</v>
      </c>
      <c r="H134" s="38">
        <v>247.0</v>
      </c>
      <c r="I134" s="48">
        <f t="shared" si="3"/>
        <v>1737</v>
      </c>
      <c r="J134" s="48">
        <f t="shared" si="4"/>
        <v>2200</v>
      </c>
      <c r="K134" s="49">
        <f t="shared" si="5"/>
        <v>0.388025331</v>
      </c>
      <c r="L134" s="49">
        <f t="shared" si="6"/>
        <v>0.5342544617</v>
      </c>
      <c r="M134" s="49">
        <f t="shared" si="7"/>
        <v>0.07772020725</v>
      </c>
      <c r="N134" s="32" t="str">
        <f t="shared" si="8"/>
        <v>Mal. Lott</v>
      </c>
      <c r="O134" s="50" t="s">
        <v>77</v>
      </c>
      <c r="P134" s="38">
        <v>960.0</v>
      </c>
      <c r="Q134" s="38">
        <v>447.0</v>
      </c>
      <c r="R134" s="38">
        <v>190.0</v>
      </c>
      <c r="S134" s="38">
        <v>451.0</v>
      </c>
      <c r="T134" s="38">
        <v>152.0</v>
      </c>
      <c r="U134" s="48">
        <f t="shared" si="9"/>
        <v>1597</v>
      </c>
      <c r="V134" s="48">
        <f t="shared" si="10"/>
        <v>2200</v>
      </c>
      <c r="W134" s="49">
        <f t="shared" si="11"/>
        <v>0.6011271133</v>
      </c>
      <c r="X134" s="49">
        <f t="shared" si="12"/>
        <v>0.2798998121</v>
      </c>
      <c r="Y134" s="49">
        <f t="shared" si="13"/>
        <v>0.1189730745</v>
      </c>
      <c r="Z134" s="32" t="str">
        <f t="shared" si="14"/>
        <v>Jango</v>
      </c>
      <c r="AA134" s="50" t="s">
        <v>77</v>
      </c>
      <c r="AB134" s="38">
        <v>2778.0</v>
      </c>
      <c r="AC134" s="48">
        <f t="shared" si="15"/>
        <v>578</v>
      </c>
      <c r="AD134" s="51">
        <f t="shared" si="16"/>
        <v>0.7919366451</v>
      </c>
    </row>
    <row r="135">
      <c r="A135" s="24"/>
      <c r="B135" s="46" t="s">
        <v>1426</v>
      </c>
      <c r="C135" s="47"/>
      <c r="D135" s="38">
        <v>322.0</v>
      </c>
      <c r="E135" s="38">
        <v>830.0</v>
      </c>
      <c r="F135" s="38">
        <v>102.0</v>
      </c>
      <c r="G135" s="38">
        <v>126.0</v>
      </c>
      <c r="H135" s="38">
        <v>127.0</v>
      </c>
      <c r="I135" s="48">
        <f t="shared" si="3"/>
        <v>1254</v>
      </c>
      <c r="J135" s="48">
        <f t="shared" si="4"/>
        <v>1507</v>
      </c>
      <c r="K135" s="49">
        <f t="shared" si="5"/>
        <v>0.2567783094</v>
      </c>
      <c r="L135" s="49">
        <f t="shared" si="6"/>
        <v>0.6618819777</v>
      </c>
      <c r="M135" s="49">
        <f t="shared" si="7"/>
        <v>0.08133971292</v>
      </c>
      <c r="N135" s="32" t="str">
        <f t="shared" si="8"/>
        <v>Mal. Lott</v>
      </c>
      <c r="O135" s="50" t="s">
        <v>77</v>
      </c>
      <c r="P135" s="38">
        <v>891.0</v>
      </c>
      <c r="Q135" s="38">
        <v>175.0</v>
      </c>
      <c r="R135" s="38">
        <v>110.0</v>
      </c>
      <c r="S135" s="38">
        <v>245.0</v>
      </c>
      <c r="T135" s="38">
        <v>86.0</v>
      </c>
      <c r="U135" s="48">
        <f t="shared" si="9"/>
        <v>1176</v>
      </c>
      <c r="V135" s="48">
        <f t="shared" si="10"/>
        <v>1507</v>
      </c>
      <c r="W135" s="49">
        <f t="shared" si="11"/>
        <v>0.7576530612</v>
      </c>
      <c r="X135" s="49">
        <f t="shared" si="12"/>
        <v>0.1488095238</v>
      </c>
      <c r="Y135" s="49">
        <f t="shared" si="13"/>
        <v>0.09353741497</v>
      </c>
      <c r="Z135" s="32" t="str">
        <f t="shared" si="14"/>
        <v>Jango</v>
      </c>
      <c r="AA135" s="50" t="s">
        <v>77</v>
      </c>
      <c r="AB135" s="38">
        <v>2673.0</v>
      </c>
      <c r="AC135" s="48">
        <f t="shared" si="15"/>
        <v>1166</v>
      </c>
      <c r="AD135" s="51">
        <f t="shared" si="16"/>
        <v>0.5637860082</v>
      </c>
    </row>
    <row r="136">
      <c r="A136" s="110" t="s">
        <v>501</v>
      </c>
      <c r="B136" s="46" t="s">
        <v>1427</v>
      </c>
      <c r="C136" s="47"/>
      <c r="D136" s="38">
        <v>278.0</v>
      </c>
      <c r="E136" s="38">
        <v>350.0</v>
      </c>
      <c r="F136" s="38">
        <v>40.0</v>
      </c>
      <c r="G136" s="38">
        <v>41.0</v>
      </c>
      <c r="H136" s="38">
        <v>43.0</v>
      </c>
      <c r="I136" s="48">
        <f t="shared" si="3"/>
        <v>668</v>
      </c>
      <c r="J136" s="48">
        <f t="shared" si="4"/>
        <v>752</v>
      </c>
      <c r="K136" s="49">
        <f t="shared" si="5"/>
        <v>0.4161676647</v>
      </c>
      <c r="L136" s="49">
        <f t="shared" si="6"/>
        <v>0.5239520958</v>
      </c>
      <c r="M136" s="49">
        <f t="shared" si="7"/>
        <v>0.05988023952</v>
      </c>
      <c r="N136" s="32" t="str">
        <f t="shared" si="8"/>
        <v>Mal. Lott</v>
      </c>
      <c r="O136" s="50" t="s">
        <v>77</v>
      </c>
      <c r="P136" s="38">
        <v>365.0</v>
      </c>
      <c r="Q136" s="38">
        <v>247.0</v>
      </c>
      <c r="R136" s="38">
        <v>45.0</v>
      </c>
      <c r="S136" s="38">
        <v>72.0</v>
      </c>
      <c r="T136" s="38">
        <v>23.0</v>
      </c>
      <c r="U136" s="48">
        <f t="shared" si="9"/>
        <v>657</v>
      </c>
      <c r="V136" s="48">
        <f t="shared" si="10"/>
        <v>752</v>
      </c>
      <c r="W136" s="49">
        <f t="shared" si="11"/>
        <v>0.5555555556</v>
      </c>
      <c r="X136" s="49">
        <f t="shared" si="12"/>
        <v>0.3759512938</v>
      </c>
      <c r="Y136" s="49">
        <f t="shared" si="13"/>
        <v>0.06849315068</v>
      </c>
      <c r="Z136" s="32" t="str">
        <f t="shared" si="14"/>
        <v>Jango</v>
      </c>
      <c r="AA136" s="50" t="s">
        <v>77</v>
      </c>
      <c r="AB136" s="38">
        <v>883.0</v>
      </c>
      <c r="AC136" s="48">
        <f t="shared" si="15"/>
        <v>131</v>
      </c>
      <c r="AD136" s="51">
        <f t="shared" si="16"/>
        <v>0.8516421291</v>
      </c>
    </row>
    <row r="137">
      <c r="A137" s="61" t="s">
        <v>504</v>
      </c>
      <c r="B137" s="46" t="s">
        <v>1428</v>
      </c>
      <c r="C137" s="47"/>
      <c r="D137" s="38">
        <v>428.0</v>
      </c>
      <c r="E137" s="38">
        <v>434.0</v>
      </c>
      <c r="F137" s="38">
        <v>89.0</v>
      </c>
      <c r="G137" s="38">
        <v>110.0</v>
      </c>
      <c r="H137" s="38">
        <v>35.0</v>
      </c>
      <c r="I137" s="48">
        <f t="shared" si="3"/>
        <v>951</v>
      </c>
      <c r="J137" s="48">
        <f t="shared" si="4"/>
        <v>1096</v>
      </c>
      <c r="K137" s="49">
        <f t="shared" si="5"/>
        <v>0.4500525762</v>
      </c>
      <c r="L137" s="49">
        <f t="shared" si="6"/>
        <v>0.4563617245</v>
      </c>
      <c r="M137" s="49">
        <f t="shared" si="7"/>
        <v>0.09358569926</v>
      </c>
      <c r="N137" s="32" t="str">
        <f t="shared" si="8"/>
        <v>Mal. Lott</v>
      </c>
      <c r="O137" s="50" t="s">
        <v>77</v>
      </c>
      <c r="P137" s="38">
        <v>417.0</v>
      </c>
      <c r="Q137" s="38">
        <v>298.0</v>
      </c>
      <c r="R137" s="38">
        <v>97.0</v>
      </c>
      <c r="S137" s="38">
        <v>263.0</v>
      </c>
      <c r="T137" s="38">
        <v>21.0</v>
      </c>
      <c r="U137" s="48">
        <f t="shared" si="9"/>
        <v>812</v>
      </c>
      <c r="V137" s="48">
        <f t="shared" si="10"/>
        <v>1096</v>
      </c>
      <c r="W137" s="49">
        <f t="shared" si="11"/>
        <v>0.513546798</v>
      </c>
      <c r="X137" s="49">
        <f t="shared" si="12"/>
        <v>0.3669950739</v>
      </c>
      <c r="Y137" s="49">
        <f t="shared" si="13"/>
        <v>0.1194581281</v>
      </c>
      <c r="Z137" s="32" t="str">
        <f t="shared" si="14"/>
        <v>Jango</v>
      </c>
      <c r="AA137" s="50" t="s">
        <v>77</v>
      </c>
      <c r="AB137" s="38">
        <v>1342.0</v>
      </c>
      <c r="AC137" s="48">
        <f t="shared" si="15"/>
        <v>246</v>
      </c>
      <c r="AD137" s="51">
        <f t="shared" si="16"/>
        <v>0.8166915052</v>
      </c>
    </row>
    <row r="138">
      <c r="A138" s="24"/>
      <c r="B138" s="46" t="s">
        <v>1429</v>
      </c>
      <c r="C138" s="47"/>
      <c r="D138" s="38">
        <v>180.0</v>
      </c>
      <c r="E138" s="38">
        <v>200.0</v>
      </c>
      <c r="F138" s="38">
        <v>30.0</v>
      </c>
      <c r="G138" s="38">
        <v>19.0</v>
      </c>
      <c r="H138" s="38">
        <v>22.0</v>
      </c>
      <c r="I138" s="48">
        <f t="shared" si="3"/>
        <v>410</v>
      </c>
      <c r="J138" s="48">
        <f t="shared" si="4"/>
        <v>451</v>
      </c>
      <c r="K138" s="49">
        <f t="shared" si="5"/>
        <v>0.4390243902</v>
      </c>
      <c r="L138" s="49">
        <f t="shared" si="6"/>
        <v>0.487804878</v>
      </c>
      <c r="M138" s="49">
        <f t="shared" si="7"/>
        <v>0.07317073171</v>
      </c>
      <c r="N138" s="32" t="str">
        <f t="shared" si="8"/>
        <v>Mal. Lott</v>
      </c>
      <c r="O138" s="50" t="s">
        <v>77</v>
      </c>
      <c r="P138" s="38">
        <v>220.0</v>
      </c>
      <c r="Q138" s="38">
        <v>133.0</v>
      </c>
      <c r="R138" s="38">
        <v>33.0</v>
      </c>
      <c r="S138" s="38">
        <v>52.0</v>
      </c>
      <c r="T138" s="38">
        <v>13.0</v>
      </c>
      <c r="U138" s="48">
        <f t="shared" si="9"/>
        <v>386</v>
      </c>
      <c r="V138" s="48">
        <f t="shared" si="10"/>
        <v>451</v>
      </c>
      <c r="W138" s="49">
        <f t="shared" si="11"/>
        <v>0.5699481865</v>
      </c>
      <c r="X138" s="49">
        <f t="shared" si="12"/>
        <v>0.3445595855</v>
      </c>
      <c r="Y138" s="49">
        <f t="shared" si="13"/>
        <v>0.08549222798</v>
      </c>
      <c r="Z138" s="32" t="str">
        <f t="shared" si="14"/>
        <v>Jango</v>
      </c>
      <c r="AA138" s="50" t="s">
        <v>77</v>
      </c>
      <c r="AB138" s="38">
        <v>598.0</v>
      </c>
      <c r="AC138" s="48">
        <f t="shared" si="15"/>
        <v>147</v>
      </c>
      <c r="AD138" s="51">
        <f t="shared" si="16"/>
        <v>0.754180602</v>
      </c>
    </row>
    <row r="139">
      <c r="A139" s="61" t="s">
        <v>506</v>
      </c>
      <c r="B139" s="46" t="s">
        <v>1430</v>
      </c>
      <c r="C139" s="47"/>
      <c r="D139" s="38">
        <v>1028.0</v>
      </c>
      <c r="E139" s="38">
        <v>740.0</v>
      </c>
      <c r="F139" s="38">
        <v>69.0</v>
      </c>
      <c r="G139" s="38">
        <v>82.0</v>
      </c>
      <c r="H139" s="38">
        <v>66.0</v>
      </c>
      <c r="I139" s="48">
        <f t="shared" si="3"/>
        <v>1837</v>
      </c>
      <c r="J139" s="48">
        <f t="shared" si="4"/>
        <v>1985</v>
      </c>
      <c r="K139" s="49">
        <f t="shared" si="5"/>
        <v>0.5596080566</v>
      </c>
      <c r="L139" s="49">
        <f t="shared" si="6"/>
        <v>0.4028307022</v>
      </c>
      <c r="M139" s="49">
        <f t="shared" si="7"/>
        <v>0.03756124115</v>
      </c>
      <c r="N139" s="32" t="str">
        <f t="shared" si="8"/>
        <v>Jânio</v>
      </c>
      <c r="O139" s="50" t="s">
        <v>77</v>
      </c>
      <c r="P139" s="38">
        <v>765.0</v>
      </c>
      <c r="Q139" s="38">
        <v>317.0</v>
      </c>
      <c r="R139" s="38">
        <v>681.0</v>
      </c>
      <c r="S139" s="38">
        <v>174.0</v>
      </c>
      <c r="T139" s="38">
        <v>48.0</v>
      </c>
      <c r="U139" s="48">
        <f t="shared" si="9"/>
        <v>1763</v>
      </c>
      <c r="V139" s="48">
        <f t="shared" si="10"/>
        <v>1985</v>
      </c>
      <c r="W139" s="49">
        <f t="shared" si="11"/>
        <v>0.4339194555</v>
      </c>
      <c r="X139" s="49">
        <f t="shared" si="12"/>
        <v>0.1798071469</v>
      </c>
      <c r="Y139" s="49">
        <f t="shared" si="13"/>
        <v>0.3862733976</v>
      </c>
      <c r="Z139" s="32" t="str">
        <f t="shared" si="14"/>
        <v>Jango</v>
      </c>
      <c r="AA139" s="50" t="s">
        <v>77</v>
      </c>
      <c r="AB139" s="38">
        <v>2733.0</v>
      </c>
      <c r="AC139" s="48">
        <f t="shared" si="15"/>
        <v>748</v>
      </c>
      <c r="AD139" s="51">
        <f t="shared" si="16"/>
        <v>0.7263080864</v>
      </c>
    </row>
    <row r="140">
      <c r="A140" s="23"/>
      <c r="B140" s="46" t="s">
        <v>1431</v>
      </c>
      <c r="C140" s="47"/>
      <c r="D140" s="38">
        <v>305.0</v>
      </c>
      <c r="E140" s="38">
        <v>297.0</v>
      </c>
      <c r="F140" s="38">
        <v>31.0</v>
      </c>
      <c r="G140" s="38">
        <v>43.0</v>
      </c>
      <c r="H140" s="38">
        <v>33.0</v>
      </c>
      <c r="I140" s="48">
        <f t="shared" si="3"/>
        <v>633</v>
      </c>
      <c r="J140" s="48">
        <f t="shared" si="4"/>
        <v>709</v>
      </c>
      <c r="K140" s="49">
        <f t="shared" si="5"/>
        <v>0.4818325434</v>
      </c>
      <c r="L140" s="49">
        <f t="shared" si="6"/>
        <v>0.4691943128</v>
      </c>
      <c r="M140" s="49">
        <f t="shared" si="7"/>
        <v>0.04897314376</v>
      </c>
      <c r="N140" s="32" t="str">
        <f t="shared" si="8"/>
        <v>Jânio</v>
      </c>
      <c r="O140" s="50" t="s">
        <v>77</v>
      </c>
      <c r="P140" s="38">
        <v>307.0</v>
      </c>
      <c r="Q140" s="38">
        <v>204.0</v>
      </c>
      <c r="R140" s="38">
        <v>93.0</v>
      </c>
      <c r="S140" s="38">
        <v>83.0</v>
      </c>
      <c r="T140" s="38">
        <v>22.0</v>
      </c>
      <c r="U140" s="48">
        <f t="shared" si="9"/>
        <v>604</v>
      </c>
      <c r="V140" s="48">
        <f t="shared" si="10"/>
        <v>709</v>
      </c>
      <c r="W140" s="49">
        <f t="shared" si="11"/>
        <v>0.5082781457</v>
      </c>
      <c r="X140" s="49">
        <f t="shared" si="12"/>
        <v>0.3377483444</v>
      </c>
      <c r="Y140" s="49">
        <f t="shared" si="13"/>
        <v>0.1539735099</v>
      </c>
      <c r="Z140" s="32" t="str">
        <f t="shared" si="14"/>
        <v>Jango</v>
      </c>
      <c r="AA140" s="50" t="s">
        <v>77</v>
      </c>
      <c r="AB140" s="38">
        <v>1158.0</v>
      </c>
      <c r="AC140" s="48">
        <f t="shared" si="15"/>
        <v>449</v>
      </c>
      <c r="AD140" s="51">
        <f t="shared" si="16"/>
        <v>0.6122625216</v>
      </c>
    </row>
    <row r="141">
      <c r="A141" s="23"/>
      <c r="B141" s="46" t="s">
        <v>1432</v>
      </c>
      <c r="C141" s="47"/>
      <c r="D141" s="38">
        <v>195.0</v>
      </c>
      <c r="E141" s="38">
        <v>192.0</v>
      </c>
      <c r="F141" s="38">
        <v>35.0</v>
      </c>
      <c r="G141" s="38">
        <v>32.0</v>
      </c>
      <c r="H141" s="38">
        <v>23.0</v>
      </c>
      <c r="I141" s="48">
        <f t="shared" si="3"/>
        <v>422</v>
      </c>
      <c r="J141" s="48">
        <f t="shared" si="4"/>
        <v>477</v>
      </c>
      <c r="K141" s="49">
        <f t="shared" si="5"/>
        <v>0.4620853081</v>
      </c>
      <c r="L141" s="49">
        <f t="shared" si="6"/>
        <v>0.4549763033</v>
      </c>
      <c r="M141" s="49">
        <f t="shared" si="7"/>
        <v>0.08293838863</v>
      </c>
      <c r="N141" s="32" t="str">
        <f t="shared" si="8"/>
        <v>Jânio</v>
      </c>
      <c r="O141" s="50" t="s">
        <v>77</v>
      </c>
      <c r="P141" s="38">
        <v>221.0</v>
      </c>
      <c r="Q141" s="38">
        <v>100.0</v>
      </c>
      <c r="R141" s="38">
        <v>90.0</v>
      </c>
      <c r="S141" s="38">
        <v>51.0</v>
      </c>
      <c r="T141" s="38">
        <v>15.0</v>
      </c>
      <c r="U141" s="48">
        <f t="shared" si="9"/>
        <v>411</v>
      </c>
      <c r="V141" s="48">
        <f t="shared" si="10"/>
        <v>477</v>
      </c>
      <c r="W141" s="49">
        <f t="shared" si="11"/>
        <v>0.5377128954</v>
      </c>
      <c r="X141" s="49">
        <f t="shared" si="12"/>
        <v>0.2433090024</v>
      </c>
      <c r="Y141" s="49">
        <f t="shared" si="13"/>
        <v>0.2189781022</v>
      </c>
      <c r="Z141" s="32" t="str">
        <f t="shared" si="14"/>
        <v>Jango</v>
      </c>
      <c r="AA141" s="50" t="s">
        <v>77</v>
      </c>
      <c r="AB141" s="38">
        <v>824.0</v>
      </c>
      <c r="AC141" s="48">
        <f t="shared" si="15"/>
        <v>347</v>
      </c>
      <c r="AD141" s="51">
        <f t="shared" si="16"/>
        <v>0.5788834951</v>
      </c>
    </row>
    <row r="142">
      <c r="A142" s="23"/>
      <c r="B142" s="46" t="s">
        <v>1433</v>
      </c>
      <c r="C142" s="47"/>
      <c r="D142" s="38">
        <v>151.0</v>
      </c>
      <c r="E142" s="38">
        <v>252.0</v>
      </c>
      <c r="F142" s="38">
        <v>9.0</v>
      </c>
      <c r="G142" s="38">
        <v>26.0</v>
      </c>
      <c r="H142" s="38">
        <v>19.0</v>
      </c>
      <c r="I142" s="48">
        <f t="shared" si="3"/>
        <v>412</v>
      </c>
      <c r="J142" s="48">
        <f t="shared" si="4"/>
        <v>457</v>
      </c>
      <c r="K142" s="49">
        <f t="shared" si="5"/>
        <v>0.3665048544</v>
      </c>
      <c r="L142" s="49">
        <f t="shared" si="6"/>
        <v>0.6116504854</v>
      </c>
      <c r="M142" s="49">
        <f t="shared" si="7"/>
        <v>0.02184466019</v>
      </c>
      <c r="N142" s="32" t="str">
        <f t="shared" si="8"/>
        <v>Mal. Lott</v>
      </c>
      <c r="O142" s="50" t="s">
        <v>77</v>
      </c>
      <c r="P142" s="38">
        <v>242.0</v>
      </c>
      <c r="Q142" s="38">
        <v>102.0</v>
      </c>
      <c r="R142" s="38">
        <v>33.0</v>
      </c>
      <c r="S142" s="38">
        <v>71.0</v>
      </c>
      <c r="T142" s="38">
        <v>9.0</v>
      </c>
      <c r="U142" s="48">
        <f t="shared" si="9"/>
        <v>377</v>
      </c>
      <c r="V142" s="48">
        <f t="shared" si="10"/>
        <v>457</v>
      </c>
      <c r="W142" s="49">
        <f t="shared" si="11"/>
        <v>0.6419098143</v>
      </c>
      <c r="X142" s="49">
        <f t="shared" si="12"/>
        <v>0.2705570292</v>
      </c>
      <c r="Y142" s="49">
        <f t="shared" si="13"/>
        <v>0.0875331565</v>
      </c>
      <c r="Z142" s="32" t="str">
        <f t="shared" si="14"/>
        <v>Jango</v>
      </c>
      <c r="AA142" s="50" t="s">
        <v>77</v>
      </c>
      <c r="AB142" s="38">
        <v>791.0</v>
      </c>
      <c r="AC142" s="48">
        <f t="shared" si="15"/>
        <v>334</v>
      </c>
      <c r="AD142" s="51">
        <f t="shared" si="16"/>
        <v>0.5777496839</v>
      </c>
    </row>
    <row r="143">
      <c r="A143" s="24"/>
      <c r="B143" s="46" t="s">
        <v>1434</v>
      </c>
      <c r="C143" s="47"/>
      <c r="D143" s="38">
        <v>194.0</v>
      </c>
      <c r="E143" s="38">
        <v>299.0</v>
      </c>
      <c r="F143" s="38">
        <v>20.0</v>
      </c>
      <c r="G143" s="38">
        <v>20.0</v>
      </c>
      <c r="H143" s="38">
        <v>25.0</v>
      </c>
      <c r="I143" s="48">
        <f t="shared" si="3"/>
        <v>513</v>
      </c>
      <c r="J143" s="48">
        <f t="shared" si="4"/>
        <v>558</v>
      </c>
      <c r="K143" s="49">
        <f t="shared" si="5"/>
        <v>0.3781676413</v>
      </c>
      <c r="L143" s="49">
        <f t="shared" si="6"/>
        <v>0.5828460039</v>
      </c>
      <c r="M143" s="49">
        <f t="shared" si="7"/>
        <v>0.03898635478</v>
      </c>
      <c r="N143" s="32" t="str">
        <f t="shared" si="8"/>
        <v>Mal. Lott</v>
      </c>
      <c r="O143" s="50" t="s">
        <v>77</v>
      </c>
      <c r="P143" s="38">
        <v>313.0</v>
      </c>
      <c r="Q143" s="38">
        <v>135.0</v>
      </c>
      <c r="R143" s="38">
        <v>41.0</v>
      </c>
      <c r="S143" s="38">
        <v>50.0</v>
      </c>
      <c r="T143" s="38">
        <v>19.0</v>
      </c>
      <c r="U143" s="48">
        <f t="shared" si="9"/>
        <v>489</v>
      </c>
      <c r="V143" s="48">
        <f t="shared" si="10"/>
        <v>558</v>
      </c>
      <c r="W143" s="49">
        <f t="shared" si="11"/>
        <v>0.6400817996</v>
      </c>
      <c r="X143" s="49">
        <f t="shared" si="12"/>
        <v>0.2760736196</v>
      </c>
      <c r="Y143" s="49">
        <f t="shared" si="13"/>
        <v>0.08384458078</v>
      </c>
      <c r="Z143" s="32" t="str">
        <f t="shared" si="14"/>
        <v>Jango</v>
      </c>
      <c r="AA143" s="50" t="s">
        <v>77</v>
      </c>
      <c r="AB143" s="38">
        <v>917.0</v>
      </c>
      <c r="AC143" s="48">
        <f t="shared" si="15"/>
        <v>359</v>
      </c>
      <c r="AD143" s="51">
        <f t="shared" si="16"/>
        <v>0.6085059978</v>
      </c>
    </row>
    <row r="144">
      <c r="A144" s="110" t="s">
        <v>509</v>
      </c>
      <c r="B144" s="46" t="s">
        <v>1435</v>
      </c>
      <c r="C144" s="47"/>
      <c r="D144" s="38">
        <v>696.0</v>
      </c>
      <c r="E144" s="38">
        <v>749.0</v>
      </c>
      <c r="F144" s="38">
        <v>192.0</v>
      </c>
      <c r="G144" s="38">
        <v>222.0</v>
      </c>
      <c r="H144" s="38">
        <v>159.0</v>
      </c>
      <c r="I144" s="48">
        <f t="shared" si="3"/>
        <v>1637</v>
      </c>
      <c r="J144" s="48">
        <f t="shared" si="4"/>
        <v>2018</v>
      </c>
      <c r="K144" s="49">
        <f t="shared" si="5"/>
        <v>0.4251679902</v>
      </c>
      <c r="L144" s="49">
        <f t="shared" si="6"/>
        <v>0.4575442883</v>
      </c>
      <c r="M144" s="49">
        <f t="shared" si="7"/>
        <v>0.1172877214</v>
      </c>
      <c r="N144" s="32" t="str">
        <f t="shared" si="8"/>
        <v>Mal. Lott</v>
      </c>
      <c r="O144" s="50" t="s">
        <v>77</v>
      </c>
      <c r="P144" s="38">
        <v>816.0</v>
      </c>
      <c r="Q144" s="38">
        <v>380.0</v>
      </c>
      <c r="R144" s="38">
        <v>266.0</v>
      </c>
      <c r="S144" s="38">
        <v>487.0</v>
      </c>
      <c r="T144" s="38">
        <v>69.0</v>
      </c>
      <c r="U144" s="48">
        <f t="shared" si="9"/>
        <v>1462</v>
      </c>
      <c r="V144" s="48">
        <f t="shared" si="10"/>
        <v>2018</v>
      </c>
      <c r="W144" s="49">
        <f t="shared" si="11"/>
        <v>0.5581395349</v>
      </c>
      <c r="X144" s="49">
        <f t="shared" si="12"/>
        <v>0.2599179207</v>
      </c>
      <c r="Y144" s="49">
        <f t="shared" si="13"/>
        <v>0.1819425445</v>
      </c>
      <c r="Z144" s="32" t="str">
        <f t="shared" si="14"/>
        <v>Jango</v>
      </c>
      <c r="AA144" s="50" t="s">
        <v>77</v>
      </c>
      <c r="AB144" s="38">
        <v>2402.0</v>
      </c>
      <c r="AC144" s="48">
        <f t="shared" si="15"/>
        <v>384</v>
      </c>
      <c r="AD144" s="51">
        <f t="shared" si="16"/>
        <v>0.8401332223</v>
      </c>
    </row>
    <row r="145">
      <c r="A145" s="61" t="s">
        <v>512</v>
      </c>
      <c r="B145" s="46" t="s">
        <v>1436</v>
      </c>
      <c r="C145" s="47"/>
      <c r="D145" s="38">
        <v>517.0</v>
      </c>
      <c r="E145" s="38">
        <v>585.0</v>
      </c>
      <c r="F145" s="38">
        <v>88.0</v>
      </c>
      <c r="G145" s="38">
        <v>104.0</v>
      </c>
      <c r="H145" s="38">
        <v>51.0</v>
      </c>
      <c r="I145" s="48">
        <f t="shared" si="3"/>
        <v>1190</v>
      </c>
      <c r="J145" s="48">
        <f t="shared" si="4"/>
        <v>1345</v>
      </c>
      <c r="K145" s="49">
        <f t="shared" si="5"/>
        <v>0.4344537815</v>
      </c>
      <c r="L145" s="49">
        <f t="shared" si="6"/>
        <v>0.4915966387</v>
      </c>
      <c r="M145" s="49">
        <f t="shared" si="7"/>
        <v>0.07394957983</v>
      </c>
      <c r="N145" s="32" t="str">
        <f t="shared" si="8"/>
        <v>Mal. Lott</v>
      </c>
      <c r="O145" s="50" t="s">
        <v>77</v>
      </c>
      <c r="P145" s="38">
        <v>604.0</v>
      </c>
      <c r="Q145" s="38">
        <v>334.0</v>
      </c>
      <c r="R145" s="38">
        <v>133.0</v>
      </c>
      <c r="S145" s="38">
        <v>224.0</v>
      </c>
      <c r="T145" s="38">
        <v>50.0</v>
      </c>
      <c r="U145" s="48">
        <f t="shared" si="9"/>
        <v>1071</v>
      </c>
      <c r="V145" s="48">
        <f t="shared" si="10"/>
        <v>1345</v>
      </c>
      <c r="W145" s="49">
        <f t="shared" si="11"/>
        <v>0.5639589169</v>
      </c>
      <c r="X145" s="49">
        <f t="shared" si="12"/>
        <v>0.3118580766</v>
      </c>
      <c r="Y145" s="49">
        <f t="shared" si="13"/>
        <v>0.1241830065</v>
      </c>
      <c r="Z145" s="32" t="str">
        <f t="shared" si="14"/>
        <v>Jango</v>
      </c>
      <c r="AA145" s="50" t="s">
        <v>77</v>
      </c>
      <c r="AB145" s="38">
        <v>2045.0</v>
      </c>
      <c r="AC145" s="48">
        <f t="shared" si="15"/>
        <v>700</v>
      </c>
      <c r="AD145" s="51">
        <f t="shared" si="16"/>
        <v>0.6577017115</v>
      </c>
    </row>
    <row r="146">
      <c r="A146" s="23"/>
      <c r="B146" s="46" t="s">
        <v>1437</v>
      </c>
      <c r="C146" s="47"/>
      <c r="D146" s="38">
        <v>156.0</v>
      </c>
      <c r="E146" s="38">
        <v>213.0</v>
      </c>
      <c r="F146" s="38">
        <v>55.0</v>
      </c>
      <c r="G146" s="38">
        <v>31.0</v>
      </c>
      <c r="H146" s="38">
        <v>29.0</v>
      </c>
      <c r="I146" s="48">
        <f t="shared" si="3"/>
        <v>424</v>
      </c>
      <c r="J146" s="48">
        <f t="shared" si="4"/>
        <v>484</v>
      </c>
      <c r="K146" s="49">
        <f t="shared" si="5"/>
        <v>0.3679245283</v>
      </c>
      <c r="L146" s="49">
        <f t="shared" si="6"/>
        <v>0.5023584906</v>
      </c>
      <c r="M146" s="49">
        <f t="shared" si="7"/>
        <v>0.1297169811</v>
      </c>
      <c r="N146" s="32" t="str">
        <f t="shared" si="8"/>
        <v>Mal. Lott</v>
      </c>
      <c r="O146" s="50" t="s">
        <v>77</v>
      </c>
      <c r="P146" s="38">
        <v>236.0</v>
      </c>
      <c r="Q146" s="38">
        <v>106.0</v>
      </c>
      <c r="R146" s="38">
        <v>39.0</v>
      </c>
      <c r="S146" s="38">
        <v>82.0</v>
      </c>
      <c r="T146" s="38">
        <v>21.0</v>
      </c>
      <c r="U146" s="48">
        <f t="shared" si="9"/>
        <v>381</v>
      </c>
      <c r="V146" s="48">
        <f t="shared" si="10"/>
        <v>484</v>
      </c>
      <c r="W146" s="49">
        <f t="shared" si="11"/>
        <v>0.6194225722</v>
      </c>
      <c r="X146" s="49">
        <f t="shared" si="12"/>
        <v>0.2782152231</v>
      </c>
      <c r="Y146" s="49">
        <f t="shared" si="13"/>
        <v>0.1023622047</v>
      </c>
      <c r="Z146" s="32" t="str">
        <f t="shared" si="14"/>
        <v>Jango</v>
      </c>
      <c r="AA146" s="50" t="s">
        <v>77</v>
      </c>
      <c r="AB146" s="38">
        <v>583.0</v>
      </c>
      <c r="AC146" s="48">
        <f t="shared" si="15"/>
        <v>99</v>
      </c>
      <c r="AD146" s="51">
        <f t="shared" si="16"/>
        <v>0.8301886792</v>
      </c>
    </row>
    <row r="147">
      <c r="A147" s="23"/>
      <c r="B147" s="46" t="s">
        <v>1438</v>
      </c>
      <c r="C147" s="47"/>
      <c r="D147" s="38">
        <v>139.0</v>
      </c>
      <c r="E147" s="38">
        <v>198.0</v>
      </c>
      <c r="F147" s="38">
        <v>54.0</v>
      </c>
      <c r="G147" s="38">
        <v>74.0</v>
      </c>
      <c r="H147" s="38">
        <v>51.0</v>
      </c>
      <c r="I147" s="48">
        <f t="shared" si="3"/>
        <v>391</v>
      </c>
      <c r="J147" s="48">
        <f t="shared" si="4"/>
        <v>516</v>
      </c>
      <c r="K147" s="49">
        <f t="shared" si="5"/>
        <v>0.3554987212</v>
      </c>
      <c r="L147" s="49">
        <f t="shared" si="6"/>
        <v>0.5063938619</v>
      </c>
      <c r="M147" s="49">
        <f t="shared" si="7"/>
        <v>0.1381074169</v>
      </c>
      <c r="N147" s="32" t="str">
        <f t="shared" si="8"/>
        <v>Mal. Lott</v>
      </c>
      <c r="O147" s="50" t="s">
        <v>77</v>
      </c>
      <c r="P147" s="38">
        <v>198.0</v>
      </c>
      <c r="Q147" s="38">
        <v>70.0</v>
      </c>
      <c r="R147" s="38">
        <v>40.0</v>
      </c>
      <c r="S147" s="38">
        <v>174.0</v>
      </c>
      <c r="T147" s="38">
        <v>34.0</v>
      </c>
      <c r="U147" s="48">
        <f t="shared" si="9"/>
        <v>308</v>
      </c>
      <c r="V147" s="48">
        <f t="shared" si="10"/>
        <v>516</v>
      </c>
      <c r="W147" s="49">
        <f t="shared" si="11"/>
        <v>0.6428571429</v>
      </c>
      <c r="X147" s="49">
        <f t="shared" si="12"/>
        <v>0.2272727273</v>
      </c>
      <c r="Y147" s="49">
        <f t="shared" si="13"/>
        <v>0.1298701299</v>
      </c>
      <c r="Z147" s="32" t="str">
        <f t="shared" si="14"/>
        <v>Jango</v>
      </c>
      <c r="AA147" s="50" t="s">
        <v>77</v>
      </c>
      <c r="AB147" s="38">
        <v>750.0</v>
      </c>
      <c r="AC147" s="48">
        <f t="shared" si="15"/>
        <v>234</v>
      </c>
      <c r="AD147" s="51">
        <f t="shared" si="16"/>
        <v>0.688</v>
      </c>
    </row>
    <row r="148">
      <c r="A148" s="24"/>
      <c r="B148" s="46" t="s">
        <v>1439</v>
      </c>
      <c r="C148" s="47"/>
      <c r="D148" s="38">
        <v>187.0</v>
      </c>
      <c r="E148" s="38">
        <v>214.0</v>
      </c>
      <c r="F148" s="38">
        <v>35.0</v>
      </c>
      <c r="G148" s="38">
        <v>24.0</v>
      </c>
      <c r="H148" s="38">
        <v>26.0</v>
      </c>
      <c r="I148" s="48">
        <f t="shared" si="3"/>
        <v>436</v>
      </c>
      <c r="J148" s="48">
        <f t="shared" si="4"/>
        <v>486</v>
      </c>
      <c r="K148" s="49">
        <f t="shared" si="5"/>
        <v>0.4288990826</v>
      </c>
      <c r="L148" s="49">
        <f t="shared" si="6"/>
        <v>0.4908256881</v>
      </c>
      <c r="M148" s="49">
        <f t="shared" si="7"/>
        <v>0.08027522936</v>
      </c>
      <c r="N148" s="32" t="str">
        <f t="shared" si="8"/>
        <v>Mal. Lott</v>
      </c>
      <c r="O148" s="50" t="s">
        <v>77</v>
      </c>
      <c r="P148" s="38">
        <v>254.0</v>
      </c>
      <c r="Q148" s="38">
        <v>120.0</v>
      </c>
      <c r="R148" s="38">
        <v>41.0</v>
      </c>
      <c r="S148" s="38">
        <v>50.0</v>
      </c>
      <c r="T148" s="38">
        <v>21.0</v>
      </c>
      <c r="U148" s="48">
        <f t="shared" si="9"/>
        <v>415</v>
      </c>
      <c r="V148" s="48">
        <f t="shared" si="10"/>
        <v>486</v>
      </c>
      <c r="W148" s="49">
        <f t="shared" si="11"/>
        <v>0.6120481928</v>
      </c>
      <c r="X148" s="49">
        <f t="shared" si="12"/>
        <v>0.2891566265</v>
      </c>
      <c r="Y148" s="49">
        <f t="shared" si="13"/>
        <v>0.09879518072</v>
      </c>
      <c r="Z148" s="32" t="str">
        <f t="shared" si="14"/>
        <v>Jango</v>
      </c>
      <c r="AA148" s="50" t="s">
        <v>77</v>
      </c>
      <c r="AB148" s="38">
        <v>574.0</v>
      </c>
      <c r="AC148" s="48">
        <f t="shared" si="15"/>
        <v>88</v>
      </c>
      <c r="AD148" s="51">
        <f t="shared" si="16"/>
        <v>0.8466898955</v>
      </c>
    </row>
    <row r="149">
      <c r="A149" s="61" t="s">
        <v>514</v>
      </c>
      <c r="B149" s="46" t="s">
        <v>1440</v>
      </c>
      <c r="C149" s="47"/>
      <c r="D149" s="38">
        <v>417.0</v>
      </c>
      <c r="E149" s="38">
        <v>276.0</v>
      </c>
      <c r="F149" s="38">
        <v>46.0</v>
      </c>
      <c r="G149" s="38">
        <v>46.0</v>
      </c>
      <c r="H149" s="38">
        <v>65.0</v>
      </c>
      <c r="I149" s="48">
        <f t="shared" si="3"/>
        <v>739</v>
      </c>
      <c r="J149" s="48">
        <f t="shared" si="4"/>
        <v>850</v>
      </c>
      <c r="K149" s="49">
        <f t="shared" si="5"/>
        <v>0.5642760487</v>
      </c>
      <c r="L149" s="49">
        <f t="shared" si="6"/>
        <v>0.3734776725</v>
      </c>
      <c r="M149" s="49">
        <f t="shared" si="7"/>
        <v>0.06224627876</v>
      </c>
      <c r="N149" s="32" t="str">
        <f t="shared" si="8"/>
        <v>Jânio</v>
      </c>
      <c r="O149" s="50" t="s">
        <v>77</v>
      </c>
      <c r="P149" s="38">
        <v>286.0</v>
      </c>
      <c r="Q149" s="38">
        <v>324.0</v>
      </c>
      <c r="R149" s="38">
        <v>69.0</v>
      </c>
      <c r="S149" s="38">
        <v>108.0</v>
      </c>
      <c r="T149" s="38">
        <v>63.0</v>
      </c>
      <c r="U149" s="48">
        <f t="shared" si="9"/>
        <v>679</v>
      </c>
      <c r="V149" s="48">
        <f t="shared" si="10"/>
        <v>850</v>
      </c>
      <c r="W149" s="49">
        <f t="shared" si="11"/>
        <v>0.4212076583</v>
      </c>
      <c r="X149" s="49">
        <f t="shared" si="12"/>
        <v>0.4771723122</v>
      </c>
      <c r="Y149" s="49">
        <f t="shared" si="13"/>
        <v>0.1016200295</v>
      </c>
      <c r="Z149" s="32" t="str">
        <f t="shared" si="14"/>
        <v>Milton</v>
      </c>
      <c r="AA149" s="50" t="s">
        <v>77</v>
      </c>
      <c r="AB149" s="38">
        <v>969.0</v>
      </c>
      <c r="AC149" s="48">
        <f t="shared" si="15"/>
        <v>119</v>
      </c>
      <c r="AD149" s="51">
        <f t="shared" si="16"/>
        <v>0.8771929825</v>
      </c>
    </row>
    <row r="150">
      <c r="A150" s="24"/>
      <c r="B150" s="46" t="s">
        <v>1441</v>
      </c>
      <c r="C150" s="47"/>
      <c r="D150" s="38">
        <v>169.0</v>
      </c>
      <c r="E150" s="38">
        <v>178.0</v>
      </c>
      <c r="F150" s="38">
        <v>17.0</v>
      </c>
      <c r="G150" s="38">
        <v>13.0</v>
      </c>
      <c r="H150" s="38">
        <v>17.0</v>
      </c>
      <c r="I150" s="48">
        <f t="shared" si="3"/>
        <v>364</v>
      </c>
      <c r="J150" s="48">
        <f t="shared" si="4"/>
        <v>394</v>
      </c>
      <c r="K150" s="49">
        <f t="shared" si="5"/>
        <v>0.4642857143</v>
      </c>
      <c r="L150" s="49">
        <f t="shared" si="6"/>
        <v>0.489010989</v>
      </c>
      <c r="M150" s="49">
        <f t="shared" si="7"/>
        <v>0.0467032967</v>
      </c>
      <c r="N150" s="32" t="str">
        <f t="shared" si="8"/>
        <v>Mal. Lott</v>
      </c>
      <c r="O150" s="50" t="s">
        <v>77</v>
      </c>
      <c r="P150" s="38">
        <v>179.0</v>
      </c>
      <c r="Q150" s="38">
        <v>152.0</v>
      </c>
      <c r="R150" s="38">
        <v>17.0</v>
      </c>
      <c r="S150" s="38">
        <v>41.0</v>
      </c>
      <c r="T150" s="38">
        <v>5.0</v>
      </c>
      <c r="U150" s="48">
        <f t="shared" si="9"/>
        <v>348</v>
      </c>
      <c r="V150" s="48">
        <f t="shared" si="10"/>
        <v>394</v>
      </c>
      <c r="W150" s="49">
        <f t="shared" si="11"/>
        <v>0.5143678161</v>
      </c>
      <c r="X150" s="49">
        <f t="shared" si="12"/>
        <v>0.4367816092</v>
      </c>
      <c r="Y150" s="49">
        <f t="shared" si="13"/>
        <v>0.04885057471</v>
      </c>
      <c r="Z150" s="32" t="str">
        <f t="shared" si="14"/>
        <v>Jango</v>
      </c>
      <c r="AA150" s="50" t="s">
        <v>77</v>
      </c>
      <c r="AB150" s="38">
        <v>462.0</v>
      </c>
      <c r="AC150" s="48">
        <f t="shared" si="15"/>
        <v>68</v>
      </c>
      <c r="AD150" s="51">
        <f t="shared" si="16"/>
        <v>0.8528138528</v>
      </c>
    </row>
    <row r="151">
      <c r="A151" s="61" t="s">
        <v>516</v>
      </c>
      <c r="B151" s="46" t="s">
        <v>1442</v>
      </c>
      <c r="C151" s="47"/>
      <c r="D151" s="38">
        <v>945.0</v>
      </c>
      <c r="E151" s="38">
        <v>802.0</v>
      </c>
      <c r="F151" s="38">
        <v>162.0</v>
      </c>
      <c r="G151" s="38">
        <v>192.0</v>
      </c>
      <c r="H151" s="38">
        <v>176.0</v>
      </c>
      <c r="I151" s="48">
        <f t="shared" si="3"/>
        <v>1909</v>
      </c>
      <c r="J151" s="48">
        <f t="shared" si="4"/>
        <v>2277</v>
      </c>
      <c r="K151" s="49">
        <f t="shared" si="5"/>
        <v>0.4950235726</v>
      </c>
      <c r="L151" s="49">
        <f t="shared" si="6"/>
        <v>0.4201152436</v>
      </c>
      <c r="M151" s="49">
        <f t="shared" si="7"/>
        <v>0.08486118387</v>
      </c>
      <c r="N151" s="32" t="str">
        <f t="shared" si="8"/>
        <v>Jânio</v>
      </c>
      <c r="O151" s="50" t="s">
        <v>77</v>
      </c>
      <c r="P151" s="38">
        <v>856.0</v>
      </c>
      <c r="Q151" s="38">
        <v>760.0</v>
      </c>
      <c r="R151" s="38">
        <v>188.0</v>
      </c>
      <c r="S151" s="38">
        <v>374.0</v>
      </c>
      <c r="T151" s="38">
        <v>99.0</v>
      </c>
      <c r="U151" s="48">
        <f t="shared" si="9"/>
        <v>1804</v>
      </c>
      <c r="V151" s="48">
        <f t="shared" si="10"/>
        <v>2277</v>
      </c>
      <c r="W151" s="49">
        <f t="shared" si="11"/>
        <v>0.4745011086</v>
      </c>
      <c r="X151" s="49">
        <f t="shared" si="12"/>
        <v>0.421286031</v>
      </c>
      <c r="Y151" s="49">
        <f t="shared" si="13"/>
        <v>0.1042128603</v>
      </c>
      <c r="Z151" s="32" t="str">
        <f t="shared" si="14"/>
        <v>Jango</v>
      </c>
      <c r="AA151" s="50" t="s">
        <v>77</v>
      </c>
      <c r="AB151" s="38">
        <v>2715.0</v>
      </c>
      <c r="AC151" s="48">
        <f t="shared" si="15"/>
        <v>438</v>
      </c>
      <c r="AD151" s="51">
        <f t="shared" si="16"/>
        <v>0.8386740331</v>
      </c>
    </row>
    <row r="152">
      <c r="A152" s="24"/>
      <c r="B152" s="46" t="s">
        <v>1443</v>
      </c>
      <c r="C152" s="47"/>
      <c r="D152" s="38">
        <v>496.0</v>
      </c>
      <c r="E152" s="38">
        <v>218.0</v>
      </c>
      <c r="F152" s="38">
        <v>101.0</v>
      </c>
      <c r="G152" s="38">
        <v>79.0</v>
      </c>
      <c r="H152" s="38">
        <v>71.0</v>
      </c>
      <c r="I152" s="48">
        <f t="shared" si="3"/>
        <v>815</v>
      </c>
      <c r="J152" s="48">
        <f t="shared" si="4"/>
        <v>965</v>
      </c>
      <c r="K152" s="49">
        <f t="shared" si="5"/>
        <v>0.6085889571</v>
      </c>
      <c r="L152" s="49">
        <f t="shared" si="6"/>
        <v>0.2674846626</v>
      </c>
      <c r="M152" s="49">
        <f t="shared" si="7"/>
        <v>0.1239263804</v>
      </c>
      <c r="N152" s="32" t="str">
        <f t="shared" si="8"/>
        <v>Jânio</v>
      </c>
      <c r="O152" s="50" t="s">
        <v>77</v>
      </c>
      <c r="P152" s="38">
        <v>270.0</v>
      </c>
      <c r="Q152" s="38">
        <v>350.0</v>
      </c>
      <c r="R152" s="38">
        <v>135.0</v>
      </c>
      <c r="S152" s="38">
        <v>156.0</v>
      </c>
      <c r="T152" s="38">
        <v>54.0</v>
      </c>
      <c r="U152" s="48">
        <f t="shared" si="9"/>
        <v>755</v>
      </c>
      <c r="V152" s="48">
        <f t="shared" si="10"/>
        <v>965</v>
      </c>
      <c r="W152" s="49">
        <f t="shared" si="11"/>
        <v>0.357615894</v>
      </c>
      <c r="X152" s="49">
        <f t="shared" si="12"/>
        <v>0.4635761589</v>
      </c>
      <c r="Y152" s="49">
        <f t="shared" si="13"/>
        <v>0.178807947</v>
      </c>
      <c r="Z152" s="32" t="str">
        <f t="shared" si="14"/>
        <v>Milton</v>
      </c>
      <c r="AA152" s="50" t="s">
        <v>77</v>
      </c>
      <c r="AB152" s="38">
        <v>1151.0</v>
      </c>
      <c r="AC152" s="48">
        <f t="shared" si="15"/>
        <v>186</v>
      </c>
      <c r="AD152" s="51">
        <f t="shared" si="16"/>
        <v>0.8384013901</v>
      </c>
    </row>
    <row r="153">
      <c r="A153" s="110" t="s">
        <v>518</v>
      </c>
      <c r="B153" s="46" t="s">
        <v>1444</v>
      </c>
      <c r="C153" s="47"/>
      <c r="D153" s="38">
        <v>747.0</v>
      </c>
      <c r="E153" s="38">
        <v>853.0</v>
      </c>
      <c r="F153" s="38">
        <v>134.0</v>
      </c>
      <c r="G153" s="38">
        <v>147.0</v>
      </c>
      <c r="H153" s="38">
        <v>107.0</v>
      </c>
      <c r="I153" s="48">
        <f t="shared" si="3"/>
        <v>1734</v>
      </c>
      <c r="J153" s="48">
        <f t="shared" si="4"/>
        <v>1988</v>
      </c>
      <c r="K153" s="49">
        <f t="shared" si="5"/>
        <v>0.4307958478</v>
      </c>
      <c r="L153" s="49">
        <f t="shared" si="6"/>
        <v>0.4919261822</v>
      </c>
      <c r="M153" s="49">
        <f t="shared" si="7"/>
        <v>0.07727797001</v>
      </c>
      <c r="N153" s="32" t="str">
        <f t="shared" si="8"/>
        <v>Mal. Lott</v>
      </c>
      <c r="O153" s="50" t="s">
        <v>77</v>
      </c>
      <c r="P153" s="38">
        <v>888.0</v>
      </c>
      <c r="Q153" s="38">
        <v>615.0</v>
      </c>
      <c r="R153" s="38">
        <v>119.0</v>
      </c>
      <c r="S153" s="38">
        <v>300.0</v>
      </c>
      <c r="T153" s="38">
        <v>66.0</v>
      </c>
      <c r="U153" s="48">
        <f t="shared" si="9"/>
        <v>1622</v>
      </c>
      <c r="V153" s="48">
        <f t="shared" si="10"/>
        <v>1988</v>
      </c>
      <c r="W153" s="49">
        <f t="shared" si="11"/>
        <v>0.5474722565</v>
      </c>
      <c r="X153" s="49">
        <f t="shared" si="12"/>
        <v>0.379161529</v>
      </c>
      <c r="Y153" s="49">
        <f t="shared" si="13"/>
        <v>0.07336621455</v>
      </c>
      <c r="Z153" s="32" t="str">
        <f t="shared" si="14"/>
        <v>Jango</v>
      </c>
      <c r="AA153" s="50" t="s">
        <v>77</v>
      </c>
      <c r="AB153" s="38">
        <v>3401.0</v>
      </c>
      <c r="AC153" s="48">
        <f t="shared" si="15"/>
        <v>1413</v>
      </c>
      <c r="AD153" s="51">
        <f t="shared" si="16"/>
        <v>0.5845339606</v>
      </c>
    </row>
    <row r="154">
      <c r="A154" s="61" t="s">
        <v>522</v>
      </c>
      <c r="B154" s="46" t="s">
        <v>1445</v>
      </c>
      <c r="C154" s="47"/>
      <c r="D154" s="38">
        <v>318.0</v>
      </c>
      <c r="E154" s="38">
        <v>409.0</v>
      </c>
      <c r="F154" s="38">
        <v>133.0</v>
      </c>
      <c r="G154" s="38">
        <v>52.0</v>
      </c>
      <c r="H154" s="38">
        <v>75.0</v>
      </c>
      <c r="I154" s="48">
        <f t="shared" si="3"/>
        <v>860</v>
      </c>
      <c r="J154" s="48">
        <f t="shared" si="4"/>
        <v>987</v>
      </c>
      <c r="K154" s="49">
        <f t="shared" si="5"/>
        <v>0.3697674419</v>
      </c>
      <c r="L154" s="49">
        <f t="shared" si="6"/>
        <v>0.4755813953</v>
      </c>
      <c r="M154" s="49">
        <f t="shared" si="7"/>
        <v>0.1546511628</v>
      </c>
      <c r="N154" s="32" t="str">
        <f t="shared" si="8"/>
        <v>Mal. Lott</v>
      </c>
      <c r="O154" s="50" t="s">
        <v>77</v>
      </c>
      <c r="P154" s="38">
        <v>450.0</v>
      </c>
      <c r="Q154" s="38">
        <v>257.0</v>
      </c>
      <c r="R154" s="38">
        <v>80.0</v>
      </c>
      <c r="S154" s="38">
        <v>134.0</v>
      </c>
      <c r="T154" s="38">
        <v>66.0</v>
      </c>
      <c r="U154" s="48">
        <f t="shared" si="9"/>
        <v>787</v>
      </c>
      <c r="V154" s="48">
        <f t="shared" si="10"/>
        <v>987</v>
      </c>
      <c r="W154" s="49">
        <f t="shared" si="11"/>
        <v>0.5717916137</v>
      </c>
      <c r="X154" s="49">
        <f t="shared" si="12"/>
        <v>0.3265565438</v>
      </c>
      <c r="Y154" s="49">
        <f t="shared" si="13"/>
        <v>0.1016518424</v>
      </c>
      <c r="Z154" s="32" t="str">
        <f t="shared" si="14"/>
        <v>Jango</v>
      </c>
      <c r="AA154" s="50" t="s">
        <v>77</v>
      </c>
      <c r="AB154" s="38">
        <v>1150.0</v>
      </c>
      <c r="AC154" s="48">
        <f t="shared" si="15"/>
        <v>163</v>
      </c>
      <c r="AD154" s="51">
        <f t="shared" si="16"/>
        <v>0.8582608696</v>
      </c>
    </row>
    <row r="155">
      <c r="A155" s="23"/>
      <c r="B155" s="46" t="s">
        <v>1446</v>
      </c>
      <c r="C155" s="47"/>
      <c r="D155" s="38">
        <v>198.0</v>
      </c>
      <c r="E155" s="38">
        <v>181.0</v>
      </c>
      <c r="F155" s="38">
        <v>30.0</v>
      </c>
      <c r="G155" s="38">
        <v>20.0</v>
      </c>
      <c r="H155" s="38">
        <v>17.0</v>
      </c>
      <c r="I155" s="48">
        <f t="shared" si="3"/>
        <v>409</v>
      </c>
      <c r="J155" s="48">
        <f t="shared" si="4"/>
        <v>446</v>
      </c>
      <c r="K155" s="49">
        <f t="shared" si="5"/>
        <v>0.4841075795</v>
      </c>
      <c r="L155" s="49">
        <f t="shared" si="6"/>
        <v>0.4425427873</v>
      </c>
      <c r="M155" s="49">
        <f t="shared" si="7"/>
        <v>0.07334963325</v>
      </c>
      <c r="N155" s="32" t="str">
        <f t="shared" si="8"/>
        <v>Jânio</v>
      </c>
      <c r="O155" s="50" t="s">
        <v>77</v>
      </c>
      <c r="P155" s="38">
        <v>188.0</v>
      </c>
      <c r="Q155" s="38">
        <v>188.0</v>
      </c>
      <c r="R155" s="38">
        <v>23.0</v>
      </c>
      <c r="S155" s="38">
        <v>34.0</v>
      </c>
      <c r="T155" s="38">
        <v>13.0</v>
      </c>
      <c r="U155" s="48">
        <f t="shared" si="9"/>
        <v>399</v>
      </c>
      <c r="V155" s="48">
        <f t="shared" si="10"/>
        <v>446</v>
      </c>
      <c r="W155" s="49">
        <f t="shared" si="11"/>
        <v>0.4711779449</v>
      </c>
      <c r="X155" s="49">
        <f t="shared" si="12"/>
        <v>0.4711779449</v>
      </c>
      <c r="Y155" s="49">
        <f t="shared" si="13"/>
        <v>0.05764411028</v>
      </c>
      <c r="Z155" s="32" t="str">
        <f t="shared" si="14"/>
        <v>Empate</v>
      </c>
      <c r="AA155" s="50" t="s">
        <v>77</v>
      </c>
      <c r="AB155" s="38">
        <v>479.0</v>
      </c>
      <c r="AC155" s="48">
        <f t="shared" si="15"/>
        <v>33</v>
      </c>
      <c r="AD155" s="51">
        <f t="shared" si="16"/>
        <v>0.9311064718</v>
      </c>
    </row>
    <row r="156">
      <c r="A156" s="23"/>
      <c r="B156" s="46" t="s">
        <v>1447</v>
      </c>
      <c r="C156" s="47"/>
      <c r="D156" s="38">
        <v>143.0</v>
      </c>
      <c r="E156" s="38">
        <v>101.0</v>
      </c>
      <c r="F156" s="38">
        <v>23.0</v>
      </c>
      <c r="G156" s="38">
        <v>28.0</v>
      </c>
      <c r="H156" s="38">
        <v>19.0</v>
      </c>
      <c r="I156" s="48">
        <f t="shared" si="3"/>
        <v>267</v>
      </c>
      <c r="J156" s="48">
        <f t="shared" si="4"/>
        <v>314</v>
      </c>
      <c r="K156" s="49">
        <f t="shared" si="5"/>
        <v>0.5355805243</v>
      </c>
      <c r="L156" s="49">
        <f t="shared" si="6"/>
        <v>0.3782771536</v>
      </c>
      <c r="M156" s="49">
        <f t="shared" si="7"/>
        <v>0.0861423221</v>
      </c>
      <c r="N156" s="32" t="str">
        <f t="shared" si="8"/>
        <v>Jânio</v>
      </c>
      <c r="O156" s="50" t="s">
        <v>77</v>
      </c>
      <c r="P156" s="38">
        <v>112.0</v>
      </c>
      <c r="Q156" s="38">
        <v>103.0</v>
      </c>
      <c r="R156" s="38">
        <v>39.0</v>
      </c>
      <c r="S156" s="38">
        <v>45.0</v>
      </c>
      <c r="T156" s="38">
        <v>15.0</v>
      </c>
      <c r="U156" s="48">
        <f t="shared" si="9"/>
        <v>254</v>
      </c>
      <c r="V156" s="48">
        <f t="shared" si="10"/>
        <v>314</v>
      </c>
      <c r="W156" s="49">
        <f t="shared" si="11"/>
        <v>0.4409448819</v>
      </c>
      <c r="X156" s="49">
        <f t="shared" si="12"/>
        <v>0.405511811</v>
      </c>
      <c r="Y156" s="49">
        <f t="shared" si="13"/>
        <v>0.1535433071</v>
      </c>
      <c r="Z156" s="32" t="str">
        <f t="shared" si="14"/>
        <v>Jango</v>
      </c>
      <c r="AA156" s="50" t="s">
        <v>77</v>
      </c>
      <c r="AB156" s="38">
        <v>373.0</v>
      </c>
      <c r="AC156" s="48">
        <f t="shared" si="15"/>
        <v>59</v>
      </c>
      <c r="AD156" s="51">
        <f t="shared" si="16"/>
        <v>0.8418230563</v>
      </c>
    </row>
    <row r="157">
      <c r="A157" s="24"/>
      <c r="B157" s="46" t="s">
        <v>1448</v>
      </c>
      <c r="C157" s="47"/>
      <c r="D157" s="38">
        <v>106.0</v>
      </c>
      <c r="E157" s="38">
        <v>123.0</v>
      </c>
      <c r="F157" s="38">
        <v>13.0</v>
      </c>
      <c r="G157" s="38">
        <v>15.0</v>
      </c>
      <c r="H157" s="38">
        <v>6.0</v>
      </c>
      <c r="I157" s="48">
        <f t="shared" si="3"/>
        <v>242</v>
      </c>
      <c r="J157" s="48">
        <f t="shared" si="4"/>
        <v>263</v>
      </c>
      <c r="K157" s="49">
        <f t="shared" si="5"/>
        <v>0.4380165289</v>
      </c>
      <c r="L157" s="49">
        <f t="shared" si="6"/>
        <v>0.5082644628</v>
      </c>
      <c r="M157" s="49">
        <f t="shared" si="7"/>
        <v>0.05371900826</v>
      </c>
      <c r="N157" s="32" t="str">
        <f t="shared" si="8"/>
        <v>Mal. Lott</v>
      </c>
      <c r="O157" s="50" t="s">
        <v>77</v>
      </c>
      <c r="P157" s="38">
        <v>131.0</v>
      </c>
      <c r="Q157" s="38">
        <v>93.0</v>
      </c>
      <c r="R157" s="38">
        <v>13.0</v>
      </c>
      <c r="S157" s="38">
        <v>20.0</v>
      </c>
      <c r="T157" s="38">
        <v>6.0</v>
      </c>
      <c r="U157" s="48">
        <f t="shared" si="9"/>
        <v>237</v>
      </c>
      <c r="V157" s="48">
        <f t="shared" si="10"/>
        <v>263</v>
      </c>
      <c r="W157" s="49">
        <f t="shared" si="11"/>
        <v>0.552742616</v>
      </c>
      <c r="X157" s="49">
        <f t="shared" si="12"/>
        <v>0.3924050633</v>
      </c>
      <c r="Y157" s="49">
        <f t="shared" si="13"/>
        <v>0.05485232068</v>
      </c>
      <c r="Z157" s="32" t="str">
        <f t="shared" si="14"/>
        <v>Jango</v>
      </c>
      <c r="AA157" s="50" t="s">
        <v>77</v>
      </c>
      <c r="AB157" s="38">
        <v>297.0</v>
      </c>
      <c r="AC157" s="48">
        <f t="shared" si="15"/>
        <v>34</v>
      </c>
      <c r="AD157" s="51">
        <f t="shared" si="16"/>
        <v>0.8855218855</v>
      </c>
    </row>
    <row r="158">
      <c r="A158" s="110" t="s">
        <v>524</v>
      </c>
      <c r="B158" s="46" t="s">
        <v>1449</v>
      </c>
      <c r="C158" s="47"/>
      <c r="D158" s="38">
        <v>593.0</v>
      </c>
      <c r="E158" s="38">
        <v>385.0</v>
      </c>
      <c r="F158" s="38">
        <v>27.0</v>
      </c>
      <c r="G158" s="38">
        <v>69.0</v>
      </c>
      <c r="H158" s="38">
        <v>27.0</v>
      </c>
      <c r="I158" s="48">
        <f t="shared" si="3"/>
        <v>1005</v>
      </c>
      <c r="J158" s="48">
        <f t="shared" si="4"/>
        <v>1101</v>
      </c>
      <c r="K158" s="49">
        <f t="shared" si="5"/>
        <v>0.5900497512</v>
      </c>
      <c r="L158" s="49">
        <f t="shared" si="6"/>
        <v>0.3830845771</v>
      </c>
      <c r="M158" s="49">
        <f t="shared" si="7"/>
        <v>0.02686567164</v>
      </c>
      <c r="N158" s="32" t="str">
        <f t="shared" si="8"/>
        <v>Jânio</v>
      </c>
      <c r="O158" s="50" t="s">
        <v>77</v>
      </c>
      <c r="P158" s="38">
        <v>388.0</v>
      </c>
      <c r="Q158" s="38">
        <v>561.0</v>
      </c>
      <c r="R158" s="38">
        <v>29.0</v>
      </c>
      <c r="S158" s="38">
        <v>105.0</v>
      </c>
      <c r="T158" s="38">
        <v>18.0</v>
      </c>
      <c r="U158" s="48">
        <f t="shared" si="9"/>
        <v>978</v>
      </c>
      <c r="V158" s="48">
        <f t="shared" si="10"/>
        <v>1101</v>
      </c>
      <c r="W158" s="49">
        <f t="shared" si="11"/>
        <v>0.3967280164</v>
      </c>
      <c r="X158" s="49">
        <f t="shared" si="12"/>
        <v>0.5736196319</v>
      </c>
      <c r="Y158" s="49">
        <f t="shared" si="13"/>
        <v>0.02965235174</v>
      </c>
      <c r="Z158" s="32" t="str">
        <f t="shared" si="14"/>
        <v>Milton</v>
      </c>
      <c r="AA158" s="50" t="s">
        <v>77</v>
      </c>
      <c r="AB158" s="38">
        <v>1441.0</v>
      </c>
      <c r="AC158" s="48">
        <f t="shared" si="15"/>
        <v>340</v>
      </c>
      <c r="AD158" s="51">
        <f t="shared" si="16"/>
        <v>0.7640527412</v>
      </c>
    </row>
    <row r="159">
      <c r="A159" s="110" t="s">
        <v>526</v>
      </c>
      <c r="B159" s="46" t="s">
        <v>1450</v>
      </c>
      <c r="C159" s="47"/>
      <c r="D159" s="38">
        <v>679.0</v>
      </c>
      <c r="E159" s="38">
        <v>580.0</v>
      </c>
      <c r="F159" s="38">
        <v>65.0</v>
      </c>
      <c r="G159" s="38">
        <v>76.0</v>
      </c>
      <c r="H159" s="38">
        <v>59.0</v>
      </c>
      <c r="I159" s="48">
        <f t="shared" si="3"/>
        <v>1324</v>
      </c>
      <c r="J159" s="48">
        <f t="shared" si="4"/>
        <v>1459</v>
      </c>
      <c r="K159" s="49">
        <f t="shared" si="5"/>
        <v>0.5128398792</v>
      </c>
      <c r="L159" s="49">
        <f t="shared" si="6"/>
        <v>0.4380664653</v>
      </c>
      <c r="M159" s="49">
        <f t="shared" si="7"/>
        <v>0.04909365559</v>
      </c>
      <c r="N159" s="32" t="str">
        <f t="shared" si="8"/>
        <v>Jânio</v>
      </c>
      <c r="O159" s="50" t="s">
        <v>77</v>
      </c>
      <c r="P159" s="38">
        <v>599.0</v>
      </c>
      <c r="Q159" s="38">
        <v>612.0</v>
      </c>
      <c r="R159" s="38">
        <v>70.0</v>
      </c>
      <c r="S159" s="38">
        <v>140.0</v>
      </c>
      <c r="T159" s="38">
        <v>38.0</v>
      </c>
      <c r="U159" s="48">
        <f t="shared" si="9"/>
        <v>1281</v>
      </c>
      <c r="V159" s="48">
        <f t="shared" si="10"/>
        <v>1459</v>
      </c>
      <c r="W159" s="49">
        <f t="shared" si="11"/>
        <v>0.4676034348</v>
      </c>
      <c r="X159" s="49">
        <f t="shared" si="12"/>
        <v>0.4777517564</v>
      </c>
      <c r="Y159" s="49">
        <f t="shared" si="13"/>
        <v>0.05464480874</v>
      </c>
      <c r="Z159" s="32" t="str">
        <f t="shared" si="14"/>
        <v>Milton</v>
      </c>
      <c r="AA159" s="50" t="s">
        <v>77</v>
      </c>
      <c r="AB159" s="38">
        <v>1606.0</v>
      </c>
      <c r="AC159" s="48">
        <f t="shared" si="15"/>
        <v>147</v>
      </c>
      <c r="AD159" s="51">
        <f t="shared" si="16"/>
        <v>0.9084682441</v>
      </c>
    </row>
    <row r="160">
      <c r="A160" s="61" t="s">
        <v>529</v>
      </c>
      <c r="B160" s="46" t="s">
        <v>1451</v>
      </c>
      <c r="C160" s="47"/>
      <c r="D160" s="38">
        <v>570.0</v>
      </c>
      <c r="E160" s="38">
        <v>689.0</v>
      </c>
      <c r="F160" s="38">
        <v>81.0</v>
      </c>
      <c r="G160" s="38">
        <v>214.0</v>
      </c>
      <c r="H160" s="38">
        <v>59.0</v>
      </c>
      <c r="I160" s="48">
        <f t="shared" si="3"/>
        <v>1340</v>
      </c>
      <c r="J160" s="48">
        <f t="shared" si="4"/>
        <v>1613</v>
      </c>
      <c r="K160" s="49">
        <f t="shared" si="5"/>
        <v>0.4253731343</v>
      </c>
      <c r="L160" s="49">
        <f t="shared" si="6"/>
        <v>0.5141791045</v>
      </c>
      <c r="M160" s="49">
        <f t="shared" si="7"/>
        <v>0.06044776119</v>
      </c>
      <c r="N160" s="32" t="str">
        <f t="shared" si="8"/>
        <v>Mal. Lott</v>
      </c>
      <c r="O160" s="50" t="s">
        <v>77</v>
      </c>
      <c r="P160" s="38">
        <v>668.0</v>
      </c>
      <c r="Q160" s="38">
        <v>423.0</v>
      </c>
      <c r="R160" s="38">
        <v>133.0</v>
      </c>
      <c r="S160" s="38">
        <v>334.0</v>
      </c>
      <c r="T160" s="38">
        <v>55.0</v>
      </c>
      <c r="U160" s="48">
        <f t="shared" si="9"/>
        <v>1224</v>
      </c>
      <c r="V160" s="48">
        <f t="shared" si="10"/>
        <v>1613</v>
      </c>
      <c r="W160" s="49">
        <f t="shared" si="11"/>
        <v>0.545751634</v>
      </c>
      <c r="X160" s="49">
        <f t="shared" si="12"/>
        <v>0.3455882353</v>
      </c>
      <c r="Y160" s="49">
        <f t="shared" si="13"/>
        <v>0.1086601307</v>
      </c>
      <c r="Z160" s="32" t="str">
        <f t="shared" si="14"/>
        <v>Jango</v>
      </c>
      <c r="AA160" s="50" t="s">
        <v>77</v>
      </c>
      <c r="AB160" s="38">
        <v>1927.0</v>
      </c>
      <c r="AC160" s="48">
        <f t="shared" si="15"/>
        <v>314</v>
      </c>
      <c r="AD160" s="51">
        <f t="shared" si="16"/>
        <v>0.8370524131</v>
      </c>
    </row>
    <row r="161">
      <c r="A161" s="24"/>
      <c r="B161" s="46" t="s">
        <v>1452</v>
      </c>
      <c r="C161" s="47"/>
      <c r="D161" s="38">
        <v>221.0</v>
      </c>
      <c r="E161" s="38">
        <v>192.0</v>
      </c>
      <c r="F161" s="38">
        <v>27.0</v>
      </c>
      <c r="G161" s="38">
        <v>32.0</v>
      </c>
      <c r="H161" s="38">
        <v>9.0</v>
      </c>
      <c r="I161" s="48">
        <f t="shared" si="3"/>
        <v>440</v>
      </c>
      <c r="J161" s="48">
        <f t="shared" si="4"/>
        <v>481</v>
      </c>
      <c r="K161" s="49">
        <f t="shared" si="5"/>
        <v>0.5022727273</v>
      </c>
      <c r="L161" s="49">
        <f t="shared" si="6"/>
        <v>0.4363636364</v>
      </c>
      <c r="M161" s="49">
        <f t="shared" si="7"/>
        <v>0.06136363636</v>
      </c>
      <c r="N161" s="32" t="str">
        <f t="shared" si="8"/>
        <v>Jânio</v>
      </c>
      <c r="O161" s="50" t="s">
        <v>77</v>
      </c>
      <c r="P161" s="38">
        <v>209.0</v>
      </c>
      <c r="Q161" s="38">
        <v>183.0</v>
      </c>
      <c r="R161" s="38">
        <v>29.0</v>
      </c>
      <c r="S161" s="38">
        <v>52.0</v>
      </c>
      <c r="T161" s="38">
        <v>8.0</v>
      </c>
      <c r="U161" s="48">
        <f t="shared" si="9"/>
        <v>421</v>
      </c>
      <c r="V161" s="48">
        <f t="shared" si="10"/>
        <v>481</v>
      </c>
      <c r="W161" s="49">
        <f t="shared" si="11"/>
        <v>0.4964370546</v>
      </c>
      <c r="X161" s="49">
        <f t="shared" si="12"/>
        <v>0.4346793349</v>
      </c>
      <c r="Y161" s="49">
        <f t="shared" si="13"/>
        <v>0.06888361045</v>
      </c>
      <c r="Z161" s="32" t="str">
        <f t="shared" si="14"/>
        <v>Jango</v>
      </c>
      <c r="AA161" s="50" t="s">
        <v>77</v>
      </c>
      <c r="AB161" s="38">
        <v>521.0</v>
      </c>
      <c r="AC161" s="48">
        <f t="shared" si="15"/>
        <v>40</v>
      </c>
      <c r="AD161" s="51">
        <f t="shared" si="16"/>
        <v>0.9232245681</v>
      </c>
    </row>
    <row r="162">
      <c r="A162" s="110" t="s">
        <v>531</v>
      </c>
      <c r="B162" s="46" t="s">
        <v>1453</v>
      </c>
      <c r="C162" s="47"/>
      <c r="D162" s="38">
        <v>844.0</v>
      </c>
      <c r="E162" s="38">
        <v>717.0</v>
      </c>
      <c r="F162" s="38">
        <v>99.0</v>
      </c>
      <c r="G162" s="38">
        <v>171.0</v>
      </c>
      <c r="H162" s="38">
        <v>119.0</v>
      </c>
      <c r="I162" s="48">
        <f t="shared" si="3"/>
        <v>1660</v>
      </c>
      <c r="J162" s="48">
        <f t="shared" si="4"/>
        <v>1950</v>
      </c>
      <c r="K162" s="49">
        <f t="shared" si="5"/>
        <v>0.5084337349</v>
      </c>
      <c r="L162" s="49">
        <f t="shared" si="6"/>
        <v>0.4319277108</v>
      </c>
      <c r="M162" s="49">
        <f t="shared" si="7"/>
        <v>0.05963855422</v>
      </c>
      <c r="N162" s="32" t="str">
        <f t="shared" si="8"/>
        <v>Jânio</v>
      </c>
      <c r="O162" s="50" t="s">
        <v>77</v>
      </c>
      <c r="P162" s="38">
        <v>724.0</v>
      </c>
      <c r="Q162" s="38">
        <v>691.0</v>
      </c>
      <c r="R162" s="38">
        <v>138.0</v>
      </c>
      <c r="S162" s="38">
        <v>328.0</v>
      </c>
      <c r="T162" s="38">
        <v>69.0</v>
      </c>
      <c r="U162" s="48">
        <f t="shared" si="9"/>
        <v>1553</v>
      </c>
      <c r="V162" s="48">
        <f t="shared" si="10"/>
        <v>1950</v>
      </c>
      <c r="W162" s="49">
        <f t="shared" si="11"/>
        <v>0.4661944623</v>
      </c>
      <c r="X162" s="49">
        <f t="shared" si="12"/>
        <v>0.4449452672</v>
      </c>
      <c r="Y162" s="49">
        <f t="shared" si="13"/>
        <v>0.08886027044</v>
      </c>
      <c r="Z162" s="32" t="str">
        <f t="shared" si="14"/>
        <v>Jango</v>
      </c>
      <c r="AA162" s="50" t="s">
        <v>77</v>
      </c>
      <c r="AB162" s="38">
        <v>2479.0</v>
      </c>
      <c r="AC162" s="48">
        <f t="shared" si="15"/>
        <v>529</v>
      </c>
      <c r="AD162" s="51">
        <f t="shared" si="16"/>
        <v>0.786607503</v>
      </c>
    </row>
    <row r="163">
      <c r="A163" s="110" t="s">
        <v>533</v>
      </c>
      <c r="B163" s="46" t="s">
        <v>1454</v>
      </c>
      <c r="C163" s="47"/>
      <c r="D163" s="38">
        <v>451.0</v>
      </c>
      <c r="E163" s="38">
        <v>377.0</v>
      </c>
      <c r="F163" s="38">
        <v>71.0</v>
      </c>
      <c r="G163" s="38">
        <v>138.0</v>
      </c>
      <c r="H163" s="38">
        <v>46.0</v>
      </c>
      <c r="I163" s="48">
        <f t="shared" si="3"/>
        <v>899</v>
      </c>
      <c r="J163" s="48">
        <f t="shared" si="4"/>
        <v>1083</v>
      </c>
      <c r="K163" s="49">
        <f t="shared" si="5"/>
        <v>0.5016685206</v>
      </c>
      <c r="L163" s="49">
        <f t="shared" si="6"/>
        <v>0.4193548387</v>
      </c>
      <c r="M163" s="49">
        <f t="shared" si="7"/>
        <v>0.07897664071</v>
      </c>
      <c r="N163" s="32" t="str">
        <f t="shared" si="8"/>
        <v>Jânio</v>
      </c>
      <c r="O163" s="50" t="s">
        <v>77</v>
      </c>
      <c r="P163" s="38">
        <v>416.0</v>
      </c>
      <c r="Q163" s="38">
        <v>278.0</v>
      </c>
      <c r="R163" s="38">
        <v>79.0</v>
      </c>
      <c r="S163" s="38">
        <v>283.0</v>
      </c>
      <c r="T163" s="38">
        <v>27.0</v>
      </c>
      <c r="U163" s="48">
        <f t="shared" si="9"/>
        <v>773</v>
      </c>
      <c r="V163" s="48">
        <f t="shared" si="10"/>
        <v>1083</v>
      </c>
      <c r="W163" s="49">
        <f t="shared" si="11"/>
        <v>0.5381630013</v>
      </c>
      <c r="X163" s="49">
        <f t="shared" si="12"/>
        <v>0.3596377749</v>
      </c>
      <c r="Y163" s="49">
        <f t="shared" si="13"/>
        <v>0.1021992238</v>
      </c>
      <c r="Z163" s="32" t="str">
        <f t="shared" si="14"/>
        <v>Jango</v>
      </c>
      <c r="AA163" s="50" t="s">
        <v>77</v>
      </c>
      <c r="AB163" s="38">
        <v>1407.0</v>
      </c>
      <c r="AC163" s="48">
        <f t="shared" si="15"/>
        <v>324</v>
      </c>
      <c r="AD163" s="51">
        <f t="shared" si="16"/>
        <v>0.7697228145</v>
      </c>
    </row>
    <row r="164">
      <c r="A164" s="61" t="s">
        <v>537</v>
      </c>
      <c r="B164" s="46" t="s">
        <v>1455</v>
      </c>
      <c r="C164" s="47"/>
      <c r="D164" s="38">
        <v>821.0</v>
      </c>
      <c r="E164" s="38">
        <v>492.0</v>
      </c>
      <c r="F164" s="38">
        <v>97.0</v>
      </c>
      <c r="G164" s="38">
        <v>111.0</v>
      </c>
      <c r="H164" s="38">
        <v>217.0</v>
      </c>
      <c r="I164" s="48">
        <f t="shared" si="3"/>
        <v>1410</v>
      </c>
      <c r="J164" s="48">
        <f t="shared" si="4"/>
        <v>1738</v>
      </c>
      <c r="K164" s="49">
        <f t="shared" si="5"/>
        <v>0.5822695035</v>
      </c>
      <c r="L164" s="49">
        <f t="shared" si="6"/>
        <v>0.3489361702</v>
      </c>
      <c r="M164" s="49">
        <f t="shared" si="7"/>
        <v>0.06879432624</v>
      </c>
      <c r="N164" s="32" t="str">
        <f t="shared" si="8"/>
        <v>Jânio</v>
      </c>
      <c r="O164" s="50" t="s">
        <v>77</v>
      </c>
      <c r="P164" s="38">
        <v>505.0</v>
      </c>
      <c r="Q164" s="38">
        <v>690.0</v>
      </c>
      <c r="R164" s="38">
        <v>88.0</v>
      </c>
      <c r="S164" s="38">
        <v>260.0</v>
      </c>
      <c r="T164" s="38">
        <v>195.0</v>
      </c>
      <c r="U164" s="48">
        <f t="shared" si="9"/>
        <v>1283</v>
      </c>
      <c r="V164" s="48">
        <f t="shared" si="10"/>
        <v>1738</v>
      </c>
      <c r="W164" s="49">
        <f t="shared" si="11"/>
        <v>0.3936087295</v>
      </c>
      <c r="X164" s="49">
        <f t="shared" si="12"/>
        <v>0.5378020265</v>
      </c>
      <c r="Y164" s="49">
        <f t="shared" si="13"/>
        <v>0.06858924396</v>
      </c>
      <c r="Z164" s="32" t="str">
        <f t="shared" si="14"/>
        <v>Milton</v>
      </c>
      <c r="AA164" s="50" t="s">
        <v>77</v>
      </c>
      <c r="AB164" s="38">
        <v>2300.0</v>
      </c>
      <c r="AC164" s="48">
        <f t="shared" si="15"/>
        <v>562</v>
      </c>
      <c r="AD164" s="51">
        <f t="shared" si="16"/>
        <v>0.7556521739</v>
      </c>
    </row>
    <row r="165">
      <c r="A165" s="24"/>
      <c r="B165" s="46" t="s">
        <v>1456</v>
      </c>
      <c r="C165" s="47"/>
      <c r="D165" s="38">
        <v>174.0</v>
      </c>
      <c r="E165" s="38">
        <v>170.0</v>
      </c>
      <c r="F165" s="38">
        <v>49.0</v>
      </c>
      <c r="G165" s="38">
        <v>64.0</v>
      </c>
      <c r="H165" s="38">
        <v>71.0</v>
      </c>
      <c r="I165" s="48">
        <f t="shared" si="3"/>
        <v>393</v>
      </c>
      <c r="J165" s="48">
        <f t="shared" si="4"/>
        <v>528</v>
      </c>
      <c r="K165" s="49">
        <f t="shared" si="5"/>
        <v>0.4427480916</v>
      </c>
      <c r="L165" s="49">
        <f t="shared" si="6"/>
        <v>0.4325699746</v>
      </c>
      <c r="M165" s="49">
        <f t="shared" si="7"/>
        <v>0.1246819338</v>
      </c>
      <c r="N165" s="32" t="str">
        <f t="shared" si="8"/>
        <v>Jânio</v>
      </c>
      <c r="O165" s="50" t="s">
        <v>77</v>
      </c>
      <c r="P165" s="38">
        <v>174.0</v>
      </c>
      <c r="Q165" s="38">
        <v>151.0</v>
      </c>
      <c r="R165" s="38">
        <v>23.0</v>
      </c>
      <c r="S165" s="38">
        <v>114.0</v>
      </c>
      <c r="T165" s="38">
        <v>66.0</v>
      </c>
      <c r="U165" s="48">
        <f t="shared" si="9"/>
        <v>348</v>
      </c>
      <c r="V165" s="48">
        <f t="shared" si="10"/>
        <v>528</v>
      </c>
      <c r="W165" s="49">
        <f t="shared" si="11"/>
        <v>0.5</v>
      </c>
      <c r="X165" s="49">
        <f t="shared" si="12"/>
        <v>0.433908046</v>
      </c>
      <c r="Y165" s="49">
        <f t="shared" si="13"/>
        <v>0.06609195402</v>
      </c>
      <c r="Z165" s="32" t="str">
        <f t="shared" si="14"/>
        <v>Jango</v>
      </c>
      <c r="AA165" s="50" t="s">
        <v>77</v>
      </c>
      <c r="AB165" s="38">
        <v>611.0</v>
      </c>
      <c r="AC165" s="48">
        <f t="shared" si="15"/>
        <v>83</v>
      </c>
      <c r="AD165" s="51">
        <f t="shared" si="16"/>
        <v>0.8641571195</v>
      </c>
    </row>
    <row r="166">
      <c r="A166" s="110" t="s">
        <v>540</v>
      </c>
      <c r="B166" s="46" t="s">
        <v>1457</v>
      </c>
      <c r="C166" s="47"/>
      <c r="D166" s="38">
        <v>1032.0</v>
      </c>
      <c r="E166" s="38">
        <v>1121.0</v>
      </c>
      <c r="F166" s="38">
        <v>194.0</v>
      </c>
      <c r="G166" s="38">
        <v>219.0</v>
      </c>
      <c r="H166" s="38">
        <v>157.0</v>
      </c>
      <c r="I166" s="48">
        <f t="shared" si="3"/>
        <v>2347</v>
      </c>
      <c r="J166" s="48">
        <f t="shared" si="4"/>
        <v>2723</v>
      </c>
      <c r="K166" s="49">
        <f t="shared" si="5"/>
        <v>0.4397102684</v>
      </c>
      <c r="L166" s="49">
        <f t="shared" si="6"/>
        <v>0.4776310183</v>
      </c>
      <c r="M166" s="49">
        <f t="shared" si="7"/>
        <v>0.08265871325</v>
      </c>
      <c r="N166" s="32" t="str">
        <f t="shared" si="8"/>
        <v>Mal. Lott</v>
      </c>
      <c r="O166" s="50" t="s">
        <v>77</v>
      </c>
      <c r="P166" s="38">
        <v>1095.0</v>
      </c>
      <c r="Q166" s="38">
        <v>787.0</v>
      </c>
      <c r="R166" s="38">
        <v>231.0</v>
      </c>
      <c r="S166" s="38">
        <v>465.0</v>
      </c>
      <c r="T166" s="38">
        <v>145.0</v>
      </c>
      <c r="U166" s="48">
        <f t="shared" si="9"/>
        <v>2113</v>
      </c>
      <c r="V166" s="48">
        <f t="shared" si="10"/>
        <v>2723</v>
      </c>
      <c r="W166" s="49">
        <f t="shared" si="11"/>
        <v>0.5182205395</v>
      </c>
      <c r="X166" s="49">
        <f t="shared" si="12"/>
        <v>0.3724562234</v>
      </c>
      <c r="Y166" s="49">
        <f t="shared" si="13"/>
        <v>0.1093232371</v>
      </c>
      <c r="Z166" s="32" t="str">
        <f t="shared" si="14"/>
        <v>Jango</v>
      </c>
      <c r="AA166" s="50" t="s">
        <v>77</v>
      </c>
      <c r="AB166" s="38">
        <v>3687.0</v>
      </c>
      <c r="AC166" s="48">
        <f t="shared" si="15"/>
        <v>964</v>
      </c>
      <c r="AD166" s="51">
        <f t="shared" si="16"/>
        <v>0.7385408191</v>
      </c>
    </row>
    <row r="167">
      <c r="A167" s="110" t="s">
        <v>542</v>
      </c>
      <c r="B167" s="46" t="s">
        <v>1458</v>
      </c>
      <c r="C167" s="47"/>
      <c r="D167" s="38">
        <v>856.0</v>
      </c>
      <c r="E167" s="38">
        <v>838.0</v>
      </c>
      <c r="F167" s="38">
        <v>144.0</v>
      </c>
      <c r="G167" s="38">
        <v>159.0</v>
      </c>
      <c r="H167" s="38">
        <v>122.0</v>
      </c>
      <c r="I167" s="48">
        <f t="shared" si="3"/>
        <v>1838</v>
      </c>
      <c r="J167" s="48">
        <f t="shared" si="4"/>
        <v>2119</v>
      </c>
      <c r="K167" s="49">
        <f t="shared" si="5"/>
        <v>0.4657236126</v>
      </c>
      <c r="L167" s="49">
        <f t="shared" si="6"/>
        <v>0.4559303591</v>
      </c>
      <c r="M167" s="49">
        <f t="shared" si="7"/>
        <v>0.07834602829</v>
      </c>
      <c r="N167" s="32" t="str">
        <f t="shared" si="8"/>
        <v>Jânio</v>
      </c>
      <c r="O167" s="50" t="s">
        <v>77</v>
      </c>
      <c r="P167" s="38">
        <v>893.0</v>
      </c>
      <c r="Q167" s="38">
        <v>635.0</v>
      </c>
      <c r="R167" s="38">
        <v>187.0</v>
      </c>
      <c r="S167" s="38">
        <v>317.0</v>
      </c>
      <c r="T167" s="38">
        <v>87.0</v>
      </c>
      <c r="U167" s="48">
        <f t="shared" si="9"/>
        <v>1715</v>
      </c>
      <c r="V167" s="48">
        <f t="shared" si="10"/>
        <v>2119</v>
      </c>
      <c r="W167" s="49">
        <f t="shared" si="11"/>
        <v>0.5206997085</v>
      </c>
      <c r="X167" s="49">
        <f t="shared" si="12"/>
        <v>0.3702623907</v>
      </c>
      <c r="Y167" s="49">
        <f t="shared" si="13"/>
        <v>0.1090379009</v>
      </c>
      <c r="Z167" s="32" t="str">
        <f t="shared" si="14"/>
        <v>Jango</v>
      </c>
      <c r="AA167" s="50" t="s">
        <v>77</v>
      </c>
      <c r="AB167" s="38">
        <v>2508.0</v>
      </c>
      <c r="AC167" s="48">
        <f t="shared" si="15"/>
        <v>389</v>
      </c>
      <c r="AD167" s="51">
        <f t="shared" si="16"/>
        <v>0.8448963317</v>
      </c>
    </row>
    <row r="168">
      <c r="A168" s="110" t="s">
        <v>544</v>
      </c>
      <c r="B168" s="46" t="s">
        <v>1459</v>
      </c>
      <c r="C168" s="47"/>
      <c r="D168" s="38">
        <v>439.0</v>
      </c>
      <c r="E168" s="38">
        <v>488.0</v>
      </c>
      <c r="F168" s="38">
        <v>76.0</v>
      </c>
      <c r="G168" s="38">
        <v>114.0</v>
      </c>
      <c r="H168" s="38">
        <v>87.0</v>
      </c>
      <c r="I168" s="48">
        <f t="shared" si="3"/>
        <v>1003</v>
      </c>
      <c r="J168" s="48">
        <f t="shared" si="4"/>
        <v>1204</v>
      </c>
      <c r="K168" s="49">
        <f t="shared" si="5"/>
        <v>0.4376869392</v>
      </c>
      <c r="L168" s="49">
        <f t="shared" si="6"/>
        <v>0.4865403789</v>
      </c>
      <c r="M168" s="49">
        <f t="shared" si="7"/>
        <v>0.07577268195</v>
      </c>
      <c r="N168" s="32" t="str">
        <f t="shared" si="8"/>
        <v>Mal. Lott</v>
      </c>
      <c r="O168" s="50" t="s">
        <v>77</v>
      </c>
      <c r="P168" s="38">
        <v>497.0</v>
      </c>
      <c r="Q168" s="38">
        <v>354.0</v>
      </c>
      <c r="R168" s="38">
        <v>70.0</v>
      </c>
      <c r="S168" s="38">
        <v>216.0</v>
      </c>
      <c r="T168" s="38">
        <v>67.0</v>
      </c>
      <c r="U168" s="48">
        <f t="shared" si="9"/>
        <v>921</v>
      </c>
      <c r="V168" s="48">
        <f t="shared" si="10"/>
        <v>1204</v>
      </c>
      <c r="W168" s="49">
        <f t="shared" si="11"/>
        <v>0.539630836</v>
      </c>
      <c r="X168" s="49">
        <f t="shared" si="12"/>
        <v>0.3843648208</v>
      </c>
      <c r="Y168" s="49">
        <f t="shared" si="13"/>
        <v>0.07600434311</v>
      </c>
      <c r="Z168" s="32" t="str">
        <f t="shared" si="14"/>
        <v>Jango</v>
      </c>
      <c r="AA168" s="50" t="s">
        <v>77</v>
      </c>
      <c r="AB168" s="38">
        <v>1432.0</v>
      </c>
      <c r="AC168" s="48">
        <f t="shared" si="15"/>
        <v>228</v>
      </c>
      <c r="AD168" s="51">
        <f t="shared" si="16"/>
        <v>0.8407821229</v>
      </c>
    </row>
    <row r="169">
      <c r="A169" s="61" t="s">
        <v>547</v>
      </c>
      <c r="B169" s="46" t="s">
        <v>1460</v>
      </c>
      <c r="C169" s="47"/>
      <c r="D169" s="38">
        <v>616.0</v>
      </c>
      <c r="E169" s="38">
        <v>788.0</v>
      </c>
      <c r="F169" s="38">
        <v>149.0</v>
      </c>
      <c r="G169" s="38">
        <v>38.0</v>
      </c>
      <c r="H169" s="38">
        <v>67.0</v>
      </c>
      <c r="I169" s="48">
        <f t="shared" si="3"/>
        <v>1553</v>
      </c>
      <c r="J169" s="48">
        <f t="shared" si="4"/>
        <v>1658</v>
      </c>
      <c r="K169" s="49">
        <f t="shared" si="5"/>
        <v>0.396651642</v>
      </c>
      <c r="L169" s="49">
        <f t="shared" si="6"/>
        <v>0.5074050225</v>
      </c>
      <c r="M169" s="49">
        <f t="shared" si="7"/>
        <v>0.09594333548</v>
      </c>
      <c r="N169" s="32" t="str">
        <f t="shared" si="8"/>
        <v>Mal. Lott</v>
      </c>
      <c r="O169" s="50" t="s">
        <v>77</v>
      </c>
      <c r="P169" s="38">
        <v>613.0</v>
      </c>
      <c r="Q169" s="38">
        <v>629.0</v>
      </c>
      <c r="R169" s="38">
        <v>252.0</v>
      </c>
      <c r="S169" s="38">
        <v>121.0</v>
      </c>
      <c r="T169" s="38">
        <v>43.0</v>
      </c>
      <c r="U169" s="48">
        <f t="shared" si="9"/>
        <v>1494</v>
      </c>
      <c r="V169" s="48">
        <f t="shared" si="10"/>
        <v>1658</v>
      </c>
      <c r="W169" s="49">
        <f t="shared" si="11"/>
        <v>0.4103078983</v>
      </c>
      <c r="X169" s="49">
        <f t="shared" si="12"/>
        <v>0.4210174029</v>
      </c>
      <c r="Y169" s="49">
        <f t="shared" si="13"/>
        <v>0.1686746988</v>
      </c>
      <c r="Z169" s="32" t="str">
        <f t="shared" si="14"/>
        <v>Milton</v>
      </c>
      <c r="AA169" s="50" t="s">
        <v>77</v>
      </c>
      <c r="AB169" s="38">
        <v>1997.0</v>
      </c>
      <c r="AC169" s="48">
        <f t="shared" si="15"/>
        <v>339</v>
      </c>
      <c r="AD169" s="51">
        <f t="shared" si="16"/>
        <v>0.8302453681</v>
      </c>
    </row>
    <row r="170">
      <c r="A170" s="24"/>
      <c r="B170" s="46" t="s">
        <v>1461</v>
      </c>
      <c r="C170" s="47"/>
      <c r="D170" s="38">
        <v>236.0</v>
      </c>
      <c r="E170" s="38">
        <v>188.0</v>
      </c>
      <c r="F170" s="38">
        <v>36.0</v>
      </c>
      <c r="G170" s="38">
        <v>57.0</v>
      </c>
      <c r="H170" s="38">
        <v>54.0</v>
      </c>
      <c r="I170" s="48">
        <f t="shared" si="3"/>
        <v>460</v>
      </c>
      <c r="J170" s="48">
        <f t="shared" si="4"/>
        <v>571</v>
      </c>
      <c r="K170" s="49">
        <f t="shared" si="5"/>
        <v>0.5130434783</v>
      </c>
      <c r="L170" s="49">
        <f t="shared" si="6"/>
        <v>0.4086956522</v>
      </c>
      <c r="M170" s="49">
        <f t="shared" si="7"/>
        <v>0.07826086957</v>
      </c>
      <c r="N170" s="32" t="str">
        <f t="shared" si="8"/>
        <v>Jânio</v>
      </c>
      <c r="O170" s="50" t="s">
        <v>77</v>
      </c>
      <c r="P170" s="38">
        <v>215.0</v>
      </c>
      <c r="Q170" s="38">
        <v>186.0</v>
      </c>
      <c r="R170" s="38">
        <v>40.0</v>
      </c>
      <c r="S170" s="38">
        <v>108.0</v>
      </c>
      <c r="T170" s="38">
        <v>22.0</v>
      </c>
      <c r="U170" s="48">
        <f t="shared" si="9"/>
        <v>441</v>
      </c>
      <c r="V170" s="48">
        <f t="shared" si="10"/>
        <v>571</v>
      </c>
      <c r="W170" s="49">
        <f t="shared" si="11"/>
        <v>0.4875283447</v>
      </c>
      <c r="X170" s="49">
        <f t="shared" si="12"/>
        <v>0.4217687075</v>
      </c>
      <c r="Y170" s="49">
        <f t="shared" si="13"/>
        <v>0.09070294785</v>
      </c>
      <c r="Z170" s="32" t="str">
        <f t="shared" si="14"/>
        <v>Jango</v>
      </c>
      <c r="AA170" s="50" t="s">
        <v>77</v>
      </c>
      <c r="AB170" s="38" t="s">
        <v>1462</v>
      </c>
      <c r="AC170" s="45" t="s">
        <v>1025</v>
      </c>
      <c r="AD170" s="45" t="s">
        <v>1025</v>
      </c>
    </row>
    <row r="171">
      <c r="A171" s="110" t="s">
        <v>549</v>
      </c>
      <c r="B171" s="46" t="s">
        <v>1463</v>
      </c>
      <c r="C171" s="47"/>
      <c r="D171" s="38">
        <v>622.0</v>
      </c>
      <c r="E171" s="38">
        <v>669.0</v>
      </c>
      <c r="F171" s="38">
        <v>170.0</v>
      </c>
      <c r="G171" s="38">
        <v>93.0</v>
      </c>
      <c r="H171" s="38">
        <v>143.0</v>
      </c>
      <c r="I171" s="48">
        <f t="shared" si="3"/>
        <v>1461</v>
      </c>
      <c r="J171" s="48">
        <f t="shared" si="4"/>
        <v>1697</v>
      </c>
      <c r="K171" s="49">
        <f t="shared" si="5"/>
        <v>0.4257357974</v>
      </c>
      <c r="L171" s="49">
        <f t="shared" si="6"/>
        <v>0.4579055441</v>
      </c>
      <c r="M171" s="49">
        <f t="shared" si="7"/>
        <v>0.1163586585</v>
      </c>
      <c r="N171" s="32" t="str">
        <f t="shared" si="8"/>
        <v>Mal. Lott</v>
      </c>
      <c r="O171" s="50" t="s">
        <v>77</v>
      </c>
      <c r="P171" s="38">
        <v>744.0</v>
      </c>
      <c r="Q171" s="38">
        <v>435.0</v>
      </c>
      <c r="R171" s="38">
        <v>185.0</v>
      </c>
      <c r="S171" s="38">
        <v>265.0</v>
      </c>
      <c r="T171" s="38">
        <v>68.0</v>
      </c>
      <c r="U171" s="48">
        <f t="shared" si="9"/>
        <v>1364</v>
      </c>
      <c r="V171" s="48">
        <f t="shared" si="10"/>
        <v>1697</v>
      </c>
      <c r="W171" s="49">
        <f t="shared" si="11"/>
        <v>0.5454545455</v>
      </c>
      <c r="X171" s="49">
        <f t="shared" si="12"/>
        <v>0.318914956</v>
      </c>
      <c r="Y171" s="49">
        <f t="shared" si="13"/>
        <v>0.1356304985</v>
      </c>
      <c r="Z171" s="32" t="str">
        <f t="shared" si="14"/>
        <v>Jango</v>
      </c>
      <c r="AA171" s="50" t="s">
        <v>77</v>
      </c>
      <c r="AB171" s="38">
        <v>2117.0</v>
      </c>
      <c r="AC171" s="48">
        <f t="shared" ref="AC171:AC193" si="17">AB171-V171</f>
        <v>420</v>
      </c>
      <c r="AD171" s="51">
        <f t="shared" ref="AD171:AD193" si="18">V171/AB171</f>
        <v>0.8016060463</v>
      </c>
    </row>
    <row r="172">
      <c r="A172" s="61" t="s">
        <v>554</v>
      </c>
      <c r="B172" s="46" t="s">
        <v>1464</v>
      </c>
      <c r="C172" s="47"/>
      <c r="D172" s="38">
        <v>365.0</v>
      </c>
      <c r="E172" s="38">
        <v>426.0</v>
      </c>
      <c r="F172" s="38">
        <v>105.0</v>
      </c>
      <c r="G172" s="38">
        <v>38.0</v>
      </c>
      <c r="H172" s="38">
        <v>77.0</v>
      </c>
      <c r="I172" s="48">
        <f t="shared" si="3"/>
        <v>896</v>
      </c>
      <c r="J172" s="48">
        <f t="shared" si="4"/>
        <v>1011</v>
      </c>
      <c r="K172" s="49">
        <f t="shared" si="5"/>
        <v>0.4073660714</v>
      </c>
      <c r="L172" s="49">
        <f t="shared" si="6"/>
        <v>0.4754464286</v>
      </c>
      <c r="M172" s="49">
        <f t="shared" si="7"/>
        <v>0.1171875</v>
      </c>
      <c r="N172" s="32" t="str">
        <f t="shared" si="8"/>
        <v>Mal. Lott</v>
      </c>
      <c r="O172" s="50" t="s">
        <v>77</v>
      </c>
      <c r="P172" s="38">
        <v>538.0</v>
      </c>
      <c r="Q172" s="38">
        <v>244.0</v>
      </c>
      <c r="R172" s="38">
        <v>97.0</v>
      </c>
      <c r="S172" s="38">
        <v>90.0</v>
      </c>
      <c r="T172" s="38">
        <v>42.0</v>
      </c>
      <c r="U172" s="48">
        <f t="shared" si="9"/>
        <v>879</v>
      </c>
      <c r="V172" s="48">
        <f t="shared" si="10"/>
        <v>1011</v>
      </c>
      <c r="W172" s="49">
        <f t="shared" si="11"/>
        <v>0.6120591581</v>
      </c>
      <c r="X172" s="49">
        <f t="shared" si="12"/>
        <v>0.2775881684</v>
      </c>
      <c r="Y172" s="49">
        <f t="shared" si="13"/>
        <v>0.1103526735</v>
      </c>
      <c r="Z172" s="32" t="str">
        <f t="shared" si="14"/>
        <v>Jango</v>
      </c>
      <c r="AA172" s="50" t="s">
        <v>77</v>
      </c>
      <c r="AB172" s="38">
        <v>1504.0</v>
      </c>
      <c r="AC172" s="48">
        <f t="shared" si="17"/>
        <v>493</v>
      </c>
      <c r="AD172" s="51">
        <f t="shared" si="18"/>
        <v>0.6722074468</v>
      </c>
    </row>
    <row r="173">
      <c r="A173" s="23"/>
      <c r="B173" s="46" t="s">
        <v>1465</v>
      </c>
      <c r="C173" s="47"/>
      <c r="D173" s="38">
        <v>584.0</v>
      </c>
      <c r="E173" s="38">
        <v>544.0</v>
      </c>
      <c r="F173" s="38">
        <v>95.0</v>
      </c>
      <c r="G173" s="38">
        <v>61.0</v>
      </c>
      <c r="H173" s="38">
        <v>151.0</v>
      </c>
      <c r="I173" s="48">
        <f t="shared" si="3"/>
        <v>1223</v>
      </c>
      <c r="J173" s="48">
        <f t="shared" si="4"/>
        <v>1435</v>
      </c>
      <c r="K173" s="49">
        <f t="shared" si="5"/>
        <v>0.4775143091</v>
      </c>
      <c r="L173" s="49">
        <f t="shared" si="6"/>
        <v>0.4448078496</v>
      </c>
      <c r="M173" s="49">
        <f t="shared" si="7"/>
        <v>0.07767784137</v>
      </c>
      <c r="N173" s="32" t="str">
        <f t="shared" si="8"/>
        <v>Jânio</v>
      </c>
      <c r="O173" s="50" t="s">
        <v>77</v>
      </c>
      <c r="P173" s="38">
        <v>622.0</v>
      </c>
      <c r="Q173" s="38">
        <v>474.0</v>
      </c>
      <c r="R173" s="38">
        <v>97.0</v>
      </c>
      <c r="S173" s="38">
        <v>141.0</v>
      </c>
      <c r="T173" s="38">
        <v>101.0</v>
      </c>
      <c r="U173" s="48">
        <f t="shared" si="9"/>
        <v>1193</v>
      </c>
      <c r="V173" s="48">
        <f t="shared" si="10"/>
        <v>1435</v>
      </c>
      <c r="W173" s="49">
        <f t="shared" si="11"/>
        <v>0.5213746857</v>
      </c>
      <c r="X173" s="49">
        <f t="shared" si="12"/>
        <v>0.3973176865</v>
      </c>
      <c r="Y173" s="49">
        <f t="shared" si="13"/>
        <v>0.08130762783</v>
      </c>
      <c r="Z173" s="32" t="str">
        <f t="shared" si="14"/>
        <v>Jango</v>
      </c>
      <c r="AA173" s="50" t="s">
        <v>77</v>
      </c>
      <c r="AB173" s="38">
        <v>1848.0</v>
      </c>
      <c r="AC173" s="48">
        <f t="shared" si="17"/>
        <v>413</v>
      </c>
      <c r="AD173" s="51">
        <f t="shared" si="18"/>
        <v>0.7765151515</v>
      </c>
    </row>
    <row r="174">
      <c r="A174" s="24"/>
      <c r="B174" s="46" t="s">
        <v>1466</v>
      </c>
      <c r="C174" s="47"/>
      <c r="D174" s="38">
        <v>432.0</v>
      </c>
      <c r="E174" s="38">
        <v>550.0</v>
      </c>
      <c r="F174" s="38">
        <v>92.0</v>
      </c>
      <c r="G174" s="38">
        <v>118.0</v>
      </c>
      <c r="H174" s="38">
        <v>52.0</v>
      </c>
      <c r="I174" s="48">
        <f t="shared" si="3"/>
        <v>1074</v>
      </c>
      <c r="J174" s="48">
        <f t="shared" si="4"/>
        <v>1244</v>
      </c>
      <c r="K174" s="49">
        <f t="shared" si="5"/>
        <v>0.4022346369</v>
      </c>
      <c r="L174" s="49">
        <f t="shared" si="6"/>
        <v>0.5121042831</v>
      </c>
      <c r="M174" s="49">
        <f t="shared" si="7"/>
        <v>0.08566108007</v>
      </c>
      <c r="N174" s="32" t="str">
        <f t="shared" si="8"/>
        <v>Mal. Lott</v>
      </c>
      <c r="O174" s="50" t="s">
        <v>77</v>
      </c>
      <c r="P174" s="38">
        <v>591.0</v>
      </c>
      <c r="Q174" s="38">
        <v>328.0</v>
      </c>
      <c r="R174" s="38">
        <v>97.0</v>
      </c>
      <c r="S174" s="38">
        <v>187.0</v>
      </c>
      <c r="T174" s="38">
        <v>41.0</v>
      </c>
      <c r="U174" s="48">
        <f t="shared" si="9"/>
        <v>1016</v>
      </c>
      <c r="V174" s="48">
        <f t="shared" si="10"/>
        <v>1244</v>
      </c>
      <c r="W174" s="49">
        <f t="shared" si="11"/>
        <v>0.5816929134</v>
      </c>
      <c r="X174" s="49">
        <f t="shared" si="12"/>
        <v>0.3228346457</v>
      </c>
      <c r="Y174" s="49">
        <f t="shared" si="13"/>
        <v>0.09547244094</v>
      </c>
      <c r="Z174" s="32" t="str">
        <f t="shared" si="14"/>
        <v>Jango</v>
      </c>
      <c r="AA174" s="50" t="s">
        <v>77</v>
      </c>
      <c r="AB174" s="38">
        <v>1621.0</v>
      </c>
      <c r="AC174" s="48">
        <f t="shared" si="17"/>
        <v>377</v>
      </c>
      <c r="AD174" s="51">
        <f t="shared" si="18"/>
        <v>0.7674275139</v>
      </c>
    </row>
    <row r="175">
      <c r="A175" s="61" t="s">
        <v>557</v>
      </c>
      <c r="B175" s="46" t="s">
        <v>1467</v>
      </c>
      <c r="C175" s="47"/>
      <c r="D175" s="38">
        <v>1684.0</v>
      </c>
      <c r="E175" s="38">
        <v>2008.0</v>
      </c>
      <c r="F175" s="38">
        <v>315.0</v>
      </c>
      <c r="G175" s="38">
        <v>570.0</v>
      </c>
      <c r="H175" s="38">
        <v>524.0</v>
      </c>
      <c r="I175" s="48">
        <f t="shared" si="3"/>
        <v>4007</v>
      </c>
      <c r="J175" s="48">
        <f t="shared" si="4"/>
        <v>5101</v>
      </c>
      <c r="K175" s="49">
        <f t="shared" si="5"/>
        <v>0.4202645371</v>
      </c>
      <c r="L175" s="49">
        <f t="shared" si="6"/>
        <v>0.5011230347</v>
      </c>
      <c r="M175" s="49">
        <f t="shared" si="7"/>
        <v>0.07861242825</v>
      </c>
      <c r="N175" s="32" t="str">
        <f t="shared" si="8"/>
        <v>Mal. Lott</v>
      </c>
      <c r="O175" s="50" t="s">
        <v>77</v>
      </c>
      <c r="P175" s="38">
        <v>1941.0</v>
      </c>
      <c r="Q175" s="38">
        <v>1096.0</v>
      </c>
      <c r="R175" s="38">
        <v>474.0</v>
      </c>
      <c r="S175" s="38">
        <v>1234.0</v>
      </c>
      <c r="T175" s="38">
        <v>356.0</v>
      </c>
      <c r="U175" s="48">
        <f t="shared" si="9"/>
        <v>3511</v>
      </c>
      <c r="V175" s="48">
        <f t="shared" si="10"/>
        <v>5101</v>
      </c>
      <c r="W175" s="49">
        <f t="shared" si="11"/>
        <v>0.5528339504</v>
      </c>
      <c r="X175" s="49">
        <f t="shared" si="12"/>
        <v>0.3121617773</v>
      </c>
      <c r="Y175" s="49">
        <f t="shared" si="13"/>
        <v>0.1350042723</v>
      </c>
      <c r="Z175" s="32" t="str">
        <f t="shared" si="14"/>
        <v>Jango</v>
      </c>
      <c r="AA175" s="50" t="s">
        <v>77</v>
      </c>
      <c r="AB175" s="38">
        <v>7980.0</v>
      </c>
      <c r="AC175" s="48">
        <f t="shared" si="17"/>
        <v>2879</v>
      </c>
      <c r="AD175" s="51">
        <f t="shared" si="18"/>
        <v>0.6392230576</v>
      </c>
    </row>
    <row r="176">
      <c r="A176" s="23"/>
      <c r="B176" s="46" t="s">
        <v>1468</v>
      </c>
      <c r="C176" s="47"/>
      <c r="D176" s="38">
        <v>625.0</v>
      </c>
      <c r="E176" s="38">
        <v>614.0</v>
      </c>
      <c r="F176" s="38">
        <v>96.0</v>
      </c>
      <c r="G176" s="38">
        <v>127.0</v>
      </c>
      <c r="H176" s="38">
        <v>110.0</v>
      </c>
      <c r="I176" s="48">
        <f t="shared" si="3"/>
        <v>1335</v>
      </c>
      <c r="J176" s="48">
        <f t="shared" si="4"/>
        <v>1572</v>
      </c>
      <c r="K176" s="49">
        <f t="shared" si="5"/>
        <v>0.468164794</v>
      </c>
      <c r="L176" s="49">
        <f t="shared" si="6"/>
        <v>0.4599250936</v>
      </c>
      <c r="M176" s="49">
        <f t="shared" si="7"/>
        <v>0.07191011236</v>
      </c>
      <c r="N176" s="32" t="str">
        <f t="shared" si="8"/>
        <v>Jânio</v>
      </c>
      <c r="O176" s="50" t="s">
        <v>77</v>
      </c>
      <c r="P176" s="38">
        <v>671.0</v>
      </c>
      <c r="Q176" s="38">
        <v>496.0</v>
      </c>
      <c r="R176" s="38">
        <v>84.0</v>
      </c>
      <c r="S176" s="38">
        <v>234.0</v>
      </c>
      <c r="T176" s="38">
        <v>87.0</v>
      </c>
      <c r="U176" s="48">
        <f t="shared" si="9"/>
        <v>1251</v>
      </c>
      <c r="V176" s="48">
        <f t="shared" si="10"/>
        <v>1572</v>
      </c>
      <c r="W176" s="49">
        <f t="shared" si="11"/>
        <v>0.5363709033</v>
      </c>
      <c r="X176" s="49">
        <f t="shared" si="12"/>
        <v>0.3964828137</v>
      </c>
      <c r="Y176" s="49">
        <f t="shared" si="13"/>
        <v>0.06714628297</v>
      </c>
      <c r="Z176" s="32" t="str">
        <f t="shared" si="14"/>
        <v>Jango</v>
      </c>
      <c r="AA176" s="50" t="s">
        <v>77</v>
      </c>
      <c r="AB176" s="38">
        <v>2051.0</v>
      </c>
      <c r="AC176" s="48">
        <f t="shared" si="17"/>
        <v>479</v>
      </c>
      <c r="AD176" s="51">
        <f t="shared" si="18"/>
        <v>0.7664553876</v>
      </c>
    </row>
    <row r="177">
      <c r="A177" s="24"/>
      <c r="B177" s="46" t="s">
        <v>1469</v>
      </c>
      <c r="C177" s="47"/>
      <c r="D177" s="38">
        <v>658.0</v>
      </c>
      <c r="E177" s="38">
        <v>544.0</v>
      </c>
      <c r="F177" s="38">
        <v>127.0</v>
      </c>
      <c r="G177" s="38">
        <v>130.0</v>
      </c>
      <c r="H177" s="38">
        <v>70.0</v>
      </c>
      <c r="I177" s="48">
        <f t="shared" si="3"/>
        <v>1329</v>
      </c>
      <c r="J177" s="48">
        <f t="shared" si="4"/>
        <v>1529</v>
      </c>
      <c r="K177" s="49">
        <f t="shared" si="5"/>
        <v>0.4951091046</v>
      </c>
      <c r="L177" s="49">
        <f t="shared" si="6"/>
        <v>0.4093303236</v>
      </c>
      <c r="M177" s="49">
        <f t="shared" si="7"/>
        <v>0.09556057186</v>
      </c>
      <c r="N177" s="32" t="str">
        <f t="shared" si="8"/>
        <v>Jânio</v>
      </c>
      <c r="O177" s="50" t="s">
        <v>77</v>
      </c>
      <c r="P177" s="38">
        <v>563.0</v>
      </c>
      <c r="Q177" s="38">
        <v>406.0</v>
      </c>
      <c r="R177" s="38">
        <v>156.0</v>
      </c>
      <c r="S177" s="38">
        <v>346.0</v>
      </c>
      <c r="T177" s="38">
        <v>58.0</v>
      </c>
      <c r="U177" s="48">
        <f t="shared" si="9"/>
        <v>1125</v>
      </c>
      <c r="V177" s="48">
        <f t="shared" si="10"/>
        <v>1529</v>
      </c>
      <c r="W177" s="49">
        <f t="shared" si="11"/>
        <v>0.5004444444</v>
      </c>
      <c r="X177" s="49">
        <f t="shared" si="12"/>
        <v>0.3608888889</v>
      </c>
      <c r="Y177" s="49">
        <f t="shared" si="13"/>
        <v>0.1386666667</v>
      </c>
      <c r="Z177" s="32" t="str">
        <f t="shared" si="14"/>
        <v>Jango</v>
      </c>
      <c r="AA177" s="50" t="s">
        <v>77</v>
      </c>
      <c r="AB177" s="38">
        <v>2009.0</v>
      </c>
      <c r="AC177" s="48">
        <f t="shared" si="17"/>
        <v>480</v>
      </c>
      <c r="AD177" s="51">
        <f t="shared" si="18"/>
        <v>0.7610751618</v>
      </c>
    </row>
    <row r="178">
      <c r="A178" s="61" t="s">
        <v>560</v>
      </c>
      <c r="B178" s="46" t="s">
        <v>1470</v>
      </c>
      <c r="C178" s="47"/>
      <c r="D178" s="38">
        <v>281.0</v>
      </c>
      <c r="E178" s="38">
        <v>300.0</v>
      </c>
      <c r="F178" s="38">
        <v>46.0</v>
      </c>
      <c r="G178" s="38">
        <v>62.0</v>
      </c>
      <c r="H178" s="38">
        <v>43.0</v>
      </c>
      <c r="I178" s="48">
        <f t="shared" si="3"/>
        <v>627</v>
      </c>
      <c r="J178" s="48">
        <f t="shared" si="4"/>
        <v>732</v>
      </c>
      <c r="K178" s="49">
        <f t="shared" si="5"/>
        <v>0.4481658692</v>
      </c>
      <c r="L178" s="49">
        <f t="shared" si="6"/>
        <v>0.4784688995</v>
      </c>
      <c r="M178" s="49">
        <f t="shared" si="7"/>
        <v>0.07336523126</v>
      </c>
      <c r="N178" s="32" t="str">
        <f t="shared" si="8"/>
        <v>Mal. Lott</v>
      </c>
      <c r="O178" s="50" t="s">
        <v>77</v>
      </c>
      <c r="P178" s="38">
        <v>312.0</v>
      </c>
      <c r="Q178" s="38">
        <v>191.0</v>
      </c>
      <c r="R178" s="38">
        <v>60.0</v>
      </c>
      <c r="S178" s="38">
        <v>134.0</v>
      </c>
      <c r="T178" s="38">
        <v>35.0</v>
      </c>
      <c r="U178" s="48">
        <f t="shared" si="9"/>
        <v>563</v>
      </c>
      <c r="V178" s="48">
        <f t="shared" si="10"/>
        <v>732</v>
      </c>
      <c r="W178" s="49">
        <f t="shared" si="11"/>
        <v>0.5541740675</v>
      </c>
      <c r="X178" s="49">
        <f t="shared" si="12"/>
        <v>0.3392539964</v>
      </c>
      <c r="Y178" s="49">
        <f t="shared" si="13"/>
        <v>0.1065719361</v>
      </c>
      <c r="Z178" s="32" t="str">
        <f t="shared" si="14"/>
        <v>Jango</v>
      </c>
      <c r="AA178" s="50" t="s">
        <v>77</v>
      </c>
      <c r="AB178" s="38">
        <v>991.0</v>
      </c>
      <c r="AC178" s="48">
        <f t="shared" si="17"/>
        <v>259</v>
      </c>
      <c r="AD178" s="51">
        <f t="shared" si="18"/>
        <v>0.7386478305</v>
      </c>
    </row>
    <row r="179">
      <c r="A179" s="24"/>
      <c r="B179" s="46" t="s">
        <v>1471</v>
      </c>
      <c r="C179" s="47"/>
      <c r="D179" s="38">
        <v>144.0</v>
      </c>
      <c r="E179" s="38">
        <v>141.0</v>
      </c>
      <c r="F179" s="38">
        <v>45.0</v>
      </c>
      <c r="G179" s="38">
        <v>41.0</v>
      </c>
      <c r="H179" s="38">
        <v>45.0</v>
      </c>
      <c r="I179" s="48">
        <f t="shared" si="3"/>
        <v>330</v>
      </c>
      <c r="J179" s="48">
        <f t="shared" si="4"/>
        <v>416</v>
      </c>
      <c r="K179" s="49">
        <f t="shared" si="5"/>
        <v>0.4363636364</v>
      </c>
      <c r="L179" s="49">
        <f t="shared" si="6"/>
        <v>0.4272727273</v>
      </c>
      <c r="M179" s="49">
        <f t="shared" si="7"/>
        <v>0.1363636364</v>
      </c>
      <c r="N179" s="32" t="str">
        <f t="shared" si="8"/>
        <v>Jânio</v>
      </c>
      <c r="O179" s="50" t="s">
        <v>77</v>
      </c>
      <c r="P179" s="38">
        <v>202.0</v>
      </c>
      <c r="Q179" s="38">
        <v>63.0</v>
      </c>
      <c r="R179" s="38">
        <v>52.0</v>
      </c>
      <c r="S179" s="38">
        <v>76.0</v>
      </c>
      <c r="T179" s="38">
        <v>23.0</v>
      </c>
      <c r="U179" s="48">
        <f t="shared" si="9"/>
        <v>317</v>
      </c>
      <c r="V179" s="48">
        <f t="shared" si="10"/>
        <v>416</v>
      </c>
      <c r="W179" s="49">
        <f t="shared" si="11"/>
        <v>0.6372239748</v>
      </c>
      <c r="X179" s="49">
        <f t="shared" si="12"/>
        <v>0.1987381703</v>
      </c>
      <c r="Y179" s="49">
        <f t="shared" si="13"/>
        <v>0.1640378549</v>
      </c>
      <c r="Z179" s="32" t="str">
        <f t="shared" si="14"/>
        <v>Jango</v>
      </c>
      <c r="AA179" s="50" t="s">
        <v>77</v>
      </c>
      <c r="AB179" s="38">
        <v>497.0</v>
      </c>
      <c r="AC179" s="48">
        <f t="shared" si="17"/>
        <v>81</v>
      </c>
      <c r="AD179" s="51">
        <f t="shared" si="18"/>
        <v>0.8370221328</v>
      </c>
    </row>
    <row r="180">
      <c r="A180" s="61" t="s">
        <v>563</v>
      </c>
      <c r="B180" s="46" t="s">
        <v>1472</v>
      </c>
      <c r="C180" s="47"/>
      <c r="D180" s="38">
        <v>204.0</v>
      </c>
      <c r="E180" s="38">
        <v>185.0</v>
      </c>
      <c r="F180" s="38">
        <v>45.0</v>
      </c>
      <c r="G180" s="38">
        <v>36.0</v>
      </c>
      <c r="H180" s="38">
        <v>43.0</v>
      </c>
      <c r="I180" s="48">
        <f t="shared" si="3"/>
        <v>434</v>
      </c>
      <c r="J180" s="48">
        <f t="shared" si="4"/>
        <v>513</v>
      </c>
      <c r="K180" s="49">
        <f t="shared" si="5"/>
        <v>0.4700460829</v>
      </c>
      <c r="L180" s="49">
        <f t="shared" si="6"/>
        <v>0.4262672811</v>
      </c>
      <c r="M180" s="49">
        <f t="shared" si="7"/>
        <v>0.1036866359</v>
      </c>
      <c r="N180" s="32" t="str">
        <f t="shared" si="8"/>
        <v>Jânio</v>
      </c>
      <c r="O180" s="50" t="s">
        <v>77</v>
      </c>
      <c r="P180" s="38">
        <v>197.0</v>
      </c>
      <c r="Q180" s="38">
        <v>177.0</v>
      </c>
      <c r="R180" s="38">
        <v>41.0</v>
      </c>
      <c r="S180" s="38">
        <v>64.0</v>
      </c>
      <c r="T180" s="38">
        <v>34.0</v>
      </c>
      <c r="U180" s="48">
        <f t="shared" si="9"/>
        <v>415</v>
      </c>
      <c r="V180" s="48">
        <f t="shared" si="10"/>
        <v>513</v>
      </c>
      <c r="W180" s="49">
        <f t="shared" si="11"/>
        <v>0.4746987952</v>
      </c>
      <c r="X180" s="49">
        <f t="shared" si="12"/>
        <v>0.4265060241</v>
      </c>
      <c r="Y180" s="49">
        <f t="shared" si="13"/>
        <v>0.09879518072</v>
      </c>
      <c r="Z180" s="32" t="str">
        <f t="shared" si="14"/>
        <v>Jango</v>
      </c>
      <c r="AA180" s="50" t="s">
        <v>77</v>
      </c>
      <c r="AB180" s="38">
        <v>595.0</v>
      </c>
      <c r="AC180" s="48">
        <f t="shared" si="17"/>
        <v>82</v>
      </c>
      <c r="AD180" s="51">
        <f t="shared" si="18"/>
        <v>0.8621848739</v>
      </c>
    </row>
    <row r="181">
      <c r="A181" s="24"/>
      <c r="B181" s="46" t="s">
        <v>1473</v>
      </c>
      <c r="C181" s="47"/>
      <c r="D181" s="38">
        <v>111.0</v>
      </c>
      <c r="E181" s="38">
        <v>186.0</v>
      </c>
      <c r="F181" s="38">
        <v>24.0</v>
      </c>
      <c r="G181" s="38">
        <v>35.0</v>
      </c>
      <c r="H181" s="38">
        <v>46.0</v>
      </c>
      <c r="I181" s="48">
        <f t="shared" si="3"/>
        <v>321</v>
      </c>
      <c r="J181" s="48">
        <f t="shared" si="4"/>
        <v>402</v>
      </c>
      <c r="K181" s="49">
        <f t="shared" si="5"/>
        <v>0.3457943925</v>
      </c>
      <c r="L181" s="49">
        <f t="shared" si="6"/>
        <v>0.5794392523</v>
      </c>
      <c r="M181" s="49">
        <f t="shared" si="7"/>
        <v>0.07476635514</v>
      </c>
      <c r="N181" s="32" t="str">
        <f t="shared" si="8"/>
        <v>Mal. Lott</v>
      </c>
      <c r="O181" s="50" t="s">
        <v>77</v>
      </c>
      <c r="P181" s="38">
        <v>178.0</v>
      </c>
      <c r="Q181" s="38">
        <v>100.0</v>
      </c>
      <c r="R181" s="38">
        <v>31.0</v>
      </c>
      <c r="S181" s="38">
        <v>52.0</v>
      </c>
      <c r="T181" s="38">
        <v>41.0</v>
      </c>
      <c r="U181" s="48">
        <f t="shared" si="9"/>
        <v>309</v>
      </c>
      <c r="V181" s="48">
        <f t="shared" si="10"/>
        <v>402</v>
      </c>
      <c r="W181" s="49">
        <f t="shared" si="11"/>
        <v>0.5760517799</v>
      </c>
      <c r="X181" s="49">
        <f t="shared" si="12"/>
        <v>0.3236245955</v>
      </c>
      <c r="Y181" s="49">
        <f t="shared" si="13"/>
        <v>0.1003236246</v>
      </c>
      <c r="Z181" s="32" t="str">
        <f t="shared" si="14"/>
        <v>Jango</v>
      </c>
      <c r="AA181" s="50" t="s">
        <v>77</v>
      </c>
      <c r="AB181" s="38">
        <v>547.0</v>
      </c>
      <c r="AC181" s="48">
        <f t="shared" si="17"/>
        <v>145</v>
      </c>
      <c r="AD181" s="51">
        <f t="shared" si="18"/>
        <v>0.7349177331</v>
      </c>
    </row>
    <row r="182">
      <c r="A182" s="110" t="s">
        <v>565</v>
      </c>
      <c r="B182" s="46" t="s">
        <v>1474</v>
      </c>
      <c r="C182" s="47"/>
      <c r="D182" s="38">
        <v>1985.0</v>
      </c>
      <c r="E182" s="38">
        <v>1729.0</v>
      </c>
      <c r="F182" s="38">
        <v>274.0</v>
      </c>
      <c r="G182" s="38">
        <v>404.0</v>
      </c>
      <c r="H182" s="38">
        <v>402.0</v>
      </c>
      <c r="I182" s="48">
        <f t="shared" si="3"/>
        <v>3988</v>
      </c>
      <c r="J182" s="48">
        <f t="shared" si="4"/>
        <v>4794</v>
      </c>
      <c r="K182" s="49">
        <f t="shared" si="5"/>
        <v>0.4977432297</v>
      </c>
      <c r="L182" s="49">
        <f t="shared" si="6"/>
        <v>0.433550652</v>
      </c>
      <c r="M182" s="49">
        <f t="shared" si="7"/>
        <v>0.06870611836</v>
      </c>
      <c r="N182" s="32" t="str">
        <f t="shared" si="8"/>
        <v>Jânio</v>
      </c>
      <c r="O182" s="50" t="s">
        <v>77</v>
      </c>
      <c r="P182" s="38">
        <v>1828.0</v>
      </c>
      <c r="Q182" s="38">
        <v>1621.0</v>
      </c>
      <c r="R182" s="38">
        <v>281.0</v>
      </c>
      <c r="S182" s="38">
        <v>677.0</v>
      </c>
      <c r="T182" s="38">
        <v>387.0</v>
      </c>
      <c r="U182" s="48">
        <f t="shared" si="9"/>
        <v>3730</v>
      </c>
      <c r="V182" s="48">
        <f t="shared" si="10"/>
        <v>4794</v>
      </c>
      <c r="W182" s="49">
        <f t="shared" si="11"/>
        <v>0.490080429</v>
      </c>
      <c r="X182" s="49">
        <f t="shared" si="12"/>
        <v>0.4345844504</v>
      </c>
      <c r="Y182" s="49">
        <f t="shared" si="13"/>
        <v>0.07533512064</v>
      </c>
      <c r="Z182" s="32" t="str">
        <f t="shared" si="14"/>
        <v>Jango</v>
      </c>
      <c r="AA182" s="50" t="s">
        <v>77</v>
      </c>
      <c r="AB182" s="38">
        <v>6363.0</v>
      </c>
      <c r="AC182" s="48">
        <f t="shared" si="17"/>
        <v>1569</v>
      </c>
      <c r="AD182" s="51">
        <f t="shared" si="18"/>
        <v>0.753418199</v>
      </c>
    </row>
    <row r="183">
      <c r="A183" s="61" t="s">
        <v>568</v>
      </c>
      <c r="B183" s="46" t="s">
        <v>1475</v>
      </c>
      <c r="C183" s="47"/>
      <c r="D183" s="38">
        <v>256.0</v>
      </c>
      <c r="E183" s="38">
        <v>690.0</v>
      </c>
      <c r="F183" s="38">
        <v>154.0</v>
      </c>
      <c r="G183" s="38">
        <v>91.0</v>
      </c>
      <c r="H183" s="38">
        <v>89.0</v>
      </c>
      <c r="I183" s="48">
        <f t="shared" si="3"/>
        <v>1100</v>
      </c>
      <c r="J183" s="48">
        <f t="shared" si="4"/>
        <v>1280</v>
      </c>
      <c r="K183" s="49">
        <f t="shared" si="5"/>
        <v>0.2327272727</v>
      </c>
      <c r="L183" s="49">
        <f t="shared" si="6"/>
        <v>0.6272727273</v>
      </c>
      <c r="M183" s="49">
        <f t="shared" si="7"/>
        <v>0.14</v>
      </c>
      <c r="N183" s="32" t="str">
        <f t="shared" si="8"/>
        <v>Mal. Lott</v>
      </c>
      <c r="O183" s="50" t="s">
        <v>77</v>
      </c>
      <c r="P183" s="38">
        <v>754.0</v>
      </c>
      <c r="Q183" s="38">
        <v>185.0</v>
      </c>
      <c r="R183" s="38">
        <v>135.0</v>
      </c>
      <c r="S183" s="38">
        <v>157.0</v>
      </c>
      <c r="T183" s="38">
        <v>49.0</v>
      </c>
      <c r="U183" s="48">
        <f t="shared" si="9"/>
        <v>1074</v>
      </c>
      <c r="V183" s="48">
        <f t="shared" si="10"/>
        <v>1280</v>
      </c>
      <c r="W183" s="49">
        <f t="shared" si="11"/>
        <v>0.7020484171</v>
      </c>
      <c r="X183" s="49">
        <f t="shared" si="12"/>
        <v>0.1722532588</v>
      </c>
      <c r="Y183" s="49">
        <f t="shared" si="13"/>
        <v>0.125698324</v>
      </c>
      <c r="Z183" s="32" t="str">
        <f t="shared" si="14"/>
        <v>Jango</v>
      </c>
      <c r="AA183" s="50" t="s">
        <v>77</v>
      </c>
      <c r="AB183" s="38">
        <v>1917.0</v>
      </c>
      <c r="AC183" s="48">
        <f t="shared" si="17"/>
        <v>637</v>
      </c>
      <c r="AD183" s="51">
        <f t="shared" si="18"/>
        <v>0.6677099635</v>
      </c>
    </row>
    <row r="184">
      <c r="A184" s="24"/>
      <c r="B184" s="46" t="s">
        <v>1476</v>
      </c>
      <c r="C184" s="47"/>
      <c r="D184" s="38">
        <v>461.0</v>
      </c>
      <c r="E184" s="38">
        <v>512.0</v>
      </c>
      <c r="F184" s="38">
        <v>47.0</v>
      </c>
      <c r="G184" s="38">
        <v>40.0</v>
      </c>
      <c r="H184" s="38">
        <v>69.0</v>
      </c>
      <c r="I184" s="48">
        <f t="shared" si="3"/>
        <v>1020</v>
      </c>
      <c r="J184" s="48">
        <f t="shared" si="4"/>
        <v>1129</v>
      </c>
      <c r="K184" s="49">
        <f t="shared" si="5"/>
        <v>0.4519607843</v>
      </c>
      <c r="L184" s="49">
        <f t="shared" si="6"/>
        <v>0.5019607843</v>
      </c>
      <c r="M184" s="49">
        <f t="shared" si="7"/>
        <v>0.04607843137</v>
      </c>
      <c r="N184" s="32" t="str">
        <f t="shared" si="8"/>
        <v>Mal. Lott</v>
      </c>
      <c r="O184" s="50" t="s">
        <v>77</v>
      </c>
      <c r="P184" s="38">
        <v>527.0</v>
      </c>
      <c r="Q184" s="38">
        <v>367.0</v>
      </c>
      <c r="R184" s="38">
        <v>93.0</v>
      </c>
      <c r="S184" s="38">
        <v>101.0</v>
      </c>
      <c r="T184" s="38">
        <v>41.0</v>
      </c>
      <c r="U184" s="48">
        <f t="shared" si="9"/>
        <v>987</v>
      </c>
      <c r="V184" s="48">
        <f t="shared" si="10"/>
        <v>1129</v>
      </c>
      <c r="W184" s="49">
        <f t="shared" si="11"/>
        <v>0.5339412361</v>
      </c>
      <c r="X184" s="49">
        <f t="shared" si="12"/>
        <v>0.3718338399</v>
      </c>
      <c r="Y184" s="49">
        <f t="shared" si="13"/>
        <v>0.09422492401</v>
      </c>
      <c r="Z184" s="32" t="str">
        <f t="shared" si="14"/>
        <v>Jango</v>
      </c>
      <c r="AA184" s="50" t="s">
        <v>77</v>
      </c>
      <c r="AB184" s="38">
        <v>1726.0</v>
      </c>
      <c r="AC184" s="48">
        <f t="shared" si="17"/>
        <v>597</v>
      </c>
      <c r="AD184" s="51">
        <f t="shared" si="18"/>
        <v>0.6541135574</v>
      </c>
    </row>
    <row r="185">
      <c r="A185" s="110" t="s">
        <v>570</v>
      </c>
      <c r="B185" s="46" t="s">
        <v>1477</v>
      </c>
      <c r="C185" s="47"/>
      <c r="D185" s="38">
        <v>1424.0</v>
      </c>
      <c r="E185" s="38">
        <v>1083.0</v>
      </c>
      <c r="F185" s="38">
        <v>250.0</v>
      </c>
      <c r="G185" s="38">
        <v>326.0</v>
      </c>
      <c r="H185" s="38">
        <v>238.0</v>
      </c>
      <c r="I185" s="48">
        <f t="shared" si="3"/>
        <v>2757</v>
      </c>
      <c r="J185" s="48">
        <f t="shared" si="4"/>
        <v>3321</v>
      </c>
      <c r="K185" s="49">
        <f t="shared" si="5"/>
        <v>0.5165034458</v>
      </c>
      <c r="L185" s="49">
        <f t="shared" si="6"/>
        <v>0.3928182807</v>
      </c>
      <c r="M185" s="49">
        <f t="shared" si="7"/>
        <v>0.09067827349</v>
      </c>
      <c r="N185" s="32" t="str">
        <f t="shared" si="8"/>
        <v>Jânio</v>
      </c>
      <c r="O185" s="50" t="s">
        <v>77</v>
      </c>
      <c r="P185" s="38">
        <v>1456.0</v>
      </c>
      <c r="Q185" s="38">
        <v>851.0</v>
      </c>
      <c r="R185" s="38">
        <v>204.0</v>
      </c>
      <c r="S185" s="38">
        <v>600.0</v>
      </c>
      <c r="T185" s="38">
        <v>210.0</v>
      </c>
      <c r="U185" s="48">
        <f t="shared" si="9"/>
        <v>2511</v>
      </c>
      <c r="V185" s="48">
        <f t="shared" si="10"/>
        <v>3321</v>
      </c>
      <c r="W185" s="49">
        <f t="shared" si="11"/>
        <v>0.5798486659</v>
      </c>
      <c r="X185" s="49">
        <f t="shared" si="12"/>
        <v>0.3389088013</v>
      </c>
      <c r="Y185" s="49">
        <f t="shared" si="13"/>
        <v>0.08124253286</v>
      </c>
      <c r="Z185" s="32" t="str">
        <f t="shared" si="14"/>
        <v>Jango</v>
      </c>
      <c r="AA185" s="50" t="s">
        <v>77</v>
      </c>
      <c r="AB185" s="38">
        <v>4394.0</v>
      </c>
      <c r="AC185" s="48">
        <f t="shared" si="17"/>
        <v>1073</v>
      </c>
      <c r="AD185" s="51">
        <f t="shared" si="18"/>
        <v>0.7558033682</v>
      </c>
    </row>
    <row r="186">
      <c r="A186" s="110" t="s">
        <v>575</v>
      </c>
      <c r="B186" s="46" t="s">
        <v>1478</v>
      </c>
      <c r="C186" s="47"/>
      <c r="D186" s="38">
        <v>944.0</v>
      </c>
      <c r="E186" s="38">
        <v>812.0</v>
      </c>
      <c r="F186" s="38">
        <v>161.0</v>
      </c>
      <c r="G186" s="38">
        <v>177.0</v>
      </c>
      <c r="H186" s="38">
        <v>196.0</v>
      </c>
      <c r="I186" s="48">
        <f t="shared" si="3"/>
        <v>1917</v>
      </c>
      <c r="J186" s="48">
        <f t="shared" si="4"/>
        <v>2290</v>
      </c>
      <c r="K186" s="49">
        <f t="shared" si="5"/>
        <v>0.4924360981</v>
      </c>
      <c r="L186" s="49">
        <f t="shared" si="6"/>
        <v>0.4235785081</v>
      </c>
      <c r="M186" s="49">
        <f t="shared" si="7"/>
        <v>0.08398539384</v>
      </c>
      <c r="N186" s="32" t="str">
        <f t="shared" si="8"/>
        <v>Jânio</v>
      </c>
      <c r="O186" s="50" t="s">
        <v>77</v>
      </c>
      <c r="P186" s="38">
        <v>851.0</v>
      </c>
      <c r="Q186" s="38">
        <v>834.0</v>
      </c>
      <c r="R186" s="38">
        <v>164.0</v>
      </c>
      <c r="S186" s="38">
        <v>294.0</v>
      </c>
      <c r="T186" s="38">
        <v>147.0</v>
      </c>
      <c r="U186" s="48">
        <f t="shared" si="9"/>
        <v>1849</v>
      </c>
      <c r="V186" s="48">
        <f t="shared" si="10"/>
        <v>2290</v>
      </c>
      <c r="W186" s="49">
        <f t="shared" si="11"/>
        <v>0.4602487831</v>
      </c>
      <c r="X186" s="49">
        <f t="shared" si="12"/>
        <v>0.4510546241</v>
      </c>
      <c r="Y186" s="49">
        <f t="shared" si="13"/>
        <v>0.08869659275</v>
      </c>
      <c r="Z186" s="32" t="str">
        <f t="shared" si="14"/>
        <v>Jango</v>
      </c>
      <c r="AA186" s="50" t="s">
        <v>77</v>
      </c>
      <c r="AB186" s="38">
        <v>2831.0</v>
      </c>
      <c r="AC186" s="48">
        <f t="shared" si="17"/>
        <v>541</v>
      </c>
      <c r="AD186" s="51">
        <f t="shared" si="18"/>
        <v>0.8089014483</v>
      </c>
    </row>
    <row r="187">
      <c r="A187" s="110" t="s">
        <v>578</v>
      </c>
      <c r="B187" s="46" t="s">
        <v>1479</v>
      </c>
      <c r="C187" s="47"/>
      <c r="D187" s="38">
        <v>415.0</v>
      </c>
      <c r="E187" s="38">
        <v>594.0</v>
      </c>
      <c r="F187" s="38">
        <v>198.0</v>
      </c>
      <c r="G187" s="38">
        <v>418.0</v>
      </c>
      <c r="H187" s="38">
        <v>109.0</v>
      </c>
      <c r="I187" s="48">
        <f t="shared" si="3"/>
        <v>1207</v>
      </c>
      <c r="J187" s="48">
        <f t="shared" si="4"/>
        <v>1734</v>
      </c>
      <c r="K187" s="49">
        <f t="shared" si="5"/>
        <v>0.3438276719</v>
      </c>
      <c r="L187" s="49">
        <f t="shared" si="6"/>
        <v>0.4921292461</v>
      </c>
      <c r="M187" s="49">
        <f t="shared" si="7"/>
        <v>0.164043082</v>
      </c>
      <c r="N187" s="32" t="str">
        <f t="shared" si="8"/>
        <v>Mal. Lott</v>
      </c>
      <c r="O187" s="50" t="s">
        <v>77</v>
      </c>
      <c r="P187" s="38">
        <v>652.0</v>
      </c>
      <c r="Q187" s="38">
        <v>228.0</v>
      </c>
      <c r="R187" s="38">
        <v>222.0</v>
      </c>
      <c r="S187" s="38">
        <v>572.0</v>
      </c>
      <c r="T187" s="38">
        <v>60.0</v>
      </c>
      <c r="U187" s="48">
        <f t="shared" si="9"/>
        <v>1102</v>
      </c>
      <c r="V187" s="48">
        <f t="shared" si="10"/>
        <v>1734</v>
      </c>
      <c r="W187" s="49">
        <f t="shared" si="11"/>
        <v>0.5916515426</v>
      </c>
      <c r="X187" s="49">
        <f t="shared" si="12"/>
        <v>0.2068965517</v>
      </c>
      <c r="Y187" s="49">
        <f t="shared" si="13"/>
        <v>0.2014519056</v>
      </c>
      <c r="Z187" s="32" t="str">
        <f t="shared" si="14"/>
        <v>Jango</v>
      </c>
      <c r="AA187" s="50" t="s">
        <v>77</v>
      </c>
      <c r="AB187" s="38">
        <v>2586.0</v>
      </c>
      <c r="AC187" s="48">
        <f t="shared" si="17"/>
        <v>852</v>
      </c>
      <c r="AD187" s="51">
        <f t="shared" si="18"/>
        <v>0.6705336427</v>
      </c>
    </row>
    <row r="188">
      <c r="A188" s="61" t="s">
        <v>580</v>
      </c>
      <c r="B188" s="46" t="s">
        <v>1480</v>
      </c>
      <c r="C188" s="47"/>
      <c r="D188" s="38">
        <v>548.0</v>
      </c>
      <c r="E188" s="38">
        <v>609.0</v>
      </c>
      <c r="F188" s="38">
        <v>60.0</v>
      </c>
      <c r="G188" s="38">
        <v>145.0</v>
      </c>
      <c r="H188" s="38">
        <v>47.0</v>
      </c>
      <c r="I188" s="48">
        <f t="shared" si="3"/>
        <v>1217</v>
      </c>
      <c r="J188" s="48">
        <f t="shared" si="4"/>
        <v>1409</v>
      </c>
      <c r="K188" s="49">
        <f t="shared" si="5"/>
        <v>0.4502875924</v>
      </c>
      <c r="L188" s="49">
        <f t="shared" si="6"/>
        <v>0.5004108463</v>
      </c>
      <c r="M188" s="49">
        <f t="shared" si="7"/>
        <v>0.04930156122</v>
      </c>
      <c r="N188" s="32" t="str">
        <f t="shared" si="8"/>
        <v>Mal. Lott</v>
      </c>
      <c r="O188" s="50" t="s">
        <v>77</v>
      </c>
      <c r="P188" s="38">
        <v>627.0</v>
      </c>
      <c r="Q188" s="38">
        <v>447.0</v>
      </c>
      <c r="R188" s="38">
        <v>45.0</v>
      </c>
      <c r="S188" s="38">
        <v>252.0</v>
      </c>
      <c r="T188" s="38">
        <v>38.0</v>
      </c>
      <c r="U188" s="48">
        <f t="shared" si="9"/>
        <v>1119</v>
      </c>
      <c r="V188" s="48">
        <f t="shared" si="10"/>
        <v>1409</v>
      </c>
      <c r="W188" s="49">
        <f t="shared" si="11"/>
        <v>0.5603217158</v>
      </c>
      <c r="X188" s="49">
        <f t="shared" si="12"/>
        <v>0.399463807</v>
      </c>
      <c r="Y188" s="49">
        <f t="shared" si="13"/>
        <v>0.04021447721</v>
      </c>
      <c r="Z188" s="32" t="str">
        <f t="shared" si="14"/>
        <v>Jango</v>
      </c>
      <c r="AA188" s="50" t="s">
        <v>77</v>
      </c>
      <c r="AB188" s="38">
        <v>1642.0</v>
      </c>
      <c r="AC188" s="48">
        <f t="shared" si="17"/>
        <v>233</v>
      </c>
      <c r="AD188" s="51">
        <f t="shared" si="18"/>
        <v>0.8580998782</v>
      </c>
    </row>
    <row r="189">
      <c r="A189" s="24"/>
      <c r="B189" s="46" t="s">
        <v>1481</v>
      </c>
      <c r="C189" s="47"/>
      <c r="D189" s="38">
        <v>132.0</v>
      </c>
      <c r="E189" s="38">
        <v>304.0</v>
      </c>
      <c r="F189" s="38">
        <v>21.0</v>
      </c>
      <c r="G189" s="38">
        <v>47.0</v>
      </c>
      <c r="H189" s="38">
        <v>20.0</v>
      </c>
      <c r="I189" s="48">
        <f t="shared" si="3"/>
        <v>457</v>
      </c>
      <c r="J189" s="48">
        <f t="shared" si="4"/>
        <v>524</v>
      </c>
      <c r="K189" s="49">
        <f t="shared" si="5"/>
        <v>0.2888402626</v>
      </c>
      <c r="L189" s="49">
        <f t="shared" si="6"/>
        <v>0.6652078775</v>
      </c>
      <c r="M189" s="49">
        <f t="shared" si="7"/>
        <v>0.04595185996</v>
      </c>
      <c r="N189" s="32" t="str">
        <f t="shared" si="8"/>
        <v>Mal. Lott</v>
      </c>
      <c r="O189" s="50" t="s">
        <v>77</v>
      </c>
      <c r="P189" s="38">
        <v>284.0</v>
      </c>
      <c r="Q189" s="38">
        <v>106.0</v>
      </c>
      <c r="R189" s="38">
        <v>21.0</v>
      </c>
      <c r="S189" s="38">
        <v>103.0</v>
      </c>
      <c r="T189" s="38">
        <v>10.0</v>
      </c>
      <c r="U189" s="48">
        <f t="shared" si="9"/>
        <v>411</v>
      </c>
      <c r="V189" s="48">
        <f t="shared" si="10"/>
        <v>524</v>
      </c>
      <c r="W189" s="49">
        <f t="shared" si="11"/>
        <v>0.6909975669</v>
      </c>
      <c r="X189" s="49">
        <f t="shared" si="12"/>
        <v>0.2579075426</v>
      </c>
      <c r="Y189" s="49">
        <f t="shared" si="13"/>
        <v>0.05109489051</v>
      </c>
      <c r="Z189" s="32" t="str">
        <f t="shared" si="14"/>
        <v>Jango</v>
      </c>
      <c r="AA189" s="50" t="s">
        <v>77</v>
      </c>
      <c r="AB189" s="38">
        <v>893.0</v>
      </c>
      <c r="AC189" s="48">
        <f t="shared" si="17"/>
        <v>369</v>
      </c>
      <c r="AD189" s="51">
        <f t="shared" si="18"/>
        <v>0.5867861142</v>
      </c>
    </row>
    <row r="190">
      <c r="A190" s="110" t="s">
        <v>585</v>
      </c>
      <c r="B190" s="46" t="s">
        <v>1482</v>
      </c>
      <c r="C190" s="47"/>
      <c r="D190" s="38">
        <v>655.0</v>
      </c>
      <c r="E190" s="38">
        <v>950.0</v>
      </c>
      <c r="F190" s="38">
        <v>204.0</v>
      </c>
      <c r="G190" s="38">
        <v>280.0</v>
      </c>
      <c r="H190" s="38">
        <v>188.0</v>
      </c>
      <c r="I190" s="48">
        <f t="shared" si="3"/>
        <v>1809</v>
      </c>
      <c r="J190" s="48">
        <f t="shared" si="4"/>
        <v>2277</v>
      </c>
      <c r="K190" s="49">
        <f t="shared" si="5"/>
        <v>0.3620784964</v>
      </c>
      <c r="L190" s="49">
        <f t="shared" si="6"/>
        <v>0.5251520177</v>
      </c>
      <c r="M190" s="49">
        <f t="shared" si="7"/>
        <v>0.1127694859</v>
      </c>
      <c r="N190" s="32" t="str">
        <f t="shared" si="8"/>
        <v>Mal. Lott</v>
      </c>
      <c r="O190" s="50" t="s">
        <v>77</v>
      </c>
      <c r="P190" s="38">
        <v>1027.0</v>
      </c>
      <c r="Q190" s="38">
        <v>411.0</v>
      </c>
      <c r="R190" s="38">
        <v>164.0</v>
      </c>
      <c r="S190" s="38">
        <v>556.0</v>
      </c>
      <c r="T190" s="55">
        <v>119.0</v>
      </c>
      <c r="U190" s="48">
        <f t="shared" si="9"/>
        <v>1602</v>
      </c>
      <c r="V190" s="114">
        <f t="shared" si="10"/>
        <v>2277</v>
      </c>
      <c r="W190" s="49">
        <f t="shared" si="11"/>
        <v>0.6410736579</v>
      </c>
      <c r="X190" s="49">
        <f t="shared" si="12"/>
        <v>0.2565543071</v>
      </c>
      <c r="Y190" s="49">
        <f t="shared" si="13"/>
        <v>0.102372035</v>
      </c>
      <c r="Z190" s="32" t="str">
        <f t="shared" si="14"/>
        <v>Jango</v>
      </c>
      <c r="AA190" s="50" t="s">
        <v>77</v>
      </c>
      <c r="AB190" s="38">
        <v>2892.0</v>
      </c>
      <c r="AC190" s="48">
        <f t="shared" si="17"/>
        <v>615</v>
      </c>
      <c r="AD190" s="51">
        <f t="shared" si="18"/>
        <v>0.7873443983</v>
      </c>
    </row>
    <row r="191">
      <c r="A191" s="61" t="s">
        <v>410</v>
      </c>
      <c r="B191" s="46" t="s">
        <v>1483</v>
      </c>
      <c r="C191" s="47"/>
      <c r="D191" s="38">
        <v>770.0</v>
      </c>
      <c r="E191" s="38">
        <v>845.0</v>
      </c>
      <c r="F191" s="38">
        <v>115.0</v>
      </c>
      <c r="G191" s="38">
        <v>83.0</v>
      </c>
      <c r="H191" s="38">
        <v>140.0</v>
      </c>
      <c r="I191" s="48">
        <f t="shared" si="3"/>
        <v>1730</v>
      </c>
      <c r="J191" s="48">
        <f t="shared" si="4"/>
        <v>1953</v>
      </c>
      <c r="K191" s="49">
        <f t="shared" si="5"/>
        <v>0.4450867052</v>
      </c>
      <c r="L191" s="49">
        <f t="shared" si="6"/>
        <v>0.4884393064</v>
      </c>
      <c r="M191" s="49">
        <f t="shared" si="7"/>
        <v>0.06647398844</v>
      </c>
      <c r="N191" s="32" t="str">
        <f t="shared" si="8"/>
        <v>Mal. Lott</v>
      </c>
      <c r="O191" s="50" t="s">
        <v>77</v>
      </c>
      <c r="P191" s="38">
        <v>891.0</v>
      </c>
      <c r="Q191" s="38">
        <v>651.0</v>
      </c>
      <c r="R191" s="38">
        <v>142.0</v>
      </c>
      <c r="S191" s="38">
        <v>195.0</v>
      </c>
      <c r="T191" s="38">
        <v>74.0</v>
      </c>
      <c r="U191" s="48">
        <f t="shared" si="9"/>
        <v>1684</v>
      </c>
      <c r="V191" s="48">
        <f t="shared" si="10"/>
        <v>1953</v>
      </c>
      <c r="W191" s="49">
        <f t="shared" si="11"/>
        <v>0.5290973872</v>
      </c>
      <c r="X191" s="49">
        <f t="shared" si="12"/>
        <v>0.3865795724</v>
      </c>
      <c r="Y191" s="49">
        <f t="shared" si="13"/>
        <v>0.08432304038</v>
      </c>
      <c r="Z191" s="32" t="str">
        <f t="shared" si="14"/>
        <v>Jango</v>
      </c>
      <c r="AA191" s="50" t="s">
        <v>77</v>
      </c>
      <c r="AB191" s="38">
        <v>2966.0</v>
      </c>
      <c r="AC191" s="48">
        <f t="shared" si="17"/>
        <v>1013</v>
      </c>
      <c r="AD191" s="51">
        <f t="shared" si="18"/>
        <v>0.6584625759</v>
      </c>
    </row>
    <row r="192">
      <c r="A192" s="24"/>
      <c r="B192" s="46" t="s">
        <v>1484</v>
      </c>
      <c r="C192" s="47"/>
      <c r="D192" s="38">
        <v>383.0</v>
      </c>
      <c r="E192" s="38">
        <v>269.0</v>
      </c>
      <c r="F192" s="38">
        <v>42.0</v>
      </c>
      <c r="G192" s="38">
        <v>34.0</v>
      </c>
      <c r="H192" s="38">
        <v>68.0</v>
      </c>
      <c r="I192" s="48">
        <f t="shared" si="3"/>
        <v>694</v>
      </c>
      <c r="J192" s="48">
        <f t="shared" si="4"/>
        <v>796</v>
      </c>
      <c r="K192" s="49">
        <f t="shared" si="5"/>
        <v>0.5518731988</v>
      </c>
      <c r="L192" s="49">
        <f t="shared" si="6"/>
        <v>0.3876080692</v>
      </c>
      <c r="M192" s="49">
        <f t="shared" si="7"/>
        <v>0.06051873199</v>
      </c>
      <c r="N192" s="32" t="str">
        <f t="shared" si="8"/>
        <v>Jânio</v>
      </c>
      <c r="O192" s="50" t="s">
        <v>77</v>
      </c>
      <c r="P192" s="38">
        <v>313.0</v>
      </c>
      <c r="Q192" s="38">
        <v>308.0</v>
      </c>
      <c r="R192" s="38">
        <v>45.0</v>
      </c>
      <c r="S192" s="38">
        <v>88.0</v>
      </c>
      <c r="T192" s="38">
        <v>42.0</v>
      </c>
      <c r="U192" s="48">
        <f t="shared" si="9"/>
        <v>666</v>
      </c>
      <c r="V192" s="48">
        <f t="shared" si="10"/>
        <v>796</v>
      </c>
      <c r="W192" s="49">
        <f t="shared" si="11"/>
        <v>0.46996997</v>
      </c>
      <c r="X192" s="49">
        <f t="shared" si="12"/>
        <v>0.4624624625</v>
      </c>
      <c r="Y192" s="49">
        <f t="shared" si="13"/>
        <v>0.06756756757</v>
      </c>
      <c r="Z192" s="32" t="str">
        <f t="shared" si="14"/>
        <v>Jango</v>
      </c>
      <c r="AA192" s="50" t="s">
        <v>77</v>
      </c>
      <c r="AB192" s="38">
        <v>1006.0</v>
      </c>
      <c r="AC192" s="48">
        <f t="shared" si="17"/>
        <v>210</v>
      </c>
      <c r="AD192" s="51">
        <f t="shared" si="18"/>
        <v>0.7912524851</v>
      </c>
    </row>
    <row r="193">
      <c r="A193" s="69" t="s">
        <v>54</v>
      </c>
      <c r="B193" s="13"/>
      <c r="C193" s="47"/>
      <c r="D193" s="38">
        <f t="shared" ref="D193:H193" si="19">SUM(D14:D192)</f>
        <v>125427</v>
      </c>
      <c r="E193" s="38">
        <f t="shared" si="19"/>
        <v>126671</v>
      </c>
      <c r="F193" s="38">
        <f t="shared" si="19"/>
        <v>22338</v>
      </c>
      <c r="G193" s="38">
        <f t="shared" si="19"/>
        <v>23744</v>
      </c>
      <c r="H193" s="38">
        <f t="shared" si="19"/>
        <v>20100</v>
      </c>
      <c r="I193" s="48">
        <f t="shared" si="3"/>
        <v>274436</v>
      </c>
      <c r="J193" s="48">
        <f t="shared" si="4"/>
        <v>318280</v>
      </c>
      <c r="K193" s="49">
        <f t="shared" si="5"/>
        <v>0.4570355201</v>
      </c>
      <c r="L193" s="49">
        <f t="shared" si="6"/>
        <v>0.4615684531</v>
      </c>
      <c r="M193" s="49">
        <f t="shared" si="7"/>
        <v>0.08139602676</v>
      </c>
      <c r="N193" s="32" t="str">
        <f t="shared" si="8"/>
        <v>Mal. Lott</v>
      </c>
      <c r="O193" s="50"/>
      <c r="P193" s="38">
        <f t="shared" ref="P193:T193" si="20">SUM(P14:P192)</f>
        <v>130786</v>
      </c>
      <c r="Q193" s="38">
        <f t="shared" si="20"/>
        <v>94392</v>
      </c>
      <c r="R193" s="38">
        <f t="shared" si="20"/>
        <v>28678</v>
      </c>
      <c r="S193" s="38">
        <f t="shared" si="20"/>
        <v>50373</v>
      </c>
      <c r="T193" s="38">
        <f t="shared" si="20"/>
        <v>14051</v>
      </c>
      <c r="U193" s="48">
        <f t="shared" si="9"/>
        <v>253856</v>
      </c>
      <c r="V193" s="48">
        <f t="shared" si="10"/>
        <v>318280</v>
      </c>
      <c r="W193" s="49">
        <f t="shared" si="11"/>
        <v>0.5151975923</v>
      </c>
      <c r="X193" s="49">
        <f t="shared" si="12"/>
        <v>0.3718328501</v>
      </c>
      <c r="Y193" s="49">
        <f t="shared" si="13"/>
        <v>0.1129695575</v>
      </c>
      <c r="Z193" s="32" t="str">
        <f t="shared" si="14"/>
        <v>Jango</v>
      </c>
      <c r="AA193" s="44"/>
      <c r="AB193" s="55">
        <v>408654.0</v>
      </c>
      <c r="AC193" s="48">
        <f t="shared" si="17"/>
        <v>90374</v>
      </c>
      <c r="AD193" s="51">
        <f t="shared" si="18"/>
        <v>0.7788495891</v>
      </c>
    </row>
    <row r="194">
      <c r="O194" s="73"/>
    </row>
    <row r="195">
      <c r="B195" s="74" t="s">
        <v>138</v>
      </c>
      <c r="D195" s="75"/>
      <c r="E195" s="75"/>
      <c r="F195" s="75"/>
      <c r="G195" s="75"/>
    </row>
    <row r="196">
      <c r="B196" s="76" t="s">
        <v>139</v>
      </c>
      <c r="C196" s="33"/>
      <c r="D196" s="29"/>
      <c r="E196" s="29"/>
      <c r="F196" s="77"/>
      <c r="G196" s="77"/>
    </row>
    <row r="197">
      <c r="B197" s="76" t="s">
        <v>139</v>
      </c>
      <c r="D197" s="29"/>
      <c r="E197" s="29"/>
      <c r="F197" s="77"/>
      <c r="G197" s="77"/>
    </row>
    <row r="198">
      <c r="B198" s="76" t="s">
        <v>222</v>
      </c>
      <c r="D198" s="29"/>
      <c r="E198" s="29"/>
      <c r="F198" s="77"/>
      <c r="G198" s="77"/>
    </row>
    <row r="199">
      <c r="D199" s="29"/>
      <c r="E199" s="29"/>
      <c r="F199" s="77"/>
      <c r="G199" s="77"/>
    </row>
  </sheetData>
  <mergeCells count="55">
    <mergeCell ref="D2:G2"/>
    <mergeCell ref="A10:C10"/>
    <mergeCell ref="D10:N10"/>
    <mergeCell ref="P10:Z10"/>
    <mergeCell ref="AA10:AD10"/>
    <mergeCell ref="A16:A20"/>
    <mergeCell ref="A21:A23"/>
    <mergeCell ref="A24:A25"/>
    <mergeCell ref="A26:A27"/>
    <mergeCell ref="A28:A29"/>
    <mergeCell ref="A30:A32"/>
    <mergeCell ref="A33:A35"/>
    <mergeCell ref="A37:A42"/>
    <mergeCell ref="A43:A47"/>
    <mergeCell ref="A48:A49"/>
    <mergeCell ref="A50:A51"/>
    <mergeCell ref="A53:A54"/>
    <mergeCell ref="A55:A58"/>
    <mergeCell ref="A59:A64"/>
    <mergeCell ref="A66:A67"/>
    <mergeCell ref="A68:A69"/>
    <mergeCell ref="A72:A77"/>
    <mergeCell ref="A79:A80"/>
    <mergeCell ref="A81:A83"/>
    <mergeCell ref="A84:A90"/>
    <mergeCell ref="A91:A93"/>
    <mergeCell ref="A94:A95"/>
    <mergeCell ref="A98:A100"/>
    <mergeCell ref="A101:A103"/>
    <mergeCell ref="A104:A106"/>
    <mergeCell ref="A108:A109"/>
    <mergeCell ref="A110:A111"/>
    <mergeCell ref="A112:A116"/>
    <mergeCell ref="A122:A125"/>
    <mergeCell ref="A126:A128"/>
    <mergeCell ref="A129:A130"/>
    <mergeCell ref="A131:A132"/>
    <mergeCell ref="A134:A135"/>
    <mergeCell ref="A137:A138"/>
    <mergeCell ref="A139:A143"/>
    <mergeCell ref="A145:A148"/>
    <mergeCell ref="A149:A150"/>
    <mergeCell ref="A178:A179"/>
    <mergeCell ref="A180:A181"/>
    <mergeCell ref="A183:A184"/>
    <mergeCell ref="A188:A189"/>
    <mergeCell ref="A191:A192"/>
    <mergeCell ref="A193:B193"/>
    <mergeCell ref="A151:A152"/>
    <mergeCell ref="A154:A157"/>
    <mergeCell ref="A160:A161"/>
    <mergeCell ref="A164:A165"/>
    <mergeCell ref="A169:A170"/>
    <mergeCell ref="A172:A174"/>
    <mergeCell ref="A175:A177"/>
  </mergeCells>
  <conditionalFormatting sqref="K12:M193 N12:N194 Z12:Z193">
    <cfRule type="colorScale" priority="1">
      <colorScale>
        <cfvo type="percent" val="0"/>
        <cfvo type="percent" val="50"/>
        <cfvo type="percent" val="100"/>
        <color rgb="FFFFFFFF"/>
        <color rgb="FFABDDC5"/>
        <color rgb="FF57BB8A"/>
      </colorScale>
    </cfRule>
  </conditionalFormatting>
  <conditionalFormatting sqref="W12:Y193">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7.7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IF(COUNTIF($N$12:$N$163,D3)=0,"-",COUNTIF($N$12:$N$163,D3))</f>
        <v>126</v>
      </c>
      <c r="F3" s="32" t="s">
        <v>47</v>
      </c>
      <c r="G3" s="22">
        <f t="shared" ref="G3:G6" si="2">IF(COUNTIF($Z$12:$Z$163,F3)=0,"-",COUNTIF($Z$12:$Z$163,F3))</f>
        <v>57</v>
      </c>
    </row>
    <row r="4">
      <c r="D4" s="32" t="s">
        <v>48</v>
      </c>
      <c r="E4" s="22">
        <f t="shared" si="1"/>
        <v>23</v>
      </c>
      <c r="F4" s="32" t="s">
        <v>49</v>
      </c>
      <c r="G4" s="22">
        <f t="shared" si="2"/>
        <v>4</v>
      </c>
    </row>
    <row r="5">
      <c r="D5" s="32" t="s">
        <v>50</v>
      </c>
      <c r="E5" s="22">
        <f t="shared" si="1"/>
        <v>3</v>
      </c>
      <c r="F5" s="32" t="s">
        <v>51</v>
      </c>
      <c r="G5" s="22">
        <f t="shared" si="2"/>
        <v>91</v>
      </c>
    </row>
    <row r="6">
      <c r="D6" s="32" t="s">
        <v>52</v>
      </c>
      <c r="E6" s="22" t="str">
        <f t="shared" si="1"/>
        <v>-</v>
      </c>
      <c r="F6" s="32" t="s">
        <v>52</v>
      </c>
      <c r="G6" s="22" t="str">
        <f t="shared" si="2"/>
        <v>-</v>
      </c>
    </row>
    <row r="7">
      <c r="D7" s="32" t="s">
        <v>54</v>
      </c>
      <c r="E7" s="32">
        <f>SUM(E3:E6)</f>
        <v>152</v>
      </c>
      <c r="F7" s="32" t="s">
        <v>54</v>
      </c>
      <c r="G7" s="32">
        <f>SUM(G3:G6)</f>
        <v>152</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110" t="s">
        <v>1485</v>
      </c>
      <c r="B12" s="46" t="s">
        <v>1486</v>
      </c>
      <c r="C12" s="47"/>
      <c r="D12" s="38">
        <v>77690.0</v>
      </c>
      <c r="E12" s="38">
        <v>57571.0</v>
      </c>
      <c r="F12" s="38">
        <v>58198.0</v>
      </c>
      <c r="G12" s="38">
        <v>2913.0</v>
      </c>
      <c r="H12" s="38">
        <v>8463.0</v>
      </c>
      <c r="I12" s="48">
        <f t="shared" ref="I12:I164" si="3">SUM(D12:F12)</f>
        <v>193459</v>
      </c>
      <c r="J12" s="48">
        <f t="shared" ref="J12:J164" si="4">SUM(G12:I12)</f>
        <v>204835</v>
      </c>
      <c r="K12" s="49">
        <f t="shared" ref="K12:K164" si="5">D12/I12</f>
        <v>0.4015837981</v>
      </c>
      <c r="L12" s="49">
        <f t="shared" ref="L12:L164" si="6">E12/I12</f>
        <v>0.2975876025</v>
      </c>
      <c r="M12" s="49">
        <f t="shared" ref="M12:M164" si="7">F12/I12</f>
        <v>0.3008285993</v>
      </c>
      <c r="N12" s="32" t="str">
        <f t="shared" ref="N12:N164" si="8">IF(LARGE(D12:F12,1)=0,#REF!,IF(LARGE(D12:F12,1)=LARGE(D12:F12,2),$D$6,IF(LARGE(D12:F12,1)=D12,$D$3,IF(LARGE(D12:F12,1)=E12,$D$4,IF(LARGE(D12:F12,1)=F12,$D$5)))))</f>
        <v>Jânio</v>
      </c>
      <c r="O12" s="50" t="s">
        <v>77</v>
      </c>
      <c r="P12" s="38">
        <v>68223.0</v>
      </c>
      <c r="Q12" s="38">
        <v>12374.0</v>
      </c>
      <c r="R12" s="38">
        <v>111683.0</v>
      </c>
      <c r="S12" s="38">
        <v>4936.0</v>
      </c>
      <c r="T12" s="38">
        <v>7619.0</v>
      </c>
      <c r="U12" s="48">
        <f t="shared" ref="U12:U164" si="9">SUM(P12:R12)</f>
        <v>192280</v>
      </c>
      <c r="V12" s="48">
        <f t="shared" ref="V12:V164" si="10">SUM(S12:U12)</f>
        <v>204835</v>
      </c>
      <c r="W12" s="49">
        <f t="shared" ref="W12:W164" si="11">P12/U12</f>
        <v>0.3548106927</v>
      </c>
      <c r="X12" s="49">
        <f t="shared" ref="X12:X164" si="12">Q12/U12</f>
        <v>0.06435406699</v>
      </c>
      <c r="Y12" s="49">
        <f t="shared" ref="Y12:Y164" si="13">R12/U12</f>
        <v>0.5808352403</v>
      </c>
      <c r="Z12" s="32" t="str">
        <f t="shared" ref="Z12:Z164" si="14">IF(LARGE(P12:R12,1)=0,#REF!,IF(LARGE(P12:R12,1)=LARGE(P12:R12,2),$F$6,IF(LARGE(P12:R12,1)=P12,$F$3,IF(LARGE(P12:R12,1)=Q12,$F$4,IF(LARGE(P12:R12,1)=R12,$F$5)))))</f>
        <v>Ferrari</v>
      </c>
      <c r="AA12" s="50" t="s">
        <v>77</v>
      </c>
      <c r="AB12" s="38">
        <v>224897.0</v>
      </c>
      <c r="AC12" s="48">
        <f t="shared" ref="AC12:AC50" si="15">AB12-V12</f>
        <v>20062</v>
      </c>
      <c r="AD12" s="51">
        <f t="shared" ref="AD12:AD50" si="16">V12/AB12</f>
        <v>0.9107947194</v>
      </c>
    </row>
    <row r="13">
      <c r="A13" s="61" t="s">
        <v>79</v>
      </c>
      <c r="B13" s="46" t="s">
        <v>1487</v>
      </c>
      <c r="C13" s="47"/>
      <c r="D13" s="38">
        <v>1577.0</v>
      </c>
      <c r="E13" s="38">
        <v>1078.0</v>
      </c>
      <c r="F13" s="38">
        <v>568.0</v>
      </c>
      <c r="G13" s="38">
        <v>73.0</v>
      </c>
      <c r="H13" s="38">
        <v>88.0</v>
      </c>
      <c r="I13" s="48">
        <f t="shared" si="3"/>
        <v>3223</v>
      </c>
      <c r="J13" s="48">
        <f t="shared" si="4"/>
        <v>3384</v>
      </c>
      <c r="K13" s="49">
        <f t="shared" si="5"/>
        <v>0.4892956872</v>
      </c>
      <c r="L13" s="49">
        <f t="shared" si="6"/>
        <v>0.3344709898</v>
      </c>
      <c r="M13" s="49">
        <f t="shared" si="7"/>
        <v>0.176233323</v>
      </c>
      <c r="N13" s="32" t="str">
        <f t="shared" si="8"/>
        <v>Jânio</v>
      </c>
      <c r="O13" s="50" t="s">
        <v>77</v>
      </c>
      <c r="P13" s="38">
        <v>1179.0</v>
      </c>
      <c r="Q13" s="38">
        <v>380.0</v>
      </c>
      <c r="R13" s="38">
        <v>1538.0</v>
      </c>
      <c r="S13" s="38">
        <v>239.0</v>
      </c>
      <c r="T13" s="38">
        <v>48.0</v>
      </c>
      <c r="U13" s="48">
        <f t="shared" si="9"/>
        <v>3097</v>
      </c>
      <c r="V13" s="48">
        <f t="shared" si="10"/>
        <v>3384</v>
      </c>
      <c r="W13" s="49">
        <f t="shared" si="11"/>
        <v>0.3806909913</v>
      </c>
      <c r="X13" s="49">
        <f t="shared" si="12"/>
        <v>0.1226993865</v>
      </c>
      <c r="Y13" s="49">
        <f t="shared" si="13"/>
        <v>0.4966096222</v>
      </c>
      <c r="Z13" s="32" t="str">
        <f t="shared" si="14"/>
        <v>Ferrari</v>
      </c>
      <c r="AA13" s="50" t="s">
        <v>77</v>
      </c>
      <c r="AB13" s="38">
        <v>3642.0</v>
      </c>
      <c r="AC13" s="48">
        <f t="shared" si="15"/>
        <v>258</v>
      </c>
      <c r="AD13" s="51">
        <f t="shared" si="16"/>
        <v>0.9291598023</v>
      </c>
    </row>
    <row r="14">
      <c r="A14" s="24"/>
      <c r="B14" s="46" t="s">
        <v>1488</v>
      </c>
      <c r="C14" s="47"/>
      <c r="D14" s="38">
        <v>1754.0</v>
      </c>
      <c r="E14" s="38">
        <v>1041.0</v>
      </c>
      <c r="F14" s="38">
        <v>544.0</v>
      </c>
      <c r="G14" s="38">
        <v>123.0</v>
      </c>
      <c r="H14" s="38">
        <v>136.0</v>
      </c>
      <c r="I14" s="48">
        <f t="shared" si="3"/>
        <v>3339</v>
      </c>
      <c r="J14" s="48">
        <f t="shared" si="4"/>
        <v>3598</v>
      </c>
      <c r="K14" s="49">
        <f t="shared" si="5"/>
        <v>0.5253069781</v>
      </c>
      <c r="L14" s="49">
        <f t="shared" si="6"/>
        <v>0.311769991</v>
      </c>
      <c r="M14" s="49">
        <f t="shared" si="7"/>
        <v>0.1629230308</v>
      </c>
      <c r="N14" s="32" t="str">
        <f t="shared" si="8"/>
        <v>Jânio</v>
      </c>
      <c r="O14" s="50" t="s">
        <v>77</v>
      </c>
      <c r="P14" s="38">
        <v>1071.0</v>
      </c>
      <c r="Q14" s="38">
        <v>434.0</v>
      </c>
      <c r="R14" s="38">
        <v>1790.0</v>
      </c>
      <c r="S14" s="38">
        <v>209.0</v>
      </c>
      <c r="T14" s="38">
        <v>94.0</v>
      </c>
      <c r="U14" s="48">
        <f t="shared" si="9"/>
        <v>3295</v>
      </c>
      <c r="V14" s="48">
        <f t="shared" si="10"/>
        <v>3598</v>
      </c>
      <c r="W14" s="49">
        <f t="shared" si="11"/>
        <v>0.3250379363</v>
      </c>
      <c r="X14" s="49">
        <f t="shared" si="12"/>
        <v>0.1317147193</v>
      </c>
      <c r="Y14" s="49">
        <f t="shared" si="13"/>
        <v>0.5432473445</v>
      </c>
      <c r="Z14" s="32" t="str">
        <f t="shared" si="14"/>
        <v>Ferrari</v>
      </c>
      <c r="AA14" s="50" t="s">
        <v>77</v>
      </c>
      <c r="AB14" s="38">
        <v>3941.0</v>
      </c>
      <c r="AC14" s="48">
        <f t="shared" si="15"/>
        <v>343</v>
      </c>
      <c r="AD14" s="51">
        <f t="shared" si="16"/>
        <v>0.9129662522</v>
      </c>
    </row>
    <row r="15">
      <c r="A15" s="110" t="s">
        <v>85</v>
      </c>
      <c r="B15" s="46" t="s">
        <v>1489</v>
      </c>
      <c r="C15" s="47"/>
      <c r="D15" s="38">
        <v>2452.0</v>
      </c>
      <c r="E15" s="38">
        <v>2175.0</v>
      </c>
      <c r="F15" s="38">
        <v>359.0</v>
      </c>
      <c r="G15" s="38">
        <v>254.0</v>
      </c>
      <c r="H15" s="38">
        <v>212.0</v>
      </c>
      <c r="I15" s="48">
        <f t="shared" si="3"/>
        <v>4986</v>
      </c>
      <c r="J15" s="48">
        <f t="shared" si="4"/>
        <v>5452</v>
      </c>
      <c r="K15" s="49">
        <f t="shared" si="5"/>
        <v>0.4917769755</v>
      </c>
      <c r="L15" s="49">
        <f t="shared" si="6"/>
        <v>0.43622142</v>
      </c>
      <c r="M15" s="49">
        <f t="shared" si="7"/>
        <v>0.07200160449</v>
      </c>
      <c r="N15" s="32" t="str">
        <f t="shared" si="8"/>
        <v>Jânio</v>
      </c>
      <c r="O15" s="50" t="s">
        <v>77</v>
      </c>
      <c r="P15" s="38">
        <v>2265.0</v>
      </c>
      <c r="Q15" s="38">
        <v>338.0</v>
      </c>
      <c r="R15" s="38">
        <v>2245.0</v>
      </c>
      <c r="S15" s="38">
        <v>457.0</v>
      </c>
      <c r="T15" s="38">
        <v>147.0</v>
      </c>
      <c r="U15" s="48">
        <f t="shared" si="9"/>
        <v>4848</v>
      </c>
      <c r="V15" s="48">
        <f t="shared" si="10"/>
        <v>5452</v>
      </c>
      <c r="W15" s="49">
        <f t="shared" si="11"/>
        <v>0.4672029703</v>
      </c>
      <c r="X15" s="49">
        <f t="shared" si="12"/>
        <v>0.06971947195</v>
      </c>
      <c r="Y15" s="49">
        <f t="shared" si="13"/>
        <v>0.4630775578</v>
      </c>
      <c r="Z15" s="32" t="str">
        <f t="shared" si="14"/>
        <v>Jango</v>
      </c>
      <c r="AA15" s="50" t="s">
        <v>77</v>
      </c>
      <c r="AB15" s="38">
        <v>5997.0</v>
      </c>
      <c r="AC15" s="48">
        <f t="shared" si="15"/>
        <v>545</v>
      </c>
      <c r="AD15" s="51">
        <f t="shared" si="16"/>
        <v>0.9091212273</v>
      </c>
    </row>
    <row r="16">
      <c r="A16" s="110" t="s">
        <v>90</v>
      </c>
      <c r="B16" s="46" t="s">
        <v>1490</v>
      </c>
      <c r="C16" s="47"/>
      <c r="D16" s="38">
        <v>6715.0</v>
      </c>
      <c r="E16" s="38">
        <v>7261.0</v>
      </c>
      <c r="F16" s="38">
        <v>826.0</v>
      </c>
      <c r="G16" s="38">
        <v>229.0</v>
      </c>
      <c r="H16" s="38">
        <v>252.0</v>
      </c>
      <c r="I16" s="48">
        <f t="shared" si="3"/>
        <v>14802</v>
      </c>
      <c r="J16" s="48">
        <f t="shared" si="4"/>
        <v>15283</v>
      </c>
      <c r="K16" s="49">
        <f t="shared" si="5"/>
        <v>0.4536549115</v>
      </c>
      <c r="L16" s="49">
        <f t="shared" si="6"/>
        <v>0.4905418187</v>
      </c>
      <c r="M16" s="49">
        <f t="shared" si="7"/>
        <v>0.05580326983</v>
      </c>
      <c r="N16" s="32" t="str">
        <f t="shared" si="8"/>
        <v>Mal. Lott</v>
      </c>
      <c r="O16" s="50" t="s">
        <v>77</v>
      </c>
      <c r="P16" s="38">
        <v>7135.0</v>
      </c>
      <c r="Q16" s="38">
        <v>4626.0</v>
      </c>
      <c r="R16" s="38">
        <v>2926.0</v>
      </c>
      <c r="S16" s="38">
        <v>415.0</v>
      </c>
      <c r="T16" s="38">
        <v>181.0</v>
      </c>
      <c r="U16" s="48">
        <f t="shared" si="9"/>
        <v>14687</v>
      </c>
      <c r="V16" s="48">
        <f t="shared" si="10"/>
        <v>15283</v>
      </c>
      <c r="W16" s="49">
        <f t="shared" si="11"/>
        <v>0.485803772</v>
      </c>
      <c r="X16" s="49">
        <f t="shared" si="12"/>
        <v>0.3149724246</v>
      </c>
      <c r="Y16" s="49">
        <f t="shared" si="13"/>
        <v>0.1992238034</v>
      </c>
      <c r="Z16" s="32" t="str">
        <f t="shared" si="14"/>
        <v>Jango</v>
      </c>
      <c r="AA16" s="50" t="s">
        <v>77</v>
      </c>
      <c r="AB16" s="38">
        <v>16934.0</v>
      </c>
      <c r="AC16" s="48">
        <f t="shared" si="15"/>
        <v>1651</v>
      </c>
      <c r="AD16" s="51">
        <f t="shared" si="16"/>
        <v>0.9025038384</v>
      </c>
    </row>
    <row r="17">
      <c r="A17" s="110" t="s">
        <v>92</v>
      </c>
      <c r="B17" s="46" t="s">
        <v>1491</v>
      </c>
      <c r="C17" s="47"/>
      <c r="D17" s="38">
        <v>1790.0</v>
      </c>
      <c r="E17" s="38">
        <v>1088.0</v>
      </c>
      <c r="F17" s="38">
        <v>253.0</v>
      </c>
      <c r="G17" s="38">
        <v>56.0</v>
      </c>
      <c r="H17" s="38">
        <v>55.0</v>
      </c>
      <c r="I17" s="48">
        <f t="shared" si="3"/>
        <v>3131</v>
      </c>
      <c r="J17" s="48">
        <f t="shared" si="4"/>
        <v>3242</v>
      </c>
      <c r="K17" s="49">
        <f t="shared" si="5"/>
        <v>0.5717023315</v>
      </c>
      <c r="L17" s="49">
        <f t="shared" si="6"/>
        <v>0.3474928138</v>
      </c>
      <c r="M17" s="49">
        <f t="shared" si="7"/>
        <v>0.08080485468</v>
      </c>
      <c r="N17" s="32" t="str">
        <f t="shared" si="8"/>
        <v>Jânio</v>
      </c>
      <c r="O17" s="50" t="s">
        <v>77</v>
      </c>
      <c r="P17" s="38">
        <v>1124.0</v>
      </c>
      <c r="Q17" s="38">
        <v>221.0</v>
      </c>
      <c r="R17" s="38">
        <v>1748.0</v>
      </c>
      <c r="S17" s="38">
        <v>95.0</v>
      </c>
      <c r="T17" s="38">
        <v>54.0</v>
      </c>
      <c r="U17" s="48">
        <f t="shared" si="9"/>
        <v>3093</v>
      </c>
      <c r="V17" s="48">
        <f t="shared" si="10"/>
        <v>3242</v>
      </c>
      <c r="W17" s="49">
        <f t="shared" si="11"/>
        <v>0.3634012286</v>
      </c>
      <c r="X17" s="49">
        <f t="shared" si="12"/>
        <v>0.07145166505</v>
      </c>
      <c r="Y17" s="49">
        <f t="shared" si="13"/>
        <v>0.5651471064</v>
      </c>
      <c r="Z17" s="32" t="str">
        <f t="shared" si="14"/>
        <v>Ferrari</v>
      </c>
      <c r="AA17" s="50" t="s">
        <v>77</v>
      </c>
      <c r="AB17" s="38">
        <v>3668.0</v>
      </c>
      <c r="AC17" s="48">
        <f t="shared" si="15"/>
        <v>426</v>
      </c>
      <c r="AD17" s="51">
        <f t="shared" si="16"/>
        <v>0.8838604144</v>
      </c>
    </row>
    <row r="18">
      <c r="A18" s="61" t="s">
        <v>94</v>
      </c>
      <c r="B18" s="46" t="s">
        <v>1492</v>
      </c>
      <c r="C18" s="47"/>
      <c r="D18" s="38">
        <v>6428.0</v>
      </c>
      <c r="E18" s="38">
        <v>9828.0</v>
      </c>
      <c r="F18" s="38">
        <v>1090.0</v>
      </c>
      <c r="G18" s="38">
        <v>554.0</v>
      </c>
      <c r="H18" s="38">
        <v>460.0</v>
      </c>
      <c r="I18" s="48">
        <f t="shared" si="3"/>
        <v>17346</v>
      </c>
      <c r="J18" s="48">
        <f t="shared" si="4"/>
        <v>18360</v>
      </c>
      <c r="K18" s="49">
        <f t="shared" si="5"/>
        <v>0.3705753488</v>
      </c>
      <c r="L18" s="49">
        <f t="shared" si="6"/>
        <v>0.5665859564</v>
      </c>
      <c r="M18" s="49">
        <f t="shared" si="7"/>
        <v>0.0628386948</v>
      </c>
      <c r="N18" s="32" t="str">
        <f t="shared" si="8"/>
        <v>Mal. Lott</v>
      </c>
      <c r="O18" s="50" t="s">
        <v>77</v>
      </c>
      <c r="P18" s="38">
        <v>9651.0</v>
      </c>
      <c r="Q18" s="38">
        <v>3099.0</v>
      </c>
      <c r="R18" s="38">
        <v>4407.0</v>
      </c>
      <c r="S18" s="38">
        <v>877.0</v>
      </c>
      <c r="T18" s="38">
        <v>326.0</v>
      </c>
      <c r="U18" s="48">
        <f t="shared" si="9"/>
        <v>17157</v>
      </c>
      <c r="V18" s="48">
        <f t="shared" si="10"/>
        <v>18360</v>
      </c>
      <c r="W18" s="49">
        <f t="shared" si="11"/>
        <v>0.5625109285</v>
      </c>
      <c r="X18" s="49">
        <f t="shared" si="12"/>
        <v>0.1806259836</v>
      </c>
      <c r="Y18" s="49">
        <f t="shared" si="13"/>
        <v>0.256863088</v>
      </c>
      <c r="Z18" s="32" t="str">
        <f t="shared" si="14"/>
        <v>Jango</v>
      </c>
      <c r="AA18" s="50" t="s">
        <v>77</v>
      </c>
      <c r="AB18" s="38">
        <v>20579.0</v>
      </c>
      <c r="AC18" s="48">
        <f t="shared" si="15"/>
        <v>2219</v>
      </c>
      <c r="AD18" s="51">
        <f t="shared" si="16"/>
        <v>0.8921716313</v>
      </c>
    </row>
    <row r="19">
      <c r="A19" s="24"/>
      <c r="B19" s="46" t="s">
        <v>1493</v>
      </c>
      <c r="C19" s="47"/>
      <c r="D19" s="38">
        <v>1215.0</v>
      </c>
      <c r="E19" s="38">
        <v>1004.0</v>
      </c>
      <c r="F19" s="38">
        <v>131.0</v>
      </c>
      <c r="G19" s="38">
        <v>168.0</v>
      </c>
      <c r="H19" s="38">
        <v>90.0</v>
      </c>
      <c r="I19" s="48">
        <f t="shared" si="3"/>
        <v>2350</v>
      </c>
      <c r="J19" s="48">
        <f t="shared" si="4"/>
        <v>2608</v>
      </c>
      <c r="K19" s="49">
        <f t="shared" si="5"/>
        <v>0.5170212766</v>
      </c>
      <c r="L19" s="49">
        <f t="shared" si="6"/>
        <v>0.4272340426</v>
      </c>
      <c r="M19" s="49">
        <f t="shared" si="7"/>
        <v>0.05574468085</v>
      </c>
      <c r="N19" s="32" t="str">
        <f t="shared" si="8"/>
        <v>Jânio</v>
      </c>
      <c r="O19" s="50" t="s">
        <v>77</v>
      </c>
      <c r="P19" s="38">
        <v>1016.0</v>
      </c>
      <c r="Q19" s="38">
        <v>747.0</v>
      </c>
      <c r="R19" s="38">
        <v>528.0</v>
      </c>
      <c r="S19" s="38">
        <v>243.0</v>
      </c>
      <c r="T19" s="38">
        <v>74.0</v>
      </c>
      <c r="U19" s="48">
        <f t="shared" si="9"/>
        <v>2291</v>
      </c>
      <c r="V19" s="48">
        <f t="shared" si="10"/>
        <v>2608</v>
      </c>
      <c r="W19" s="49">
        <f t="shared" si="11"/>
        <v>0.4434744653</v>
      </c>
      <c r="X19" s="49">
        <f t="shared" si="12"/>
        <v>0.3260584897</v>
      </c>
      <c r="Y19" s="49">
        <f t="shared" si="13"/>
        <v>0.230467045</v>
      </c>
      <c r="Z19" s="32" t="str">
        <f t="shared" si="14"/>
        <v>Jango</v>
      </c>
      <c r="AA19" s="50" t="s">
        <v>77</v>
      </c>
      <c r="AB19" s="38">
        <v>3309.0</v>
      </c>
      <c r="AC19" s="48">
        <f t="shared" si="15"/>
        <v>701</v>
      </c>
      <c r="AD19" s="51">
        <f t="shared" si="16"/>
        <v>0.7881535207</v>
      </c>
    </row>
    <row r="20">
      <c r="A20" s="61" t="s">
        <v>97</v>
      </c>
      <c r="B20" s="46" t="s">
        <v>1494</v>
      </c>
      <c r="C20" s="47"/>
      <c r="D20" s="38">
        <v>4056.0</v>
      </c>
      <c r="E20" s="38">
        <v>3557.0</v>
      </c>
      <c r="F20" s="38">
        <v>1269.0</v>
      </c>
      <c r="G20" s="38">
        <v>326.0</v>
      </c>
      <c r="H20" s="38">
        <v>360.0</v>
      </c>
      <c r="I20" s="48">
        <f t="shared" si="3"/>
        <v>8882</v>
      </c>
      <c r="J20" s="48">
        <f t="shared" si="4"/>
        <v>9568</v>
      </c>
      <c r="K20" s="49">
        <f t="shared" si="5"/>
        <v>0.4566539068</v>
      </c>
      <c r="L20" s="49">
        <f t="shared" si="6"/>
        <v>0.4004728665</v>
      </c>
      <c r="M20" s="49">
        <f t="shared" si="7"/>
        <v>0.1428732268</v>
      </c>
      <c r="N20" s="32" t="str">
        <f t="shared" si="8"/>
        <v>Jânio</v>
      </c>
      <c r="O20" s="50" t="s">
        <v>77</v>
      </c>
      <c r="P20" s="38">
        <v>3637.0</v>
      </c>
      <c r="Q20" s="38">
        <v>281.0</v>
      </c>
      <c r="R20" s="38">
        <v>4946.0</v>
      </c>
      <c r="S20" s="38">
        <v>358.0</v>
      </c>
      <c r="T20" s="38">
        <v>346.0</v>
      </c>
      <c r="U20" s="48">
        <f t="shared" si="9"/>
        <v>8864</v>
      </c>
      <c r="V20" s="48">
        <f t="shared" si="10"/>
        <v>9568</v>
      </c>
      <c r="W20" s="49">
        <f t="shared" si="11"/>
        <v>0.4103113718</v>
      </c>
      <c r="X20" s="49">
        <f t="shared" si="12"/>
        <v>0.03170126354</v>
      </c>
      <c r="Y20" s="49">
        <f t="shared" si="13"/>
        <v>0.5579873646</v>
      </c>
      <c r="Z20" s="32" t="str">
        <f t="shared" si="14"/>
        <v>Ferrari</v>
      </c>
      <c r="AA20" s="50" t="s">
        <v>77</v>
      </c>
      <c r="AB20" s="38">
        <v>10765.0</v>
      </c>
      <c r="AC20" s="48">
        <f t="shared" si="15"/>
        <v>1197</v>
      </c>
      <c r="AD20" s="51">
        <f t="shared" si="16"/>
        <v>0.8888063168</v>
      </c>
    </row>
    <row r="21">
      <c r="A21" s="23"/>
      <c r="B21" s="46" t="s">
        <v>1495</v>
      </c>
      <c r="C21" s="47"/>
      <c r="D21" s="38">
        <v>3069.0</v>
      </c>
      <c r="E21" s="38">
        <v>1972.0</v>
      </c>
      <c r="F21" s="38">
        <v>377.0</v>
      </c>
      <c r="G21" s="38">
        <v>122.0</v>
      </c>
      <c r="H21" s="38">
        <v>183.0</v>
      </c>
      <c r="I21" s="48">
        <f t="shared" si="3"/>
        <v>5418</v>
      </c>
      <c r="J21" s="48">
        <f t="shared" si="4"/>
        <v>5723</v>
      </c>
      <c r="K21" s="49">
        <f t="shared" si="5"/>
        <v>0.5664451827</v>
      </c>
      <c r="L21" s="49">
        <f t="shared" si="6"/>
        <v>0.3639719454</v>
      </c>
      <c r="M21" s="49">
        <f t="shared" si="7"/>
        <v>0.06958287191</v>
      </c>
      <c r="N21" s="32" t="str">
        <f t="shared" si="8"/>
        <v>Jânio</v>
      </c>
      <c r="O21" s="50" t="s">
        <v>77</v>
      </c>
      <c r="P21" s="38">
        <v>2077.0</v>
      </c>
      <c r="Q21" s="38">
        <v>112.0</v>
      </c>
      <c r="R21" s="38">
        <v>3212.0</v>
      </c>
      <c r="S21" s="38">
        <v>148.0</v>
      </c>
      <c r="T21" s="38">
        <v>174.0</v>
      </c>
      <c r="U21" s="48">
        <f t="shared" si="9"/>
        <v>5401</v>
      </c>
      <c r="V21" s="48">
        <f t="shared" si="10"/>
        <v>5723</v>
      </c>
      <c r="W21" s="49">
        <f t="shared" si="11"/>
        <v>0.3845584151</v>
      </c>
      <c r="X21" s="49">
        <f t="shared" si="12"/>
        <v>0.02073690057</v>
      </c>
      <c r="Y21" s="49">
        <f t="shared" si="13"/>
        <v>0.5947046843</v>
      </c>
      <c r="Z21" s="32" t="str">
        <f t="shared" si="14"/>
        <v>Ferrari</v>
      </c>
      <c r="AA21" s="50" t="s">
        <v>77</v>
      </c>
      <c r="AB21" s="38">
        <v>6406.0</v>
      </c>
      <c r="AC21" s="48">
        <f t="shared" si="15"/>
        <v>683</v>
      </c>
      <c r="AD21" s="51">
        <f t="shared" si="16"/>
        <v>0.8933812051</v>
      </c>
    </row>
    <row r="22">
      <c r="A22" s="24"/>
      <c r="B22" s="46" t="s">
        <v>1496</v>
      </c>
      <c r="C22" s="47"/>
      <c r="D22" s="38">
        <v>1236.0</v>
      </c>
      <c r="E22" s="38">
        <v>740.0</v>
      </c>
      <c r="F22" s="38">
        <v>74.0</v>
      </c>
      <c r="G22" s="38">
        <v>54.0</v>
      </c>
      <c r="H22" s="38">
        <v>83.0</v>
      </c>
      <c r="I22" s="48">
        <f t="shared" si="3"/>
        <v>2050</v>
      </c>
      <c r="J22" s="48">
        <f t="shared" si="4"/>
        <v>2187</v>
      </c>
      <c r="K22" s="49">
        <f t="shared" si="5"/>
        <v>0.6029268293</v>
      </c>
      <c r="L22" s="49">
        <f t="shared" si="6"/>
        <v>0.3609756098</v>
      </c>
      <c r="M22" s="49">
        <f t="shared" si="7"/>
        <v>0.03609756098</v>
      </c>
      <c r="N22" s="32" t="str">
        <f t="shared" si="8"/>
        <v>Jânio</v>
      </c>
      <c r="O22" s="50" t="s">
        <v>77</v>
      </c>
      <c r="P22" s="38">
        <v>661.0</v>
      </c>
      <c r="Q22" s="38">
        <v>89.0</v>
      </c>
      <c r="R22" s="38">
        <v>1274.0</v>
      </c>
      <c r="S22" s="38">
        <v>76.0</v>
      </c>
      <c r="T22" s="38">
        <v>87.0</v>
      </c>
      <c r="U22" s="48">
        <f t="shared" si="9"/>
        <v>2024</v>
      </c>
      <c r="V22" s="48">
        <f t="shared" si="10"/>
        <v>2187</v>
      </c>
      <c r="W22" s="49">
        <f t="shared" si="11"/>
        <v>0.3265810277</v>
      </c>
      <c r="X22" s="49">
        <f t="shared" si="12"/>
        <v>0.04397233202</v>
      </c>
      <c r="Y22" s="49">
        <f t="shared" si="13"/>
        <v>0.6294466403</v>
      </c>
      <c r="Z22" s="32" t="str">
        <f t="shared" si="14"/>
        <v>Ferrari</v>
      </c>
      <c r="AA22" s="50" t="s">
        <v>77</v>
      </c>
      <c r="AB22" s="38">
        <v>2402.0</v>
      </c>
      <c r="AC22" s="48">
        <f t="shared" si="15"/>
        <v>215</v>
      </c>
      <c r="AD22" s="51">
        <f t="shared" si="16"/>
        <v>0.9104912573</v>
      </c>
    </row>
    <row r="23">
      <c r="A23" s="110" t="s">
        <v>99</v>
      </c>
      <c r="B23" s="46" t="s">
        <v>1497</v>
      </c>
      <c r="C23" s="47"/>
      <c r="D23" s="38">
        <v>3992.0</v>
      </c>
      <c r="E23" s="38">
        <v>2175.0</v>
      </c>
      <c r="F23" s="38">
        <v>373.0</v>
      </c>
      <c r="G23" s="38">
        <v>294.0</v>
      </c>
      <c r="H23" s="38">
        <v>217.0</v>
      </c>
      <c r="I23" s="48">
        <f t="shared" si="3"/>
        <v>6540</v>
      </c>
      <c r="J23" s="48">
        <f t="shared" si="4"/>
        <v>7051</v>
      </c>
      <c r="K23" s="49">
        <f t="shared" si="5"/>
        <v>0.6103975535</v>
      </c>
      <c r="L23" s="49">
        <f t="shared" si="6"/>
        <v>0.3325688073</v>
      </c>
      <c r="M23" s="49">
        <f t="shared" si="7"/>
        <v>0.05703363914</v>
      </c>
      <c r="N23" s="32" t="str">
        <f t="shared" si="8"/>
        <v>Jânio</v>
      </c>
      <c r="O23" s="50" t="s">
        <v>77</v>
      </c>
      <c r="P23" s="38">
        <v>2227.0</v>
      </c>
      <c r="Q23" s="38">
        <v>2339.0</v>
      </c>
      <c r="R23" s="38">
        <v>1834.0</v>
      </c>
      <c r="S23" s="38">
        <v>483.0</v>
      </c>
      <c r="T23" s="38">
        <v>168.0</v>
      </c>
      <c r="U23" s="48">
        <f t="shared" si="9"/>
        <v>6400</v>
      </c>
      <c r="V23" s="48">
        <f t="shared" si="10"/>
        <v>7051</v>
      </c>
      <c r="W23" s="49">
        <f t="shared" si="11"/>
        <v>0.34796875</v>
      </c>
      <c r="X23" s="49">
        <f t="shared" si="12"/>
        <v>0.36546875</v>
      </c>
      <c r="Y23" s="49">
        <f t="shared" si="13"/>
        <v>0.2865625</v>
      </c>
      <c r="Z23" s="32" t="str">
        <f t="shared" si="14"/>
        <v>Milton</v>
      </c>
      <c r="AA23" s="50" t="s">
        <v>77</v>
      </c>
      <c r="AB23" s="38">
        <v>7835.0</v>
      </c>
      <c r="AC23" s="48">
        <f t="shared" si="15"/>
        <v>784</v>
      </c>
      <c r="AD23" s="51">
        <f t="shared" si="16"/>
        <v>0.8999361838</v>
      </c>
    </row>
    <row r="24">
      <c r="A24" s="61" t="s">
        <v>104</v>
      </c>
      <c r="B24" s="46" t="s">
        <v>1498</v>
      </c>
      <c r="C24" s="47"/>
      <c r="D24" s="38">
        <v>6487.0</v>
      </c>
      <c r="E24" s="38">
        <v>6554.0</v>
      </c>
      <c r="F24" s="38">
        <v>3817.0</v>
      </c>
      <c r="G24" s="38">
        <v>396.0</v>
      </c>
      <c r="H24" s="38">
        <v>454.0</v>
      </c>
      <c r="I24" s="48">
        <f t="shared" si="3"/>
        <v>16858</v>
      </c>
      <c r="J24" s="48">
        <f t="shared" si="4"/>
        <v>17708</v>
      </c>
      <c r="K24" s="49">
        <f t="shared" si="5"/>
        <v>0.3848024677</v>
      </c>
      <c r="L24" s="49">
        <f t="shared" si="6"/>
        <v>0.3887768419</v>
      </c>
      <c r="M24" s="49">
        <f t="shared" si="7"/>
        <v>0.2264206905</v>
      </c>
      <c r="N24" s="32" t="str">
        <f t="shared" si="8"/>
        <v>Mal. Lott</v>
      </c>
      <c r="O24" s="50" t="s">
        <v>77</v>
      </c>
      <c r="P24" s="38">
        <v>7350.0</v>
      </c>
      <c r="Q24" s="38">
        <v>2344.0</v>
      </c>
      <c r="R24" s="38">
        <v>6927.0</v>
      </c>
      <c r="S24" s="38">
        <v>759.0</v>
      </c>
      <c r="T24" s="38">
        <v>328.0</v>
      </c>
      <c r="U24" s="48">
        <f t="shared" si="9"/>
        <v>16621</v>
      </c>
      <c r="V24" s="48">
        <f t="shared" si="10"/>
        <v>17708</v>
      </c>
      <c r="W24" s="49">
        <f t="shared" si="11"/>
        <v>0.4422116599</v>
      </c>
      <c r="X24" s="49">
        <f t="shared" si="12"/>
        <v>0.1410264124</v>
      </c>
      <c r="Y24" s="49">
        <f t="shared" si="13"/>
        <v>0.4167619277</v>
      </c>
      <c r="Z24" s="32" t="str">
        <f t="shared" si="14"/>
        <v>Jango</v>
      </c>
      <c r="AA24" s="50" t="s">
        <v>77</v>
      </c>
      <c r="AB24" s="38">
        <v>19204.0</v>
      </c>
      <c r="AC24" s="48">
        <f t="shared" si="15"/>
        <v>1496</v>
      </c>
      <c r="AD24" s="51">
        <f t="shared" si="16"/>
        <v>0.9220995626</v>
      </c>
    </row>
    <row r="25">
      <c r="A25" s="23"/>
      <c r="B25" s="46" t="s">
        <v>1499</v>
      </c>
      <c r="C25" s="47"/>
      <c r="D25" s="38">
        <v>1256.0</v>
      </c>
      <c r="E25" s="38">
        <v>802.0</v>
      </c>
      <c r="F25" s="38">
        <v>350.0</v>
      </c>
      <c r="G25" s="38">
        <v>99.0</v>
      </c>
      <c r="H25" s="38">
        <v>96.0</v>
      </c>
      <c r="I25" s="48">
        <f t="shared" si="3"/>
        <v>2408</v>
      </c>
      <c r="J25" s="48">
        <f t="shared" si="4"/>
        <v>2603</v>
      </c>
      <c r="K25" s="49">
        <f t="shared" si="5"/>
        <v>0.5215946844</v>
      </c>
      <c r="L25" s="49">
        <f t="shared" si="6"/>
        <v>0.3330564784</v>
      </c>
      <c r="M25" s="49">
        <f t="shared" si="7"/>
        <v>0.1453488372</v>
      </c>
      <c r="N25" s="32" t="str">
        <f t="shared" si="8"/>
        <v>Jânio</v>
      </c>
      <c r="O25" s="50" t="s">
        <v>77</v>
      </c>
      <c r="P25" s="38">
        <v>883.0</v>
      </c>
      <c r="Q25" s="38">
        <v>232.0</v>
      </c>
      <c r="R25" s="38">
        <v>1267.0</v>
      </c>
      <c r="S25" s="38">
        <v>141.0</v>
      </c>
      <c r="T25" s="38">
        <v>80.0</v>
      </c>
      <c r="U25" s="48">
        <f t="shared" si="9"/>
        <v>2382</v>
      </c>
      <c r="V25" s="48">
        <f t="shared" si="10"/>
        <v>2603</v>
      </c>
      <c r="W25" s="49">
        <f t="shared" si="11"/>
        <v>0.3706968934</v>
      </c>
      <c r="X25" s="49">
        <f t="shared" si="12"/>
        <v>0.09739714526</v>
      </c>
      <c r="Y25" s="49">
        <f t="shared" si="13"/>
        <v>0.5319059614</v>
      </c>
      <c r="Z25" s="32" t="str">
        <f t="shared" si="14"/>
        <v>Ferrari</v>
      </c>
      <c r="AA25" s="50" t="s">
        <v>77</v>
      </c>
      <c r="AB25" s="38">
        <v>2796.0</v>
      </c>
      <c r="AC25" s="48">
        <f t="shared" si="15"/>
        <v>193</v>
      </c>
      <c r="AD25" s="51">
        <f t="shared" si="16"/>
        <v>0.9309728183</v>
      </c>
    </row>
    <row r="26">
      <c r="A26" s="24"/>
      <c r="B26" s="46" t="s">
        <v>1500</v>
      </c>
      <c r="C26" s="47"/>
      <c r="D26" s="38">
        <v>961.0</v>
      </c>
      <c r="E26" s="38">
        <v>506.0</v>
      </c>
      <c r="F26" s="38">
        <v>813.0</v>
      </c>
      <c r="G26" s="38">
        <v>88.0</v>
      </c>
      <c r="H26" s="38">
        <v>111.0</v>
      </c>
      <c r="I26" s="48">
        <f t="shared" si="3"/>
        <v>2280</v>
      </c>
      <c r="J26" s="48">
        <f t="shared" si="4"/>
        <v>2479</v>
      </c>
      <c r="K26" s="49">
        <f t="shared" si="5"/>
        <v>0.4214912281</v>
      </c>
      <c r="L26" s="49">
        <f t="shared" si="6"/>
        <v>0.2219298246</v>
      </c>
      <c r="M26" s="49">
        <f t="shared" si="7"/>
        <v>0.3565789474</v>
      </c>
      <c r="N26" s="32" t="str">
        <f t="shared" si="8"/>
        <v>Jânio</v>
      </c>
      <c r="O26" s="50" t="s">
        <v>77</v>
      </c>
      <c r="P26" s="38">
        <v>516.0</v>
      </c>
      <c r="Q26" s="38">
        <v>227.0</v>
      </c>
      <c r="R26" s="38">
        <v>1444.0</v>
      </c>
      <c r="S26" s="38">
        <v>226.0</v>
      </c>
      <c r="T26" s="38">
        <v>66.0</v>
      </c>
      <c r="U26" s="48">
        <f t="shared" si="9"/>
        <v>2187</v>
      </c>
      <c r="V26" s="48">
        <f t="shared" si="10"/>
        <v>2479</v>
      </c>
      <c r="W26" s="49">
        <f t="shared" si="11"/>
        <v>0.2359396433</v>
      </c>
      <c r="X26" s="49">
        <f t="shared" si="12"/>
        <v>0.1037951532</v>
      </c>
      <c r="Y26" s="49">
        <f t="shared" si="13"/>
        <v>0.6602652035</v>
      </c>
      <c r="Z26" s="32" t="str">
        <f t="shared" si="14"/>
        <v>Ferrari</v>
      </c>
      <c r="AA26" s="50" t="s">
        <v>77</v>
      </c>
      <c r="AB26" s="38">
        <v>2608.0</v>
      </c>
      <c r="AC26" s="48">
        <f t="shared" si="15"/>
        <v>129</v>
      </c>
      <c r="AD26" s="51">
        <f t="shared" si="16"/>
        <v>0.9505368098</v>
      </c>
    </row>
    <row r="27">
      <c r="A27" s="61" t="s">
        <v>107</v>
      </c>
      <c r="B27" s="46" t="s">
        <v>1501</v>
      </c>
      <c r="C27" s="47"/>
      <c r="D27" s="38">
        <v>3288.0</v>
      </c>
      <c r="E27" s="38">
        <v>2216.0</v>
      </c>
      <c r="F27" s="38">
        <v>1541.0</v>
      </c>
      <c r="G27" s="38">
        <v>184.0</v>
      </c>
      <c r="H27" s="38">
        <v>192.0</v>
      </c>
      <c r="I27" s="48">
        <f t="shared" si="3"/>
        <v>7045</v>
      </c>
      <c r="J27" s="48">
        <f t="shared" si="4"/>
        <v>7421</v>
      </c>
      <c r="K27" s="49">
        <f t="shared" si="5"/>
        <v>0.4667139815</v>
      </c>
      <c r="L27" s="49">
        <f t="shared" si="6"/>
        <v>0.3145493258</v>
      </c>
      <c r="M27" s="49">
        <f t="shared" si="7"/>
        <v>0.2187366927</v>
      </c>
      <c r="N27" s="32" t="str">
        <f t="shared" si="8"/>
        <v>Jânio</v>
      </c>
      <c r="O27" s="50" t="s">
        <v>77</v>
      </c>
      <c r="P27" s="38">
        <v>2440.0</v>
      </c>
      <c r="Q27" s="38">
        <v>299.0</v>
      </c>
      <c r="R27" s="38">
        <v>4167.0</v>
      </c>
      <c r="S27" s="38">
        <v>410.0</v>
      </c>
      <c r="T27" s="38">
        <v>105.0</v>
      </c>
      <c r="U27" s="48">
        <f t="shared" si="9"/>
        <v>6906</v>
      </c>
      <c r="V27" s="48">
        <f t="shared" si="10"/>
        <v>7421</v>
      </c>
      <c r="W27" s="49">
        <f t="shared" si="11"/>
        <v>0.3533159571</v>
      </c>
      <c r="X27" s="49">
        <f t="shared" si="12"/>
        <v>0.04329568491</v>
      </c>
      <c r="Y27" s="49">
        <f t="shared" si="13"/>
        <v>0.6033883579</v>
      </c>
      <c r="Z27" s="32" t="str">
        <f t="shared" si="14"/>
        <v>Ferrari</v>
      </c>
      <c r="AA27" s="50" t="s">
        <v>77</v>
      </c>
      <c r="AB27" s="38">
        <v>7906.0</v>
      </c>
      <c r="AC27" s="48">
        <f t="shared" si="15"/>
        <v>485</v>
      </c>
      <c r="AD27" s="51">
        <f t="shared" si="16"/>
        <v>0.9386541867</v>
      </c>
    </row>
    <row r="28">
      <c r="A28" s="23"/>
      <c r="B28" s="46" t="s">
        <v>1502</v>
      </c>
      <c r="C28" s="47"/>
      <c r="D28" s="38">
        <v>1847.0</v>
      </c>
      <c r="E28" s="38">
        <v>1154.0</v>
      </c>
      <c r="F28" s="38">
        <v>413.0</v>
      </c>
      <c r="G28" s="38">
        <v>97.0</v>
      </c>
      <c r="H28" s="38">
        <v>97.0</v>
      </c>
      <c r="I28" s="48">
        <f t="shared" si="3"/>
        <v>3414</v>
      </c>
      <c r="J28" s="48">
        <f t="shared" si="4"/>
        <v>3608</v>
      </c>
      <c r="K28" s="49">
        <f t="shared" si="5"/>
        <v>0.5410076157</v>
      </c>
      <c r="L28" s="49">
        <f t="shared" si="6"/>
        <v>0.338019918</v>
      </c>
      <c r="M28" s="49">
        <f t="shared" si="7"/>
        <v>0.1209724663</v>
      </c>
      <c r="N28" s="32" t="str">
        <f t="shared" si="8"/>
        <v>Jânio</v>
      </c>
      <c r="O28" s="50" t="s">
        <v>77</v>
      </c>
      <c r="P28" s="38">
        <v>1017.0</v>
      </c>
      <c r="Q28" s="38">
        <v>147.0</v>
      </c>
      <c r="R28" s="38">
        <v>2201.0</v>
      </c>
      <c r="S28" s="38">
        <v>164.0</v>
      </c>
      <c r="T28" s="38">
        <v>79.0</v>
      </c>
      <c r="U28" s="48">
        <f t="shared" si="9"/>
        <v>3365</v>
      </c>
      <c r="V28" s="48">
        <f t="shared" si="10"/>
        <v>3608</v>
      </c>
      <c r="W28" s="49">
        <f t="shared" si="11"/>
        <v>0.3022288262</v>
      </c>
      <c r="X28" s="49">
        <f t="shared" si="12"/>
        <v>0.04368499257</v>
      </c>
      <c r="Y28" s="49">
        <f t="shared" si="13"/>
        <v>0.6540861813</v>
      </c>
      <c r="Z28" s="32" t="str">
        <f t="shared" si="14"/>
        <v>Ferrari</v>
      </c>
      <c r="AA28" s="50" t="s">
        <v>77</v>
      </c>
      <c r="AB28" s="38">
        <v>3751.0</v>
      </c>
      <c r="AC28" s="48">
        <f t="shared" si="15"/>
        <v>143</v>
      </c>
      <c r="AD28" s="51">
        <f t="shared" si="16"/>
        <v>0.9618768328</v>
      </c>
    </row>
    <row r="29">
      <c r="A29" s="24"/>
      <c r="B29" s="46" t="s">
        <v>1503</v>
      </c>
      <c r="C29" s="47"/>
      <c r="D29" s="38">
        <v>1685.0</v>
      </c>
      <c r="E29" s="38">
        <v>688.0</v>
      </c>
      <c r="F29" s="38">
        <v>965.0</v>
      </c>
      <c r="G29" s="38">
        <v>88.0</v>
      </c>
      <c r="H29" s="38">
        <v>67.0</v>
      </c>
      <c r="I29" s="48">
        <f t="shared" si="3"/>
        <v>3338</v>
      </c>
      <c r="J29" s="48">
        <f t="shared" si="4"/>
        <v>3493</v>
      </c>
      <c r="K29" s="49">
        <f t="shared" si="5"/>
        <v>0.5047932894</v>
      </c>
      <c r="L29" s="49">
        <f t="shared" si="6"/>
        <v>0.206111444</v>
      </c>
      <c r="M29" s="49">
        <f t="shared" si="7"/>
        <v>0.2890952666</v>
      </c>
      <c r="N29" s="32" t="str">
        <f t="shared" si="8"/>
        <v>Jânio</v>
      </c>
      <c r="O29" s="50" t="s">
        <v>77</v>
      </c>
      <c r="P29" s="38">
        <v>782.0</v>
      </c>
      <c r="Q29" s="38">
        <v>299.0</v>
      </c>
      <c r="R29" s="38">
        <v>2156.0</v>
      </c>
      <c r="S29" s="38">
        <v>215.0</v>
      </c>
      <c r="T29" s="38">
        <v>41.0</v>
      </c>
      <c r="U29" s="48">
        <f t="shared" si="9"/>
        <v>3237</v>
      </c>
      <c r="V29" s="48">
        <f t="shared" si="10"/>
        <v>3493</v>
      </c>
      <c r="W29" s="49">
        <f t="shared" si="11"/>
        <v>0.2415817115</v>
      </c>
      <c r="X29" s="49">
        <f t="shared" si="12"/>
        <v>0.09236947791</v>
      </c>
      <c r="Y29" s="49">
        <f t="shared" si="13"/>
        <v>0.6660488106</v>
      </c>
      <c r="Z29" s="32" t="str">
        <f t="shared" si="14"/>
        <v>Ferrari</v>
      </c>
      <c r="AA29" s="50" t="s">
        <v>77</v>
      </c>
      <c r="AB29" s="38">
        <v>3681.0</v>
      </c>
      <c r="AC29" s="48">
        <f t="shared" si="15"/>
        <v>188</v>
      </c>
      <c r="AD29" s="51">
        <f t="shared" si="16"/>
        <v>0.948926922</v>
      </c>
    </row>
    <row r="30">
      <c r="A30" s="110" t="s">
        <v>111</v>
      </c>
      <c r="B30" s="46" t="s">
        <v>1504</v>
      </c>
      <c r="C30" s="47"/>
      <c r="D30" s="38">
        <v>4225.0</v>
      </c>
      <c r="E30" s="38">
        <v>3580.0</v>
      </c>
      <c r="F30" s="38">
        <v>679.0</v>
      </c>
      <c r="G30" s="38">
        <v>537.0</v>
      </c>
      <c r="H30" s="38">
        <v>342.0</v>
      </c>
      <c r="I30" s="48">
        <f t="shared" si="3"/>
        <v>8484</v>
      </c>
      <c r="J30" s="48">
        <f t="shared" si="4"/>
        <v>9363</v>
      </c>
      <c r="K30" s="49">
        <f t="shared" si="5"/>
        <v>0.4979962282</v>
      </c>
      <c r="L30" s="49">
        <f t="shared" si="6"/>
        <v>0.4219707685</v>
      </c>
      <c r="M30" s="49">
        <f t="shared" si="7"/>
        <v>0.0800330033</v>
      </c>
      <c r="N30" s="32" t="str">
        <f t="shared" si="8"/>
        <v>Jânio</v>
      </c>
      <c r="O30" s="50" t="s">
        <v>77</v>
      </c>
      <c r="P30" s="38">
        <v>4016.0</v>
      </c>
      <c r="Q30" s="38">
        <v>969.0</v>
      </c>
      <c r="R30" s="38">
        <v>3410.0</v>
      </c>
      <c r="S30" s="38">
        <v>654.0</v>
      </c>
      <c r="T30" s="38">
        <v>314.0</v>
      </c>
      <c r="U30" s="48">
        <f t="shared" si="9"/>
        <v>8395</v>
      </c>
      <c r="V30" s="48">
        <f t="shared" si="10"/>
        <v>9363</v>
      </c>
      <c r="W30" s="49">
        <f t="shared" si="11"/>
        <v>0.4783799881</v>
      </c>
      <c r="X30" s="49">
        <f t="shared" si="12"/>
        <v>0.1154258487</v>
      </c>
      <c r="Y30" s="49">
        <f t="shared" si="13"/>
        <v>0.4061941632</v>
      </c>
      <c r="Z30" s="32" t="str">
        <f t="shared" si="14"/>
        <v>Jango</v>
      </c>
      <c r="AA30" s="50" t="s">
        <v>77</v>
      </c>
      <c r="AB30" s="38">
        <v>11021.0</v>
      </c>
      <c r="AC30" s="48">
        <f t="shared" si="15"/>
        <v>1658</v>
      </c>
      <c r="AD30" s="51">
        <f t="shared" si="16"/>
        <v>0.849559931</v>
      </c>
    </row>
    <row r="31">
      <c r="A31" s="110" t="s">
        <v>114</v>
      </c>
      <c r="B31" s="46" t="s">
        <v>1505</v>
      </c>
      <c r="C31" s="47"/>
      <c r="D31" s="38">
        <v>2016.0</v>
      </c>
      <c r="E31" s="38">
        <v>997.0</v>
      </c>
      <c r="F31" s="38">
        <v>1011.0</v>
      </c>
      <c r="G31" s="38">
        <v>250.0</v>
      </c>
      <c r="H31" s="38">
        <v>218.0</v>
      </c>
      <c r="I31" s="48">
        <f t="shared" si="3"/>
        <v>4024</v>
      </c>
      <c r="J31" s="48">
        <f t="shared" si="4"/>
        <v>4492</v>
      </c>
      <c r="K31" s="49">
        <f t="shared" si="5"/>
        <v>0.5009940358</v>
      </c>
      <c r="L31" s="49">
        <f t="shared" si="6"/>
        <v>0.2477634195</v>
      </c>
      <c r="M31" s="49">
        <f t="shared" si="7"/>
        <v>0.2512425447</v>
      </c>
      <c r="N31" s="32" t="str">
        <f t="shared" si="8"/>
        <v>Jânio</v>
      </c>
      <c r="O31" s="50" t="s">
        <v>77</v>
      </c>
      <c r="P31" s="38">
        <v>1226.0</v>
      </c>
      <c r="Q31" s="38">
        <v>879.0</v>
      </c>
      <c r="R31" s="38">
        <v>1829.0</v>
      </c>
      <c r="S31" s="38">
        <v>410.0</v>
      </c>
      <c r="T31" s="38">
        <v>148.0</v>
      </c>
      <c r="U31" s="48">
        <f t="shared" si="9"/>
        <v>3934</v>
      </c>
      <c r="V31" s="48">
        <f t="shared" si="10"/>
        <v>4492</v>
      </c>
      <c r="W31" s="49">
        <f t="shared" si="11"/>
        <v>0.3116420946</v>
      </c>
      <c r="X31" s="49">
        <f t="shared" si="12"/>
        <v>0.2234367056</v>
      </c>
      <c r="Y31" s="49">
        <f t="shared" si="13"/>
        <v>0.4649211998</v>
      </c>
      <c r="Z31" s="32" t="str">
        <f t="shared" si="14"/>
        <v>Ferrari</v>
      </c>
      <c r="AA31" s="50" t="s">
        <v>77</v>
      </c>
      <c r="AB31" s="38">
        <v>4912.0</v>
      </c>
      <c r="AC31" s="48">
        <f t="shared" si="15"/>
        <v>420</v>
      </c>
      <c r="AD31" s="51">
        <f t="shared" si="16"/>
        <v>0.914495114</v>
      </c>
    </row>
    <row r="32">
      <c r="A32" s="110" t="s">
        <v>117</v>
      </c>
      <c r="B32" s="46" t="s">
        <v>1506</v>
      </c>
      <c r="C32" s="47"/>
      <c r="D32" s="38">
        <v>5288.0</v>
      </c>
      <c r="E32" s="38">
        <v>3858.0</v>
      </c>
      <c r="F32" s="38">
        <v>669.0</v>
      </c>
      <c r="G32" s="38">
        <v>328.0</v>
      </c>
      <c r="H32" s="38">
        <v>246.0</v>
      </c>
      <c r="I32" s="48">
        <f t="shared" si="3"/>
        <v>9815</v>
      </c>
      <c r="J32" s="48">
        <f t="shared" si="4"/>
        <v>10389</v>
      </c>
      <c r="K32" s="49">
        <f t="shared" si="5"/>
        <v>0.5387671931</v>
      </c>
      <c r="L32" s="49">
        <f t="shared" si="6"/>
        <v>0.3930718288</v>
      </c>
      <c r="M32" s="49">
        <f t="shared" si="7"/>
        <v>0.06816097809</v>
      </c>
      <c r="N32" s="32" t="str">
        <f t="shared" si="8"/>
        <v>Jânio</v>
      </c>
      <c r="O32" s="50" t="s">
        <v>77</v>
      </c>
      <c r="P32" s="38">
        <v>4117.0</v>
      </c>
      <c r="Q32" s="38">
        <v>3918.0</v>
      </c>
      <c r="R32" s="38">
        <v>1650.0</v>
      </c>
      <c r="S32" s="38">
        <v>535.0</v>
      </c>
      <c r="T32" s="38">
        <v>169.0</v>
      </c>
      <c r="U32" s="48">
        <f t="shared" si="9"/>
        <v>9685</v>
      </c>
      <c r="V32" s="48">
        <f t="shared" si="10"/>
        <v>10389</v>
      </c>
      <c r="W32" s="49">
        <f t="shared" si="11"/>
        <v>0.4250903459</v>
      </c>
      <c r="X32" s="49">
        <f t="shared" si="12"/>
        <v>0.4045431079</v>
      </c>
      <c r="Y32" s="49">
        <f t="shared" si="13"/>
        <v>0.1703665462</v>
      </c>
      <c r="Z32" s="32" t="str">
        <f t="shared" si="14"/>
        <v>Jango</v>
      </c>
      <c r="AA32" s="50" t="s">
        <v>77</v>
      </c>
      <c r="AB32" s="38">
        <v>11458.0</v>
      </c>
      <c r="AC32" s="48">
        <f t="shared" si="15"/>
        <v>1069</v>
      </c>
      <c r="AD32" s="51">
        <f t="shared" si="16"/>
        <v>0.9067027404</v>
      </c>
    </row>
    <row r="33">
      <c r="A33" s="61" t="s">
        <v>119</v>
      </c>
      <c r="B33" s="46" t="s">
        <v>1507</v>
      </c>
      <c r="C33" s="47"/>
      <c r="D33" s="38">
        <v>4389.0</v>
      </c>
      <c r="E33" s="38">
        <v>3518.0</v>
      </c>
      <c r="F33" s="38">
        <v>1322.0</v>
      </c>
      <c r="G33" s="38">
        <v>268.0</v>
      </c>
      <c r="H33" s="38">
        <v>242.0</v>
      </c>
      <c r="I33" s="48">
        <f t="shared" si="3"/>
        <v>9229</v>
      </c>
      <c r="J33" s="48">
        <f t="shared" si="4"/>
        <v>9739</v>
      </c>
      <c r="K33" s="49">
        <f t="shared" si="5"/>
        <v>0.4755661502</v>
      </c>
      <c r="L33" s="49">
        <f t="shared" si="6"/>
        <v>0.381189728</v>
      </c>
      <c r="M33" s="49">
        <f t="shared" si="7"/>
        <v>0.1432441218</v>
      </c>
      <c r="N33" s="32" t="str">
        <f t="shared" si="8"/>
        <v>Jânio</v>
      </c>
      <c r="O33" s="50" t="s">
        <v>77</v>
      </c>
      <c r="P33" s="38">
        <v>3749.0</v>
      </c>
      <c r="Q33" s="38">
        <v>878.0</v>
      </c>
      <c r="R33" s="38">
        <v>4468.0</v>
      </c>
      <c r="S33" s="38">
        <v>496.0</v>
      </c>
      <c r="T33" s="38">
        <v>148.0</v>
      </c>
      <c r="U33" s="48">
        <f t="shared" si="9"/>
        <v>9095</v>
      </c>
      <c r="V33" s="48">
        <f t="shared" si="10"/>
        <v>9739</v>
      </c>
      <c r="W33" s="49">
        <f t="shared" si="11"/>
        <v>0.412204508</v>
      </c>
      <c r="X33" s="49">
        <f t="shared" si="12"/>
        <v>0.09653655855</v>
      </c>
      <c r="Y33" s="49">
        <f t="shared" si="13"/>
        <v>0.4912589335</v>
      </c>
      <c r="Z33" s="32" t="str">
        <f t="shared" si="14"/>
        <v>Ferrari</v>
      </c>
      <c r="AA33" s="50" t="s">
        <v>77</v>
      </c>
      <c r="AB33" s="38">
        <v>10719.0</v>
      </c>
      <c r="AC33" s="48">
        <f t="shared" si="15"/>
        <v>980</v>
      </c>
      <c r="AD33" s="51">
        <f t="shared" si="16"/>
        <v>0.908573561</v>
      </c>
    </row>
    <row r="34">
      <c r="A34" s="23"/>
      <c r="B34" s="46" t="s">
        <v>1508</v>
      </c>
      <c r="C34" s="47"/>
      <c r="D34" s="38">
        <v>1707.0</v>
      </c>
      <c r="E34" s="38">
        <v>1225.0</v>
      </c>
      <c r="F34" s="38">
        <v>387.0</v>
      </c>
      <c r="G34" s="38">
        <v>98.0</v>
      </c>
      <c r="H34" s="38">
        <v>98.0</v>
      </c>
      <c r="I34" s="48">
        <f t="shared" si="3"/>
        <v>3319</v>
      </c>
      <c r="J34" s="48">
        <f t="shared" si="4"/>
        <v>3515</v>
      </c>
      <c r="K34" s="49">
        <f t="shared" si="5"/>
        <v>0.5143115396</v>
      </c>
      <c r="L34" s="49">
        <f t="shared" si="6"/>
        <v>0.3690870744</v>
      </c>
      <c r="M34" s="49">
        <f t="shared" si="7"/>
        <v>0.116601386</v>
      </c>
      <c r="N34" s="32" t="str">
        <f t="shared" si="8"/>
        <v>Jânio</v>
      </c>
      <c r="O34" s="50" t="s">
        <v>77</v>
      </c>
      <c r="P34" s="38">
        <v>1307.0</v>
      </c>
      <c r="Q34" s="38">
        <v>320.0</v>
      </c>
      <c r="R34" s="38">
        <v>1605.0</v>
      </c>
      <c r="S34" s="38">
        <v>227.0</v>
      </c>
      <c r="T34" s="38">
        <v>56.0</v>
      </c>
      <c r="U34" s="48">
        <f t="shared" si="9"/>
        <v>3232</v>
      </c>
      <c r="V34" s="48">
        <f t="shared" si="10"/>
        <v>3515</v>
      </c>
      <c r="W34" s="49">
        <f t="shared" si="11"/>
        <v>0.4043935644</v>
      </c>
      <c r="X34" s="49">
        <f t="shared" si="12"/>
        <v>0.09900990099</v>
      </c>
      <c r="Y34" s="49">
        <f t="shared" si="13"/>
        <v>0.4965965347</v>
      </c>
      <c r="Z34" s="32" t="str">
        <f t="shared" si="14"/>
        <v>Ferrari</v>
      </c>
      <c r="AA34" s="50" t="s">
        <v>77</v>
      </c>
      <c r="AB34" s="38">
        <v>3850.0</v>
      </c>
      <c r="AC34" s="48">
        <f t="shared" si="15"/>
        <v>335</v>
      </c>
      <c r="AD34" s="51">
        <f t="shared" si="16"/>
        <v>0.912987013</v>
      </c>
    </row>
    <row r="35">
      <c r="A35" s="24"/>
      <c r="B35" s="46" t="s">
        <v>1509</v>
      </c>
      <c r="C35" s="47"/>
      <c r="D35" s="38">
        <v>1931.0</v>
      </c>
      <c r="E35" s="38">
        <v>1347.0</v>
      </c>
      <c r="F35" s="38">
        <v>283.0</v>
      </c>
      <c r="G35" s="38">
        <v>123.0</v>
      </c>
      <c r="H35" s="38">
        <v>127.0</v>
      </c>
      <c r="I35" s="48">
        <f t="shared" si="3"/>
        <v>3561</v>
      </c>
      <c r="J35" s="48">
        <f t="shared" si="4"/>
        <v>3811</v>
      </c>
      <c r="K35" s="49">
        <f t="shared" si="5"/>
        <v>0.5422634092</v>
      </c>
      <c r="L35" s="49">
        <f t="shared" si="6"/>
        <v>0.3782645324</v>
      </c>
      <c r="M35" s="49">
        <f t="shared" si="7"/>
        <v>0.07947205841</v>
      </c>
      <c r="N35" s="32" t="str">
        <f t="shared" si="8"/>
        <v>Jânio</v>
      </c>
      <c r="O35" s="50" t="s">
        <v>77</v>
      </c>
      <c r="P35" s="38">
        <v>1394.0</v>
      </c>
      <c r="Q35" s="38">
        <v>343.0</v>
      </c>
      <c r="R35" s="38">
        <v>1769.0</v>
      </c>
      <c r="S35" s="38">
        <v>220.0</v>
      </c>
      <c r="T35" s="38">
        <v>85.0</v>
      </c>
      <c r="U35" s="48">
        <f t="shared" si="9"/>
        <v>3506</v>
      </c>
      <c r="V35" s="48">
        <f t="shared" si="10"/>
        <v>3811</v>
      </c>
      <c r="W35" s="49">
        <f t="shared" si="11"/>
        <v>0.3976041072</v>
      </c>
      <c r="X35" s="49">
        <f t="shared" si="12"/>
        <v>0.09783228751</v>
      </c>
      <c r="Y35" s="49">
        <f t="shared" si="13"/>
        <v>0.5045636052</v>
      </c>
      <c r="Z35" s="32" t="str">
        <f t="shared" si="14"/>
        <v>Ferrari</v>
      </c>
      <c r="AA35" s="50" t="s">
        <v>77</v>
      </c>
      <c r="AB35" s="38">
        <v>4303.0</v>
      </c>
      <c r="AC35" s="48">
        <f t="shared" si="15"/>
        <v>492</v>
      </c>
      <c r="AD35" s="51">
        <f t="shared" si="16"/>
        <v>0.8856611666</v>
      </c>
    </row>
    <row r="36">
      <c r="A36" s="110" t="s">
        <v>123</v>
      </c>
      <c r="B36" s="46" t="s">
        <v>1510</v>
      </c>
      <c r="C36" s="47"/>
      <c r="D36" s="38">
        <v>15012.0</v>
      </c>
      <c r="E36" s="38">
        <v>9867.0</v>
      </c>
      <c r="F36" s="38">
        <v>5062.0</v>
      </c>
      <c r="G36" s="38">
        <v>597.0</v>
      </c>
      <c r="H36" s="38">
        <v>758.0</v>
      </c>
      <c r="I36" s="48">
        <f t="shared" si="3"/>
        <v>29941</v>
      </c>
      <c r="J36" s="48">
        <f t="shared" si="4"/>
        <v>31296</v>
      </c>
      <c r="K36" s="49">
        <f t="shared" si="5"/>
        <v>0.5013860592</v>
      </c>
      <c r="L36" s="49">
        <f t="shared" si="6"/>
        <v>0.3295481113</v>
      </c>
      <c r="M36" s="49">
        <f t="shared" si="7"/>
        <v>0.1690658295</v>
      </c>
      <c r="N36" s="32" t="str">
        <f t="shared" si="8"/>
        <v>Jânio</v>
      </c>
      <c r="O36" s="50" t="s">
        <v>77</v>
      </c>
      <c r="P36" s="38">
        <v>10878.0</v>
      </c>
      <c r="Q36" s="38">
        <v>2158.0</v>
      </c>
      <c r="R36" s="38">
        <v>16599.0</v>
      </c>
      <c r="S36" s="38">
        <v>987.0</v>
      </c>
      <c r="T36" s="38">
        <v>674.0</v>
      </c>
      <c r="U36" s="48">
        <f t="shared" si="9"/>
        <v>29635</v>
      </c>
      <c r="V36" s="48">
        <f t="shared" si="10"/>
        <v>31296</v>
      </c>
      <c r="W36" s="49">
        <f t="shared" si="11"/>
        <v>0.3670659693</v>
      </c>
      <c r="X36" s="49">
        <f t="shared" si="12"/>
        <v>0.0728193015</v>
      </c>
      <c r="Y36" s="49">
        <f t="shared" si="13"/>
        <v>0.5601147292</v>
      </c>
      <c r="Z36" s="32" t="str">
        <f t="shared" si="14"/>
        <v>Ferrari</v>
      </c>
      <c r="AA36" s="50" t="s">
        <v>77</v>
      </c>
      <c r="AB36" s="38">
        <v>34016.0</v>
      </c>
      <c r="AC36" s="48">
        <f t="shared" si="15"/>
        <v>2720</v>
      </c>
      <c r="AD36" s="51">
        <f t="shared" si="16"/>
        <v>0.9200376294</v>
      </c>
    </row>
    <row r="37">
      <c r="A37" s="61" t="s">
        <v>125</v>
      </c>
      <c r="B37" s="46" t="s">
        <v>1511</v>
      </c>
      <c r="C37" s="47"/>
      <c r="D37" s="38">
        <v>5628.0</v>
      </c>
      <c r="E37" s="38">
        <v>5930.0</v>
      </c>
      <c r="F37" s="38">
        <v>940.0</v>
      </c>
      <c r="G37" s="38">
        <v>287.0</v>
      </c>
      <c r="H37" s="38">
        <v>258.0</v>
      </c>
      <c r="I37" s="48">
        <f t="shared" si="3"/>
        <v>12498</v>
      </c>
      <c r="J37" s="48">
        <f t="shared" si="4"/>
        <v>13043</v>
      </c>
      <c r="K37" s="49">
        <f t="shared" si="5"/>
        <v>0.4503120499</v>
      </c>
      <c r="L37" s="49">
        <f t="shared" si="6"/>
        <v>0.4744759161</v>
      </c>
      <c r="M37" s="49">
        <f t="shared" si="7"/>
        <v>0.07521203393</v>
      </c>
      <c r="N37" s="32" t="str">
        <f t="shared" si="8"/>
        <v>Mal. Lott</v>
      </c>
      <c r="O37" s="50" t="s">
        <v>77</v>
      </c>
      <c r="P37" s="38">
        <v>5928.0</v>
      </c>
      <c r="Q37" s="38">
        <v>1880.0</v>
      </c>
      <c r="R37" s="38">
        <v>4578.0</v>
      </c>
      <c r="S37" s="38">
        <v>469.0</v>
      </c>
      <c r="T37" s="38">
        <v>188.0</v>
      </c>
      <c r="U37" s="48">
        <f t="shared" si="9"/>
        <v>12386</v>
      </c>
      <c r="V37" s="48">
        <f t="shared" si="10"/>
        <v>13043</v>
      </c>
      <c r="W37" s="49">
        <f t="shared" si="11"/>
        <v>0.4786048765</v>
      </c>
      <c r="X37" s="49">
        <f t="shared" si="12"/>
        <v>0.1517842726</v>
      </c>
      <c r="Y37" s="49">
        <f t="shared" si="13"/>
        <v>0.369610851</v>
      </c>
      <c r="Z37" s="32" t="str">
        <f t="shared" si="14"/>
        <v>Jango</v>
      </c>
      <c r="AA37" s="50" t="s">
        <v>77</v>
      </c>
      <c r="AB37" s="38">
        <v>14332.0</v>
      </c>
      <c r="AC37" s="48">
        <f t="shared" si="15"/>
        <v>1289</v>
      </c>
      <c r="AD37" s="51">
        <f t="shared" si="16"/>
        <v>0.9100614011</v>
      </c>
    </row>
    <row r="38">
      <c r="A38" s="23"/>
      <c r="B38" s="46" t="s">
        <v>1512</v>
      </c>
      <c r="C38" s="47"/>
      <c r="D38" s="38">
        <v>2159.0</v>
      </c>
      <c r="E38" s="38">
        <v>1550.0</v>
      </c>
      <c r="F38" s="38">
        <v>577.0</v>
      </c>
      <c r="G38" s="38">
        <v>218.0</v>
      </c>
      <c r="H38" s="38">
        <v>217.0</v>
      </c>
      <c r="I38" s="48">
        <f t="shared" si="3"/>
        <v>4286</v>
      </c>
      <c r="J38" s="48">
        <f t="shared" si="4"/>
        <v>4721</v>
      </c>
      <c r="K38" s="49">
        <f t="shared" si="5"/>
        <v>0.5037330845</v>
      </c>
      <c r="L38" s="49">
        <f t="shared" si="6"/>
        <v>0.3616425572</v>
      </c>
      <c r="M38" s="49">
        <f t="shared" si="7"/>
        <v>0.1346243584</v>
      </c>
      <c r="N38" s="32" t="str">
        <f t="shared" si="8"/>
        <v>Jânio</v>
      </c>
      <c r="O38" s="50" t="s">
        <v>77</v>
      </c>
      <c r="P38" s="38">
        <v>1481.0</v>
      </c>
      <c r="Q38" s="38">
        <v>475.0</v>
      </c>
      <c r="R38" s="38">
        <v>2126.0</v>
      </c>
      <c r="S38" s="38">
        <v>514.0</v>
      </c>
      <c r="T38" s="38">
        <v>125.0</v>
      </c>
      <c r="U38" s="48">
        <f t="shared" si="9"/>
        <v>4082</v>
      </c>
      <c r="V38" s="48">
        <f t="shared" si="10"/>
        <v>4721</v>
      </c>
      <c r="W38" s="49">
        <f t="shared" si="11"/>
        <v>0.3628123469</v>
      </c>
      <c r="X38" s="49">
        <f t="shared" si="12"/>
        <v>0.1163645272</v>
      </c>
      <c r="Y38" s="49">
        <f t="shared" si="13"/>
        <v>0.5208231259</v>
      </c>
      <c r="Z38" s="32" t="str">
        <f t="shared" si="14"/>
        <v>Ferrari</v>
      </c>
      <c r="AA38" s="50" t="s">
        <v>77</v>
      </c>
      <c r="AB38" s="38">
        <v>5240.0</v>
      </c>
      <c r="AC38" s="48">
        <f t="shared" si="15"/>
        <v>519</v>
      </c>
      <c r="AD38" s="51">
        <f t="shared" si="16"/>
        <v>0.9009541985</v>
      </c>
    </row>
    <row r="39">
      <c r="A39" s="23"/>
      <c r="B39" s="46" t="s">
        <v>1513</v>
      </c>
      <c r="C39" s="47"/>
      <c r="D39" s="38">
        <v>2299.0</v>
      </c>
      <c r="E39" s="38">
        <v>1498.0</v>
      </c>
      <c r="F39" s="38">
        <v>250.0</v>
      </c>
      <c r="G39" s="38">
        <v>71.0</v>
      </c>
      <c r="H39" s="38">
        <v>85.0</v>
      </c>
      <c r="I39" s="48">
        <f t="shared" si="3"/>
        <v>4047</v>
      </c>
      <c r="J39" s="48">
        <f t="shared" si="4"/>
        <v>4203</v>
      </c>
      <c r="K39" s="49">
        <f t="shared" si="5"/>
        <v>0.5680751174</v>
      </c>
      <c r="L39" s="49">
        <f t="shared" si="6"/>
        <v>0.3701507289</v>
      </c>
      <c r="M39" s="49">
        <f t="shared" si="7"/>
        <v>0.06177415369</v>
      </c>
      <c r="N39" s="32" t="str">
        <f t="shared" si="8"/>
        <v>Jânio</v>
      </c>
      <c r="O39" s="50" t="s">
        <v>77</v>
      </c>
      <c r="P39" s="38">
        <v>1388.0</v>
      </c>
      <c r="Q39" s="38">
        <v>1002.0</v>
      </c>
      <c r="R39" s="38">
        <v>1631.0</v>
      </c>
      <c r="S39" s="38">
        <v>134.0</v>
      </c>
      <c r="T39" s="38">
        <v>48.0</v>
      </c>
      <c r="U39" s="48">
        <f t="shared" si="9"/>
        <v>4021</v>
      </c>
      <c r="V39" s="48">
        <f t="shared" si="10"/>
        <v>4203</v>
      </c>
      <c r="W39" s="49">
        <f t="shared" si="11"/>
        <v>0.3451877642</v>
      </c>
      <c r="X39" s="49">
        <f t="shared" si="12"/>
        <v>0.2491917433</v>
      </c>
      <c r="Y39" s="49">
        <f t="shared" si="13"/>
        <v>0.4056204924</v>
      </c>
      <c r="Z39" s="32" t="str">
        <f t="shared" si="14"/>
        <v>Ferrari</v>
      </c>
      <c r="AA39" s="50" t="s">
        <v>77</v>
      </c>
      <c r="AB39" s="38">
        <v>4462.0</v>
      </c>
      <c r="AC39" s="48">
        <f t="shared" si="15"/>
        <v>259</v>
      </c>
      <c r="AD39" s="51">
        <f t="shared" si="16"/>
        <v>0.9419542806</v>
      </c>
    </row>
    <row r="40">
      <c r="A40" s="24"/>
      <c r="B40" s="46" t="s">
        <v>1514</v>
      </c>
      <c r="C40" s="47"/>
      <c r="D40" s="38">
        <v>996.0</v>
      </c>
      <c r="E40" s="38">
        <v>1079.0</v>
      </c>
      <c r="F40" s="38">
        <v>62.0</v>
      </c>
      <c r="G40" s="38">
        <v>75.0</v>
      </c>
      <c r="H40" s="38">
        <v>64.0</v>
      </c>
      <c r="I40" s="48">
        <f t="shared" si="3"/>
        <v>2137</v>
      </c>
      <c r="J40" s="48">
        <f t="shared" si="4"/>
        <v>2276</v>
      </c>
      <c r="K40" s="49">
        <f t="shared" si="5"/>
        <v>0.4660739354</v>
      </c>
      <c r="L40" s="49">
        <f t="shared" si="6"/>
        <v>0.50491343</v>
      </c>
      <c r="M40" s="49">
        <f t="shared" si="7"/>
        <v>0.02901263453</v>
      </c>
      <c r="N40" s="32" t="str">
        <f t="shared" si="8"/>
        <v>Mal. Lott</v>
      </c>
      <c r="O40" s="50" t="s">
        <v>77</v>
      </c>
      <c r="P40" s="38">
        <v>1002.0</v>
      </c>
      <c r="Q40" s="38">
        <v>444.0</v>
      </c>
      <c r="R40" s="38">
        <v>651.0</v>
      </c>
      <c r="S40" s="38">
        <v>132.0</v>
      </c>
      <c r="T40" s="38">
        <v>47.0</v>
      </c>
      <c r="U40" s="48">
        <f t="shared" si="9"/>
        <v>2097</v>
      </c>
      <c r="V40" s="48">
        <f t="shared" si="10"/>
        <v>2276</v>
      </c>
      <c r="W40" s="49">
        <f t="shared" si="11"/>
        <v>0.4778254649</v>
      </c>
      <c r="X40" s="49">
        <f t="shared" si="12"/>
        <v>0.2117310443</v>
      </c>
      <c r="Y40" s="49">
        <f t="shared" si="13"/>
        <v>0.3104434907</v>
      </c>
      <c r="Z40" s="32" t="str">
        <f t="shared" si="14"/>
        <v>Jango</v>
      </c>
      <c r="AA40" s="50" t="s">
        <v>77</v>
      </c>
      <c r="AB40" s="38">
        <v>2539.0</v>
      </c>
      <c r="AC40" s="48">
        <f t="shared" si="15"/>
        <v>263</v>
      </c>
      <c r="AD40" s="51">
        <f t="shared" si="16"/>
        <v>0.8964159118</v>
      </c>
    </row>
    <row r="41">
      <c r="A41" s="110" t="s">
        <v>127</v>
      </c>
      <c r="B41" s="46" t="s">
        <v>1515</v>
      </c>
      <c r="C41" s="47"/>
      <c r="D41" s="38">
        <v>4653.0</v>
      </c>
      <c r="E41" s="38">
        <v>3931.0</v>
      </c>
      <c r="F41" s="38">
        <v>344.0</v>
      </c>
      <c r="G41" s="38">
        <v>226.0</v>
      </c>
      <c r="H41" s="38">
        <v>181.0</v>
      </c>
      <c r="I41" s="48">
        <f t="shared" si="3"/>
        <v>8928</v>
      </c>
      <c r="J41" s="48">
        <f t="shared" si="4"/>
        <v>9335</v>
      </c>
      <c r="K41" s="49">
        <f t="shared" si="5"/>
        <v>0.5211693548</v>
      </c>
      <c r="L41" s="49">
        <f t="shared" si="6"/>
        <v>0.4403001792</v>
      </c>
      <c r="M41" s="49">
        <f t="shared" si="7"/>
        <v>0.03853046595</v>
      </c>
      <c r="N41" s="32" t="str">
        <f t="shared" si="8"/>
        <v>Jânio</v>
      </c>
      <c r="O41" s="50" t="s">
        <v>77</v>
      </c>
      <c r="P41" s="38">
        <v>4017.0</v>
      </c>
      <c r="Q41" s="38">
        <v>2311.0</v>
      </c>
      <c r="R41" s="38">
        <v>2569.0</v>
      </c>
      <c r="S41" s="38">
        <v>272.0</v>
      </c>
      <c r="T41" s="38">
        <v>166.0</v>
      </c>
      <c r="U41" s="48">
        <f t="shared" si="9"/>
        <v>8897</v>
      </c>
      <c r="V41" s="48">
        <f t="shared" si="10"/>
        <v>9335</v>
      </c>
      <c r="W41" s="49">
        <f t="shared" si="11"/>
        <v>0.4515005058</v>
      </c>
      <c r="X41" s="49">
        <f t="shared" si="12"/>
        <v>0.2597504777</v>
      </c>
      <c r="Y41" s="49">
        <f t="shared" si="13"/>
        <v>0.2887490165</v>
      </c>
      <c r="Z41" s="32" t="str">
        <f t="shared" si="14"/>
        <v>Jango</v>
      </c>
      <c r="AA41" s="50" t="s">
        <v>77</v>
      </c>
      <c r="AB41" s="38">
        <v>10461.0</v>
      </c>
      <c r="AC41" s="48">
        <f t="shared" si="15"/>
        <v>1126</v>
      </c>
      <c r="AD41" s="51">
        <f t="shared" si="16"/>
        <v>0.8923621069</v>
      </c>
    </row>
    <row r="42">
      <c r="A42" s="110" t="s">
        <v>129</v>
      </c>
      <c r="B42" s="46" t="s">
        <v>1516</v>
      </c>
      <c r="C42" s="47"/>
      <c r="D42" s="38">
        <v>3641.0</v>
      </c>
      <c r="E42" s="38">
        <v>2469.0</v>
      </c>
      <c r="F42" s="38">
        <v>396.0</v>
      </c>
      <c r="G42" s="38">
        <v>248.0</v>
      </c>
      <c r="H42" s="38">
        <v>311.0</v>
      </c>
      <c r="I42" s="48">
        <f t="shared" si="3"/>
        <v>6506</v>
      </c>
      <c r="J42" s="48">
        <f t="shared" si="4"/>
        <v>7065</v>
      </c>
      <c r="K42" s="49">
        <f t="shared" si="5"/>
        <v>0.5596372579</v>
      </c>
      <c r="L42" s="49">
        <f t="shared" si="6"/>
        <v>0.37949585</v>
      </c>
      <c r="M42" s="49">
        <f t="shared" si="7"/>
        <v>0.0608668921</v>
      </c>
      <c r="N42" s="32" t="str">
        <f t="shared" si="8"/>
        <v>Jânio</v>
      </c>
      <c r="O42" s="50" t="s">
        <v>77</v>
      </c>
      <c r="P42" s="38">
        <v>2700.0</v>
      </c>
      <c r="Q42" s="38">
        <v>1583.0</v>
      </c>
      <c r="R42" s="38">
        <v>2110.0</v>
      </c>
      <c r="S42" s="38">
        <v>431.0</v>
      </c>
      <c r="T42" s="38">
        <v>241.0</v>
      </c>
      <c r="U42" s="48">
        <f t="shared" si="9"/>
        <v>6393</v>
      </c>
      <c r="V42" s="48">
        <f t="shared" si="10"/>
        <v>7065</v>
      </c>
      <c r="W42" s="49">
        <f t="shared" si="11"/>
        <v>0.422336931</v>
      </c>
      <c r="X42" s="49">
        <f t="shared" si="12"/>
        <v>0.2476145784</v>
      </c>
      <c r="Y42" s="49">
        <f t="shared" si="13"/>
        <v>0.3300484905</v>
      </c>
      <c r="Z42" s="32" t="str">
        <f t="shared" si="14"/>
        <v>Jango</v>
      </c>
      <c r="AA42" s="50" t="s">
        <v>77</v>
      </c>
      <c r="AB42" s="38">
        <v>7945.0</v>
      </c>
      <c r="AC42" s="48">
        <f t="shared" si="15"/>
        <v>880</v>
      </c>
      <c r="AD42" s="51">
        <f t="shared" si="16"/>
        <v>0.8892385148</v>
      </c>
    </row>
    <row r="43">
      <c r="A43" s="61" t="s">
        <v>131</v>
      </c>
      <c r="B43" s="46" t="s">
        <v>1517</v>
      </c>
      <c r="C43" s="47"/>
      <c r="D43" s="38">
        <v>5781.0</v>
      </c>
      <c r="E43" s="38">
        <v>5029.0</v>
      </c>
      <c r="F43" s="38">
        <v>3155.0</v>
      </c>
      <c r="G43" s="38">
        <v>321.0</v>
      </c>
      <c r="H43" s="38">
        <v>379.0</v>
      </c>
      <c r="I43" s="48">
        <f t="shared" si="3"/>
        <v>13965</v>
      </c>
      <c r="J43" s="48">
        <f t="shared" si="4"/>
        <v>14665</v>
      </c>
      <c r="K43" s="49">
        <f t="shared" si="5"/>
        <v>0.4139634801</v>
      </c>
      <c r="L43" s="49">
        <f t="shared" si="6"/>
        <v>0.3601145721</v>
      </c>
      <c r="M43" s="49">
        <f t="shared" si="7"/>
        <v>0.2259219477</v>
      </c>
      <c r="N43" s="32" t="str">
        <f t="shared" si="8"/>
        <v>Jânio</v>
      </c>
      <c r="O43" s="50" t="s">
        <v>77</v>
      </c>
      <c r="P43" s="38">
        <v>5567.0</v>
      </c>
      <c r="Q43" s="38">
        <v>1841.0</v>
      </c>
      <c r="R43" s="38">
        <v>6366.0</v>
      </c>
      <c r="S43" s="38">
        <v>598.0</v>
      </c>
      <c r="T43" s="38">
        <v>293.0</v>
      </c>
      <c r="U43" s="48">
        <f t="shared" si="9"/>
        <v>13774</v>
      </c>
      <c r="V43" s="48">
        <f t="shared" si="10"/>
        <v>14665</v>
      </c>
      <c r="W43" s="49">
        <f t="shared" si="11"/>
        <v>0.4041672717</v>
      </c>
      <c r="X43" s="49">
        <f t="shared" si="12"/>
        <v>0.1336576158</v>
      </c>
      <c r="Y43" s="49">
        <f t="shared" si="13"/>
        <v>0.4621751125</v>
      </c>
      <c r="Z43" s="32" t="str">
        <f t="shared" si="14"/>
        <v>Ferrari</v>
      </c>
      <c r="AA43" s="50" t="s">
        <v>77</v>
      </c>
      <c r="AB43" s="38">
        <v>16193.0</v>
      </c>
      <c r="AC43" s="48">
        <f t="shared" si="15"/>
        <v>1528</v>
      </c>
      <c r="AD43" s="51">
        <f t="shared" si="16"/>
        <v>0.9056382387</v>
      </c>
    </row>
    <row r="44">
      <c r="A44" s="23"/>
      <c r="B44" s="46" t="s">
        <v>1518</v>
      </c>
      <c r="C44" s="47"/>
      <c r="D44" s="38">
        <v>668.0</v>
      </c>
      <c r="E44" s="38">
        <v>835.0</v>
      </c>
      <c r="F44" s="38">
        <v>114.0</v>
      </c>
      <c r="G44" s="38">
        <v>112.0</v>
      </c>
      <c r="H44" s="38">
        <v>74.0</v>
      </c>
      <c r="I44" s="48">
        <f t="shared" si="3"/>
        <v>1617</v>
      </c>
      <c r="J44" s="48">
        <f t="shared" si="4"/>
        <v>1803</v>
      </c>
      <c r="K44" s="49">
        <f t="shared" si="5"/>
        <v>0.4131106988</v>
      </c>
      <c r="L44" s="49">
        <f t="shared" si="6"/>
        <v>0.5163883735</v>
      </c>
      <c r="M44" s="49">
        <f t="shared" si="7"/>
        <v>0.07050092764</v>
      </c>
      <c r="N44" s="32" t="str">
        <f t="shared" si="8"/>
        <v>Mal. Lott</v>
      </c>
      <c r="O44" s="50" t="s">
        <v>77</v>
      </c>
      <c r="P44" s="38">
        <v>582.0</v>
      </c>
      <c r="Q44" s="38">
        <v>442.0</v>
      </c>
      <c r="R44" s="38">
        <v>557.0</v>
      </c>
      <c r="S44" s="38">
        <v>155.0</v>
      </c>
      <c r="T44" s="38">
        <v>67.0</v>
      </c>
      <c r="U44" s="48">
        <f t="shared" si="9"/>
        <v>1581</v>
      </c>
      <c r="V44" s="48">
        <f t="shared" si="10"/>
        <v>1803</v>
      </c>
      <c r="W44" s="49">
        <f t="shared" si="11"/>
        <v>0.3681214421</v>
      </c>
      <c r="X44" s="49">
        <f t="shared" si="12"/>
        <v>0.2795698925</v>
      </c>
      <c r="Y44" s="49">
        <f t="shared" si="13"/>
        <v>0.3523086654</v>
      </c>
      <c r="Z44" s="32" t="str">
        <f t="shared" si="14"/>
        <v>Jango</v>
      </c>
      <c r="AA44" s="50" t="s">
        <v>77</v>
      </c>
      <c r="AB44" s="38">
        <v>2031.0</v>
      </c>
      <c r="AC44" s="48">
        <f t="shared" si="15"/>
        <v>228</v>
      </c>
      <c r="AD44" s="51">
        <f t="shared" si="16"/>
        <v>0.8877400295</v>
      </c>
    </row>
    <row r="45">
      <c r="A45" s="24"/>
      <c r="B45" s="46" t="s">
        <v>1519</v>
      </c>
      <c r="C45" s="47"/>
      <c r="D45" s="38">
        <v>529.0</v>
      </c>
      <c r="E45" s="38">
        <v>506.0</v>
      </c>
      <c r="F45" s="38">
        <v>178.0</v>
      </c>
      <c r="G45" s="38">
        <v>69.0</v>
      </c>
      <c r="H45" s="38">
        <v>49.0</v>
      </c>
      <c r="I45" s="48">
        <f t="shared" si="3"/>
        <v>1213</v>
      </c>
      <c r="J45" s="48">
        <f t="shared" si="4"/>
        <v>1331</v>
      </c>
      <c r="K45" s="49">
        <f t="shared" si="5"/>
        <v>0.4361088211</v>
      </c>
      <c r="L45" s="49">
        <f t="shared" si="6"/>
        <v>0.417147568</v>
      </c>
      <c r="M45" s="49">
        <f t="shared" si="7"/>
        <v>0.1467436109</v>
      </c>
      <c r="N45" s="32" t="str">
        <f t="shared" si="8"/>
        <v>Jânio</v>
      </c>
      <c r="O45" s="50" t="s">
        <v>77</v>
      </c>
      <c r="P45" s="38">
        <v>598.0</v>
      </c>
      <c r="Q45" s="38">
        <v>123.0</v>
      </c>
      <c r="R45" s="38">
        <v>470.0</v>
      </c>
      <c r="S45" s="38">
        <v>105.0</v>
      </c>
      <c r="T45" s="38">
        <v>35.0</v>
      </c>
      <c r="U45" s="48">
        <f t="shared" si="9"/>
        <v>1191</v>
      </c>
      <c r="V45" s="48">
        <f t="shared" si="10"/>
        <v>1331</v>
      </c>
      <c r="W45" s="49">
        <f t="shared" si="11"/>
        <v>0.5020990764</v>
      </c>
      <c r="X45" s="49">
        <f t="shared" si="12"/>
        <v>0.1032745592</v>
      </c>
      <c r="Y45" s="49">
        <f t="shared" si="13"/>
        <v>0.3946263644</v>
      </c>
      <c r="Z45" s="32" t="str">
        <f t="shared" si="14"/>
        <v>Jango</v>
      </c>
      <c r="AA45" s="50" t="s">
        <v>77</v>
      </c>
      <c r="AB45" s="38">
        <v>1468.0</v>
      </c>
      <c r="AC45" s="48">
        <f t="shared" si="15"/>
        <v>137</v>
      </c>
      <c r="AD45" s="51">
        <f t="shared" si="16"/>
        <v>0.9066757493</v>
      </c>
    </row>
    <row r="46">
      <c r="A46" s="61" t="s">
        <v>133</v>
      </c>
      <c r="B46" s="46" t="s">
        <v>1520</v>
      </c>
      <c r="C46" s="47"/>
      <c r="D46" s="38">
        <v>3552.0</v>
      </c>
      <c r="E46" s="38">
        <v>1974.0</v>
      </c>
      <c r="F46" s="38">
        <v>1534.0</v>
      </c>
      <c r="G46" s="38">
        <v>241.0</v>
      </c>
      <c r="H46" s="38">
        <v>281.0</v>
      </c>
      <c r="I46" s="48">
        <f t="shared" si="3"/>
        <v>7060</v>
      </c>
      <c r="J46" s="48">
        <f t="shared" si="4"/>
        <v>7582</v>
      </c>
      <c r="K46" s="49">
        <f t="shared" si="5"/>
        <v>0.5031161473</v>
      </c>
      <c r="L46" s="49">
        <f t="shared" si="6"/>
        <v>0.2796033994</v>
      </c>
      <c r="M46" s="49">
        <f t="shared" si="7"/>
        <v>0.2172804533</v>
      </c>
      <c r="N46" s="32" t="str">
        <f t="shared" si="8"/>
        <v>Jânio</v>
      </c>
      <c r="O46" s="50" t="s">
        <v>77</v>
      </c>
      <c r="P46" s="38">
        <v>2387.0</v>
      </c>
      <c r="Q46" s="38">
        <v>464.0</v>
      </c>
      <c r="R46" s="38">
        <v>4085.0</v>
      </c>
      <c r="S46" s="38">
        <v>514.0</v>
      </c>
      <c r="T46" s="38">
        <v>132.0</v>
      </c>
      <c r="U46" s="48">
        <f t="shared" si="9"/>
        <v>6936</v>
      </c>
      <c r="V46" s="48">
        <f t="shared" si="10"/>
        <v>7582</v>
      </c>
      <c r="W46" s="49">
        <f t="shared" si="11"/>
        <v>0.3441464821</v>
      </c>
      <c r="X46" s="49">
        <f t="shared" si="12"/>
        <v>0.06689734717</v>
      </c>
      <c r="Y46" s="49">
        <f t="shared" si="13"/>
        <v>0.5889561707</v>
      </c>
      <c r="Z46" s="32" t="str">
        <f t="shared" si="14"/>
        <v>Ferrari</v>
      </c>
      <c r="AA46" s="50" t="s">
        <v>77</v>
      </c>
      <c r="AB46" s="38">
        <v>8007.0</v>
      </c>
      <c r="AC46" s="48">
        <f t="shared" si="15"/>
        <v>425</v>
      </c>
      <c r="AD46" s="51">
        <f t="shared" si="16"/>
        <v>0.9469214437</v>
      </c>
    </row>
    <row r="47">
      <c r="A47" s="24"/>
      <c r="B47" s="46" t="s">
        <v>1521</v>
      </c>
      <c r="C47" s="47"/>
      <c r="D47" s="38">
        <v>864.0</v>
      </c>
      <c r="E47" s="38">
        <v>628.0</v>
      </c>
      <c r="F47" s="38">
        <v>154.0</v>
      </c>
      <c r="G47" s="38">
        <v>63.0</v>
      </c>
      <c r="H47" s="38">
        <v>50.0</v>
      </c>
      <c r="I47" s="48">
        <f t="shared" si="3"/>
        <v>1646</v>
      </c>
      <c r="J47" s="48">
        <f t="shared" si="4"/>
        <v>1759</v>
      </c>
      <c r="K47" s="49">
        <f t="shared" si="5"/>
        <v>0.52490887</v>
      </c>
      <c r="L47" s="49">
        <f t="shared" si="6"/>
        <v>0.3815309842</v>
      </c>
      <c r="M47" s="49">
        <f t="shared" si="7"/>
        <v>0.09356014581</v>
      </c>
      <c r="N47" s="32" t="str">
        <f t="shared" si="8"/>
        <v>Jânio</v>
      </c>
      <c r="O47" s="50" t="s">
        <v>77</v>
      </c>
      <c r="P47" s="38">
        <v>661.0</v>
      </c>
      <c r="Q47" s="38">
        <v>272.0</v>
      </c>
      <c r="R47" s="38">
        <v>701.0</v>
      </c>
      <c r="S47" s="38">
        <v>90.0</v>
      </c>
      <c r="T47" s="38">
        <v>35.0</v>
      </c>
      <c r="U47" s="48">
        <f t="shared" si="9"/>
        <v>1634</v>
      </c>
      <c r="V47" s="48">
        <f t="shared" si="10"/>
        <v>1759</v>
      </c>
      <c r="W47" s="49">
        <f t="shared" si="11"/>
        <v>0.4045287638</v>
      </c>
      <c r="X47" s="49">
        <f t="shared" si="12"/>
        <v>0.1664626683</v>
      </c>
      <c r="Y47" s="49">
        <f t="shared" si="13"/>
        <v>0.4290085679</v>
      </c>
      <c r="Z47" s="32" t="str">
        <f t="shared" si="14"/>
        <v>Ferrari</v>
      </c>
      <c r="AA47" s="50" t="s">
        <v>77</v>
      </c>
      <c r="AB47" s="38">
        <v>1926.0</v>
      </c>
      <c r="AC47" s="48">
        <f t="shared" si="15"/>
        <v>167</v>
      </c>
      <c r="AD47" s="51">
        <f t="shared" si="16"/>
        <v>0.9132917965</v>
      </c>
    </row>
    <row r="48">
      <c r="A48" s="61" t="s">
        <v>135</v>
      </c>
      <c r="B48" s="46" t="s">
        <v>1522</v>
      </c>
      <c r="C48" s="47"/>
      <c r="D48" s="38">
        <v>3106.0</v>
      </c>
      <c r="E48" s="38">
        <v>3318.0</v>
      </c>
      <c r="F48" s="38">
        <v>525.0</v>
      </c>
      <c r="G48" s="38">
        <v>210.0</v>
      </c>
      <c r="H48" s="38">
        <v>235.0</v>
      </c>
      <c r="I48" s="48">
        <f t="shared" si="3"/>
        <v>6949</v>
      </c>
      <c r="J48" s="48">
        <f t="shared" si="4"/>
        <v>7394</v>
      </c>
      <c r="K48" s="49">
        <f t="shared" si="5"/>
        <v>0.4469707872</v>
      </c>
      <c r="L48" s="49">
        <f t="shared" si="6"/>
        <v>0.4774787739</v>
      </c>
      <c r="M48" s="49">
        <f t="shared" si="7"/>
        <v>0.07555043891</v>
      </c>
      <c r="N48" s="32" t="str">
        <f t="shared" si="8"/>
        <v>Mal. Lott</v>
      </c>
      <c r="O48" s="50" t="s">
        <v>77</v>
      </c>
      <c r="P48" s="38">
        <v>3544.0</v>
      </c>
      <c r="Q48" s="38">
        <v>205.0</v>
      </c>
      <c r="R48" s="38">
        <v>3184.0</v>
      </c>
      <c r="S48" s="38">
        <v>308.0</v>
      </c>
      <c r="T48" s="38">
        <v>153.0</v>
      </c>
      <c r="U48" s="48">
        <f t="shared" si="9"/>
        <v>6933</v>
      </c>
      <c r="V48" s="48">
        <f t="shared" si="10"/>
        <v>7394</v>
      </c>
      <c r="W48" s="49">
        <f t="shared" si="11"/>
        <v>0.511178422</v>
      </c>
      <c r="X48" s="49">
        <f t="shared" si="12"/>
        <v>0.02956872927</v>
      </c>
      <c r="Y48" s="49">
        <f t="shared" si="13"/>
        <v>0.4592528487</v>
      </c>
      <c r="Z48" s="32" t="str">
        <f t="shared" si="14"/>
        <v>Jango</v>
      </c>
      <c r="AA48" s="50" t="s">
        <v>77</v>
      </c>
      <c r="AB48" s="38">
        <v>10712.0</v>
      </c>
      <c r="AC48" s="48">
        <f t="shared" si="15"/>
        <v>3318</v>
      </c>
      <c r="AD48" s="51">
        <f t="shared" si="16"/>
        <v>0.6902539208</v>
      </c>
    </row>
    <row r="49">
      <c r="A49" s="23"/>
      <c r="B49" s="46" t="s">
        <v>1523</v>
      </c>
      <c r="C49" s="47"/>
      <c r="D49" s="38">
        <v>1585.0</v>
      </c>
      <c r="E49" s="38">
        <v>1226.0</v>
      </c>
      <c r="F49" s="38">
        <v>232.0</v>
      </c>
      <c r="G49" s="38">
        <v>102.0</v>
      </c>
      <c r="H49" s="38">
        <v>109.0</v>
      </c>
      <c r="I49" s="48">
        <f t="shared" si="3"/>
        <v>3043</v>
      </c>
      <c r="J49" s="48">
        <f t="shared" si="4"/>
        <v>3254</v>
      </c>
      <c r="K49" s="49">
        <f t="shared" si="5"/>
        <v>0.5208675649</v>
      </c>
      <c r="L49" s="49">
        <f t="shared" si="6"/>
        <v>0.402891883</v>
      </c>
      <c r="M49" s="49">
        <f t="shared" si="7"/>
        <v>0.07624055209</v>
      </c>
      <c r="N49" s="32" t="str">
        <f t="shared" si="8"/>
        <v>Jânio</v>
      </c>
      <c r="O49" s="50" t="s">
        <v>77</v>
      </c>
      <c r="P49" s="38">
        <v>1378.0</v>
      </c>
      <c r="Q49" s="38">
        <v>233.0</v>
      </c>
      <c r="R49" s="38">
        <v>1388.0</v>
      </c>
      <c r="S49" s="38">
        <v>175.0</v>
      </c>
      <c r="T49" s="38">
        <v>80.0</v>
      </c>
      <c r="U49" s="48">
        <f t="shared" si="9"/>
        <v>2999</v>
      </c>
      <c r="V49" s="48">
        <f t="shared" si="10"/>
        <v>3254</v>
      </c>
      <c r="W49" s="49">
        <f t="shared" si="11"/>
        <v>0.4594864955</v>
      </c>
      <c r="X49" s="49">
        <f t="shared" si="12"/>
        <v>0.07769256419</v>
      </c>
      <c r="Y49" s="49">
        <f t="shared" si="13"/>
        <v>0.4628209403</v>
      </c>
      <c r="Z49" s="32" t="str">
        <f t="shared" si="14"/>
        <v>Ferrari</v>
      </c>
      <c r="AA49" s="50" t="s">
        <v>77</v>
      </c>
      <c r="AB49" s="38">
        <v>3810.0</v>
      </c>
      <c r="AC49" s="48">
        <f t="shared" si="15"/>
        <v>556</v>
      </c>
      <c r="AD49" s="51">
        <f t="shared" si="16"/>
        <v>0.8540682415</v>
      </c>
    </row>
    <row r="50">
      <c r="A50" s="23"/>
      <c r="B50" s="46" t="s">
        <v>1524</v>
      </c>
      <c r="C50" s="47"/>
      <c r="D50" s="38">
        <v>1050.0</v>
      </c>
      <c r="E50" s="38">
        <v>679.0</v>
      </c>
      <c r="F50" s="38">
        <v>110.0</v>
      </c>
      <c r="G50" s="38">
        <v>92.0</v>
      </c>
      <c r="H50" s="38">
        <v>97.0</v>
      </c>
      <c r="I50" s="48">
        <f t="shared" si="3"/>
        <v>1839</v>
      </c>
      <c r="J50" s="48">
        <f t="shared" si="4"/>
        <v>2028</v>
      </c>
      <c r="K50" s="49">
        <f t="shared" si="5"/>
        <v>0.5709624796</v>
      </c>
      <c r="L50" s="49">
        <f t="shared" si="6"/>
        <v>0.3692224035</v>
      </c>
      <c r="M50" s="49">
        <f t="shared" si="7"/>
        <v>0.05981511691</v>
      </c>
      <c r="N50" s="32" t="str">
        <f t="shared" si="8"/>
        <v>Jânio</v>
      </c>
      <c r="O50" s="50" t="s">
        <v>77</v>
      </c>
      <c r="P50" s="38">
        <v>716.0</v>
      </c>
      <c r="Q50" s="38">
        <v>59.0</v>
      </c>
      <c r="R50" s="38">
        <v>1044.0</v>
      </c>
      <c r="S50" s="38">
        <v>152.0</v>
      </c>
      <c r="T50" s="38">
        <v>57.0</v>
      </c>
      <c r="U50" s="48">
        <f t="shared" si="9"/>
        <v>1819</v>
      </c>
      <c r="V50" s="48">
        <f t="shared" si="10"/>
        <v>2028</v>
      </c>
      <c r="W50" s="49">
        <f t="shared" si="11"/>
        <v>0.3936228697</v>
      </c>
      <c r="X50" s="49">
        <f t="shared" si="12"/>
        <v>0.03243540407</v>
      </c>
      <c r="Y50" s="49">
        <f t="shared" si="13"/>
        <v>0.5739417262</v>
      </c>
      <c r="Z50" s="32" t="str">
        <f t="shared" si="14"/>
        <v>Ferrari</v>
      </c>
      <c r="AA50" s="50" t="s">
        <v>77</v>
      </c>
      <c r="AB50" s="38">
        <v>2282.0</v>
      </c>
      <c r="AC50" s="48">
        <f t="shared" si="15"/>
        <v>254</v>
      </c>
      <c r="AD50" s="51">
        <f t="shared" si="16"/>
        <v>0.888694128</v>
      </c>
    </row>
    <row r="51">
      <c r="A51" s="24"/>
      <c r="B51" s="46" t="s">
        <v>1525</v>
      </c>
      <c r="C51" s="47"/>
      <c r="D51" s="38">
        <v>797.0</v>
      </c>
      <c r="E51" s="38">
        <v>774.0</v>
      </c>
      <c r="F51" s="38">
        <v>235.0</v>
      </c>
      <c r="G51" s="38">
        <v>33.0</v>
      </c>
      <c r="H51" s="38">
        <v>55.0</v>
      </c>
      <c r="I51" s="48">
        <f t="shared" si="3"/>
        <v>1806</v>
      </c>
      <c r="J51" s="48">
        <f t="shared" si="4"/>
        <v>1894</v>
      </c>
      <c r="K51" s="49">
        <f t="shared" si="5"/>
        <v>0.4413067553</v>
      </c>
      <c r="L51" s="49">
        <f t="shared" si="6"/>
        <v>0.4285714286</v>
      </c>
      <c r="M51" s="49">
        <f t="shared" si="7"/>
        <v>0.1301218162</v>
      </c>
      <c r="N51" s="32" t="str">
        <f t="shared" si="8"/>
        <v>Jânio</v>
      </c>
      <c r="O51" s="50" t="s">
        <v>77</v>
      </c>
      <c r="P51" s="38">
        <v>781.0</v>
      </c>
      <c r="Q51" s="38">
        <v>72.0</v>
      </c>
      <c r="R51" s="38">
        <v>941.0</v>
      </c>
      <c r="S51" s="38">
        <v>80.0</v>
      </c>
      <c r="T51" s="38">
        <v>20.0</v>
      </c>
      <c r="U51" s="48">
        <f t="shared" si="9"/>
        <v>1794</v>
      </c>
      <c r="V51" s="48">
        <f t="shared" si="10"/>
        <v>1894</v>
      </c>
      <c r="W51" s="49">
        <f t="shared" si="11"/>
        <v>0.4353400223</v>
      </c>
      <c r="X51" s="49">
        <f t="shared" si="12"/>
        <v>0.04013377926</v>
      </c>
      <c r="Y51" s="49">
        <f t="shared" si="13"/>
        <v>0.5245261984</v>
      </c>
      <c r="Z51" s="32" t="str">
        <f t="shared" si="14"/>
        <v>Ferrari</v>
      </c>
      <c r="AA51" s="50" t="s">
        <v>77</v>
      </c>
      <c r="AB51" s="38" t="s">
        <v>77</v>
      </c>
      <c r="AC51" s="38" t="s">
        <v>77</v>
      </c>
      <c r="AD51" s="38" t="s">
        <v>77</v>
      </c>
    </row>
    <row r="52">
      <c r="A52" s="61" t="s">
        <v>193</v>
      </c>
      <c r="B52" s="46" t="s">
        <v>1526</v>
      </c>
      <c r="C52" s="47"/>
      <c r="D52" s="38">
        <v>6453.0</v>
      </c>
      <c r="E52" s="38">
        <v>5334.0</v>
      </c>
      <c r="F52" s="38">
        <v>1928.0</v>
      </c>
      <c r="G52" s="38">
        <v>306.0</v>
      </c>
      <c r="H52" s="38">
        <v>297.0</v>
      </c>
      <c r="I52" s="48">
        <f t="shared" si="3"/>
        <v>13715</v>
      </c>
      <c r="J52" s="48">
        <f t="shared" si="4"/>
        <v>14318</v>
      </c>
      <c r="K52" s="49">
        <f t="shared" si="5"/>
        <v>0.4705067444</v>
      </c>
      <c r="L52" s="49">
        <f t="shared" si="6"/>
        <v>0.3889172439</v>
      </c>
      <c r="M52" s="49">
        <f t="shared" si="7"/>
        <v>0.1405760117</v>
      </c>
      <c r="N52" s="32" t="str">
        <f t="shared" si="8"/>
        <v>Jânio</v>
      </c>
      <c r="O52" s="50" t="s">
        <v>77</v>
      </c>
      <c r="P52" s="38">
        <v>5272.0</v>
      </c>
      <c r="Q52" s="38">
        <v>823.0</v>
      </c>
      <c r="R52" s="38">
        <v>7507.0</v>
      </c>
      <c r="S52" s="38">
        <v>496.0</v>
      </c>
      <c r="T52" s="38">
        <v>220.0</v>
      </c>
      <c r="U52" s="48">
        <f t="shared" si="9"/>
        <v>13602</v>
      </c>
      <c r="V52" s="48">
        <f t="shared" si="10"/>
        <v>14318</v>
      </c>
      <c r="W52" s="49">
        <f t="shared" si="11"/>
        <v>0.3875900603</v>
      </c>
      <c r="X52" s="49">
        <f t="shared" si="12"/>
        <v>0.06050580797</v>
      </c>
      <c r="Y52" s="49">
        <f t="shared" si="13"/>
        <v>0.5519041317</v>
      </c>
      <c r="Z52" s="32" t="str">
        <f t="shared" si="14"/>
        <v>Ferrari</v>
      </c>
      <c r="AA52" s="50" t="s">
        <v>77</v>
      </c>
      <c r="AB52" s="38">
        <v>15564.0</v>
      </c>
      <c r="AC52" s="48">
        <f t="shared" ref="AC52:AC58" si="17">AB52-V52</f>
        <v>1246</v>
      </c>
      <c r="AD52" s="51">
        <f t="shared" ref="AD52:AD58" si="18">V52/AB52</f>
        <v>0.9199434593</v>
      </c>
    </row>
    <row r="53">
      <c r="A53" s="24"/>
      <c r="B53" s="46" t="s">
        <v>1527</v>
      </c>
      <c r="C53" s="47"/>
      <c r="D53" s="38">
        <v>1485.0</v>
      </c>
      <c r="E53" s="38">
        <v>1207.0</v>
      </c>
      <c r="F53" s="38">
        <v>257.0</v>
      </c>
      <c r="G53" s="38">
        <v>140.0</v>
      </c>
      <c r="H53" s="38">
        <v>164.0</v>
      </c>
      <c r="I53" s="48">
        <f t="shared" si="3"/>
        <v>2949</v>
      </c>
      <c r="J53" s="48">
        <f t="shared" si="4"/>
        <v>3253</v>
      </c>
      <c r="K53" s="49">
        <f t="shared" si="5"/>
        <v>0.503560529</v>
      </c>
      <c r="L53" s="49">
        <f t="shared" si="6"/>
        <v>0.4092912852</v>
      </c>
      <c r="M53" s="49">
        <f t="shared" si="7"/>
        <v>0.08714818583</v>
      </c>
      <c r="N53" s="32" t="str">
        <f t="shared" si="8"/>
        <v>Jânio</v>
      </c>
      <c r="O53" s="50" t="s">
        <v>77</v>
      </c>
      <c r="P53" s="38">
        <v>1325.0</v>
      </c>
      <c r="Q53" s="38">
        <v>318.0</v>
      </c>
      <c r="R53" s="38">
        <v>1221.0</v>
      </c>
      <c r="S53" s="38">
        <v>269.0</v>
      </c>
      <c r="T53" s="38">
        <v>120.0</v>
      </c>
      <c r="U53" s="48">
        <f t="shared" si="9"/>
        <v>2864</v>
      </c>
      <c r="V53" s="48">
        <f t="shared" si="10"/>
        <v>3253</v>
      </c>
      <c r="W53" s="49">
        <f t="shared" si="11"/>
        <v>0.4626396648</v>
      </c>
      <c r="X53" s="49">
        <f t="shared" si="12"/>
        <v>0.1110335196</v>
      </c>
      <c r="Y53" s="49">
        <f t="shared" si="13"/>
        <v>0.4263268156</v>
      </c>
      <c r="Z53" s="32" t="str">
        <f t="shared" si="14"/>
        <v>Jango</v>
      </c>
      <c r="AA53" s="50" t="s">
        <v>77</v>
      </c>
      <c r="AB53" s="38">
        <v>3800.0</v>
      </c>
      <c r="AC53" s="48">
        <f t="shared" si="17"/>
        <v>547</v>
      </c>
      <c r="AD53" s="51">
        <f t="shared" si="18"/>
        <v>0.8560526316</v>
      </c>
    </row>
    <row r="54">
      <c r="A54" s="110" t="s">
        <v>196</v>
      </c>
      <c r="B54" s="46" t="s">
        <v>1528</v>
      </c>
      <c r="C54" s="47"/>
      <c r="D54" s="38">
        <v>2231.0</v>
      </c>
      <c r="E54" s="38">
        <v>2082.0</v>
      </c>
      <c r="F54" s="38">
        <v>192.0</v>
      </c>
      <c r="G54" s="38">
        <v>173.0</v>
      </c>
      <c r="H54" s="38">
        <v>100.0</v>
      </c>
      <c r="I54" s="48">
        <f t="shared" si="3"/>
        <v>4505</v>
      </c>
      <c r="J54" s="48">
        <f t="shared" si="4"/>
        <v>4778</v>
      </c>
      <c r="K54" s="49">
        <f t="shared" si="5"/>
        <v>0.495227525</v>
      </c>
      <c r="L54" s="49">
        <f t="shared" si="6"/>
        <v>0.4621531632</v>
      </c>
      <c r="M54" s="49">
        <f t="shared" si="7"/>
        <v>0.04261931188</v>
      </c>
      <c r="N54" s="32" t="str">
        <f t="shared" si="8"/>
        <v>Jânio</v>
      </c>
      <c r="O54" s="50" t="s">
        <v>77</v>
      </c>
      <c r="P54" s="38">
        <v>2156.0</v>
      </c>
      <c r="Q54" s="38">
        <v>856.0</v>
      </c>
      <c r="R54" s="38">
        <v>1533.0</v>
      </c>
      <c r="S54" s="38">
        <v>148.0</v>
      </c>
      <c r="T54" s="38">
        <v>85.0</v>
      </c>
      <c r="U54" s="48">
        <f t="shared" si="9"/>
        <v>4545</v>
      </c>
      <c r="V54" s="48">
        <f t="shared" si="10"/>
        <v>4778</v>
      </c>
      <c r="W54" s="49">
        <f t="shared" si="11"/>
        <v>0.4743674367</v>
      </c>
      <c r="X54" s="49">
        <f t="shared" si="12"/>
        <v>0.1883388339</v>
      </c>
      <c r="Y54" s="49">
        <f t="shared" si="13"/>
        <v>0.3372937294</v>
      </c>
      <c r="Z54" s="32" t="str">
        <f t="shared" si="14"/>
        <v>Jango</v>
      </c>
      <c r="AA54" s="50" t="s">
        <v>77</v>
      </c>
      <c r="AB54" s="38">
        <v>5471.0</v>
      </c>
      <c r="AC54" s="48">
        <f t="shared" si="17"/>
        <v>693</v>
      </c>
      <c r="AD54" s="51">
        <f t="shared" si="18"/>
        <v>0.8733321148</v>
      </c>
    </row>
    <row r="55">
      <c r="A55" s="110" t="s">
        <v>198</v>
      </c>
      <c r="B55" s="46" t="s">
        <v>1529</v>
      </c>
      <c r="C55" s="47"/>
      <c r="D55" s="38">
        <v>2208.0</v>
      </c>
      <c r="E55" s="38">
        <v>2540.0</v>
      </c>
      <c r="F55" s="38">
        <v>383.0</v>
      </c>
      <c r="G55" s="38">
        <v>88.0</v>
      </c>
      <c r="H55" s="38">
        <v>90.0</v>
      </c>
      <c r="I55" s="48">
        <f t="shared" si="3"/>
        <v>5131</v>
      </c>
      <c r="J55" s="48">
        <f t="shared" si="4"/>
        <v>5309</v>
      </c>
      <c r="K55" s="49">
        <f t="shared" si="5"/>
        <v>0.4303254726</v>
      </c>
      <c r="L55" s="49">
        <f t="shared" si="6"/>
        <v>0.4950302085</v>
      </c>
      <c r="M55" s="49">
        <f t="shared" si="7"/>
        <v>0.07464431885</v>
      </c>
      <c r="N55" s="32" t="str">
        <f t="shared" si="8"/>
        <v>Mal. Lott</v>
      </c>
      <c r="O55" s="50" t="s">
        <v>77</v>
      </c>
      <c r="P55" s="38">
        <v>2522.0</v>
      </c>
      <c r="Q55" s="38">
        <v>1213.0</v>
      </c>
      <c r="R55" s="38">
        <v>1393.0</v>
      </c>
      <c r="S55" s="38">
        <v>93.0</v>
      </c>
      <c r="T55" s="38">
        <v>88.0</v>
      </c>
      <c r="U55" s="48">
        <f t="shared" si="9"/>
        <v>5128</v>
      </c>
      <c r="V55" s="48">
        <f t="shared" si="10"/>
        <v>5309</v>
      </c>
      <c r="W55" s="49">
        <f t="shared" si="11"/>
        <v>0.4918096724</v>
      </c>
      <c r="X55" s="49">
        <f t="shared" si="12"/>
        <v>0.2365444618</v>
      </c>
      <c r="Y55" s="49">
        <f t="shared" si="13"/>
        <v>0.2716458658</v>
      </c>
      <c r="Z55" s="32" t="str">
        <f t="shared" si="14"/>
        <v>Jango</v>
      </c>
      <c r="AA55" s="50" t="s">
        <v>77</v>
      </c>
      <c r="AB55" s="38">
        <v>5872.0</v>
      </c>
      <c r="AC55" s="48">
        <f t="shared" si="17"/>
        <v>563</v>
      </c>
      <c r="AD55" s="51">
        <f t="shared" si="18"/>
        <v>0.9041212534</v>
      </c>
    </row>
    <row r="56">
      <c r="A56" s="110" t="s">
        <v>202</v>
      </c>
      <c r="B56" s="46" t="s">
        <v>1530</v>
      </c>
      <c r="C56" s="47"/>
      <c r="D56" s="38">
        <v>2297.0</v>
      </c>
      <c r="E56" s="38">
        <v>1478.0</v>
      </c>
      <c r="F56" s="38">
        <v>161.0</v>
      </c>
      <c r="G56" s="38">
        <v>179.0</v>
      </c>
      <c r="H56" s="38">
        <v>85.0</v>
      </c>
      <c r="I56" s="48">
        <f t="shared" si="3"/>
        <v>3936</v>
      </c>
      <c r="J56" s="48">
        <f t="shared" si="4"/>
        <v>4200</v>
      </c>
      <c r="K56" s="49">
        <f t="shared" si="5"/>
        <v>0.5835873984</v>
      </c>
      <c r="L56" s="49">
        <f t="shared" si="6"/>
        <v>0.3755081301</v>
      </c>
      <c r="M56" s="49">
        <f t="shared" si="7"/>
        <v>0.04090447154</v>
      </c>
      <c r="N56" s="32" t="str">
        <f t="shared" si="8"/>
        <v>Jânio</v>
      </c>
      <c r="O56" s="50" t="s">
        <v>77</v>
      </c>
      <c r="P56" s="38">
        <v>1443.0</v>
      </c>
      <c r="Q56" s="38">
        <v>1097.0</v>
      </c>
      <c r="R56" s="38">
        <v>1414.0</v>
      </c>
      <c r="S56" s="38">
        <v>144.0</v>
      </c>
      <c r="T56" s="38">
        <v>102.0</v>
      </c>
      <c r="U56" s="48">
        <f t="shared" si="9"/>
        <v>3954</v>
      </c>
      <c r="V56" s="48">
        <f t="shared" si="10"/>
        <v>4200</v>
      </c>
      <c r="W56" s="49">
        <f t="shared" si="11"/>
        <v>0.3649468892</v>
      </c>
      <c r="X56" s="49">
        <f t="shared" si="12"/>
        <v>0.2774405665</v>
      </c>
      <c r="Y56" s="49">
        <f t="shared" si="13"/>
        <v>0.3576125443</v>
      </c>
      <c r="Z56" s="32" t="str">
        <f t="shared" si="14"/>
        <v>Jango</v>
      </c>
      <c r="AA56" s="50" t="s">
        <v>77</v>
      </c>
      <c r="AB56" s="38">
        <v>4582.0</v>
      </c>
      <c r="AC56" s="48">
        <f t="shared" si="17"/>
        <v>382</v>
      </c>
      <c r="AD56" s="51">
        <f t="shared" si="18"/>
        <v>0.9166302924</v>
      </c>
    </row>
    <row r="57">
      <c r="A57" s="61" t="s">
        <v>205</v>
      </c>
      <c r="B57" s="46" t="s">
        <v>1531</v>
      </c>
      <c r="C57" s="47"/>
      <c r="D57" s="38">
        <v>2306.0</v>
      </c>
      <c r="E57" s="38">
        <v>2042.0</v>
      </c>
      <c r="F57" s="38">
        <v>283.0</v>
      </c>
      <c r="G57" s="38">
        <v>211.0</v>
      </c>
      <c r="H57" s="38">
        <v>163.0</v>
      </c>
      <c r="I57" s="48">
        <f t="shared" si="3"/>
        <v>4631</v>
      </c>
      <c r="J57" s="48">
        <f t="shared" si="4"/>
        <v>5005</v>
      </c>
      <c r="K57" s="49">
        <f t="shared" si="5"/>
        <v>0.4979486072</v>
      </c>
      <c r="L57" s="49">
        <f t="shared" si="6"/>
        <v>0.4409414813</v>
      </c>
      <c r="M57" s="49">
        <f t="shared" si="7"/>
        <v>0.06110991147</v>
      </c>
      <c r="N57" s="32" t="str">
        <f t="shared" si="8"/>
        <v>Jânio</v>
      </c>
      <c r="O57" s="50" t="s">
        <v>77</v>
      </c>
      <c r="P57" s="38">
        <v>2021.0</v>
      </c>
      <c r="Q57" s="38">
        <v>1089.0</v>
      </c>
      <c r="R57" s="38">
        <v>1522.0</v>
      </c>
      <c r="S57" s="38">
        <v>211.0</v>
      </c>
      <c r="T57" s="38">
        <v>162.0</v>
      </c>
      <c r="U57" s="48">
        <f t="shared" si="9"/>
        <v>4632</v>
      </c>
      <c r="V57" s="48">
        <f t="shared" si="10"/>
        <v>5005</v>
      </c>
      <c r="W57" s="49">
        <f t="shared" si="11"/>
        <v>0.4363126079</v>
      </c>
      <c r="X57" s="49">
        <f t="shared" si="12"/>
        <v>0.2351036269</v>
      </c>
      <c r="Y57" s="49">
        <f t="shared" si="13"/>
        <v>0.3285837651</v>
      </c>
      <c r="Z57" s="32" t="str">
        <f t="shared" si="14"/>
        <v>Jango</v>
      </c>
      <c r="AA57" s="50" t="s">
        <v>77</v>
      </c>
      <c r="AB57" s="38">
        <v>7216.0</v>
      </c>
      <c r="AC57" s="48">
        <f t="shared" si="17"/>
        <v>2211</v>
      </c>
      <c r="AD57" s="51">
        <f t="shared" si="18"/>
        <v>0.693597561</v>
      </c>
    </row>
    <row r="58">
      <c r="A58" s="23"/>
      <c r="B58" s="46" t="s">
        <v>1532</v>
      </c>
      <c r="C58" s="47"/>
      <c r="D58" s="38">
        <v>1662.0</v>
      </c>
      <c r="E58" s="38">
        <v>881.0</v>
      </c>
      <c r="F58" s="38">
        <v>491.0</v>
      </c>
      <c r="G58" s="38">
        <v>151.0</v>
      </c>
      <c r="H58" s="38">
        <v>110.0</v>
      </c>
      <c r="I58" s="48">
        <f t="shared" si="3"/>
        <v>3034</v>
      </c>
      <c r="J58" s="48">
        <f t="shared" si="4"/>
        <v>3295</v>
      </c>
      <c r="K58" s="49">
        <f t="shared" si="5"/>
        <v>0.5477916941</v>
      </c>
      <c r="L58" s="49">
        <f t="shared" si="6"/>
        <v>0.2903757416</v>
      </c>
      <c r="M58" s="49">
        <f t="shared" si="7"/>
        <v>0.1618325643</v>
      </c>
      <c r="N58" s="32" t="str">
        <f t="shared" si="8"/>
        <v>Jânio</v>
      </c>
      <c r="O58" s="50" t="s">
        <v>77</v>
      </c>
      <c r="P58" s="38">
        <v>805.0</v>
      </c>
      <c r="Q58" s="38">
        <v>81.0</v>
      </c>
      <c r="R58" s="38">
        <v>2159.0</v>
      </c>
      <c r="S58" s="38">
        <v>130.0</v>
      </c>
      <c r="T58" s="38">
        <v>120.0</v>
      </c>
      <c r="U58" s="48">
        <f t="shared" si="9"/>
        <v>3045</v>
      </c>
      <c r="V58" s="48">
        <f t="shared" si="10"/>
        <v>3295</v>
      </c>
      <c r="W58" s="49">
        <f t="shared" si="11"/>
        <v>0.2643678161</v>
      </c>
      <c r="X58" s="49">
        <f t="shared" si="12"/>
        <v>0.02660098522</v>
      </c>
      <c r="Y58" s="49">
        <f t="shared" si="13"/>
        <v>0.7090311987</v>
      </c>
      <c r="Z58" s="32" t="str">
        <f t="shared" si="14"/>
        <v>Ferrari</v>
      </c>
      <c r="AA58" s="50" t="s">
        <v>77</v>
      </c>
      <c r="AB58" s="38">
        <v>3769.0</v>
      </c>
      <c r="AC58" s="48">
        <f t="shared" si="17"/>
        <v>474</v>
      </c>
      <c r="AD58" s="51">
        <f t="shared" si="18"/>
        <v>0.8742371982</v>
      </c>
    </row>
    <row r="59">
      <c r="A59" s="24"/>
      <c r="B59" s="46" t="s">
        <v>1533</v>
      </c>
      <c r="C59" s="47"/>
      <c r="D59" s="38">
        <v>774.0</v>
      </c>
      <c r="E59" s="38">
        <v>398.0</v>
      </c>
      <c r="F59" s="38">
        <v>76.0</v>
      </c>
      <c r="G59" s="38">
        <v>36.0</v>
      </c>
      <c r="H59" s="38">
        <v>45.0</v>
      </c>
      <c r="I59" s="48">
        <f t="shared" si="3"/>
        <v>1248</v>
      </c>
      <c r="J59" s="48">
        <f t="shared" si="4"/>
        <v>1329</v>
      </c>
      <c r="K59" s="49">
        <f t="shared" si="5"/>
        <v>0.6201923077</v>
      </c>
      <c r="L59" s="49">
        <f t="shared" si="6"/>
        <v>0.3189102564</v>
      </c>
      <c r="M59" s="49">
        <f t="shared" si="7"/>
        <v>0.0608974359</v>
      </c>
      <c r="N59" s="32" t="str">
        <f t="shared" si="8"/>
        <v>Jânio</v>
      </c>
      <c r="O59" s="50" t="s">
        <v>77</v>
      </c>
      <c r="P59" s="38">
        <v>335.0</v>
      </c>
      <c r="Q59" s="38">
        <v>98.0</v>
      </c>
      <c r="R59" s="38">
        <v>822.0</v>
      </c>
      <c r="S59" s="38">
        <v>35.0</v>
      </c>
      <c r="T59" s="38">
        <v>39.0</v>
      </c>
      <c r="U59" s="48">
        <f t="shared" si="9"/>
        <v>1255</v>
      </c>
      <c r="V59" s="48">
        <f t="shared" si="10"/>
        <v>1329</v>
      </c>
      <c r="W59" s="49">
        <f t="shared" si="11"/>
        <v>0.2669322709</v>
      </c>
      <c r="X59" s="49">
        <f t="shared" si="12"/>
        <v>0.0780876494</v>
      </c>
      <c r="Y59" s="49">
        <f t="shared" si="13"/>
        <v>0.6549800797</v>
      </c>
      <c r="Z59" s="32" t="str">
        <f t="shared" si="14"/>
        <v>Ferrari</v>
      </c>
      <c r="AA59" s="50" t="s">
        <v>77</v>
      </c>
      <c r="AB59" s="38" t="s">
        <v>77</v>
      </c>
      <c r="AC59" s="38" t="s">
        <v>77</v>
      </c>
      <c r="AD59" s="38" t="s">
        <v>77</v>
      </c>
    </row>
    <row r="60">
      <c r="A60" s="61" t="s">
        <v>141</v>
      </c>
      <c r="B60" s="46" t="s">
        <v>1534</v>
      </c>
      <c r="C60" s="47"/>
      <c r="D60" s="38">
        <v>3677.0</v>
      </c>
      <c r="E60" s="38">
        <v>2401.0</v>
      </c>
      <c r="F60" s="38">
        <v>883.0</v>
      </c>
      <c r="G60" s="38">
        <v>261.0</v>
      </c>
      <c r="H60" s="38">
        <v>338.0</v>
      </c>
      <c r="I60" s="48">
        <f t="shared" si="3"/>
        <v>6961</v>
      </c>
      <c r="J60" s="48">
        <f t="shared" si="4"/>
        <v>7560</v>
      </c>
      <c r="K60" s="49">
        <f t="shared" si="5"/>
        <v>0.5282287028</v>
      </c>
      <c r="L60" s="49">
        <f t="shared" si="6"/>
        <v>0.3449217067</v>
      </c>
      <c r="M60" s="49">
        <f t="shared" si="7"/>
        <v>0.1268495906</v>
      </c>
      <c r="N60" s="32" t="str">
        <f t="shared" si="8"/>
        <v>Jânio</v>
      </c>
      <c r="O60" s="50" t="s">
        <v>77</v>
      </c>
      <c r="P60" s="38">
        <v>2680.0</v>
      </c>
      <c r="Q60" s="38">
        <v>1122.0</v>
      </c>
      <c r="R60" s="38">
        <v>3027.0</v>
      </c>
      <c r="S60" s="38">
        <v>482.0</v>
      </c>
      <c r="T60" s="38">
        <v>249.0</v>
      </c>
      <c r="U60" s="48">
        <f t="shared" si="9"/>
        <v>6829</v>
      </c>
      <c r="V60" s="48">
        <f t="shared" si="10"/>
        <v>7560</v>
      </c>
      <c r="W60" s="49">
        <f t="shared" si="11"/>
        <v>0.3924439889</v>
      </c>
      <c r="X60" s="49">
        <f t="shared" si="12"/>
        <v>0.1642993118</v>
      </c>
      <c r="Y60" s="49">
        <f t="shared" si="13"/>
        <v>0.4432566994</v>
      </c>
      <c r="Z60" s="32" t="str">
        <f t="shared" si="14"/>
        <v>Ferrari</v>
      </c>
      <c r="AA60" s="50" t="s">
        <v>77</v>
      </c>
      <c r="AB60" s="38">
        <v>8292.0</v>
      </c>
      <c r="AC60" s="48">
        <f t="shared" ref="AC60:AC164" si="19">AB60-V60</f>
        <v>732</v>
      </c>
      <c r="AD60" s="51">
        <f t="shared" ref="AD60:AD164" si="20">V60/AB60</f>
        <v>0.9117221418</v>
      </c>
    </row>
    <row r="61">
      <c r="A61" s="23"/>
      <c r="B61" s="46" t="s">
        <v>1535</v>
      </c>
      <c r="C61" s="47"/>
      <c r="D61" s="38">
        <v>1956.0</v>
      </c>
      <c r="E61" s="38">
        <v>1296.0</v>
      </c>
      <c r="F61" s="38">
        <v>341.0</v>
      </c>
      <c r="G61" s="38">
        <v>99.0</v>
      </c>
      <c r="H61" s="38">
        <v>99.0</v>
      </c>
      <c r="I61" s="48">
        <f t="shared" si="3"/>
        <v>3593</v>
      </c>
      <c r="J61" s="48">
        <f t="shared" si="4"/>
        <v>3791</v>
      </c>
      <c r="K61" s="49">
        <f t="shared" si="5"/>
        <v>0.5443918731</v>
      </c>
      <c r="L61" s="49">
        <f t="shared" si="6"/>
        <v>0.3607013638</v>
      </c>
      <c r="M61" s="49">
        <f t="shared" si="7"/>
        <v>0.09490676315</v>
      </c>
      <c r="N61" s="32" t="str">
        <f t="shared" si="8"/>
        <v>Jânio</v>
      </c>
      <c r="O61" s="50" t="s">
        <v>77</v>
      </c>
      <c r="P61" s="38">
        <v>1423.0</v>
      </c>
      <c r="Q61" s="38">
        <v>386.0</v>
      </c>
      <c r="R61" s="38">
        <v>1727.0</v>
      </c>
      <c r="S61" s="38">
        <v>169.0</v>
      </c>
      <c r="T61" s="38">
        <v>86.0</v>
      </c>
      <c r="U61" s="48">
        <f t="shared" si="9"/>
        <v>3536</v>
      </c>
      <c r="V61" s="48">
        <f t="shared" si="10"/>
        <v>3791</v>
      </c>
      <c r="W61" s="49">
        <f t="shared" si="11"/>
        <v>0.4024321267</v>
      </c>
      <c r="X61" s="49">
        <f t="shared" si="12"/>
        <v>0.1091628959</v>
      </c>
      <c r="Y61" s="49">
        <f t="shared" si="13"/>
        <v>0.4884049774</v>
      </c>
      <c r="Z61" s="32" t="str">
        <f t="shared" si="14"/>
        <v>Ferrari</v>
      </c>
      <c r="AA61" s="50" t="s">
        <v>77</v>
      </c>
      <c r="AB61" s="38">
        <v>4148.0</v>
      </c>
      <c r="AC61" s="48">
        <f t="shared" si="19"/>
        <v>357</v>
      </c>
      <c r="AD61" s="51">
        <f t="shared" si="20"/>
        <v>0.9139344262</v>
      </c>
    </row>
    <row r="62">
      <c r="A62" s="24"/>
      <c r="B62" s="46" t="s">
        <v>1536</v>
      </c>
      <c r="C62" s="47"/>
      <c r="D62" s="38">
        <v>1138.0</v>
      </c>
      <c r="E62" s="38">
        <v>907.0</v>
      </c>
      <c r="F62" s="38">
        <v>101.0</v>
      </c>
      <c r="G62" s="38">
        <v>102.0</v>
      </c>
      <c r="H62" s="38">
        <v>88.0</v>
      </c>
      <c r="I62" s="48">
        <f t="shared" si="3"/>
        <v>2146</v>
      </c>
      <c r="J62" s="48">
        <f t="shared" si="4"/>
        <v>2336</v>
      </c>
      <c r="K62" s="49">
        <f t="shared" si="5"/>
        <v>0.5302889096</v>
      </c>
      <c r="L62" s="49">
        <f t="shared" si="6"/>
        <v>0.4226467847</v>
      </c>
      <c r="M62" s="49">
        <f t="shared" si="7"/>
        <v>0.04706430568</v>
      </c>
      <c r="N62" s="32" t="str">
        <f t="shared" si="8"/>
        <v>Jânio</v>
      </c>
      <c r="O62" s="50" t="s">
        <v>77</v>
      </c>
      <c r="P62" s="38">
        <v>932.0</v>
      </c>
      <c r="Q62" s="38">
        <v>158.0</v>
      </c>
      <c r="R62" s="38">
        <v>1006.0</v>
      </c>
      <c r="S62" s="38">
        <v>145.0</v>
      </c>
      <c r="T62" s="38">
        <v>95.0</v>
      </c>
      <c r="U62" s="48">
        <f t="shared" si="9"/>
        <v>2096</v>
      </c>
      <c r="V62" s="48">
        <f t="shared" si="10"/>
        <v>2336</v>
      </c>
      <c r="W62" s="49">
        <f t="shared" si="11"/>
        <v>0.4446564885</v>
      </c>
      <c r="X62" s="49">
        <f t="shared" si="12"/>
        <v>0.07538167939</v>
      </c>
      <c r="Y62" s="49">
        <f t="shared" si="13"/>
        <v>0.4799618321</v>
      </c>
      <c r="Z62" s="32" t="str">
        <f t="shared" si="14"/>
        <v>Ferrari</v>
      </c>
      <c r="AA62" s="50" t="s">
        <v>77</v>
      </c>
      <c r="AB62" s="38">
        <v>2593.0</v>
      </c>
      <c r="AC62" s="48">
        <f t="shared" si="19"/>
        <v>257</v>
      </c>
      <c r="AD62" s="51">
        <f t="shared" si="20"/>
        <v>0.9008870035</v>
      </c>
    </row>
    <row r="63">
      <c r="A63" s="61" t="s">
        <v>143</v>
      </c>
      <c r="B63" s="46" t="s">
        <v>1537</v>
      </c>
      <c r="C63" s="47"/>
      <c r="D63" s="38">
        <v>6152.0</v>
      </c>
      <c r="E63" s="38">
        <v>3698.0</v>
      </c>
      <c r="F63" s="38">
        <v>1039.0</v>
      </c>
      <c r="G63" s="38">
        <v>396.0</v>
      </c>
      <c r="H63" s="38">
        <v>671.0</v>
      </c>
      <c r="I63" s="48">
        <f t="shared" si="3"/>
        <v>10889</v>
      </c>
      <c r="J63" s="48">
        <f t="shared" si="4"/>
        <v>11956</v>
      </c>
      <c r="K63" s="49">
        <f t="shared" si="5"/>
        <v>0.5649738268</v>
      </c>
      <c r="L63" s="49">
        <f t="shared" si="6"/>
        <v>0.3396087795</v>
      </c>
      <c r="M63" s="49">
        <f t="shared" si="7"/>
        <v>0.0954173937</v>
      </c>
      <c r="N63" s="32" t="str">
        <f t="shared" si="8"/>
        <v>Jânio</v>
      </c>
      <c r="O63" s="50" t="s">
        <v>77</v>
      </c>
      <c r="P63" s="38">
        <v>3909.0</v>
      </c>
      <c r="Q63" s="38">
        <v>458.0</v>
      </c>
      <c r="R63" s="38">
        <v>6414.0</v>
      </c>
      <c r="S63" s="38">
        <v>670.0</v>
      </c>
      <c r="T63" s="38">
        <v>505.0</v>
      </c>
      <c r="U63" s="48">
        <f t="shared" si="9"/>
        <v>10781</v>
      </c>
      <c r="V63" s="48">
        <f t="shared" si="10"/>
        <v>11956</v>
      </c>
      <c r="W63" s="49">
        <f t="shared" si="11"/>
        <v>0.3625823207</v>
      </c>
      <c r="X63" s="49">
        <f t="shared" si="12"/>
        <v>0.04248214451</v>
      </c>
      <c r="Y63" s="49">
        <f t="shared" si="13"/>
        <v>0.5949355347</v>
      </c>
      <c r="Z63" s="32" t="str">
        <f t="shared" si="14"/>
        <v>Ferrari</v>
      </c>
      <c r="AA63" s="50" t="s">
        <v>77</v>
      </c>
      <c r="AB63" s="38">
        <v>12943.0</v>
      </c>
      <c r="AC63" s="48">
        <f t="shared" si="19"/>
        <v>987</v>
      </c>
      <c r="AD63" s="51">
        <f t="shared" si="20"/>
        <v>0.9237425635</v>
      </c>
    </row>
    <row r="64">
      <c r="A64" s="24"/>
      <c r="B64" s="46" t="s">
        <v>1538</v>
      </c>
      <c r="C64" s="47"/>
      <c r="D64" s="38">
        <v>2834.0</v>
      </c>
      <c r="E64" s="38">
        <v>1910.0</v>
      </c>
      <c r="F64" s="38">
        <v>742.0</v>
      </c>
      <c r="G64" s="38">
        <v>186.0</v>
      </c>
      <c r="H64" s="38">
        <v>210.0</v>
      </c>
      <c r="I64" s="48">
        <f t="shared" si="3"/>
        <v>5486</v>
      </c>
      <c r="J64" s="48">
        <f t="shared" si="4"/>
        <v>5882</v>
      </c>
      <c r="K64" s="49">
        <f t="shared" si="5"/>
        <v>0.5165876777</v>
      </c>
      <c r="L64" s="49">
        <f t="shared" si="6"/>
        <v>0.3481589501</v>
      </c>
      <c r="M64" s="49">
        <f t="shared" si="7"/>
        <v>0.1352533722</v>
      </c>
      <c r="N64" s="32" t="str">
        <f t="shared" si="8"/>
        <v>Jânio</v>
      </c>
      <c r="O64" s="50" t="s">
        <v>77</v>
      </c>
      <c r="P64" s="38">
        <v>2009.0</v>
      </c>
      <c r="Q64" s="38">
        <v>431.0</v>
      </c>
      <c r="R64" s="38">
        <v>2967.0</v>
      </c>
      <c r="S64" s="38">
        <v>339.0</v>
      </c>
      <c r="T64" s="38">
        <v>136.0</v>
      </c>
      <c r="U64" s="48">
        <f t="shared" si="9"/>
        <v>5407</v>
      </c>
      <c r="V64" s="48">
        <f t="shared" si="10"/>
        <v>5882</v>
      </c>
      <c r="W64" s="49">
        <f t="shared" si="11"/>
        <v>0.3715553912</v>
      </c>
      <c r="X64" s="49">
        <f t="shared" si="12"/>
        <v>0.07971148511</v>
      </c>
      <c r="Y64" s="49">
        <f t="shared" si="13"/>
        <v>0.5487331237</v>
      </c>
      <c r="Z64" s="32" t="str">
        <f t="shared" si="14"/>
        <v>Ferrari</v>
      </c>
      <c r="AA64" s="50" t="s">
        <v>77</v>
      </c>
      <c r="AB64" s="38">
        <v>6745.0</v>
      </c>
      <c r="AC64" s="48">
        <f t="shared" si="19"/>
        <v>863</v>
      </c>
      <c r="AD64" s="51">
        <f t="shared" si="20"/>
        <v>0.8720533729</v>
      </c>
    </row>
    <row r="65">
      <c r="A65" s="110" t="s">
        <v>145</v>
      </c>
      <c r="B65" s="46" t="s">
        <v>1539</v>
      </c>
      <c r="C65" s="47"/>
      <c r="D65" s="38">
        <v>5701.0</v>
      </c>
      <c r="E65" s="38">
        <v>8438.0</v>
      </c>
      <c r="F65" s="38">
        <v>986.0</v>
      </c>
      <c r="G65" s="38">
        <v>380.0</v>
      </c>
      <c r="H65" s="38">
        <v>368.0</v>
      </c>
      <c r="I65" s="48">
        <f t="shared" si="3"/>
        <v>15125</v>
      </c>
      <c r="J65" s="48">
        <f t="shared" si="4"/>
        <v>15873</v>
      </c>
      <c r="K65" s="49">
        <f t="shared" si="5"/>
        <v>0.3769256198</v>
      </c>
      <c r="L65" s="49">
        <f t="shared" si="6"/>
        <v>0.5578842975</v>
      </c>
      <c r="M65" s="49">
        <f t="shared" si="7"/>
        <v>0.06519008264</v>
      </c>
      <c r="N65" s="32" t="str">
        <f t="shared" si="8"/>
        <v>Mal. Lott</v>
      </c>
      <c r="O65" s="50" t="s">
        <v>77</v>
      </c>
      <c r="P65" s="38">
        <v>8384.0</v>
      </c>
      <c r="Q65" s="38">
        <v>3604.0</v>
      </c>
      <c r="R65" s="38">
        <v>3052.0</v>
      </c>
      <c r="S65" s="38">
        <v>560.0</v>
      </c>
      <c r="T65" s="38">
        <v>273.0</v>
      </c>
      <c r="U65" s="48">
        <f t="shared" si="9"/>
        <v>15040</v>
      </c>
      <c r="V65" s="48">
        <f t="shared" si="10"/>
        <v>15873</v>
      </c>
      <c r="W65" s="49">
        <f t="shared" si="11"/>
        <v>0.5574468085</v>
      </c>
      <c r="X65" s="49">
        <f t="shared" si="12"/>
        <v>0.2396276596</v>
      </c>
      <c r="Y65" s="49">
        <f t="shared" si="13"/>
        <v>0.2029255319</v>
      </c>
      <c r="Z65" s="32" t="str">
        <f t="shared" si="14"/>
        <v>Jango</v>
      </c>
      <c r="AA65" s="50" t="s">
        <v>77</v>
      </c>
      <c r="AB65" s="38">
        <v>18748.0</v>
      </c>
      <c r="AC65" s="48">
        <f t="shared" si="19"/>
        <v>2875</v>
      </c>
      <c r="AD65" s="51">
        <f t="shared" si="20"/>
        <v>0.8466503094</v>
      </c>
    </row>
    <row r="66">
      <c r="A66" s="110" t="s">
        <v>207</v>
      </c>
      <c r="B66" s="46" t="s">
        <v>1540</v>
      </c>
      <c r="C66" s="47"/>
      <c r="D66" s="38">
        <v>6234.0</v>
      </c>
      <c r="E66" s="38">
        <v>3908.0</v>
      </c>
      <c r="F66" s="38">
        <v>2608.0</v>
      </c>
      <c r="G66" s="38">
        <v>344.0</v>
      </c>
      <c r="H66" s="38">
        <v>366.0</v>
      </c>
      <c r="I66" s="48">
        <f t="shared" si="3"/>
        <v>12750</v>
      </c>
      <c r="J66" s="48">
        <f t="shared" si="4"/>
        <v>13460</v>
      </c>
      <c r="K66" s="49">
        <f t="shared" si="5"/>
        <v>0.4889411765</v>
      </c>
      <c r="L66" s="49">
        <f t="shared" si="6"/>
        <v>0.3065098039</v>
      </c>
      <c r="M66" s="49">
        <f t="shared" si="7"/>
        <v>0.2045490196</v>
      </c>
      <c r="N66" s="32" t="str">
        <f t="shared" si="8"/>
        <v>Jânio</v>
      </c>
      <c r="O66" s="50" t="s">
        <v>77</v>
      </c>
      <c r="P66" s="38">
        <v>4125.0</v>
      </c>
      <c r="Q66" s="38">
        <v>659.0</v>
      </c>
      <c r="R66" s="38">
        <v>7817.0</v>
      </c>
      <c r="S66" s="38">
        <v>662.0</v>
      </c>
      <c r="T66" s="38">
        <v>197.0</v>
      </c>
      <c r="U66" s="48">
        <f t="shared" si="9"/>
        <v>12601</v>
      </c>
      <c r="V66" s="48">
        <f t="shared" si="10"/>
        <v>13460</v>
      </c>
      <c r="W66" s="49">
        <f t="shared" si="11"/>
        <v>0.3273549718</v>
      </c>
      <c r="X66" s="49">
        <f t="shared" si="12"/>
        <v>0.05229743671</v>
      </c>
      <c r="Y66" s="49">
        <f t="shared" si="13"/>
        <v>0.6203475915</v>
      </c>
      <c r="Z66" s="32" t="str">
        <f t="shared" si="14"/>
        <v>Ferrari</v>
      </c>
      <c r="AA66" s="50" t="s">
        <v>77</v>
      </c>
      <c r="AB66" s="38">
        <v>14841.0</v>
      </c>
      <c r="AC66" s="48">
        <f t="shared" si="19"/>
        <v>1381</v>
      </c>
      <c r="AD66" s="51">
        <f t="shared" si="20"/>
        <v>0.9069469712</v>
      </c>
    </row>
    <row r="67">
      <c r="A67" s="61" t="s">
        <v>209</v>
      </c>
      <c r="B67" s="46" t="s">
        <v>1541</v>
      </c>
      <c r="C67" s="47"/>
      <c r="D67" s="38">
        <v>4074.0</v>
      </c>
      <c r="E67" s="38">
        <v>3967.0</v>
      </c>
      <c r="F67" s="38">
        <v>788.0</v>
      </c>
      <c r="G67" s="38">
        <v>385.0</v>
      </c>
      <c r="H67" s="38">
        <v>401.0</v>
      </c>
      <c r="I67" s="48">
        <f t="shared" si="3"/>
        <v>8829</v>
      </c>
      <c r="J67" s="48">
        <f t="shared" si="4"/>
        <v>9615</v>
      </c>
      <c r="K67" s="49">
        <f t="shared" si="5"/>
        <v>0.461433911</v>
      </c>
      <c r="L67" s="49">
        <f t="shared" si="6"/>
        <v>0.4493147582</v>
      </c>
      <c r="M67" s="49">
        <f t="shared" si="7"/>
        <v>0.08925133084</v>
      </c>
      <c r="N67" s="32" t="str">
        <f t="shared" si="8"/>
        <v>Jânio</v>
      </c>
      <c r="O67" s="50" t="s">
        <v>77</v>
      </c>
      <c r="P67" s="38">
        <v>4302.0</v>
      </c>
      <c r="Q67" s="38">
        <v>1375.0</v>
      </c>
      <c r="R67" s="38">
        <v>3021.0</v>
      </c>
      <c r="S67" s="38">
        <v>623.0</v>
      </c>
      <c r="T67" s="38">
        <v>294.0</v>
      </c>
      <c r="U67" s="48">
        <f t="shared" si="9"/>
        <v>8698</v>
      </c>
      <c r="V67" s="48">
        <f t="shared" si="10"/>
        <v>9615</v>
      </c>
      <c r="W67" s="49">
        <f t="shared" si="11"/>
        <v>0.494596459</v>
      </c>
      <c r="X67" s="49">
        <f t="shared" si="12"/>
        <v>0.1580823178</v>
      </c>
      <c r="Y67" s="49">
        <f t="shared" si="13"/>
        <v>0.3473212233</v>
      </c>
      <c r="Z67" s="32" t="str">
        <f t="shared" si="14"/>
        <v>Jango</v>
      </c>
      <c r="AA67" s="50" t="s">
        <v>77</v>
      </c>
      <c r="AB67" s="38">
        <v>10859.0</v>
      </c>
      <c r="AC67" s="48">
        <f t="shared" si="19"/>
        <v>1244</v>
      </c>
      <c r="AD67" s="51">
        <f t="shared" si="20"/>
        <v>0.8854406483</v>
      </c>
    </row>
    <row r="68">
      <c r="A68" s="23"/>
      <c r="B68" s="46" t="s">
        <v>1542</v>
      </c>
      <c r="C68" s="47"/>
      <c r="D68" s="38">
        <v>927.0</v>
      </c>
      <c r="E68" s="38">
        <v>711.0</v>
      </c>
      <c r="F68" s="38">
        <v>164.0</v>
      </c>
      <c r="G68" s="38">
        <v>79.0</v>
      </c>
      <c r="H68" s="38">
        <v>95.0</v>
      </c>
      <c r="I68" s="48">
        <f t="shared" si="3"/>
        <v>1802</v>
      </c>
      <c r="J68" s="48">
        <f t="shared" si="4"/>
        <v>1976</v>
      </c>
      <c r="K68" s="49">
        <f t="shared" si="5"/>
        <v>0.5144284129</v>
      </c>
      <c r="L68" s="49">
        <f t="shared" si="6"/>
        <v>0.3945615982</v>
      </c>
      <c r="M68" s="49">
        <f t="shared" si="7"/>
        <v>0.0910099889</v>
      </c>
      <c r="N68" s="32" t="str">
        <f t="shared" si="8"/>
        <v>Jânio</v>
      </c>
      <c r="O68" s="50" t="s">
        <v>77</v>
      </c>
      <c r="P68" s="38">
        <v>769.0</v>
      </c>
      <c r="Q68" s="38">
        <v>162.0</v>
      </c>
      <c r="R68" s="38">
        <v>787.0</v>
      </c>
      <c r="S68" s="38">
        <v>217.0</v>
      </c>
      <c r="T68" s="38">
        <v>41.0</v>
      </c>
      <c r="U68" s="48">
        <f t="shared" si="9"/>
        <v>1718</v>
      </c>
      <c r="V68" s="48">
        <f t="shared" si="10"/>
        <v>1976</v>
      </c>
      <c r="W68" s="49">
        <f t="shared" si="11"/>
        <v>0.4476135041</v>
      </c>
      <c r="X68" s="49">
        <f t="shared" si="12"/>
        <v>0.09429569267</v>
      </c>
      <c r="Y68" s="49">
        <f t="shared" si="13"/>
        <v>0.4580908033</v>
      </c>
      <c r="Z68" s="32" t="str">
        <f t="shared" si="14"/>
        <v>Ferrari</v>
      </c>
      <c r="AA68" s="50" t="s">
        <v>77</v>
      </c>
      <c r="AB68" s="38">
        <v>2178.0</v>
      </c>
      <c r="AC68" s="48">
        <f t="shared" si="19"/>
        <v>202</v>
      </c>
      <c r="AD68" s="51">
        <f t="shared" si="20"/>
        <v>0.9072543618</v>
      </c>
    </row>
    <row r="69">
      <c r="A69" s="24"/>
      <c r="B69" s="46" t="s">
        <v>1543</v>
      </c>
      <c r="C69" s="47"/>
      <c r="D69" s="38">
        <v>1272.0</v>
      </c>
      <c r="E69" s="38">
        <v>1067.0</v>
      </c>
      <c r="F69" s="38">
        <v>360.0</v>
      </c>
      <c r="G69" s="38">
        <v>144.0</v>
      </c>
      <c r="H69" s="38">
        <v>158.0</v>
      </c>
      <c r="I69" s="48">
        <f t="shared" si="3"/>
        <v>2699</v>
      </c>
      <c r="J69" s="48">
        <f t="shared" si="4"/>
        <v>3001</v>
      </c>
      <c r="K69" s="49">
        <f t="shared" si="5"/>
        <v>0.4712856614</v>
      </c>
      <c r="L69" s="49">
        <f t="shared" si="6"/>
        <v>0.3953316043</v>
      </c>
      <c r="M69" s="49">
        <f t="shared" si="7"/>
        <v>0.1333827343</v>
      </c>
      <c r="N69" s="32" t="str">
        <f t="shared" si="8"/>
        <v>Jânio</v>
      </c>
      <c r="O69" s="50" t="s">
        <v>77</v>
      </c>
      <c r="P69" s="38">
        <v>1234.0</v>
      </c>
      <c r="Q69" s="38">
        <v>579.0</v>
      </c>
      <c r="R69" s="38">
        <v>828.0</v>
      </c>
      <c r="S69" s="38">
        <v>274.0</v>
      </c>
      <c r="T69" s="38">
        <v>86.0</v>
      </c>
      <c r="U69" s="48">
        <f t="shared" si="9"/>
        <v>2641</v>
      </c>
      <c r="V69" s="48">
        <f t="shared" si="10"/>
        <v>3001</v>
      </c>
      <c r="W69" s="49">
        <f t="shared" si="11"/>
        <v>0.4672472548</v>
      </c>
      <c r="X69" s="49">
        <f t="shared" si="12"/>
        <v>0.2192351382</v>
      </c>
      <c r="Y69" s="49">
        <f t="shared" si="13"/>
        <v>0.313517607</v>
      </c>
      <c r="Z69" s="32" t="str">
        <f t="shared" si="14"/>
        <v>Jango</v>
      </c>
      <c r="AA69" s="50" t="s">
        <v>77</v>
      </c>
      <c r="AB69" s="38">
        <v>3528.0</v>
      </c>
      <c r="AC69" s="48">
        <f t="shared" si="19"/>
        <v>527</v>
      </c>
      <c r="AD69" s="51">
        <f t="shared" si="20"/>
        <v>0.8506235828</v>
      </c>
    </row>
    <row r="70">
      <c r="A70" s="110" t="s">
        <v>211</v>
      </c>
      <c r="B70" s="46" t="s">
        <v>1544</v>
      </c>
      <c r="C70" s="47"/>
      <c r="D70" s="38">
        <v>8693.0</v>
      </c>
      <c r="E70" s="38">
        <v>7031.0</v>
      </c>
      <c r="F70" s="38">
        <v>3957.0</v>
      </c>
      <c r="G70" s="38">
        <v>555.0</v>
      </c>
      <c r="H70" s="38">
        <v>680.0</v>
      </c>
      <c r="I70" s="48">
        <f t="shared" si="3"/>
        <v>19681</v>
      </c>
      <c r="J70" s="48">
        <f t="shared" si="4"/>
        <v>20916</v>
      </c>
      <c r="K70" s="49">
        <f t="shared" si="5"/>
        <v>0.4416950358</v>
      </c>
      <c r="L70" s="49">
        <f t="shared" si="6"/>
        <v>0.3572481073</v>
      </c>
      <c r="M70" s="49">
        <f t="shared" si="7"/>
        <v>0.2010568569</v>
      </c>
      <c r="N70" s="32" t="str">
        <f t="shared" si="8"/>
        <v>Jânio</v>
      </c>
      <c r="O70" s="50" t="s">
        <v>77</v>
      </c>
      <c r="P70" s="38">
        <v>8022.0</v>
      </c>
      <c r="Q70" s="38">
        <v>1817.0</v>
      </c>
      <c r="R70" s="38">
        <v>9609.0</v>
      </c>
      <c r="S70" s="38">
        <v>880.0</v>
      </c>
      <c r="T70" s="38">
        <v>588.0</v>
      </c>
      <c r="U70" s="48">
        <f t="shared" si="9"/>
        <v>19448</v>
      </c>
      <c r="V70" s="48">
        <f t="shared" si="10"/>
        <v>20916</v>
      </c>
      <c r="W70" s="49">
        <f t="shared" si="11"/>
        <v>0.4124845742</v>
      </c>
      <c r="X70" s="49">
        <f t="shared" si="12"/>
        <v>0.09342863019</v>
      </c>
      <c r="Y70" s="49">
        <f t="shared" si="13"/>
        <v>0.4940867956</v>
      </c>
      <c r="Z70" s="32" t="str">
        <f t="shared" si="14"/>
        <v>Ferrari</v>
      </c>
      <c r="AA70" s="50" t="s">
        <v>77</v>
      </c>
      <c r="AB70" s="38">
        <v>23140.0</v>
      </c>
      <c r="AC70" s="48">
        <f t="shared" si="19"/>
        <v>2224</v>
      </c>
      <c r="AD70" s="51">
        <f t="shared" si="20"/>
        <v>0.9038893691</v>
      </c>
    </row>
    <row r="71">
      <c r="A71" s="110" t="s">
        <v>1545</v>
      </c>
      <c r="B71" s="46" t="s">
        <v>1546</v>
      </c>
      <c r="C71" s="47"/>
      <c r="D71" s="38">
        <v>13557.0</v>
      </c>
      <c r="E71" s="38">
        <v>11839.0</v>
      </c>
      <c r="F71" s="38">
        <v>16203.0</v>
      </c>
      <c r="G71" s="38">
        <v>641.0</v>
      </c>
      <c r="H71" s="38">
        <v>799.0</v>
      </c>
      <c r="I71" s="48">
        <f t="shared" si="3"/>
        <v>41599</v>
      </c>
      <c r="J71" s="48">
        <f t="shared" si="4"/>
        <v>43039</v>
      </c>
      <c r="K71" s="49">
        <f t="shared" si="5"/>
        <v>0.3258972571</v>
      </c>
      <c r="L71" s="49">
        <f t="shared" si="6"/>
        <v>0.2845981875</v>
      </c>
      <c r="M71" s="49">
        <f t="shared" si="7"/>
        <v>0.3895045554</v>
      </c>
      <c r="N71" s="32" t="str">
        <f t="shared" si="8"/>
        <v>Adhemar</v>
      </c>
      <c r="O71" s="50" t="s">
        <v>77</v>
      </c>
      <c r="P71" s="38">
        <v>15628.0</v>
      </c>
      <c r="Q71" s="38">
        <v>6488.0</v>
      </c>
      <c r="R71" s="38">
        <v>18963.0</v>
      </c>
      <c r="S71" s="38">
        <v>1399.0</v>
      </c>
      <c r="T71" s="38">
        <v>561.0</v>
      </c>
      <c r="U71" s="48">
        <f t="shared" si="9"/>
        <v>41079</v>
      </c>
      <c r="V71" s="48">
        <f t="shared" si="10"/>
        <v>43039</v>
      </c>
      <c r="W71" s="49">
        <f t="shared" si="11"/>
        <v>0.3804376932</v>
      </c>
      <c r="X71" s="49">
        <f t="shared" si="12"/>
        <v>0.1579395798</v>
      </c>
      <c r="Y71" s="49">
        <f t="shared" si="13"/>
        <v>0.4616227269</v>
      </c>
      <c r="Z71" s="32" t="str">
        <f t="shared" si="14"/>
        <v>Ferrari</v>
      </c>
      <c r="AA71" s="50" t="s">
        <v>77</v>
      </c>
      <c r="AB71" s="38">
        <v>45684.0</v>
      </c>
      <c r="AC71" s="48">
        <f t="shared" si="19"/>
        <v>2645</v>
      </c>
      <c r="AD71" s="51">
        <f t="shared" si="20"/>
        <v>0.9421022678</v>
      </c>
    </row>
    <row r="72">
      <c r="A72" s="110" t="s">
        <v>213</v>
      </c>
      <c r="B72" s="46" t="s">
        <v>1547</v>
      </c>
      <c r="C72" s="47"/>
      <c r="D72" s="38">
        <v>1006.0</v>
      </c>
      <c r="E72" s="38">
        <v>945.0</v>
      </c>
      <c r="F72" s="38">
        <v>561.0</v>
      </c>
      <c r="G72" s="38">
        <v>61.0</v>
      </c>
      <c r="H72" s="38">
        <v>79.0</v>
      </c>
      <c r="I72" s="48">
        <f t="shared" si="3"/>
        <v>2512</v>
      </c>
      <c r="J72" s="48">
        <f t="shared" si="4"/>
        <v>2652</v>
      </c>
      <c r="K72" s="49">
        <f t="shared" si="5"/>
        <v>0.400477707</v>
      </c>
      <c r="L72" s="49">
        <f t="shared" si="6"/>
        <v>0.3761942675</v>
      </c>
      <c r="M72" s="49">
        <f t="shared" si="7"/>
        <v>0.2233280255</v>
      </c>
      <c r="N72" s="32" t="str">
        <f t="shared" si="8"/>
        <v>Jânio</v>
      </c>
      <c r="O72" s="50" t="s">
        <v>77</v>
      </c>
      <c r="P72" s="38">
        <v>1191.0</v>
      </c>
      <c r="Q72" s="38">
        <v>546.0</v>
      </c>
      <c r="R72" s="38">
        <v>725.0</v>
      </c>
      <c r="S72" s="38">
        <v>145.0</v>
      </c>
      <c r="T72" s="38">
        <v>45.0</v>
      </c>
      <c r="U72" s="48">
        <f t="shared" si="9"/>
        <v>2462</v>
      </c>
      <c r="V72" s="48">
        <f t="shared" si="10"/>
        <v>2652</v>
      </c>
      <c r="W72" s="49">
        <f t="shared" si="11"/>
        <v>0.4837530463</v>
      </c>
      <c r="X72" s="49">
        <f t="shared" si="12"/>
        <v>0.221770918</v>
      </c>
      <c r="Y72" s="49">
        <f t="shared" si="13"/>
        <v>0.2944760357</v>
      </c>
      <c r="Z72" s="32" t="str">
        <f t="shared" si="14"/>
        <v>Jango</v>
      </c>
      <c r="AA72" s="50" t="s">
        <v>77</v>
      </c>
      <c r="AB72" s="38">
        <v>2940.0</v>
      </c>
      <c r="AC72" s="48">
        <f t="shared" si="19"/>
        <v>288</v>
      </c>
      <c r="AD72" s="51">
        <f t="shared" si="20"/>
        <v>0.9020408163</v>
      </c>
    </row>
    <row r="73">
      <c r="A73" s="110" t="s">
        <v>215</v>
      </c>
      <c r="B73" s="46" t="s">
        <v>1548</v>
      </c>
      <c r="C73" s="47"/>
      <c r="D73" s="38">
        <v>1292.0</v>
      </c>
      <c r="E73" s="38">
        <v>941.0</v>
      </c>
      <c r="F73" s="38">
        <v>97.0</v>
      </c>
      <c r="G73" s="38">
        <v>77.0</v>
      </c>
      <c r="H73" s="38">
        <v>153.0</v>
      </c>
      <c r="I73" s="48">
        <f t="shared" si="3"/>
        <v>2330</v>
      </c>
      <c r="J73" s="48">
        <f t="shared" si="4"/>
        <v>2560</v>
      </c>
      <c r="K73" s="49">
        <f t="shared" si="5"/>
        <v>0.5545064378</v>
      </c>
      <c r="L73" s="49">
        <f t="shared" si="6"/>
        <v>0.4038626609</v>
      </c>
      <c r="M73" s="49">
        <f t="shared" si="7"/>
        <v>0.04163090129</v>
      </c>
      <c r="N73" s="32" t="str">
        <f t="shared" si="8"/>
        <v>Jânio</v>
      </c>
      <c r="O73" s="50" t="s">
        <v>77</v>
      </c>
      <c r="P73" s="38">
        <v>978.0</v>
      </c>
      <c r="Q73" s="38">
        <v>1071.0</v>
      </c>
      <c r="R73" s="38">
        <v>253.0</v>
      </c>
      <c r="S73" s="38">
        <v>101.0</v>
      </c>
      <c r="T73" s="38">
        <v>157.0</v>
      </c>
      <c r="U73" s="48">
        <f t="shared" si="9"/>
        <v>2302</v>
      </c>
      <c r="V73" s="48">
        <f t="shared" si="10"/>
        <v>2560</v>
      </c>
      <c r="W73" s="49">
        <f t="shared" si="11"/>
        <v>0.4248479583</v>
      </c>
      <c r="X73" s="49">
        <f t="shared" si="12"/>
        <v>0.4652476108</v>
      </c>
      <c r="Y73" s="49">
        <f t="shared" si="13"/>
        <v>0.1099044309</v>
      </c>
      <c r="Z73" s="32" t="str">
        <f t="shared" si="14"/>
        <v>Milton</v>
      </c>
      <c r="AA73" s="50" t="s">
        <v>77</v>
      </c>
      <c r="AB73" s="38">
        <v>2977.0</v>
      </c>
      <c r="AC73" s="48">
        <f t="shared" si="19"/>
        <v>417</v>
      </c>
      <c r="AD73" s="51">
        <f t="shared" si="20"/>
        <v>0.8599261001</v>
      </c>
    </row>
    <row r="74">
      <c r="A74" s="110" t="s">
        <v>218</v>
      </c>
      <c r="B74" s="46" t="s">
        <v>1549</v>
      </c>
      <c r="C74" s="47"/>
      <c r="D74" s="38">
        <v>2392.0</v>
      </c>
      <c r="E74" s="38">
        <v>2318.0</v>
      </c>
      <c r="F74" s="38">
        <v>264.0</v>
      </c>
      <c r="G74" s="38">
        <v>111.0</v>
      </c>
      <c r="H74" s="38">
        <v>132.0</v>
      </c>
      <c r="I74" s="48">
        <f t="shared" si="3"/>
        <v>4974</v>
      </c>
      <c r="J74" s="48">
        <f t="shared" si="4"/>
        <v>5217</v>
      </c>
      <c r="K74" s="49">
        <f t="shared" si="5"/>
        <v>0.4809006836</v>
      </c>
      <c r="L74" s="49">
        <f t="shared" si="6"/>
        <v>0.4660233213</v>
      </c>
      <c r="M74" s="49">
        <f t="shared" si="7"/>
        <v>0.05307599517</v>
      </c>
      <c r="N74" s="32" t="str">
        <f t="shared" si="8"/>
        <v>Jânio</v>
      </c>
      <c r="O74" s="50" t="s">
        <v>77</v>
      </c>
      <c r="P74" s="38">
        <v>2319.0</v>
      </c>
      <c r="Q74" s="38">
        <v>1164.0</v>
      </c>
      <c r="R74" s="38">
        <v>1450.0</v>
      </c>
      <c r="S74" s="38">
        <v>205.0</v>
      </c>
      <c r="T74" s="38">
        <v>79.0</v>
      </c>
      <c r="U74" s="48">
        <f t="shared" si="9"/>
        <v>4933</v>
      </c>
      <c r="V74" s="48">
        <f t="shared" si="10"/>
        <v>5217</v>
      </c>
      <c r="W74" s="49">
        <f t="shared" si="11"/>
        <v>0.470099331</v>
      </c>
      <c r="X74" s="49">
        <f t="shared" si="12"/>
        <v>0.2359618893</v>
      </c>
      <c r="Y74" s="49">
        <f t="shared" si="13"/>
        <v>0.2939387796</v>
      </c>
      <c r="Z74" s="32" t="str">
        <f t="shared" si="14"/>
        <v>Jango</v>
      </c>
      <c r="AA74" s="50" t="s">
        <v>77</v>
      </c>
      <c r="AB74" s="38">
        <v>5871.0</v>
      </c>
      <c r="AC74" s="48">
        <f t="shared" si="19"/>
        <v>654</v>
      </c>
      <c r="AD74" s="51">
        <f t="shared" si="20"/>
        <v>0.8886050077</v>
      </c>
    </row>
    <row r="75">
      <c r="A75" s="61" t="s">
        <v>220</v>
      </c>
      <c r="B75" s="46" t="s">
        <v>1550</v>
      </c>
      <c r="C75" s="47"/>
      <c r="D75" s="38">
        <v>6623.0</v>
      </c>
      <c r="E75" s="38">
        <v>10189.0</v>
      </c>
      <c r="F75" s="38">
        <v>9173.0</v>
      </c>
      <c r="G75" s="38">
        <v>487.0</v>
      </c>
      <c r="H75" s="38">
        <v>839.0</v>
      </c>
      <c r="I75" s="48">
        <f t="shared" si="3"/>
        <v>25985</v>
      </c>
      <c r="J75" s="48">
        <f t="shared" si="4"/>
        <v>27311</v>
      </c>
      <c r="K75" s="49">
        <f t="shared" si="5"/>
        <v>0.2548778141</v>
      </c>
      <c r="L75" s="49">
        <f t="shared" si="6"/>
        <v>0.3921108332</v>
      </c>
      <c r="M75" s="49">
        <f t="shared" si="7"/>
        <v>0.3530113527</v>
      </c>
      <c r="N75" s="32" t="str">
        <f t="shared" si="8"/>
        <v>Mal. Lott</v>
      </c>
      <c r="O75" s="50" t="s">
        <v>77</v>
      </c>
      <c r="P75" s="38">
        <v>10652.0</v>
      </c>
      <c r="Q75" s="38">
        <v>1617.0</v>
      </c>
      <c r="R75" s="38">
        <v>13347.0</v>
      </c>
      <c r="S75" s="38">
        <v>1006.0</v>
      </c>
      <c r="T75" s="38">
        <v>689.0</v>
      </c>
      <c r="U75" s="48">
        <f t="shared" si="9"/>
        <v>25616</v>
      </c>
      <c r="V75" s="48">
        <f t="shared" si="10"/>
        <v>27311</v>
      </c>
      <c r="W75" s="49">
        <f t="shared" si="11"/>
        <v>0.4158338538</v>
      </c>
      <c r="X75" s="49">
        <f t="shared" si="12"/>
        <v>0.06312460962</v>
      </c>
      <c r="Y75" s="49">
        <f t="shared" si="13"/>
        <v>0.5210415365</v>
      </c>
      <c r="Z75" s="32" t="str">
        <f t="shared" si="14"/>
        <v>Ferrari</v>
      </c>
      <c r="AA75" s="50" t="s">
        <v>77</v>
      </c>
      <c r="AB75" s="38">
        <v>29818.0</v>
      </c>
      <c r="AC75" s="48">
        <f t="shared" si="19"/>
        <v>2507</v>
      </c>
      <c r="AD75" s="51">
        <f t="shared" si="20"/>
        <v>0.9159232678</v>
      </c>
    </row>
    <row r="76">
      <c r="A76" s="24"/>
      <c r="B76" s="46" t="s">
        <v>1551</v>
      </c>
      <c r="C76" s="47"/>
      <c r="D76" s="38">
        <v>1819.0</v>
      </c>
      <c r="E76" s="38">
        <v>1467.0</v>
      </c>
      <c r="F76" s="38">
        <v>816.0</v>
      </c>
      <c r="G76" s="38">
        <v>164.0</v>
      </c>
      <c r="H76" s="38">
        <v>240.0</v>
      </c>
      <c r="I76" s="48">
        <f t="shared" si="3"/>
        <v>4102</v>
      </c>
      <c r="J76" s="48">
        <f t="shared" si="4"/>
        <v>4506</v>
      </c>
      <c r="K76" s="49">
        <f t="shared" si="5"/>
        <v>0.4434422233</v>
      </c>
      <c r="L76" s="49">
        <f t="shared" si="6"/>
        <v>0.3576304242</v>
      </c>
      <c r="M76" s="49">
        <f t="shared" si="7"/>
        <v>0.1989273525</v>
      </c>
      <c r="N76" s="32" t="str">
        <f t="shared" si="8"/>
        <v>Jânio</v>
      </c>
      <c r="O76" s="50" t="s">
        <v>77</v>
      </c>
      <c r="P76" s="38">
        <v>1741.0</v>
      </c>
      <c r="Q76" s="38">
        <v>599.0</v>
      </c>
      <c r="R76" s="38">
        <v>1624.0</v>
      </c>
      <c r="S76" s="38">
        <v>384.0</v>
      </c>
      <c r="T76" s="38">
        <v>158.0</v>
      </c>
      <c r="U76" s="48">
        <f t="shared" si="9"/>
        <v>3964</v>
      </c>
      <c r="V76" s="48">
        <f t="shared" si="10"/>
        <v>4506</v>
      </c>
      <c r="W76" s="49">
        <f t="shared" si="11"/>
        <v>0.4392028254</v>
      </c>
      <c r="X76" s="49">
        <f t="shared" si="12"/>
        <v>0.1511099899</v>
      </c>
      <c r="Y76" s="49">
        <f t="shared" si="13"/>
        <v>0.4096871847</v>
      </c>
      <c r="Z76" s="32" t="str">
        <f t="shared" si="14"/>
        <v>Jango</v>
      </c>
      <c r="AA76" s="50" t="s">
        <v>77</v>
      </c>
      <c r="AB76" s="38">
        <v>5391.0</v>
      </c>
      <c r="AC76" s="48">
        <f t="shared" si="19"/>
        <v>885</v>
      </c>
      <c r="AD76" s="51">
        <f t="shared" si="20"/>
        <v>0.835837507</v>
      </c>
    </row>
    <row r="77">
      <c r="A77" s="110" t="s">
        <v>295</v>
      </c>
      <c r="B77" s="46" t="s">
        <v>1552</v>
      </c>
      <c r="C77" s="47"/>
      <c r="D77" s="38">
        <v>3514.0</v>
      </c>
      <c r="E77" s="38">
        <v>3062.0</v>
      </c>
      <c r="F77" s="38">
        <v>1656.0</v>
      </c>
      <c r="G77" s="38">
        <v>439.0</v>
      </c>
      <c r="H77" s="38">
        <v>475.0</v>
      </c>
      <c r="I77" s="48">
        <f t="shared" si="3"/>
        <v>8232</v>
      </c>
      <c r="J77" s="48">
        <f t="shared" si="4"/>
        <v>9146</v>
      </c>
      <c r="K77" s="49">
        <f t="shared" si="5"/>
        <v>0.4268707483</v>
      </c>
      <c r="L77" s="49">
        <f t="shared" si="6"/>
        <v>0.3719630709</v>
      </c>
      <c r="M77" s="49">
        <f t="shared" si="7"/>
        <v>0.2011661808</v>
      </c>
      <c r="N77" s="32" t="str">
        <f t="shared" si="8"/>
        <v>Jânio</v>
      </c>
      <c r="O77" s="50" t="s">
        <v>77</v>
      </c>
      <c r="P77" s="38">
        <v>3542.0</v>
      </c>
      <c r="Q77" s="38">
        <v>874.0</v>
      </c>
      <c r="R77" s="38">
        <v>3487.0</v>
      </c>
      <c r="S77" s="38">
        <v>894.0</v>
      </c>
      <c r="T77" s="38">
        <v>349.0</v>
      </c>
      <c r="U77" s="48">
        <f t="shared" si="9"/>
        <v>7903</v>
      </c>
      <c r="V77" s="48">
        <f t="shared" si="10"/>
        <v>9146</v>
      </c>
      <c r="W77" s="49">
        <f t="shared" si="11"/>
        <v>0.4481842338</v>
      </c>
      <c r="X77" s="49">
        <f t="shared" si="12"/>
        <v>0.1105909148</v>
      </c>
      <c r="Y77" s="49">
        <f t="shared" si="13"/>
        <v>0.4412248513</v>
      </c>
      <c r="Z77" s="32" t="str">
        <f t="shared" si="14"/>
        <v>Jango</v>
      </c>
      <c r="AA77" s="50" t="s">
        <v>77</v>
      </c>
      <c r="AB77" s="38">
        <v>10265.0</v>
      </c>
      <c r="AC77" s="48">
        <f t="shared" si="19"/>
        <v>1119</v>
      </c>
      <c r="AD77" s="51">
        <f t="shared" si="20"/>
        <v>0.8909887969</v>
      </c>
    </row>
    <row r="78">
      <c r="A78" s="110" t="s">
        <v>299</v>
      </c>
      <c r="B78" s="46" t="s">
        <v>1553</v>
      </c>
      <c r="C78" s="47"/>
      <c r="D78" s="38">
        <v>2681.0</v>
      </c>
      <c r="E78" s="38">
        <v>2924.0</v>
      </c>
      <c r="F78" s="38">
        <v>305.0</v>
      </c>
      <c r="G78" s="38">
        <v>202.0</v>
      </c>
      <c r="H78" s="38">
        <v>148.0</v>
      </c>
      <c r="I78" s="48">
        <f t="shared" si="3"/>
        <v>5910</v>
      </c>
      <c r="J78" s="48">
        <f t="shared" si="4"/>
        <v>6260</v>
      </c>
      <c r="K78" s="49">
        <f t="shared" si="5"/>
        <v>0.4536379019</v>
      </c>
      <c r="L78" s="49">
        <f t="shared" si="6"/>
        <v>0.4947546531</v>
      </c>
      <c r="M78" s="49">
        <f t="shared" si="7"/>
        <v>0.05160744501</v>
      </c>
      <c r="N78" s="32" t="str">
        <f t="shared" si="8"/>
        <v>Mal. Lott</v>
      </c>
      <c r="O78" s="50" t="s">
        <v>77</v>
      </c>
      <c r="P78" s="38">
        <v>3039.0</v>
      </c>
      <c r="Q78" s="38">
        <v>961.0</v>
      </c>
      <c r="R78" s="38">
        <v>1868.0</v>
      </c>
      <c r="S78" s="38">
        <v>268.0</v>
      </c>
      <c r="T78" s="38">
        <v>124.0</v>
      </c>
      <c r="U78" s="48">
        <f t="shared" si="9"/>
        <v>5868</v>
      </c>
      <c r="V78" s="48">
        <f t="shared" si="10"/>
        <v>6260</v>
      </c>
      <c r="W78" s="49">
        <f t="shared" si="11"/>
        <v>0.5178936605</v>
      </c>
      <c r="X78" s="49">
        <f t="shared" si="12"/>
        <v>0.1637695978</v>
      </c>
      <c r="Y78" s="49">
        <f t="shared" si="13"/>
        <v>0.3183367416</v>
      </c>
      <c r="Z78" s="32" t="str">
        <f t="shared" si="14"/>
        <v>Jango</v>
      </c>
      <c r="AA78" s="50" t="s">
        <v>77</v>
      </c>
      <c r="AB78" s="38">
        <v>7176.0</v>
      </c>
      <c r="AC78" s="48">
        <f t="shared" si="19"/>
        <v>916</v>
      </c>
      <c r="AD78" s="51">
        <f t="shared" si="20"/>
        <v>0.8723522854</v>
      </c>
    </row>
    <row r="79">
      <c r="A79" s="61" t="s">
        <v>302</v>
      </c>
      <c r="B79" s="46" t="s">
        <v>1554</v>
      </c>
      <c r="C79" s="47"/>
      <c r="D79" s="38">
        <v>8132.0</v>
      </c>
      <c r="E79" s="38">
        <v>2945.0</v>
      </c>
      <c r="F79" s="38">
        <v>3949.0</v>
      </c>
      <c r="G79" s="38">
        <v>343.0</v>
      </c>
      <c r="H79" s="38">
        <v>396.0</v>
      </c>
      <c r="I79" s="48">
        <f t="shared" si="3"/>
        <v>15026</v>
      </c>
      <c r="J79" s="48">
        <f t="shared" si="4"/>
        <v>15765</v>
      </c>
      <c r="K79" s="49">
        <f t="shared" si="5"/>
        <v>0.5411952615</v>
      </c>
      <c r="L79" s="49">
        <f t="shared" si="6"/>
        <v>0.1959936111</v>
      </c>
      <c r="M79" s="49">
        <f t="shared" si="7"/>
        <v>0.2628111274</v>
      </c>
      <c r="N79" s="32" t="str">
        <f t="shared" si="8"/>
        <v>Jânio</v>
      </c>
      <c r="O79" s="50" t="s">
        <v>77</v>
      </c>
      <c r="P79" s="38">
        <v>3474.0</v>
      </c>
      <c r="Q79" s="38">
        <v>1364.0</v>
      </c>
      <c r="R79" s="38">
        <v>9981.0</v>
      </c>
      <c r="S79" s="38">
        <v>713.0</v>
      </c>
      <c r="T79" s="38">
        <v>233.0</v>
      </c>
      <c r="U79" s="48">
        <f t="shared" si="9"/>
        <v>14819</v>
      </c>
      <c r="V79" s="48">
        <f t="shared" si="10"/>
        <v>15765</v>
      </c>
      <c r="W79" s="49">
        <f t="shared" si="11"/>
        <v>0.2344287739</v>
      </c>
      <c r="X79" s="49">
        <f t="shared" si="12"/>
        <v>0.09204399757</v>
      </c>
      <c r="Y79" s="49">
        <f t="shared" si="13"/>
        <v>0.6735272286</v>
      </c>
      <c r="Z79" s="32" t="str">
        <f t="shared" si="14"/>
        <v>Ferrari</v>
      </c>
      <c r="AA79" s="50" t="s">
        <v>77</v>
      </c>
      <c r="AB79" s="38">
        <v>16849.0</v>
      </c>
      <c r="AC79" s="48">
        <f t="shared" si="19"/>
        <v>1084</v>
      </c>
      <c r="AD79" s="51">
        <f t="shared" si="20"/>
        <v>0.9356638376</v>
      </c>
    </row>
    <row r="80">
      <c r="A80" s="23"/>
      <c r="B80" s="46" t="s">
        <v>1555</v>
      </c>
      <c r="C80" s="47"/>
      <c r="D80" s="38">
        <v>3159.0</v>
      </c>
      <c r="E80" s="38">
        <v>2079.0</v>
      </c>
      <c r="F80" s="38">
        <v>1069.0</v>
      </c>
      <c r="G80" s="38">
        <v>249.0</v>
      </c>
      <c r="H80" s="38">
        <v>278.0</v>
      </c>
      <c r="I80" s="48">
        <f t="shared" si="3"/>
        <v>6307</v>
      </c>
      <c r="J80" s="48">
        <f t="shared" si="4"/>
        <v>6834</v>
      </c>
      <c r="K80" s="49">
        <f t="shared" si="5"/>
        <v>0.5008720469</v>
      </c>
      <c r="L80" s="49">
        <f t="shared" si="6"/>
        <v>0.3296337403</v>
      </c>
      <c r="M80" s="49">
        <f t="shared" si="7"/>
        <v>0.1694942128</v>
      </c>
      <c r="N80" s="32" t="str">
        <f t="shared" si="8"/>
        <v>Jânio</v>
      </c>
      <c r="O80" s="50" t="s">
        <v>77</v>
      </c>
      <c r="P80" s="38">
        <v>2158.0</v>
      </c>
      <c r="Q80" s="38">
        <v>439.0</v>
      </c>
      <c r="R80" s="38">
        <v>3560.0</v>
      </c>
      <c r="S80" s="38">
        <v>526.0</v>
      </c>
      <c r="T80" s="38">
        <v>151.0</v>
      </c>
      <c r="U80" s="48">
        <f t="shared" si="9"/>
        <v>6157</v>
      </c>
      <c r="V80" s="48">
        <f t="shared" si="10"/>
        <v>6834</v>
      </c>
      <c r="W80" s="49">
        <f t="shared" si="11"/>
        <v>0.3504953711</v>
      </c>
      <c r="X80" s="49">
        <f t="shared" si="12"/>
        <v>0.07130095826</v>
      </c>
      <c r="Y80" s="49">
        <f t="shared" si="13"/>
        <v>0.5782036706</v>
      </c>
      <c r="Z80" s="32" t="str">
        <f t="shared" si="14"/>
        <v>Ferrari</v>
      </c>
      <c r="AA80" s="50" t="s">
        <v>77</v>
      </c>
      <c r="AB80" s="38">
        <v>7370.0</v>
      </c>
      <c r="AC80" s="48">
        <f t="shared" si="19"/>
        <v>536</v>
      </c>
      <c r="AD80" s="51">
        <f t="shared" si="20"/>
        <v>0.9272727273</v>
      </c>
    </row>
    <row r="81">
      <c r="A81" s="24"/>
      <c r="B81" s="46" t="s">
        <v>1556</v>
      </c>
      <c r="C81" s="47"/>
      <c r="D81" s="38">
        <v>1215.0</v>
      </c>
      <c r="E81" s="38">
        <v>304.0</v>
      </c>
      <c r="F81" s="38">
        <v>381.0</v>
      </c>
      <c r="G81" s="38">
        <v>67.0</v>
      </c>
      <c r="H81" s="38">
        <v>59.0</v>
      </c>
      <c r="I81" s="48">
        <f t="shared" si="3"/>
        <v>1900</v>
      </c>
      <c r="J81" s="48">
        <f t="shared" si="4"/>
        <v>2026</v>
      </c>
      <c r="K81" s="49">
        <f t="shared" si="5"/>
        <v>0.6394736842</v>
      </c>
      <c r="L81" s="49">
        <f t="shared" si="6"/>
        <v>0.16</v>
      </c>
      <c r="M81" s="49">
        <f t="shared" si="7"/>
        <v>0.2005263158</v>
      </c>
      <c r="N81" s="32" t="str">
        <f t="shared" si="8"/>
        <v>Jânio</v>
      </c>
      <c r="O81" s="50" t="s">
        <v>77</v>
      </c>
      <c r="P81" s="38">
        <v>391.0</v>
      </c>
      <c r="Q81" s="38">
        <v>221.0</v>
      </c>
      <c r="R81" s="38">
        <v>1243.0</v>
      </c>
      <c r="S81" s="38">
        <v>130.0</v>
      </c>
      <c r="T81" s="38">
        <v>41.0</v>
      </c>
      <c r="U81" s="48">
        <f t="shared" si="9"/>
        <v>1855</v>
      </c>
      <c r="V81" s="48">
        <f t="shared" si="10"/>
        <v>2026</v>
      </c>
      <c r="W81" s="49">
        <f t="shared" si="11"/>
        <v>0.2107816712</v>
      </c>
      <c r="X81" s="49">
        <f t="shared" si="12"/>
        <v>0.1191374663</v>
      </c>
      <c r="Y81" s="49">
        <f t="shared" si="13"/>
        <v>0.6700808625</v>
      </c>
      <c r="Z81" s="32" t="str">
        <f t="shared" si="14"/>
        <v>Ferrari</v>
      </c>
      <c r="AA81" s="50" t="s">
        <v>77</v>
      </c>
      <c r="AB81" s="38">
        <v>2134.0</v>
      </c>
      <c r="AC81" s="48">
        <f t="shared" si="19"/>
        <v>108</v>
      </c>
      <c r="AD81" s="51">
        <f t="shared" si="20"/>
        <v>0.9493908154</v>
      </c>
    </row>
    <row r="82">
      <c r="A82" s="110" t="s">
        <v>304</v>
      </c>
      <c r="B82" s="46" t="s">
        <v>1557</v>
      </c>
      <c r="C82" s="47"/>
      <c r="D82" s="38">
        <v>11624.0</v>
      </c>
      <c r="E82" s="38">
        <v>12296.0</v>
      </c>
      <c r="F82" s="38">
        <v>4702.0</v>
      </c>
      <c r="G82" s="38">
        <v>438.0</v>
      </c>
      <c r="H82" s="38">
        <v>527.0</v>
      </c>
      <c r="I82" s="48">
        <f t="shared" si="3"/>
        <v>28622</v>
      </c>
      <c r="J82" s="48">
        <f t="shared" si="4"/>
        <v>29587</v>
      </c>
      <c r="K82" s="49">
        <f t="shared" si="5"/>
        <v>0.4061211655</v>
      </c>
      <c r="L82" s="49">
        <f t="shared" si="6"/>
        <v>0.4295996087</v>
      </c>
      <c r="M82" s="49">
        <f t="shared" si="7"/>
        <v>0.1642792258</v>
      </c>
      <c r="N82" s="32" t="str">
        <f t="shared" si="8"/>
        <v>Mal. Lott</v>
      </c>
      <c r="O82" s="50" t="s">
        <v>77</v>
      </c>
      <c r="P82" s="38">
        <v>12611.0</v>
      </c>
      <c r="Q82" s="38">
        <v>1499.0</v>
      </c>
      <c r="R82" s="38">
        <v>14452.0</v>
      </c>
      <c r="S82" s="38">
        <v>516.0</v>
      </c>
      <c r="T82" s="38">
        <v>509.0</v>
      </c>
      <c r="U82" s="48">
        <f t="shared" si="9"/>
        <v>28562</v>
      </c>
      <c r="V82" s="48">
        <f t="shared" si="10"/>
        <v>29587</v>
      </c>
      <c r="W82" s="49">
        <f t="shared" si="11"/>
        <v>0.4415307051</v>
      </c>
      <c r="X82" s="49">
        <f t="shared" si="12"/>
        <v>0.05248231917</v>
      </c>
      <c r="Y82" s="49">
        <f t="shared" si="13"/>
        <v>0.5059869757</v>
      </c>
      <c r="Z82" s="32" t="str">
        <f t="shared" si="14"/>
        <v>Ferrari</v>
      </c>
      <c r="AA82" s="50" t="s">
        <v>77</v>
      </c>
      <c r="AB82" s="38">
        <v>32059.0</v>
      </c>
      <c r="AC82" s="48">
        <f t="shared" si="19"/>
        <v>2472</v>
      </c>
      <c r="AD82" s="51">
        <f t="shared" si="20"/>
        <v>0.9228921676</v>
      </c>
    </row>
    <row r="83">
      <c r="A83" s="61" t="s">
        <v>308</v>
      </c>
      <c r="B83" s="46" t="s">
        <v>1558</v>
      </c>
      <c r="C83" s="47"/>
      <c r="D83" s="38">
        <v>3589.0</v>
      </c>
      <c r="E83" s="38">
        <v>2900.0</v>
      </c>
      <c r="F83" s="38">
        <v>1752.0</v>
      </c>
      <c r="G83" s="38">
        <v>236.0</v>
      </c>
      <c r="H83" s="38">
        <v>281.0</v>
      </c>
      <c r="I83" s="48">
        <f t="shared" si="3"/>
        <v>8241</v>
      </c>
      <c r="J83" s="48">
        <f t="shared" si="4"/>
        <v>8758</v>
      </c>
      <c r="K83" s="49">
        <f t="shared" si="5"/>
        <v>0.4355053998</v>
      </c>
      <c r="L83" s="49">
        <f t="shared" si="6"/>
        <v>0.3518990414</v>
      </c>
      <c r="M83" s="49">
        <f t="shared" si="7"/>
        <v>0.2125955588</v>
      </c>
      <c r="N83" s="32" t="str">
        <f t="shared" si="8"/>
        <v>Jânio</v>
      </c>
      <c r="O83" s="50" t="s">
        <v>77</v>
      </c>
      <c r="P83" s="38">
        <v>3123.0</v>
      </c>
      <c r="Q83" s="38">
        <v>440.0</v>
      </c>
      <c r="R83" s="38">
        <v>4546.0</v>
      </c>
      <c r="S83" s="38">
        <v>493.0</v>
      </c>
      <c r="T83" s="38">
        <v>156.0</v>
      </c>
      <c r="U83" s="48">
        <f t="shared" si="9"/>
        <v>8109</v>
      </c>
      <c r="V83" s="48">
        <f t="shared" si="10"/>
        <v>8758</v>
      </c>
      <c r="W83" s="49">
        <f t="shared" si="11"/>
        <v>0.385127636</v>
      </c>
      <c r="X83" s="49">
        <f t="shared" si="12"/>
        <v>0.05426069799</v>
      </c>
      <c r="Y83" s="49">
        <f t="shared" si="13"/>
        <v>0.5606116661</v>
      </c>
      <c r="Z83" s="32" t="str">
        <f t="shared" si="14"/>
        <v>Ferrari</v>
      </c>
      <c r="AA83" s="50" t="s">
        <v>77</v>
      </c>
      <c r="AB83" s="38">
        <v>9932.0</v>
      </c>
      <c r="AC83" s="48">
        <f t="shared" si="19"/>
        <v>1174</v>
      </c>
      <c r="AD83" s="51">
        <f t="shared" si="20"/>
        <v>0.8817962143</v>
      </c>
    </row>
    <row r="84">
      <c r="A84" s="23"/>
      <c r="B84" s="46" t="s">
        <v>1559</v>
      </c>
      <c r="C84" s="47"/>
      <c r="D84" s="38">
        <v>2257.0</v>
      </c>
      <c r="E84" s="38">
        <v>1478.0</v>
      </c>
      <c r="F84" s="38">
        <v>546.0</v>
      </c>
      <c r="G84" s="38">
        <v>147.0</v>
      </c>
      <c r="H84" s="38">
        <v>167.0</v>
      </c>
      <c r="I84" s="48">
        <f t="shared" si="3"/>
        <v>4281</v>
      </c>
      <c r="J84" s="48">
        <f t="shared" si="4"/>
        <v>4595</v>
      </c>
      <c r="K84" s="49">
        <f t="shared" si="5"/>
        <v>0.5272132679</v>
      </c>
      <c r="L84" s="49">
        <f t="shared" si="6"/>
        <v>0.3452464377</v>
      </c>
      <c r="M84" s="49">
        <f t="shared" si="7"/>
        <v>0.1275402943</v>
      </c>
      <c r="N84" s="32" t="str">
        <f t="shared" si="8"/>
        <v>Jânio</v>
      </c>
      <c r="O84" s="50" t="s">
        <v>77</v>
      </c>
      <c r="P84" s="38">
        <v>1554.0</v>
      </c>
      <c r="Q84" s="38">
        <v>198.0</v>
      </c>
      <c r="R84" s="38">
        <v>2445.0</v>
      </c>
      <c r="S84" s="38">
        <v>297.0</v>
      </c>
      <c r="T84" s="38">
        <v>101.0</v>
      </c>
      <c r="U84" s="48">
        <f t="shared" si="9"/>
        <v>4197</v>
      </c>
      <c r="V84" s="48">
        <f t="shared" si="10"/>
        <v>4595</v>
      </c>
      <c r="W84" s="49">
        <f t="shared" si="11"/>
        <v>0.3702644746</v>
      </c>
      <c r="X84" s="49">
        <f t="shared" si="12"/>
        <v>0.04717655468</v>
      </c>
      <c r="Y84" s="49">
        <f t="shared" si="13"/>
        <v>0.5825589707</v>
      </c>
      <c r="Z84" s="32" t="str">
        <f t="shared" si="14"/>
        <v>Ferrari</v>
      </c>
      <c r="AA84" s="50" t="s">
        <v>77</v>
      </c>
      <c r="AB84" s="38">
        <v>5387.0</v>
      </c>
      <c r="AC84" s="48">
        <f t="shared" si="19"/>
        <v>792</v>
      </c>
      <c r="AD84" s="51">
        <f t="shared" si="20"/>
        <v>0.8529793948</v>
      </c>
    </row>
    <row r="85">
      <c r="A85" s="23"/>
      <c r="B85" s="46" t="s">
        <v>1560</v>
      </c>
      <c r="C85" s="47"/>
      <c r="D85" s="38">
        <v>839.0</v>
      </c>
      <c r="E85" s="38">
        <v>917.0</v>
      </c>
      <c r="F85" s="38">
        <v>449.0</v>
      </c>
      <c r="G85" s="38">
        <v>110.0</v>
      </c>
      <c r="H85" s="38">
        <v>113.0</v>
      </c>
      <c r="I85" s="48">
        <f t="shared" si="3"/>
        <v>2205</v>
      </c>
      <c r="J85" s="48">
        <f t="shared" si="4"/>
        <v>2428</v>
      </c>
      <c r="K85" s="49">
        <f t="shared" si="5"/>
        <v>0.3804988662</v>
      </c>
      <c r="L85" s="49">
        <f t="shared" si="6"/>
        <v>0.4158730159</v>
      </c>
      <c r="M85" s="49">
        <f t="shared" si="7"/>
        <v>0.2036281179</v>
      </c>
      <c r="N85" s="32" t="str">
        <f t="shared" si="8"/>
        <v>Mal. Lott</v>
      </c>
      <c r="O85" s="50" t="s">
        <v>77</v>
      </c>
      <c r="P85" s="38">
        <v>1042.0</v>
      </c>
      <c r="Q85" s="38">
        <v>94.0</v>
      </c>
      <c r="R85" s="38">
        <v>988.0</v>
      </c>
      <c r="S85" s="38">
        <v>214.0</v>
      </c>
      <c r="T85" s="38">
        <v>90.0</v>
      </c>
      <c r="U85" s="48">
        <f t="shared" si="9"/>
        <v>2124</v>
      </c>
      <c r="V85" s="48">
        <f t="shared" si="10"/>
        <v>2428</v>
      </c>
      <c r="W85" s="49">
        <f t="shared" si="11"/>
        <v>0.4905838041</v>
      </c>
      <c r="X85" s="49">
        <f t="shared" si="12"/>
        <v>0.04425612053</v>
      </c>
      <c r="Y85" s="49">
        <f t="shared" si="13"/>
        <v>0.4651600753</v>
      </c>
      <c r="Z85" s="32" t="str">
        <f t="shared" si="14"/>
        <v>Jango</v>
      </c>
      <c r="AA85" s="50" t="s">
        <v>77</v>
      </c>
      <c r="AB85" s="38">
        <v>2685.0</v>
      </c>
      <c r="AC85" s="48">
        <f t="shared" si="19"/>
        <v>257</v>
      </c>
      <c r="AD85" s="51">
        <f t="shared" si="20"/>
        <v>0.904283054</v>
      </c>
    </row>
    <row r="86">
      <c r="A86" s="24"/>
      <c r="B86" s="46" t="s">
        <v>1561</v>
      </c>
      <c r="C86" s="47"/>
      <c r="D86" s="38">
        <v>652.0</v>
      </c>
      <c r="E86" s="38">
        <v>893.0</v>
      </c>
      <c r="F86" s="38">
        <v>123.0</v>
      </c>
      <c r="G86" s="38">
        <v>80.0</v>
      </c>
      <c r="H86" s="38">
        <v>110.0</v>
      </c>
      <c r="I86" s="48">
        <f t="shared" si="3"/>
        <v>1668</v>
      </c>
      <c r="J86" s="48">
        <f t="shared" si="4"/>
        <v>1858</v>
      </c>
      <c r="K86" s="49">
        <f t="shared" si="5"/>
        <v>0.3908872902</v>
      </c>
      <c r="L86" s="49">
        <f t="shared" si="6"/>
        <v>0.5353717026</v>
      </c>
      <c r="M86" s="49">
        <f t="shared" si="7"/>
        <v>0.07374100719</v>
      </c>
      <c r="N86" s="32" t="str">
        <f t="shared" si="8"/>
        <v>Mal. Lott</v>
      </c>
      <c r="O86" s="50" t="s">
        <v>77</v>
      </c>
      <c r="P86" s="38">
        <v>950.0</v>
      </c>
      <c r="Q86" s="38">
        <v>101.0</v>
      </c>
      <c r="R86" s="38">
        <v>588.0</v>
      </c>
      <c r="S86" s="38">
        <v>140.0</v>
      </c>
      <c r="T86" s="38">
        <v>79.0</v>
      </c>
      <c r="U86" s="48">
        <f t="shared" si="9"/>
        <v>1639</v>
      </c>
      <c r="V86" s="48">
        <f t="shared" si="10"/>
        <v>1858</v>
      </c>
      <c r="W86" s="49">
        <f t="shared" si="11"/>
        <v>0.5796217206</v>
      </c>
      <c r="X86" s="49">
        <f t="shared" si="12"/>
        <v>0.06162294082</v>
      </c>
      <c r="Y86" s="49">
        <f t="shared" si="13"/>
        <v>0.3587553386</v>
      </c>
      <c r="Z86" s="32" t="str">
        <f t="shared" si="14"/>
        <v>Jango</v>
      </c>
      <c r="AA86" s="50" t="s">
        <v>77</v>
      </c>
      <c r="AB86" s="38">
        <v>2102.0</v>
      </c>
      <c r="AC86" s="48">
        <f t="shared" si="19"/>
        <v>244</v>
      </c>
      <c r="AD86" s="51">
        <f t="shared" si="20"/>
        <v>0.8839200761</v>
      </c>
    </row>
    <row r="87">
      <c r="A87" s="110" t="s">
        <v>312</v>
      </c>
      <c r="B87" s="46" t="s">
        <v>1562</v>
      </c>
      <c r="C87" s="47"/>
      <c r="D87" s="38">
        <v>2048.0</v>
      </c>
      <c r="E87" s="38">
        <v>1475.0</v>
      </c>
      <c r="F87" s="38">
        <v>293.0</v>
      </c>
      <c r="G87" s="38">
        <v>242.0</v>
      </c>
      <c r="H87" s="38">
        <v>125.0</v>
      </c>
      <c r="I87" s="48">
        <f t="shared" si="3"/>
        <v>3816</v>
      </c>
      <c r="J87" s="48">
        <f t="shared" si="4"/>
        <v>4183</v>
      </c>
      <c r="K87" s="49">
        <f t="shared" si="5"/>
        <v>0.536687631</v>
      </c>
      <c r="L87" s="49">
        <f t="shared" si="6"/>
        <v>0.3865303983</v>
      </c>
      <c r="M87" s="49">
        <f t="shared" si="7"/>
        <v>0.07678197065</v>
      </c>
      <c r="N87" s="32" t="str">
        <f t="shared" si="8"/>
        <v>Jânio</v>
      </c>
      <c r="O87" s="50" t="s">
        <v>77</v>
      </c>
      <c r="P87" s="38">
        <v>1385.0</v>
      </c>
      <c r="Q87" s="38">
        <v>618.0</v>
      </c>
      <c r="R87" s="38">
        <v>1864.0</v>
      </c>
      <c r="S87" s="38">
        <v>183.0</v>
      </c>
      <c r="T87" s="38">
        <v>133.0</v>
      </c>
      <c r="U87" s="48">
        <f t="shared" si="9"/>
        <v>3867</v>
      </c>
      <c r="V87" s="48">
        <f t="shared" si="10"/>
        <v>4183</v>
      </c>
      <c r="W87" s="49">
        <f t="shared" si="11"/>
        <v>0.3581587794</v>
      </c>
      <c r="X87" s="49">
        <f t="shared" si="12"/>
        <v>0.1598138092</v>
      </c>
      <c r="Y87" s="49">
        <f t="shared" si="13"/>
        <v>0.4820274114</v>
      </c>
      <c r="Z87" s="32" t="str">
        <f t="shared" si="14"/>
        <v>Ferrari</v>
      </c>
      <c r="AA87" s="50" t="s">
        <v>77</v>
      </c>
      <c r="AB87" s="38">
        <v>5007.0</v>
      </c>
      <c r="AC87" s="48">
        <f t="shared" si="19"/>
        <v>824</v>
      </c>
      <c r="AD87" s="51">
        <f t="shared" si="20"/>
        <v>0.8354303974</v>
      </c>
    </row>
    <row r="88">
      <c r="A88" s="110" t="s">
        <v>314</v>
      </c>
      <c r="B88" s="46" t="s">
        <v>1563</v>
      </c>
      <c r="C88" s="47"/>
      <c r="D88" s="38">
        <v>5295.0</v>
      </c>
      <c r="E88" s="38">
        <v>4295.0</v>
      </c>
      <c r="F88" s="38">
        <v>356.0</v>
      </c>
      <c r="G88" s="38">
        <v>260.0</v>
      </c>
      <c r="H88" s="38">
        <v>227.0</v>
      </c>
      <c r="I88" s="48">
        <f t="shared" si="3"/>
        <v>9946</v>
      </c>
      <c r="J88" s="48">
        <f t="shared" si="4"/>
        <v>10433</v>
      </c>
      <c r="K88" s="49">
        <f t="shared" si="5"/>
        <v>0.532374824</v>
      </c>
      <c r="L88" s="49">
        <f t="shared" si="6"/>
        <v>0.4318318922</v>
      </c>
      <c r="M88" s="49">
        <f t="shared" si="7"/>
        <v>0.03579328373</v>
      </c>
      <c r="N88" s="32" t="str">
        <f t="shared" si="8"/>
        <v>Jânio</v>
      </c>
      <c r="O88" s="50" t="s">
        <v>77</v>
      </c>
      <c r="P88" s="38">
        <v>4479.0</v>
      </c>
      <c r="Q88" s="38">
        <v>2501.0</v>
      </c>
      <c r="R88" s="38">
        <v>2934.0</v>
      </c>
      <c r="S88" s="38">
        <v>341.0</v>
      </c>
      <c r="T88" s="38">
        <v>178.0</v>
      </c>
      <c r="U88" s="48">
        <f t="shared" si="9"/>
        <v>9914</v>
      </c>
      <c r="V88" s="48">
        <f t="shared" si="10"/>
        <v>10433</v>
      </c>
      <c r="W88" s="49">
        <f t="shared" si="11"/>
        <v>0.451785354</v>
      </c>
      <c r="X88" s="49">
        <f t="shared" si="12"/>
        <v>0.2522695179</v>
      </c>
      <c r="Y88" s="49">
        <f t="shared" si="13"/>
        <v>0.2959451281</v>
      </c>
      <c r="Z88" s="32" t="str">
        <f t="shared" si="14"/>
        <v>Jango</v>
      </c>
      <c r="AA88" s="50" t="s">
        <v>77</v>
      </c>
      <c r="AB88" s="38">
        <v>12040.0</v>
      </c>
      <c r="AC88" s="48">
        <f t="shared" si="19"/>
        <v>1607</v>
      </c>
      <c r="AD88" s="51">
        <f t="shared" si="20"/>
        <v>0.8665282392</v>
      </c>
    </row>
    <row r="89">
      <c r="A89" s="61" t="s">
        <v>254</v>
      </c>
      <c r="B89" s="46" t="s">
        <v>1564</v>
      </c>
      <c r="C89" s="47"/>
      <c r="D89" s="38">
        <v>7134.0</v>
      </c>
      <c r="E89" s="38">
        <v>7095.0</v>
      </c>
      <c r="F89" s="38">
        <v>1983.0</v>
      </c>
      <c r="G89" s="38">
        <v>330.0</v>
      </c>
      <c r="H89" s="38">
        <v>604.0</v>
      </c>
      <c r="I89" s="48">
        <f t="shared" si="3"/>
        <v>16212</v>
      </c>
      <c r="J89" s="48">
        <f t="shared" si="4"/>
        <v>17146</v>
      </c>
      <c r="K89" s="49">
        <f t="shared" si="5"/>
        <v>0.4400444115</v>
      </c>
      <c r="L89" s="49">
        <f t="shared" si="6"/>
        <v>0.4376387861</v>
      </c>
      <c r="M89" s="49">
        <f t="shared" si="7"/>
        <v>0.1223168024</v>
      </c>
      <c r="N89" s="32" t="str">
        <f t="shared" si="8"/>
        <v>Jânio</v>
      </c>
      <c r="O89" s="50" t="s">
        <v>77</v>
      </c>
      <c r="P89" s="38">
        <v>7676.0</v>
      </c>
      <c r="Q89" s="38">
        <v>1398.0</v>
      </c>
      <c r="R89" s="38">
        <v>6989.0</v>
      </c>
      <c r="S89" s="38">
        <v>594.0</v>
      </c>
      <c r="T89" s="38">
        <v>489.0</v>
      </c>
      <c r="U89" s="48">
        <f t="shared" si="9"/>
        <v>16063</v>
      </c>
      <c r="V89" s="48">
        <f t="shared" si="10"/>
        <v>17146</v>
      </c>
      <c r="W89" s="49">
        <f t="shared" si="11"/>
        <v>0.4778683932</v>
      </c>
      <c r="X89" s="49">
        <f t="shared" si="12"/>
        <v>0.08703231028</v>
      </c>
      <c r="Y89" s="49">
        <f t="shared" si="13"/>
        <v>0.4350992965</v>
      </c>
      <c r="Z89" s="32" t="str">
        <f t="shared" si="14"/>
        <v>Jango</v>
      </c>
      <c r="AA89" s="50" t="s">
        <v>77</v>
      </c>
      <c r="AB89" s="38">
        <v>18824.0</v>
      </c>
      <c r="AC89" s="48">
        <f t="shared" si="19"/>
        <v>1678</v>
      </c>
      <c r="AD89" s="51">
        <f t="shared" si="20"/>
        <v>0.9108584785</v>
      </c>
    </row>
    <row r="90">
      <c r="A90" s="23"/>
      <c r="B90" s="46" t="s">
        <v>1565</v>
      </c>
      <c r="C90" s="47"/>
      <c r="D90" s="38">
        <v>1511.0</v>
      </c>
      <c r="E90" s="38">
        <v>1624.0</v>
      </c>
      <c r="F90" s="38">
        <v>989.0</v>
      </c>
      <c r="G90" s="38">
        <v>204.0</v>
      </c>
      <c r="H90" s="38">
        <v>351.0</v>
      </c>
      <c r="I90" s="48">
        <f t="shared" si="3"/>
        <v>4124</v>
      </c>
      <c r="J90" s="48">
        <f t="shared" si="4"/>
        <v>4679</v>
      </c>
      <c r="K90" s="49">
        <f t="shared" si="5"/>
        <v>0.3663918526</v>
      </c>
      <c r="L90" s="49">
        <f t="shared" si="6"/>
        <v>0.3937924345</v>
      </c>
      <c r="M90" s="49">
        <f t="shared" si="7"/>
        <v>0.2398157129</v>
      </c>
      <c r="N90" s="32" t="str">
        <f t="shared" si="8"/>
        <v>Mal. Lott</v>
      </c>
      <c r="O90" s="50" t="s">
        <v>77</v>
      </c>
      <c r="P90" s="38">
        <v>1949.0</v>
      </c>
      <c r="Q90" s="38">
        <v>299.0</v>
      </c>
      <c r="R90" s="38">
        <v>1868.0</v>
      </c>
      <c r="S90" s="38">
        <v>336.0</v>
      </c>
      <c r="T90" s="38">
        <v>227.0</v>
      </c>
      <c r="U90" s="48">
        <f t="shared" si="9"/>
        <v>4116</v>
      </c>
      <c r="V90" s="48">
        <f t="shared" si="10"/>
        <v>4679</v>
      </c>
      <c r="W90" s="49">
        <f t="shared" si="11"/>
        <v>0.4735179786</v>
      </c>
      <c r="X90" s="49">
        <f t="shared" si="12"/>
        <v>0.07264334305</v>
      </c>
      <c r="Y90" s="49">
        <f t="shared" si="13"/>
        <v>0.4538386783</v>
      </c>
      <c r="Z90" s="32" t="str">
        <f t="shared" si="14"/>
        <v>Jango</v>
      </c>
      <c r="AA90" s="50" t="s">
        <v>77</v>
      </c>
      <c r="AB90" s="38">
        <v>5268.0</v>
      </c>
      <c r="AC90" s="48">
        <f t="shared" si="19"/>
        <v>589</v>
      </c>
      <c r="AD90" s="51">
        <f t="shared" si="20"/>
        <v>0.8881928626</v>
      </c>
    </row>
    <row r="91">
      <c r="A91" s="24"/>
      <c r="B91" s="46" t="s">
        <v>1566</v>
      </c>
      <c r="C91" s="47"/>
      <c r="D91" s="38">
        <v>826.0</v>
      </c>
      <c r="E91" s="38">
        <v>636.0</v>
      </c>
      <c r="F91" s="38">
        <v>165.0</v>
      </c>
      <c r="G91" s="38">
        <v>57.0</v>
      </c>
      <c r="H91" s="38">
        <v>143.0</v>
      </c>
      <c r="I91" s="48">
        <f t="shared" si="3"/>
        <v>1627</v>
      </c>
      <c r="J91" s="48">
        <f t="shared" si="4"/>
        <v>1827</v>
      </c>
      <c r="K91" s="49">
        <f t="shared" si="5"/>
        <v>0.5076828519</v>
      </c>
      <c r="L91" s="49">
        <f t="shared" si="6"/>
        <v>0.3909035034</v>
      </c>
      <c r="M91" s="49">
        <f t="shared" si="7"/>
        <v>0.1014136447</v>
      </c>
      <c r="N91" s="32" t="str">
        <f t="shared" si="8"/>
        <v>Jânio</v>
      </c>
      <c r="O91" s="50" t="s">
        <v>77</v>
      </c>
      <c r="P91" s="38">
        <v>748.0</v>
      </c>
      <c r="Q91" s="38">
        <v>71.0</v>
      </c>
      <c r="R91" s="38">
        <v>782.0</v>
      </c>
      <c r="S91" s="38">
        <v>109.0</v>
      </c>
      <c r="T91" s="38">
        <v>117.0</v>
      </c>
      <c r="U91" s="48">
        <f t="shared" si="9"/>
        <v>1601</v>
      </c>
      <c r="V91" s="48">
        <f t="shared" si="10"/>
        <v>1827</v>
      </c>
      <c r="W91" s="49">
        <f t="shared" si="11"/>
        <v>0.467207995</v>
      </c>
      <c r="X91" s="49">
        <f t="shared" si="12"/>
        <v>0.04434728295</v>
      </c>
      <c r="Y91" s="49">
        <f t="shared" si="13"/>
        <v>0.488444722</v>
      </c>
      <c r="Z91" s="32" t="str">
        <f t="shared" si="14"/>
        <v>Ferrari</v>
      </c>
      <c r="AA91" s="50" t="s">
        <v>77</v>
      </c>
      <c r="AB91" s="38">
        <v>2036.0</v>
      </c>
      <c r="AC91" s="48">
        <f t="shared" si="19"/>
        <v>209</v>
      </c>
      <c r="AD91" s="51">
        <f t="shared" si="20"/>
        <v>0.8973477407</v>
      </c>
    </row>
    <row r="92">
      <c r="A92" s="110" t="s">
        <v>258</v>
      </c>
      <c r="B92" s="46" t="s">
        <v>611</v>
      </c>
      <c r="C92" s="47"/>
      <c r="D92" s="38">
        <v>5056.0</v>
      </c>
      <c r="E92" s="38">
        <v>2909.0</v>
      </c>
      <c r="F92" s="38">
        <v>847.0</v>
      </c>
      <c r="G92" s="38">
        <v>320.0</v>
      </c>
      <c r="H92" s="38">
        <v>303.0</v>
      </c>
      <c r="I92" s="48">
        <f t="shared" si="3"/>
        <v>8812</v>
      </c>
      <c r="J92" s="48">
        <f t="shared" si="4"/>
        <v>9435</v>
      </c>
      <c r="K92" s="49">
        <f t="shared" si="5"/>
        <v>0.5737630504</v>
      </c>
      <c r="L92" s="49">
        <f t="shared" si="6"/>
        <v>0.3301180209</v>
      </c>
      <c r="M92" s="49">
        <f t="shared" si="7"/>
        <v>0.09611892873</v>
      </c>
      <c r="N92" s="32" t="str">
        <f t="shared" si="8"/>
        <v>Jânio</v>
      </c>
      <c r="O92" s="50" t="s">
        <v>77</v>
      </c>
      <c r="P92" s="38">
        <v>3239.0</v>
      </c>
      <c r="Q92" s="38">
        <v>1390.0</v>
      </c>
      <c r="R92" s="38">
        <v>3935.0</v>
      </c>
      <c r="S92" s="38">
        <v>653.0</v>
      </c>
      <c r="T92" s="38">
        <v>218.0</v>
      </c>
      <c r="U92" s="48">
        <f t="shared" si="9"/>
        <v>8564</v>
      </c>
      <c r="V92" s="48">
        <f t="shared" si="10"/>
        <v>9435</v>
      </c>
      <c r="W92" s="49">
        <f t="shared" si="11"/>
        <v>0.3782111163</v>
      </c>
      <c r="X92" s="49">
        <f t="shared" si="12"/>
        <v>0.162307333</v>
      </c>
      <c r="Y92" s="49">
        <f t="shared" si="13"/>
        <v>0.4594815507</v>
      </c>
      <c r="Z92" s="32" t="str">
        <f t="shared" si="14"/>
        <v>Ferrari</v>
      </c>
      <c r="AA92" s="50" t="s">
        <v>77</v>
      </c>
      <c r="AB92" s="38">
        <v>10657.0</v>
      </c>
      <c r="AC92" s="48">
        <f t="shared" si="19"/>
        <v>1222</v>
      </c>
      <c r="AD92" s="51">
        <f t="shared" si="20"/>
        <v>0.8853335836</v>
      </c>
    </row>
    <row r="93">
      <c r="A93" s="110" t="s">
        <v>319</v>
      </c>
      <c r="B93" s="46" t="s">
        <v>1567</v>
      </c>
      <c r="C93" s="47"/>
      <c r="D93" s="38">
        <v>4734.0</v>
      </c>
      <c r="E93" s="38">
        <v>5319.0</v>
      </c>
      <c r="F93" s="38">
        <v>467.0</v>
      </c>
      <c r="G93" s="38">
        <v>491.0</v>
      </c>
      <c r="H93" s="38">
        <v>191.0</v>
      </c>
      <c r="I93" s="48">
        <f t="shared" si="3"/>
        <v>10520</v>
      </c>
      <c r="J93" s="48">
        <f t="shared" si="4"/>
        <v>11202</v>
      </c>
      <c r="K93" s="49">
        <f t="shared" si="5"/>
        <v>0.45</v>
      </c>
      <c r="L93" s="49">
        <f t="shared" si="6"/>
        <v>0.505608365</v>
      </c>
      <c r="M93" s="49">
        <f t="shared" si="7"/>
        <v>0.04439163498</v>
      </c>
      <c r="N93" s="32" t="str">
        <f t="shared" si="8"/>
        <v>Mal. Lott</v>
      </c>
      <c r="O93" s="50" t="s">
        <v>77</v>
      </c>
      <c r="P93" s="38">
        <v>6353.0</v>
      </c>
      <c r="Q93" s="38">
        <v>518.0</v>
      </c>
      <c r="R93" s="38">
        <v>3779.0</v>
      </c>
      <c r="S93" s="38">
        <v>335.0</v>
      </c>
      <c r="T93" s="38">
        <v>217.0</v>
      </c>
      <c r="U93" s="48">
        <f t="shared" si="9"/>
        <v>10650</v>
      </c>
      <c r="V93" s="48">
        <f t="shared" si="10"/>
        <v>11202</v>
      </c>
      <c r="W93" s="49">
        <f t="shared" si="11"/>
        <v>0.5965258216</v>
      </c>
      <c r="X93" s="49">
        <f t="shared" si="12"/>
        <v>0.04863849765</v>
      </c>
      <c r="Y93" s="49">
        <f t="shared" si="13"/>
        <v>0.3548356808</v>
      </c>
      <c r="Z93" s="32" t="str">
        <f t="shared" si="14"/>
        <v>Jango</v>
      </c>
      <c r="AA93" s="50" t="s">
        <v>77</v>
      </c>
      <c r="AB93" s="38">
        <v>12455.0</v>
      </c>
      <c r="AC93" s="48">
        <f t="shared" si="19"/>
        <v>1253</v>
      </c>
      <c r="AD93" s="51">
        <f t="shared" si="20"/>
        <v>0.8993978322</v>
      </c>
    </row>
    <row r="94">
      <c r="A94" s="110" t="s">
        <v>321</v>
      </c>
      <c r="B94" s="46" t="s">
        <v>1568</v>
      </c>
      <c r="C94" s="47"/>
      <c r="D94" s="38">
        <v>3478.0</v>
      </c>
      <c r="E94" s="38">
        <v>2526.0</v>
      </c>
      <c r="F94" s="38">
        <v>897.0</v>
      </c>
      <c r="G94" s="38">
        <v>402.0</v>
      </c>
      <c r="H94" s="38">
        <v>261.0</v>
      </c>
      <c r="I94" s="48">
        <f t="shared" si="3"/>
        <v>6901</v>
      </c>
      <c r="J94" s="48">
        <f t="shared" si="4"/>
        <v>7564</v>
      </c>
      <c r="K94" s="49">
        <f t="shared" si="5"/>
        <v>0.5039849297</v>
      </c>
      <c r="L94" s="49">
        <f t="shared" si="6"/>
        <v>0.3660339081</v>
      </c>
      <c r="M94" s="49">
        <f t="shared" si="7"/>
        <v>0.1299811622</v>
      </c>
      <c r="N94" s="32" t="str">
        <f t="shared" si="8"/>
        <v>Jânio</v>
      </c>
      <c r="O94" s="50" t="s">
        <v>77</v>
      </c>
      <c r="P94" s="38">
        <v>3013.0</v>
      </c>
      <c r="Q94" s="38">
        <v>1226.0</v>
      </c>
      <c r="R94" s="38">
        <v>2455.0</v>
      </c>
      <c r="S94" s="38">
        <v>671.0</v>
      </c>
      <c r="T94" s="38">
        <v>199.0</v>
      </c>
      <c r="U94" s="48">
        <f t="shared" si="9"/>
        <v>6694</v>
      </c>
      <c r="V94" s="48">
        <f t="shared" si="10"/>
        <v>7564</v>
      </c>
      <c r="W94" s="49">
        <f t="shared" si="11"/>
        <v>0.4501045713</v>
      </c>
      <c r="X94" s="49">
        <f t="shared" si="12"/>
        <v>0.1831490887</v>
      </c>
      <c r="Y94" s="49">
        <f t="shared" si="13"/>
        <v>0.36674634</v>
      </c>
      <c r="Z94" s="32" t="str">
        <f t="shared" si="14"/>
        <v>Jango</v>
      </c>
      <c r="AA94" s="50" t="s">
        <v>77</v>
      </c>
      <c r="AB94" s="38">
        <v>8749.0</v>
      </c>
      <c r="AC94" s="48">
        <f t="shared" si="19"/>
        <v>1185</v>
      </c>
      <c r="AD94" s="51">
        <f t="shared" si="20"/>
        <v>0.8645559493</v>
      </c>
    </row>
    <row r="95">
      <c r="A95" s="110" t="s">
        <v>324</v>
      </c>
      <c r="B95" s="46" t="s">
        <v>1569</v>
      </c>
      <c r="C95" s="47"/>
      <c r="D95" s="38">
        <v>4320.0</v>
      </c>
      <c r="E95" s="38">
        <v>4203.0</v>
      </c>
      <c r="F95" s="38">
        <v>494.0</v>
      </c>
      <c r="G95" s="38">
        <v>280.0</v>
      </c>
      <c r="H95" s="38">
        <v>247.0</v>
      </c>
      <c r="I95" s="48">
        <f t="shared" si="3"/>
        <v>9017</v>
      </c>
      <c r="J95" s="48">
        <f t="shared" si="4"/>
        <v>9544</v>
      </c>
      <c r="K95" s="49">
        <f t="shared" si="5"/>
        <v>0.4790950427</v>
      </c>
      <c r="L95" s="49">
        <f t="shared" si="6"/>
        <v>0.466119552</v>
      </c>
      <c r="M95" s="49">
        <f t="shared" si="7"/>
        <v>0.05478540535</v>
      </c>
      <c r="N95" s="32" t="str">
        <f t="shared" si="8"/>
        <v>Jânio</v>
      </c>
      <c r="O95" s="50" t="s">
        <v>77</v>
      </c>
      <c r="P95" s="38">
        <v>4185.0</v>
      </c>
      <c r="Q95" s="38">
        <v>1958.0</v>
      </c>
      <c r="R95" s="38">
        <v>2819.0</v>
      </c>
      <c r="S95" s="38">
        <v>392.0</v>
      </c>
      <c r="T95" s="38">
        <v>190.0</v>
      </c>
      <c r="U95" s="48">
        <f t="shared" si="9"/>
        <v>8962</v>
      </c>
      <c r="V95" s="48">
        <f t="shared" si="10"/>
        <v>9544</v>
      </c>
      <c r="W95" s="49">
        <f t="shared" si="11"/>
        <v>0.4669716581</v>
      </c>
      <c r="X95" s="49">
        <f t="shared" si="12"/>
        <v>0.2184780183</v>
      </c>
      <c r="Y95" s="49">
        <f t="shared" si="13"/>
        <v>0.3145503236</v>
      </c>
      <c r="Z95" s="32" t="str">
        <f t="shared" si="14"/>
        <v>Jango</v>
      </c>
      <c r="AA95" s="50" t="s">
        <v>77</v>
      </c>
      <c r="AB95" s="38">
        <v>10622.0</v>
      </c>
      <c r="AC95" s="48">
        <f t="shared" si="19"/>
        <v>1078</v>
      </c>
      <c r="AD95" s="51">
        <f t="shared" si="20"/>
        <v>0.8985125212</v>
      </c>
    </row>
    <row r="96">
      <c r="A96" s="61" t="s">
        <v>327</v>
      </c>
      <c r="B96" s="46" t="s">
        <v>1570</v>
      </c>
      <c r="C96" s="47"/>
      <c r="D96" s="38">
        <v>2865.0</v>
      </c>
      <c r="E96" s="38">
        <v>3980.0</v>
      </c>
      <c r="F96" s="38">
        <v>1252.0</v>
      </c>
      <c r="G96" s="38">
        <v>457.0</v>
      </c>
      <c r="H96" s="38">
        <v>389.0</v>
      </c>
      <c r="I96" s="48">
        <f t="shared" si="3"/>
        <v>8097</v>
      </c>
      <c r="J96" s="48">
        <f t="shared" si="4"/>
        <v>8943</v>
      </c>
      <c r="K96" s="49">
        <f t="shared" si="5"/>
        <v>0.3538347536</v>
      </c>
      <c r="L96" s="49">
        <f t="shared" si="6"/>
        <v>0.4915400766</v>
      </c>
      <c r="M96" s="49">
        <f t="shared" si="7"/>
        <v>0.1546251698</v>
      </c>
      <c r="N96" s="32" t="str">
        <f t="shared" si="8"/>
        <v>Mal. Lott</v>
      </c>
      <c r="O96" s="50" t="s">
        <v>77</v>
      </c>
      <c r="P96" s="38">
        <v>4621.0</v>
      </c>
      <c r="Q96" s="38">
        <v>464.0</v>
      </c>
      <c r="R96" s="38">
        <v>2921.0</v>
      </c>
      <c r="S96" s="38">
        <v>651.0</v>
      </c>
      <c r="T96" s="38">
        <v>286.0</v>
      </c>
      <c r="U96" s="48">
        <f t="shared" si="9"/>
        <v>8006</v>
      </c>
      <c r="V96" s="48">
        <f t="shared" si="10"/>
        <v>8943</v>
      </c>
      <c r="W96" s="49">
        <f t="shared" si="11"/>
        <v>0.5771921059</v>
      </c>
      <c r="X96" s="49">
        <f t="shared" si="12"/>
        <v>0.0579565326</v>
      </c>
      <c r="Y96" s="49">
        <f t="shared" si="13"/>
        <v>0.3648513615</v>
      </c>
      <c r="Z96" s="32" t="str">
        <f t="shared" si="14"/>
        <v>Jango</v>
      </c>
      <c r="AA96" s="50" t="s">
        <v>77</v>
      </c>
      <c r="AB96" s="38">
        <v>9753.0</v>
      </c>
      <c r="AC96" s="48">
        <f t="shared" si="19"/>
        <v>810</v>
      </c>
      <c r="AD96" s="51">
        <f t="shared" si="20"/>
        <v>0.9169486312</v>
      </c>
    </row>
    <row r="97">
      <c r="A97" s="23"/>
      <c r="B97" s="46" t="s">
        <v>1571</v>
      </c>
      <c r="C97" s="47"/>
      <c r="D97" s="38">
        <v>1082.0</v>
      </c>
      <c r="E97" s="38">
        <v>819.0</v>
      </c>
      <c r="F97" s="38">
        <v>437.0</v>
      </c>
      <c r="G97" s="38">
        <v>93.0</v>
      </c>
      <c r="H97" s="38">
        <v>127.0</v>
      </c>
      <c r="I97" s="48">
        <f t="shared" si="3"/>
        <v>2338</v>
      </c>
      <c r="J97" s="48">
        <f t="shared" si="4"/>
        <v>2558</v>
      </c>
      <c r="K97" s="49">
        <f t="shared" si="5"/>
        <v>0.4627887083</v>
      </c>
      <c r="L97" s="49">
        <f t="shared" si="6"/>
        <v>0.3502994012</v>
      </c>
      <c r="M97" s="49">
        <f t="shared" si="7"/>
        <v>0.1869118905</v>
      </c>
      <c r="N97" s="32" t="str">
        <f t="shared" si="8"/>
        <v>Jânio</v>
      </c>
      <c r="O97" s="50" t="s">
        <v>77</v>
      </c>
      <c r="P97" s="38">
        <v>982.0</v>
      </c>
      <c r="Q97" s="38">
        <v>127.0</v>
      </c>
      <c r="R97" s="38">
        <v>1151.0</v>
      </c>
      <c r="S97" s="38">
        <v>222.0</v>
      </c>
      <c r="T97" s="38">
        <v>76.0</v>
      </c>
      <c r="U97" s="48">
        <f t="shared" si="9"/>
        <v>2260</v>
      </c>
      <c r="V97" s="48">
        <f t="shared" si="10"/>
        <v>2558</v>
      </c>
      <c r="W97" s="49">
        <f t="shared" si="11"/>
        <v>0.4345132743</v>
      </c>
      <c r="X97" s="49">
        <f t="shared" si="12"/>
        <v>0.05619469027</v>
      </c>
      <c r="Y97" s="49">
        <f t="shared" si="13"/>
        <v>0.5092920354</v>
      </c>
      <c r="Z97" s="32" t="str">
        <f t="shared" si="14"/>
        <v>Ferrari</v>
      </c>
      <c r="AA97" s="50" t="s">
        <v>77</v>
      </c>
      <c r="AB97" s="38">
        <v>2899.0</v>
      </c>
      <c r="AC97" s="48">
        <f t="shared" si="19"/>
        <v>341</v>
      </c>
      <c r="AD97" s="51">
        <f t="shared" si="20"/>
        <v>0.8823732321</v>
      </c>
    </row>
    <row r="98">
      <c r="A98" s="24"/>
      <c r="B98" s="46" t="s">
        <v>832</v>
      </c>
      <c r="C98" s="47"/>
      <c r="D98" s="38">
        <v>1562.0</v>
      </c>
      <c r="E98" s="38">
        <v>1001.0</v>
      </c>
      <c r="F98" s="38">
        <v>272.0</v>
      </c>
      <c r="G98" s="38">
        <v>124.0</v>
      </c>
      <c r="H98" s="38">
        <v>120.0</v>
      </c>
      <c r="I98" s="48">
        <f t="shared" si="3"/>
        <v>2835</v>
      </c>
      <c r="J98" s="48">
        <f t="shared" si="4"/>
        <v>3079</v>
      </c>
      <c r="K98" s="49">
        <f t="shared" si="5"/>
        <v>0.5509700176</v>
      </c>
      <c r="L98" s="49">
        <f t="shared" si="6"/>
        <v>0.3530864198</v>
      </c>
      <c r="M98" s="49">
        <f t="shared" si="7"/>
        <v>0.09594356261</v>
      </c>
      <c r="N98" s="32" t="str">
        <f t="shared" si="8"/>
        <v>Jânio</v>
      </c>
      <c r="O98" s="50" t="s">
        <v>77</v>
      </c>
      <c r="P98" s="38">
        <v>1063.0</v>
      </c>
      <c r="Q98" s="38">
        <v>590.0</v>
      </c>
      <c r="R98" s="38">
        <v>1130.0</v>
      </c>
      <c r="S98" s="38">
        <v>220.0</v>
      </c>
      <c r="T98" s="38">
        <v>76.0</v>
      </c>
      <c r="U98" s="48">
        <f t="shared" si="9"/>
        <v>2783</v>
      </c>
      <c r="V98" s="48">
        <f t="shared" si="10"/>
        <v>3079</v>
      </c>
      <c r="W98" s="49">
        <f t="shared" si="11"/>
        <v>0.3819619116</v>
      </c>
      <c r="X98" s="49">
        <f t="shared" si="12"/>
        <v>0.2120014373</v>
      </c>
      <c r="Y98" s="49">
        <f t="shared" si="13"/>
        <v>0.4060366511</v>
      </c>
      <c r="Z98" s="32" t="str">
        <f t="shared" si="14"/>
        <v>Ferrari</v>
      </c>
      <c r="AA98" s="50" t="s">
        <v>77</v>
      </c>
      <c r="AB98" s="38">
        <v>3458.0</v>
      </c>
      <c r="AC98" s="48">
        <f t="shared" si="19"/>
        <v>379</v>
      </c>
      <c r="AD98" s="51">
        <f t="shared" si="20"/>
        <v>0.8903990746</v>
      </c>
    </row>
    <row r="99">
      <c r="A99" s="61" t="s">
        <v>501</v>
      </c>
      <c r="B99" s="46" t="s">
        <v>1572</v>
      </c>
      <c r="C99" s="47"/>
      <c r="D99" s="38">
        <v>6380.0</v>
      </c>
      <c r="E99" s="38">
        <v>4982.0</v>
      </c>
      <c r="F99" s="38">
        <v>4615.0</v>
      </c>
      <c r="G99" s="38">
        <v>358.0</v>
      </c>
      <c r="H99" s="38">
        <v>477.0</v>
      </c>
      <c r="I99" s="48">
        <f t="shared" si="3"/>
        <v>15977</v>
      </c>
      <c r="J99" s="48">
        <f t="shared" si="4"/>
        <v>16812</v>
      </c>
      <c r="K99" s="49">
        <f t="shared" si="5"/>
        <v>0.3993240283</v>
      </c>
      <c r="L99" s="49">
        <f t="shared" si="6"/>
        <v>0.3118232459</v>
      </c>
      <c r="M99" s="49">
        <f t="shared" si="7"/>
        <v>0.2888527258</v>
      </c>
      <c r="N99" s="32" t="str">
        <f t="shared" si="8"/>
        <v>Jânio</v>
      </c>
      <c r="O99" s="50" t="s">
        <v>77</v>
      </c>
      <c r="P99" s="38">
        <v>5666.0</v>
      </c>
      <c r="Q99" s="38">
        <v>973.0</v>
      </c>
      <c r="R99" s="38">
        <v>9201.0</v>
      </c>
      <c r="S99" s="38">
        <v>646.0</v>
      </c>
      <c r="T99" s="38">
        <v>326.0</v>
      </c>
      <c r="U99" s="48">
        <f t="shared" si="9"/>
        <v>15840</v>
      </c>
      <c r="V99" s="48">
        <f t="shared" si="10"/>
        <v>16812</v>
      </c>
      <c r="W99" s="49">
        <f t="shared" si="11"/>
        <v>0.3577020202</v>
      </c>
      <c r="X99" s="49">
        <f t="shared" si="12"/>
        <v>0.06142676768</v>
      </c>
      <c r="Y99" s="49">
        <f t="shared" si="13"/>
        <v>0.5808712121</v>
      </c>
      <c r="Z99" s="32" t="str">
        <f t="shared" si="14"/>
        <v>Ferrari</v>
      </c>
      <c r="AA99" s="50" t="s">
        <v>77</v>
      </c>
      <c r="AB99" s="38">
        <v>18998.0</v>
      </c>
      <c r="AC99" s="48">
        <f t="shared" si="19"/>
        <v>2186</v>
      </c>
      <c r="AD99" s="51">
        <f t="shared" si="20"/>
        <v>0.8849352563</v>
      </c>
    </row>
    <row r="100">
      <c r="A100" s="23"/>
      <c r="B100" s="46" t="s">
        <v>1573</v>
      </c>
      <c r="C100" s="47"/>
      <c r="D100" s="38">
        <v>1480.0</v>
      </c>
      <c r="E100" s="38">
        <v>1544.0</v>
      </c>
      <c r="F100" s="38">
        <v>2458.0</v>
      </c>
      <c r="G100" s="38">
        <v>131.0</v>
      </c>
      <c r="H100" s="38">
        <v>224.0</v>
      </c>
      <c r="I100" s="48">
        <f t="shared" si="3"/>
        <v>5482</v>
      </c>
      <c r="J100" s="48">
        <f t="shared" si="4"/>
        <v>5837</v>
      </c>
      <c r="K100" s="49">
        <f t="shared" si="5"/>
        <v>0.2699744619</v>
      </c>
      <c r="L100" s="49">
        <f t="shared" si="6"/>
        <v>0.2816490332</v>
      </c>
      <c r="M100" s="49">
        <f t="shared" si="7"/>
        <v>0.4483765049</v>
      </c>
      <c r="N100" s="32" t="str">
        <f t="shared" si="8"/>
        <v>Adhemar</v>
      </c>
      <c r="O100" s="50" t="s">
        <v>77</v>
      </c>
      <c r="P100" s="38">
        <v>1930.0</v>
      </c>
      <c r="Q100" s="38">
        <v>235.0</v>
      </c>
      <c r="R100" s="38">
        <v>3228.0</v>
      </c>
      <c r="S100" s="38">
        <v>293.0</v>
      </c>
      <c r="T100" s="38">
        <v>151.0</v>
      </c>
      <c r="U100" s="48">
        <f t="shared" si="9"/>
        <v>5393</v>
      </c>
      <c r="V100" s="48">
        <f t="shared" si="10"/>
        <v>5837</v>
      </c>
      <c r="W100" s="49">
        <f t="shared" si="11"/>
        <v>0.3578713147</v>
      </c>
      <c r="X100" s="49">
        <f t="shared" si="12"/>
        <v>0.04357500464</v>
      </c>
      <c r="Y100" s="49">
        <f t="shared" si="13"/>
        <v>0.5985536807</v>
      </c>
      <c r="Z100" s="32" t="str">
        <f t="shared" si="14"/>
        <v>Ferrari</v>
      </c>
      <c r="AA100" s="50" t="s">
        <v>77</v>
      </c>
      <c r="AB100" s="38">
        <v>6614.0</v>
      </c>
      <c r="AC100" s="48">
        <f t="shared" si="19"/>
        <v>777</v>
      </c>
      <c r="AD100" s="51">
        <f t="shared" si="20"/>
        <v>0.8825219232</v>
      </c>
    </row>
    <row r="101">
      <c r="A101" s="23"/>
      <c r="B101" s="46" t="s">
        <v>1574</v>
      </c>
      <c r="C101" s="47"/>
      <c r="D101" s="38">
        <v>2255.0</v>
      </c>
      <c r="E101" s="38">
        <v>388.0</v>
      </c>
      <c r="F101" s="38">
        <v>649.0</v>
      </c>
      <c r="G101" s="38">
        <v>89.0</v>
      </c>
      <c r="H101" s="38">
        <v>76.0</v>
      </c>
      <c r="I101" s="48">
        <f t="shared" si="3"/>
        <v>3292</v>
      </c>
      <c r="J101" s="48">
        <f t="shared" si="4"/>
        <v>3457</v>
      </c>
      <c r="K101" s="49">
        <f t="shared" si="5"/>
        <v>0.6849939247</v>
      </c>
      <c r="L101" s="49">
        <f t="shared" si="6"/>
        <v>0.1178614824</v>
      </c>
      <c r="M101" s="49">
        <f t="shared" si="7"/>
        <v>0.197144593</v>
      </c>
      <c r="N101" s="32" t="str">
        <f t="shared" si="8"/>
        <v>Jânio</v>
      </c>
      <c r="O101" s="50" t="s">
        <v>77</v>
      </c>
      <c r="P101" s="38">
        <v>462.0</v>
      </c>
      <c r="Q101" s="38">
        <v>381.0</v>
      </c>
      <c r="R101" s="38">
        <v>2385.0</v>
      </c>
      <c r="S101" s="38">
        <v>184.0</v>
      </c>
      <c r="T101" s="38">
        <v>45.0</v>
      </c>
      <c r="U101" s="48">
        <f t="shared" si="9"/>
        <v>3228</v>
      </c>
      <c r="V101" s="48">
        <f t="shared" si="10"/>
        <v>3457</v>
      </c>
      <c r="W101" s="49">
        <f t="shared" si="11"/>
        <v>0.1431226766</v>
      </c>
      <c r="X101" s="49">
        <f t="shared" si="12"/>
        <v>0.1180297398</v>
      </c>
      <c r="Y101" s="49">
        <f t="shared" si="13"/>
        <v>0.7388475836</v>
      </c>
      <c r="Z101" s="32" t="str">
        <f t="shared" si="14"/>
        <v>Ferrari</v>
      </c>
      <c r="AA101" s="50" t="s">
        <v>77</v>
      </c>
      <c r="AB101" s="38">
        <v>3754.0</v>
      </c>
      <c r="AC101" s="48">
        <f t="shared" si="19"/>
        <v>297</v>
      </c>
      <c r="AD101" s="51">
        <f t="shared" si="20"/>
        <v>0.92088439</v>
      </c>
    </row>
    <row r="102">
      <c r="A102" s="24"/>
      <c r="B102" s="46" t="s">
        <v>1575</v>
      </c>
      <c r="C102" s="47"/>
      <c r="D102" s="38">
        <v>1477.0</v>
      </c>
      <c r="E102" s="38">
        <v>1635.0</v>
      </c>
      <c r="F102" s="38">
        <v>568.0</v>
      </c>
      <c r="G102" s="38">
        <v>77.0</v>
      </c>
      <c r="H102" s="38">
        <v>62.0</v>
      </c>
      <c r="I102" s="48">
        <f t="shared" si="3"/>
        <v>3680</v>
      </c>
      <c r="J102" s="48">
        <f t="shared" si="4"/>
        <v>3819</v>
      </c>
      <c r="K102" s="49">
        <f t="shared" si="5"/>
        <v>0.4013586957</v>
      </c>
      <c r="L102" s="49">
        <f t="shared" si="6"/>
        <v>0.4442934783</v>
      </c>
      <c r="M102" s="49">
        <f t="shared" si="7"/>
        <v>0.1543478261</v>
      </c>
      <c r="N102" s="32" t="str">
        <f t="shared" si="8"/>
        <v>Mal. Lott</v>
      </c>
      <c r="O102" s="50" t="s">
        <v>77</v>
      </c>
      <c r="P102" s="38">
        <v>1560.0</v>
      </c>
      <c r="Q102" s="38">
        <v>163.0</v>
      </c>
      <c r="R102" s="38">
        <v>1950.0</v>
      </c>
      <c r="S102" s="38">
        <v>106.0</v>
      </c>
      <c r="T102" s="38">
        <v>40.0</v>
      </c>
      <c r="U102" s="48">
        <f t="shared" si="9"/>
        <v>3673</v>
      </c>
      <c r="V102" s="48">
        <f t="shared" si="10"/>
        <v>3819</v>
      </c>
      <c r="W102" s="49">
        <f t="shared" si="11"/>
        <v>0.4247209366</v>
      </c>
      <c r="X102" s="49">
        <f t="shared" si="12"/>
        <v>0.04437789273</v>
      </c>
      <c r="Y102" s="49">
        <f t="shared" si="13"/>
        <v>0.5309011707</v>
      </c>
      <c r="Z102" s="32" t="str">
        <f t="shared" si="14"/>
        <v>Ferrari</v>
      </c>
      <c r="AA102" s="50" t="s">
        <v>77</v>
      </c>
      <c r="AB102" s="38">
        <v>4209.0</v>
      </c>
      <c r="AC102" s="48">
        <f t="shared" si="19"/>
        <v>390</v>
      </c>
      <c r="AD102" s="51">
        <f t="shared" si="20"/>
        <v>0.9073414113</v>
      </c>
    </row>
    <row r="103">
      <c r="A103" s="61" t="s">
        <v>504</v>
      </c>
      <c r="B103" s="46" t="s">
        <v>1576</v>
      </c>
      <c r="C103" s="47"/>
      <c r="D103" s="38">
        <v>5381.0</v>
      </c>
      <c r="E103" s="38">
        <v>4384.0</v>
      </c>
      <c r="F103" s="38">
        <v>487.0</v>
      </c>
      <c r="G103" s="38">
        <v>462.0</v>
      </c>
      <c r="H103" s="38">
        <v>480.0</v>
      </c>
      <c r="I103" s="48">
        <f t="shared" si="3"/>
        <v>10252</v>
      </c>
      <c r="J103" s="48">
        <f t="shared" si="4"/>
        <v>11194</v>
      </c>
      <c r="K103" s="49">
        <f t="shared" si="5"/>
        <v>0.5248731955</v>
      </c>
      <c r="L103" s="49">
        <f t="shared" si="6"/>
        <v>0.4276238783</v>
      </c>
      <c r="M103" s="49">
        <f t="shared" si="7"/>
        <v>0.04750292626</v>
      </c>
      <c r="N103" s="32" t="str">
        <f t="shared" si="8"/>
        <v>Jânio</v>
      </c>
      <c r="O103" s="50" t="s">
        <v>77</v>
      </c>
      <c r="P103" s="38">
        <v>4988.0</v>
      </c>
      <c r="Q103" s="38">
        <v>3153.0</v>
      </c>
      <c r="R103" s="38">
        <v>2131.0</v>
      </c>
      <c r="S103" s="38">
        <v>500.0</v>
      </c>
      <c r="T103" s="38">
        <v>422.0</v>
      </c>
      <c r="U103" s="48">
        <f t="shared" si="9"/>
        <v>10272</v>
      </c>
      <c r="V103" s="48">
        <f t="shared" si="10"/>
        <v>11194</v>
      </c>
      <c r="W103" s="49">
        <f t="shared" si="11"/>
        <v>0.4855919003</v>
      </c>
      <c r="X103" s="49">
        <f t="shared" si="12"/>
        <v>0.3069509346</v>
      </c>
      <c r="Y103" s="49">
        <f t="shared" si="13"/>
        <v>0.2074571651</v>
      </c>
      <c r="Z103" s="32" t="str">
        <f t="shared" si="14"/>
        <v>Jango</v>
      </c>
      <c r="AA103" s="50" t="s">
        <v>77</v>
      </c>
      <c r="AB103" s="38">
        <v>12882.0</v>
      </c>
      <c r="AC103" s="48">
        <f t="shared" si="19"/>
        <v>1688</v>
      </c>
      <c r="AD103" s="51">
        <f t="shared" si="20"/>
        <v>0.8689644465</v>
      </c>
    </row>
    <row r="104">
      <c r="A104" s="24"/>
      <c r="B104" s="46" t="s">
        <v>1577</v>
      </c>
      <c r="C104" s="47"/>
      <c r="D104" s="38">
        <v>4441.0</v>
      </c>
      <c r="E104" s="38">
        <v>2615.0</v>
      </c>
      <c r="F104" s="38">
        <v>489.0</v>
      </c>
      <c r="G104" s="38">
        <v>267.0</v>
      </c>
      <c r="H104" s="38">
        <v>237.0</v>
      </c>
      <c r="I104" s="48">
        <f t="shared" si="3"/>
        <v>7545</v>
      </c>
      <c r="J104" s="48">
        <f t="shared" si="4"/>
        <v>8049</v>
      </c>
      <c r="K104" s="49">
        <f t="shared" si="5"/>
        <v>0.588601723</v>
      </c>
      <c r="L104" s="49">
        <f t="shared" si="6"/>
        <v>0.3465871438</v>
      </c>
      <c r="M104" s="49">
        <f t="shared" si="7"/>
        <v>0.0648111332</v>
      </c>
      <c r="N104" s="32" t="str">
        <f t="shared" si="8"/>
        <v>Jânio</v>
      </c>
      <c r="O104" s="50" t="s">
        <v>77</v>
      </c>
      <c r="P104" s="38">
        <v>2944.0</v>
      </c>
      <c r="Q104" s="38">
        <v>935.0</v>
      </c>
      <c r="R104" s="38">
        <v>3656.0</v>
      </c>
      <c r="S104" s="38">
        <v>331.0</v>
      </c>
      <c r="T104" s="38">
        <v>183.0</v>
      </c>
      <c r="U104" s="48">
        <f t="shared" si="9"/>
        <v>7535</v>
      </c>
      <c r="V104" s="48">
        <f t="shared" si="10"/>
        <v>8049</v>
      </c>
      <c r="W104" s="49">
        <f t="shared" si="11"/>
        <v>0.3907100199</v>
      </c>
      <c r="X104" s="49">
        <f t="shared" si="12"/>
        <v>0.1240875912</v>
      </c>
      <c r="Y104" s="49">
        <f t="shared" si="13"/>
        <v>0.4852023889</v>
      </c>
      <c r="Z104" s="32" t="str">
        <f t="shared" si="14"/>
        <v>Ferrari</v>
      </c>
      <c r="AA104" s="50" t="s">
        <v>77</v>
      </c>
      <c r="AB104" s="38">
        <v>9346.0</v>
      </c>
      <c r="AC104" s="48">
        <f t="shared" si="19"/>
        <v>1297</v>
      </c>
      <c r="AD104" s="51">
        <f t="shared" si="20"/>
        <v>0.8612240531</v>
      </c>
    </row>
    <row r="105">
      <c r="A105" s="110" t="s">
        <v>506</v>
      </c>
      <c r="B105" s="46" t="s">
        <v>1578</v>
      </c>
      <c r="C105" s="47"/>
      <c r="D105" s="38">
        <v>2679.0</v>
      </c>
      <c r="E105" s="38">
        <v>1948.0</v>
      </c>
      <c r="F105" s="38">
        <v>487.0</v>
      </c>
      <c r="G105" s="38">
        <v>131.0</v>
      </c>
      <c r="H105" s="38">
        <v>159.0</v>
      </c>
      <c r="I105" s="48">
        <f t="shared" si="3"/>
        <v>5114</v>
      </c>
      <c r="J105" s="48">
        <f t="shared" si="4"/>
        <v>5404</v>
      </c>
      <c r="K105" s="49">
        <f t="shared" si="5"/>
        <v>0.5238560813</v>
      </c>
      <c r="L105" s="49">
        <f t="shared" si="6"/>
        <v>0.3809151349</v>
      </c>
      <c r="M105" s="49">
        <f t="shared" si="7"/>
        <v>0.09522878373</v>
      </c>
      <c r="N105" s="32" t="str">
        <f t="shared" si="8"/>
        <v>Jânio</v>
      </c>
      <c r="O105" s="50" t="s">
        <v>77</v>
      </c>
      <c r="P105" s="38">
        <v>1876.0</v>
      </c>
      <c r="Q105" s="38">
        <v>423.0</v>
      </c>
      <c r="R105" s="38">
        <v>2760.0</v>
      </c>
      <c r="S105" s="38">
        <v>270.0</v>
      </c>
      <c r="T105" s="38">
        <v>75.0</v>
      </c>
      <c r="U105" s="48">
        <f t="shared" si="9"/>
        <v>5059</v>
      </c>
      <c r="V105" s="48">
        <f t="shared" si="10"/>
        <v>5404</v>
      </c>
      <c r="W105" s="49">
        <f t="shared" si="11"/>
        <v>0.3708242736</v>
      </c>
      <c r="X105" s="49">
        <f t="shared" si="12"/>
        <v>0.08361336232</v>
      </c>
      <c r="Y105" s="49">
        <f t="shared" si="13"/>
        <v>0.5455623641</v>
      </c>
      <c r="Z105" s="32" t="str">
        <f t="shared" si="14"/>
        <v>Ferrari</v>
      </c>
      <c r="AA105" s="50" t="s">
        <v>77</v>
      </c>
      <c r="AB105" s="38">
        <v>5987.0</v>
      </c>
      <c r="AC105" s="48">
        <f t="shared" si="19"/>
        <v>583</v>
      </c>
      <c r="AD105" s="51">
        <f t="shared" si="20"/>
        <v>0.9026223484</v>
      </c>
    </row>
    <row r="106">
      <c r="A106" s="61" t="s">
        <v>509</v>
      </c>
      <c r="B106" s="46" t="s">
        <v>712</v>
      </c>
      <c r="C106" s="47"/>
      <c r="D106" s="38">
        <v>5108.0</v>
      </c>
      <c r="E106" s="38">
        <v>4141.0</v>
      </c>
      <c r="F106" s="38">
        <v>775.0</v>
      </c>
      <c r="G106" s="38">
        <v>378.0</v>
      </c>
      <c r="H106" s="38">
        <v>331.0</v>
      </c>
      <c r="I106" s="48">
        <f t="shared" si="3"/>
        <v>10024</v>
      </c>
      <c r="J106" s="48">
        <f t="shared" si="4"/>
        <v>10733</v>
      </c>
      <c r="K106" s="49">
        <f t="shared" si="5"/>
        <v>0.5095770152</v>
      </c>
      <c r="L106" s="49">
        <f t="shared" si="6"/>
        <v>0.4131085395</v>
      </c>
      <c r="M106" s="49">
        <f t="shared" si="7"/>
        <v>0.07731444533</v>
      </c>
      <c r="N106" s="32" t="str">
        <f t="shared" si="8"/>
        <v>Jânio</v>
      </c>
      <c r="O106" s="50" t="s">
        <v>77</v>
      </c>
      <c r="P106" s="38">
        <v>4522.0</v>
      </c>
      <c r="Q106" s="38">
        <v>1420.0</v>
      </c>
      <c r="R106" s="38">
        <v>3838.0</v>
      </c>
      <c r="S106" s="38">
        <v>720.0</v>
      </c>
      <c r="T106" s="38">
        <v>233.0</v>
      </c>
      <c r="U106" s="48">
        <f t="shared" si="9"/>
        <v>9780</v>
      </c>
      <c r="V106" s="48">
        <f t="shared" si="10"/>
        <v>10733</v>
      </c>
      <c r="W106" s="49">
        <f t="shared" si="11"/>
        <v>0.4623721881</v>
      </c>
      <c r="X106" s="49">
        <f t="shared" si="12"/>
        <v>0.145194274</v>
      </c>
      <c r="Y106" s="49">
        <f t="shared" si="13"/>
        <v>0.3924335378</v>
      </c>
      <c r="Z106" s="32" t="str">
        <f t="shared" si="14"/>
        <v>Jango</v>
      </c>
      <c r="AA106" s="50" t="s">
        <v>77</v>
      </c>
      <c r="AB106" s="38">
        <v>13112.0</v>
      </c>
      <c r="AC106" s="48">
        <f t="shared" si="19"/>
        <v>2379</v>
      </c>
      <c r="AD106" s="51">
        <f t="shared" si="20"/>
        <v>0.8185631483</v>
      </c>
    </row>
    <row r="107">
      <c r="A107" s="24"/>
      <c r="B107" s="46" t="s">
        <v>1579</v>
      </c>
      <c r="C107" s="47"/>
      <c r="D107" s="38">
        <v>923.0</v>
      </c>
      <c r="E107" s="38">
        <v>457.0</v>
      </c>
      <c r="F107" s="38">
        <v>234.0</v>
      </c>
      <c r="G107" s="38">
        <v>106.0</v>
      </c>
      <c r="H107" s="38">
        <v>97.0</v>
      </c>
      <c r="I107" s="48">
        <f t="shared" si="3"/>
        <v>1614</v>
      </c>
      <c r="J107" s="48">
        <f t="shared" si="4"/>
        <v>1817</v>
      </c>
      <c r="K107" s="49">
        <f t="shared" si="5"/>
        <v>0.5718711276</v>
      </c>
      <c r="L107" s="49">
        <f t="shared" si="6"/>
        <v>0.2831474597</v>
      </c>
      <c r="M107" s="49">
        <f t="shared" si="7"/>
        <v>0.1449814126</v>
      </c>
      <c r="N107" s="32" t="str">
        <f t="shared" si="8"/>
        <v>Jânio</v>
      </c>
      <c r="O107" s="50" t="s">
        <v>77</v>
      </c>
      <c r="P107" s="38">
        <v>640.0</v>
      </c>
      <c r="Q107" s="38">
        <v>87.0</v>
      </c>
      <c r="R107" s="38">
        <v>808.0</v>
      </c>
      <c r="S107" s="38">
        <v>215.0</v>
      </c>
      <c r="T107" s="38">
        <v>67.0</v>
      </c>
      <c r="U107" s="48">
        <f t="shared" si="9"/>
        <v>1535</v>
      </c>
      <c r="V107" s="48">
        <f t="shared" si="10"/>
        <v>1817</v>
      </c>
      <c r="W107" s="49">
        <f t="shared" si="11"/>
        <v>0.4169381107</v>
      </c>
      <c r="X107" s="49">
        <f t="shared" si="12"/>
        <v>0.05667752443</v>
      </c>
      <c r="Y107" s="49">
        <f t="shared" si="13"/>
        <v>0.5263843648</v>
      </c>
      <c r="Z107" s="32" t="str">
        <f t="shared" si="14"/>
        <v>Ferrari</v>
      </c>
      <c r="AA107" s="50" t="s">
        <v>77</v>
      </c>
      <c r="AB107" s="38">
        <v>2260.0</v>
      </c>
      <c r="AC107" s="48">
        <f t="shared" si="19"/>
        <v>443</v>
      </c>
      <c r="AD107" s="51">
        <f t="shared" si="20"/>
        <v>0.8039823009</v>
      </c>
    </row>
    <row r="108">
      <c r="A108" s="61" t="s">
        <v>512</v>
      </c>
      <c r="B108" s="46" t="s">
        <v>1580</v>
      </c>
      <c r="C108" s="47"/>
      <c r="D108" s="38">
        <v>4062.0</v>
      </c>
      <c r="E108" s="38">
        <v>2527.0</v>
      </c>
      <c r="F108" s="38">
        <v>1840.0</v>
      </c>
      <c r="G108" s="38">
        <v>201.0</v>
      </c>
      <c r="H108" s="38">
        <v>200.0</v>
      </c>
      <c r="I108" s="48">
        <f t="shared" si="3"/>
        <v>8429</v>
      </c>
      <c r="J108" s="48">
        <f t="shared" si="4"/>
        <v>8830</v>
      </c>
      <c r="K108" s="49">
        <f t="shared" si="5"/>
        <v>0.4819076996</v>
      </c>
      <c r="L108" s="49">
        <f t="shared" si="6"/>
        <v>0.2997983153</v>
      </c>
      <c r="M108" s="49">
        <f t="shared" si="7"/>
        <v>0.2182939851</v>
      </c>
      <c r="N108" s="32" t="str">
        <f t="shared" si="8"/>
        <v>Jânio</v>
      </c>
      <c r="O108" s="50" t="s">
        <v>77</v>
      </c>
      <c r="P108" s="38">
        <v>2903.0</v>
      </c>
      <c r="Q108" s="38">
        <v>1362.0</v>
      </c>
      <c r="R108" s="38">
        <v>4008.0</v>
      </c>
      <c r="S108" s="38">
        <v>414.0</v>
      </c>
      <c r="T108" s="38">
        <v>143.0</v>
      </c>
      <c r="U108" s="48">
        <f t="shared" si="9"/>
        <v>8273</v>
      </c>
      <c r="V108" s="48">
        <f t="shared" si="10"/>
        <v>8830</v>
      </c>
      <c r="W108" s="49">
        <f t="shared" si="11"/>
        <v>0.3509005198</v>
      </c>
      <c r="X108" s="49">
        <f t="shared" si="12"/>
        <v>0.1646319352</v>
      </c>
      <c r="Y108" s="49">
        <f t="shared" si="13"/>
        <v>0.484467545</v>
      </c>
      <c r="Z108" s="32" t="str">
        <f t="shared" si="14"/>
        <v>Ferrari</v>
      </c>
      <c r="AA108" s="50" t="s">
        <v>77</v>
      </c>
      <c r="AB108" s="38">
        <v>9366.0</v>
      </c>
      <c r="AC108" s="48">
        <f t="shared" si="19"/>
        <v>536</v>
      </c>
      <c r="AD108" s="51">
        <f t="shared" si="20"/>
        <v>0.9427717275</v>
      </c>
    </row>
    <row r="109">
      <c r="A109" s="23"/>
      <c r="B109" s="46" t="s">
        <v>1581</v>
      </c>
      <c r="C109" s="47"/>
      <c r="D109" s="38">
        <v>1282.0</v>
      </c>
      <c r="E109" s="38">
        <v>1090.0</v>
      </c>
      <c r="F109" s="38">
        <v>473.0</v>
      </c>
      <c r="G109" s="38">
        <v>85.0</v>
      </c>
      <c r="H109" s="38">
        <v>96.0</v>
      </c>
      <c r="I109" s="48">
        <f t="shared" si="3"/>
        <v>2845</v>
      </c>
      <c r="J109" s="48">
        <f t="shared" si="4"/>
        <v>3026</v>
      </c>
      <c r="K109" s="49">
        <f t="shared" si="5"/>
        <v>0.4506151142</v>
      </c>
      <c r="L109" s="49">
        <f t="shared" si="6"/>
        <v>0.3831282953</v>
      </c>
      <c r="M109" s="49">
        <f t="shared" si="7"/>
        <v>0.1662565905</v>
      </c>
      <c r="N109" s="32" t="str">
        <f t="shared" si="8"/>
        <v>Jânio</v>
      </c>
      <c r="O109" s="50" t="s">
        <v>77</v>
      </c>
      <c r="P109" s="38">
        <v>1099.0</v>
      </c>
      <c r="Q109" s="38">
        <v>352.0</v>
      </c>
      <c r="R109" s="38">
        <v>1327.0</v>
      </c>
      <c r="S109" s="38">
        <v>185.0</v>
      </c>
      <c r="T109" s="38">
        <v>63.0</v>
      </c>
      <c r="U109" s="48">
        <f t="shared" si="9"/>
        <v>2778</v>
      </c>
      <c r="V109" s="48">
        <f t="shared" si="10"/>
        <v>3026</v>
      </c>
      <c r="W109" s="49">
        <f t="shared" si="11"/>
        <v>0.3956083513</v>
      </c>
      <c r="X109" s="49">
        <f t="shared" si="12"/>
        <v>0.1267098632</v>
      </c>
      <c r="Y109" s="49">
        <f t="shared" si="13"/>
        <v>0.4776817855</v>
      </c>
      <c r="Z109" s="32" t="str">
        <f t="shared" si="14"/>
        <v>Ferrari</v>
      </c>
      <c r="AA109" s="50" t="s">
        <v>77</v>
      </c>
      <c r="AB109" s="38">
        <v>3283.0</v>
      </c>
      <c r="AC109" s="48">
        <f t="shared" si="19"/>
        <v>257</v>
      </c>
      <c r="AD109" s="51">
        <f t="shared" si="20"/>
        <v>0.9217179409</v>
      </c>
    </row>
    <row r="110">
      <c r="A110" s="24"/>
      <c r="B110" s="46" t="s">
        <v>1582</v>
      </c>
      <c r="C110" s="47"/>
      <c r="D110" s="38">
        <v>631.0</v>
      </c>
      <c r="E110" s="38">
        <v>261.0</v>
      </c>
      <c r="F110" s="38">
        <v>320.0</v>
      </c>
      <c r="G110" s="38">
        <v>52.0</v>
      </c>
      <c r="H110" s="38">
        <v>55.0</v>
      </c>
      <c r="I110" s="48">
        <f t="shared" si="3"/>
        <v>1212</v>
      </c>
      <c r="J110" s="48">
        <f t="shared" si="4"/>
        <v>1319</v>
      </c>
      <c r="K110" s="49">
        <f t="shared" si="5"/>
        <v>0.5206270627</v>
      </c>
      <c r="L110" s="49">
        <f t="shared" si="6"/>
        <v>0.2153465347</v>
      </c>
      <c r="M110" s="49">
        <f t="shared" si="7"/>
        <v>0.2640264026</v>
      </c>
      <c r="N110" s="32" t="str">
        <f t="shared" si="8"/>
        <v>Jânio</v>
      </c>
      <c r="O110" s="50" t="s">
        <v>77</v>
      </c>
      <c r="P110" s="38">
        <v>291.0</v>
      </c>
      <c r="Q110" s="38">
        <v>192.0</v>
      </c>
      <c r="R110" s="38">
        <v>715.0</v>
      </c>
      <c r="S110" s="38">
        <v>92.0</v>
      </c>
      <c r="T110" s="38">
        <v>29.0</v>
      </c>
      <c r="U110" s="48">
        <f t="shared" si="9"/>
        <v>1198</v>
      </c>
      <c r="V110" s="48">
        <f t="shared" si="10"/>
        <v>1319</v>
      </c>
      <c r="W110" s="49">
        <f t="shared" si="11"/>
        <v>0.2429048414</v>
      </c>
      <c r="X110" s="49">
        <f t="shared" si="12"/>
        <v>0.1602671119</v>
      </c>
      <c r="Y110" s="49">
        <f t="shared" si="13"/>
        <v>0.5968280467</v>
      </c>
      <c r="Z110" s="32" t="str">
        <f t="shared" si="14"/>
        <v>Ferrari</v>
      </c>
      <c r="AA110" s="50" t="s">
        <v>77</v>
      </c>
      <c r="AB110" s="38">
        <v>1397.0</v>
      </c>
      <c r="AC110" s="48">
        <f t="shared" si="19"/>
        <v>78</v>
      </c>
      <c r="AD110" s="51">
        <f t="shared" si="20"/>
        <v>0.9441660702</v>
      </c>
    </row>
    <row r="111">
      <c r="A111" s="110" t="s">
        <v>514</v>
      </c>
      <c r="B111" s="46" t="s">
        <v>1583</v>
      </c>
      <c r="C111" s="47"/>
      <c r="D111" s="38">
        <v>2690.0</v>
      </c>
      <c r="E111" s="38">
        <v>1882.0</v>
      </c>
      <c r="F111" s="38">
        <v>396.0</v>
      </c>
      <c r="G111" s="38">
        <v>182.0</v>
      </c>
      <c r="H111" s="38">
        <v>166.0</v>
      </c>
      <c r="I111" s="48">
        <f t="shared" si="3"/>
        <v>4968</v>
      </c>
      <c r="J111" s="48">
        <f t="shared" si="4"/>
        <v>5316</v>
      </c>
      <c r="K111" s="49">
        <f t="shared" si="5"/>
        <v>0.5414653784</v>
      </c>
      <c r="L111" s="49">
        <f t="shared" si="6"/>
        <v>0.3788244767</v>
      </c>
      <c r="M111" s="49">
        <f t="shared" si="7"/>
        <v>0.07971014493</v>
      </c>
      <c r="N111" s="32" t="str">
        <f t="shared" si="8"/>
        <v>Jânio</v>
      </c>
      <c r="O111" s="50" t="s">
        <v>77</v>
      </c>
      <c r="P111" s="38">
        <v>1920.0</v>
      </c>
      <c r="Q111" s="38">
        <v>1428.0</v>
      </c>
      <c r="R111" s="38">
        <v>1529.0</v>
      </c>
      <c r="S111" s="38">
        <v>334.0</v>
      </c>
      <c r="T111" s="38">
        <v>105.0</v>
      </c>
      <c r="U111" s="48">
        <f t="shared" si="9"/>
        <v>4877</v>
      </c>
      <c r="V111" s="48">
        <f t="shared" si="10"/>
        <v>5316</v>
      </c>
      <c r="W111" s="49">
        <f t="shared" si="11"/>
        <v>0.3936846422</v>
      </c>
      <c r="X111" s="49">
        <f t="shared" si="12"/>
        <v>0.2928029526</v>
      </c>
      <c r="Y111" s="49">
        <f t="shared" si="13"/>
        <v>0.3135124052</v>
      </c>
      <c r="Z111" s="32" t="str">
        <f t="shared" si="14"/>
        <v>Jango</v>
      </c>
      <c r="AA111" s="50" t="s">
        <v>77</v>
      </c>
      <c r="AB111" s="38">
        <v>5952.0</v>
      </c>
      <c r="AC111" s="48">
        <f t="shared" si="19"/>
        <v>636</v>
      </c>
      <c r="AD111" s="51">
        <f t="shared" si="20"/>
        <v>0.8931451613</v>
      </c>
    </row>
    <row r="112">
      <c r="A112" s="110" t="s">
        <v>516</v>
      </c>
      <c r="B112" s="46" t="s">
        <v>1584</v>
      </c>
      <c r="C112" s="47"/>
      <c r="D112" s="38">
        <v>7217.0</v>
      </c>
      <c r="E112" s="38">
        <v>8439.0</v>
      </c>
      <c r="F112" s="38">
        <v>1871.0</v>
      </c>
      <c r="G112" s="38">
        <v>313.0</v>
      </c>
      <c r="H112" s="38">
        <v>374.0</v>
      </c>
      <c r="I112" s="48">
        <f t="shared" si="3"/>
        <v>17527</v>
      </c>
      <c r="J112" s="48">
        <f t="shared" si="4"/>
        <v>18214</v>
      </c>
      <c r="K112" s="49">
        <f t="shared" si="5"/>
        <v>0.4117647059</v>
      </c>
      <c r="L112" s="49">
        <f t="shared" si="6"/>
        <v>0.4814857078</v>
      </c>
      <c r="M112" s="49">
        <f t="shared" si="7"/>
        <v>0.1067495864</v>
      </c>
      <c r="N112" s="32" t="str">
        <f t="shared" si="8"/>
        <v>Mal. Lott</v>
      </c>
      <c r="O112" s="50" t="s">
        <v>77</v>
      </c>
      <c r="P112" s="38">
        <v>8281.0</v>
      </c>
      <c r="Q112" s="38">
        <v>3211.0</v>
      </c>
      <c r="R112" s="38">
        <v>5975.0</v>
      </c>
      <c r="S112" s="38">
        <v>423.0</v>
      </c>
      <c r="T112" s="38">
        <v>324.0</v>
      </c>
      <c r="U112" s="48">
        <f t="shared" si="9"/>
        <v>17467</v>
      </c>
      <c r="V112" s="48">
        <f t="shared" si="10"/>
        <v>18214</v>
      </c>
      <c r="W112" s="49">
        <f t="shared" si="11"/>
        <v>0.4740940058</v>
      </c>
      <c r="X112" s="49">
        <f t="shared" si="12"/>
        <v>0.1838323696</v>
      </c>
      <c r="Y112" s="49">
        <f t="shared" si="13"/>
        <v>0.3420736245</v>
      </c>
      <c r="Z112" s="32" t="str">
        <f t="shared" si="14"/>
        <v>Jango</v>
      </c>
      <c r="AA112" s="50" t="s">
        <v>77</v>
      </c>
      <c r="AB112" s="38">
        <v>20498.0</v>
      </c>
      <c r="AC112" s="48">
        <f t="shared" si="19"/>
        <v>2284</v>
      </c>
      <c r="AD112" s="51">
        <f t="shared" si="20"/>
        <v>0.8885744951</v>
      </c>
    </row>
    <row r="113">
      <c r="A113" s="110" t="s">
        <v>518</v>
      </c>
      <c r="B113" s="46" t="s">
        <v>1585</v>
      </c>
      <c r="C113" s="47"/>
      <c r="D113" s="38">
        <v>6853.0</v>
      </c>
      <c r="E113" s="38">
        <v>5171.0</v>
      </c>
      <c r="F113" s="38">
        <v>829.0</v>
      </c>
      <c r="G113" s="38">
        <v>357.0</v>
      </c>
      <c r="H113" s="38">
        <v>267.0</v>
      </c>
      <c r="I113" s="48">
        <f t="shared" si="3"/>
        <v>12853</v>
      </c>
      <c r="J113" s="48">
        <f t="shared" si="4"/>
        <v>13477</v>
      </c>
      <c r="K113" s="49">
        <f t="shared" si="5"/>
        <v>0.5331829145</v>
      </c>
      <c r="L113" s="49">
        <f t="shared" si="6"/>
        <v>0.4023185249</v>
      </c>
      <c r="M113" s="49">
        <f t="shared" si="7"/>
        <v>0.06449856065</v>
      </c>
      <c r="N113" s="32" t="str">
        <f t="shared" si="8"/>
        <v>Jânio</v>
      </c>
      <c r="O113" s="50" t="s">
        <v>77</v>
      </c>
      <c r="P113" s="38">
        <v>5443.0</v>
      </c>
      <c r="Q113" s="38">
        <v>3712.0</v>
      </c>
      <c r="R113" s="38">
        <v>3609.0</v>
      </c>
      <c r="S113" s="38">
        <v>517.0</v>
      </c>
      <c r="T113" s="38">
        <v>196.0</v>
      </c>
      <c r="U113" s="48">
        <f t="shared" si="9"/>
        <v>12764</v>
      </c>
      <c r="V113" s="48">
        <f t="shared" si="10"/>
        <v>13477</v>
      </c>
      <c r="W113" s="49">
        <f t="shared" si="11"/>
        <v>0.4264337198</v>
      </c>
      <c r="X113" s="49">
        <f t="shared" si="12"/>
        <v>0.2908179254</v>
      </c>
      <c r="Y113" s="49">
        <f t="shared" si="13"/>
        <v>0.2827483547</v>
      </c>
      <c r="Z113" s="32" t="str">
        <f t="shared" si="14"/>
        <v>Jango</v>
      </c>
      <c r="AA113" s="50" t="s">
        <v>77</v>
      </c>
      <c r="AB113" s="38">
        <v>15113.0</v>
      </c>
      <c r="AC113" s="48">
        <f t="shared" si="19"/>
        <v>1636</v>
      </c>
      <c r="AD113" s="51">
        <f t="shared" si="20"/>
        <v>0.8917488255</v>
      </c>
    </row>
    <row r="114">
      <c r="A114" s="110" t="s">
        <v>522</v>
      </c>
      <c r="B114" s="46" t="s">
        <v>1586</v>
      </c>
      <c r="C114" s="47"/>
      <c r="D114" s="38">
        <v>4306.0</v>
      </c>
      <c r="E114" s="38">
        <v>2700.0</v>
      </c>
      <c r="F114" s="38">
        <v>2748.0</v>
      </c>
      <c r="G114" s="38">
        <v>267.0</v>
      </c>
      <c r="H114" s="38">
        <v>445.0</v>
      </c>
      <c r="I114" s="48">
        <f t="shared" si="3"/>
        <v>9754</v>
      </c>
      <c r="J114" s="48">
        <f t="shared" si="4"/>
        <v>10466</v>
      </c>
      <c r="K114" s="49">
        <f t="shared" si="5"/>
        <v>0.4414599139</v>
      </c>
      <c r="L114" s="49">
        <f t="shared" si="6"/>
        <v>0.276809514</v>
      </c>
      <c r="M114" s="49">
        <f t="shared" si="7"/>
        <v>0.2817305721</v>
      </c>
      <c r="N114" s="32" t="str">
        <f t="shared" si="8"/>
        <v>Jânio</v>
      </c>
      <c r="O114" s="50" t="s">
        <v>77</v>
      </c>
      <c r="P114" s="38">
        <v>3463.0</v>
      </c>
      <c r="Q114" s="38">
        <v>928.0</v>
      </c>
      <c r="R114" s="38">
        <v>5140.0</v>
      </c>
      <c r="S114" s="38">
        <v>640.0</v>
      </c>
      <c r="T114" s="38">
        <v>295.0</v>
      </c>
      <c r="U114" s="48">
        <f t="shared" si="9"/>
        <v>9531</v>
      </c>
      <c r="V114" s="48">
        <f t="shared" si="10"/>
        <v>10466</v>
      </c>
      <c r="W114" s="49">
        <f t="shared" si="11"/>
        <v>0.3633406778</v>
      </c>
      <c r="X114" s="49">
        <f t="shared" si="12"/>
        <v>0.0973664883</v>
      </c>
      <c r="Y114" s="49">
        <f t="shared" si="13"/>
        <v>0.5392928339</v>
      </c>
      <c r="Z114" s="32" t="str">
        <f t="shared" si="14"/>
        <v>Ferrari</v>
      </c>
      <c r="AA114" s="50" t="s">
        <v>77</v>
      </c>
      <c r="AB114" s="38">
        <v>12059.0</v>
      </c>
      <c r="AC114" s="48">
        <f t="shared" si="19"/>
        <v>1593</v>
      </c>
      <c r="AD114" s="51">
        <f t="shared" si="20"/>
        <v>0.8678994942</v>
      </c>
    </row>
    <row r="115">
      <c r="A115" s="110" t="s">
        <v>526</v>
      </c>
      <c r="B115" s="46" t="s">
        <v>1587</v>
      </c>
      <c r="C115" s="47"/>
      <c r="D115" s="38">
        <v>2745.0</v>
      </c>
      <c r="E115" s="38">
        <v>1925.0</v>
      </c>
      <c r="F115" s="38">
        <v>514.0</v>
      </c>
      <c r="G115" s="38">
        <v>128.0</v>
      </c>
      <c r="H115" s="38">
        <v>116.0</v>
      </c>
      <c r="I115" s="48">
        <f t="shared" si="3"/>
        <v>5184</v>
      </c>
      <c r="J115" s="48">
        <f t="shared" si="4"/>
        <v>5428</v>
      </c>
      <c r="K115" s="49">
        <f t="shared" si="5"/>
        <v>0.5295138889</v>
      </c>
      <c r="L115" s="49">
        <f t="shared" si="6"/>
        <v>0.3713348765</v>
      </c>
      <c r="M115" s="49">
        <f t="shared" si="7"/>
        <v>0.09915123457</v>
      </c>
      <c r="N115" s="32" t="str">
        <f t="shared" si="8"/>
        <v>Jânio</v>
      </c>
      <c r="O115" s="50" t="s">
        <v>77</v>
      </c>
      <c r="P115" s="38">
        <v>1945.0</v>
      </c>
      <c r="Q115" s="38">
        <v>556.0</v>
      </c>
      <c r="R115" s="38">
        <v>2633.0</v>
      </c>
      <c r="S115" s="38">
        <v>210.0</v>
      </c>
      <c r="T115" s="38">
        <v>84.0</v>
      </c>
      <c r="U115" s="48">
        <f t="shared" si="9"/>
        <v>5134</v>
      </c>
      <c r="V115" s="48">
        <f t="shared" si="10"/>
        <v>5428</v>
      </c>
      <c r="W115" s="49">
        <f t="shared" si="11"/>
        <v>0.378846903</v>
      </c>
      <c r="X115" s="49">
        <f t="shared" si="12"/>
        <v>0.1082976237</v>
      </c>
      <c r="Y115" s="49">
        <f t="shared" si="13"/>
        <v>0.5128554733</v>
      </c>
      <c r="Z115" s="32" t="str">
        <f t="shared" si="14"/>
        <v>Ferrari</v>
      </c>
      <c r="AA115" s="50" t="s">
        <v>77</v>
      </c>
      <c r="AB115" s="38">
        <v>5840.0</v>
      </c>
      <c r="AC115" s="48">
        <f t="shared" si="19"/>
        <v>412</v>
      </c>
      <c r="AD115" s="51">
        <f t="shared" si="20"/>
        <v>0.9294520548</v>
      </c>
    </row>
    <row r="116">
      <c r="A116" s="61" t="s">
        <v>529</v>
      </c>
      <c r="B116" s="46" t="s">
        <v>1099</v>
      </c>
      <c r="C116" s="47"/>
      <c r="D116" s="38">
        <v>3052.0</v>
      </c>
      <c r="E116" s="38">
        <v>1057.0</v>
      </c>
      <c r="F116" s="38">
        <v>391.0</v>
      </c>
      <c r="G116" s="38">
        <v>146.0</v>
      </c>
      <c r="H116" s="38">
        <v>167.0</v>
      </c>
      <c r="I116" s="48">
        <f t="shared" si="3"/>
        <v>4500</v>
      </c>
      <c r="J116" s="48">
        <f t="shared" si="4"/>
        <v>4813</v>
      </c>
      <c r="K116" s="49">
        <f t="shared" si="5"/>
        <v>0.6782222222</v>
      </c>
      <c r="L116" s="49">
        <f t="shared" si="6"/>
        <v>0.2348888889</v>
      </c>
      <c r="M116" s="49">
        <f t="shared" si="7"/>
        <v>0.08688888889</v>
      </c>
      <c r="N116" s="32" t="str">
        <f t="shared" si="8"/>
        <v>Jânio</v>
      </c>
      <c r="O116" s="50" t="s">
        <v>77</v>
      </c>
      <c r="P116" s="38">
        <v>1241.0</v>
      </c>
      <c r="Q116" s="38">
        <v>445.0</v>
      </c>
      <c r="R116" s="38">
        <v>2719.0</v>
      </c>
      <c r="S116" s="38">
        <v>320.0</v>
      </c>
      <c r="T116" s="38">
        <v>88.0</v>
      </c>
      <c r="U116" s="48">
        <f t="shared" si="9"/>
        <v>4405</v>
      </c>
      <c r="V116" s="48">
        <f t="shared" si="10"/>
        <v>4813</v>
      </c>
      <c r="W116" s="49">
        <f t="shared" si="11"/>
        <v>0.2817253121</v>
      </c>
      <c r="X116" s="49">
        <f t="shared" si="12"/>
        <v>0.1010215664</v>
      </c>
      <c r="Y116" s="49">
        <f t="shared" si="13"/>
        <v>0.6172531215</v>
      </c>
      <c r="Z116" s="32" t="str">
        <f t="shared" si="14"/>
        <v>Ferrari</v>
      </c>
      <c r="AA116" s="50" t="s">
        <v>77</v>
      </c>
      <c r="AB116" s="38">
        <v>5354.0</v>
      </c>
      <c r="AC116" s="48">
        <f t="shared" si="19"/>
        <v>541</v>
      </c>
      <c r="AD116" s="51">
        <f t="shared" si="20"/>
        <v>0.898954053</v>
      </c>
    </row>
    <row r="117">
      <c r="A117" s="24"/>
      <c r="B117" s="46" t="s">
        <v>1588</v>
      </c>
      <c r="C117" s="47"/>
      <c r="D117" s="38">
        <v>2340.0</v>
      </c>
      <c r="E117" s="38">
        <v>1000.0</v>
      </c>
      <c r="F117" s="38">
        <v>296.0</v>
      </c>
      <c r="G117" s="38">
        <v>82.0</v>
      </c>
      <c r="H117" s="38">
        <v>95.0</v>
      </c>
      <c r="I117" s="48">
        <f t="shared" si="3"/>
        <v>3636</v>
      </c>
      <c r="J117" s="48">
        <f t="shared" si="4"/>
        <v>3813</v>
      </c>
      <c r="K117" s="49">
        <f t="shared" si="5"/>
        <v>0.6435643564</v>
      </c>
      <c r="L117" s="49">
        <f t="shared" si="6"/>
        <v>0.2750275028</v>
      </c>
      <c r="M117" s="49">
        <f t="shared" si="7"/>
        <v>0.08140814081</v>
      </c>
      <c r="N117" s="32" t="str">
        <f t="shared" si="8"/>
        <v>Jânio</v>
      </c>
      <c r="O117" s="50" t="s">
        <v>77</v>
      </c>
      <c r="P117" s="38">
        <v>1228.0</v>
      </c>
      <c r="Q117" s="38">
        <v>778.0</v>
      </c>
      <c r="R117" s="38">
        <v>1612.0</v>
      </c>
      <c r="S117" s="38">
        <v>139.0</v>
      </c>
      <c r="T117" s="38">
        <v>56.0</v>
      </c>
      <c r="U117" s="48">
        <f t="shared" si="9"/>
        <v>3618</v>
      </c>
      <c r="V117" s="48">
        <f t="shared" si="10"/>
        <v>3813</v>
      </c>
      <c r="W117" s="49">
        <f t="shared" si="11"/>
        <v>0.3394140409</v>
      </c>
      <c r="X117" s="49">
        <f t="shared" si="12"/>
        <v>0.2150359315</v>
      </c>
      <c r="Y117" s="49">
        <f t="shared" si="13"/>
        <v>0.4455500276</v>
      </c>
      <c r="Z117" s="32" t="str">
        <f t="shared" si="14"/>
        <v>Ferrari</v>
      </c>
      <c r="AA117" s="50" t="s">
        <v>77</v>
      </c>
      <c r="AB117" s="38">
        <v>4137.0</v>
      </c>
      <c r="AC117" s="48">
        <f t="shared" si="19"/>
        <v>324</v>
      </c>
      <c r="AD117" s="51">
        <f t="shared" si="20"/>
        <v>0.9216823785</v>
      </c>
    </row>
    <row r="118">
      <c r="A118" s="110" t="s">
        <v>531</v>
      </c>
      <c r="B118" s="46" t="s">
        <v>360</v>
      </c>
      <c r="C118" s="47"/>
      <c r="D118" s="38">
        <v>2775.0</v>
      </c>
      <c r="E118" s="38">
        <v>1814.0</v>
      </c>
      <c r="F118" s="38">
        <v>365.0</v>
      </c>
      <c r="G118" s="38">
        <v>226.0</v>
      </c>
      <c r="H118" s="38">
        <v>153.0</v>
      </c>
      <c r="I118" s="48">
        <f t="shared" si="3"/>
        <v>4954</v>
      </c>
      <c r="J118" s="48">
        <f t="shared" si="4"/>
        <v>5333</v>
      </c>
      <c r="K118" s="49">
        <f t="shared" si="5"/>
        <v>0.5601534114</v>
      </c>
      <c r="L118" s="49">
        <f t="shared" si="6"/>
        <v>0.3661687525</v>
      </c>
      <c r="M118" s="49">
        <f t="shared" si="7"/>
        <v>0.07367783609</v>
      </c>
      <c r="N118" s="32" t="str">
        <f t="shared" si="8"/>
        <v>Jânio</v>
      </c>
      <c r="O118" s="50" t="s">
        <v>77</v>
      </c>
      <c r="P118" s="38">
        <v>1997.0</v>
      </c>
      <c r="Q118" s="38">
        <v>2064.0</v>
      </c>
      <c r="R118" s="38">
        <v>811.0</v>
      </c>
      <c r="S118" s="38">
        <v>341.0</v>
      </c>
      <c r="T118" s="38">
        <v>120.0</v>
      </c>
      <c r="U118" s="48">
        <f t="shared" si="9"/>
        <v>4872</v>
      </c>
      <c r="V118" s="48">
        <f t="shared" si="10"/>
        <v>5333</v>
      </c>
      <c r="W118" s="49">
        <f t="shared" si="11"/>
        <v>0.4098932677</v>
      </c>
      <c r="X118" s="49">
        <f t="shared" si="12"/>
        <v>0.4236453202</v>
      </c>
      <c r="Y118" s="49">
        <f t="shared" si="13"/>
        <v>0.1664614122</v>
      </c>
      <c r="Z118" s="32" t="str">
        <f t="shared" si="14"/>
        <v>Milton</v>
      </c>
      <c r="AA118" s="50" t="s">
        <v>77</v>
      </c>
      <c r="AB118" s="38">
        <v>6307.0</v>
      </c>
      <c r="AC118" s="48">
        <f t="shared" si="19"/>
        <v>974</v>
      </c>
      <c r="AD118" s="51">
        <f t="shared" si="20"/>
        <v>0.845568416</v>
      </c>
    </row>
    <row r="119">
      <c r="A119" s="110" t="s">
        <v>533</v>
      </c>
      <c r="B119" s="46" t="s">
        <v>1589</v>
      </c>
      <c r="C119" s="47"/>
      <c r="D119" s="38">
        <v>2087.0</v>
      </c>
      <c r="E119" s="38">
        <v>2058.0</v>
      </c>
      <c r="F119" s="38">
        <v>250.0</v>
      </c>
      <c r="G119" s="38">
        <v>129.0</v>
      </c>
      <c r="H119" s="38">
        <v>161.0</v>
      </c>
      <c r="I119" s="48">
        <f t="shared" si="3"/>
        <v>4395</v>
      </c>
      <c r="J119" s="48">
        <f t="shared" si="4"/>
        <v>4685</v>
      </c>
      <c r="K119" s="49">
        <f t="shared" si="5"/>
        <v>0.4748577929</v>
      </c>
      <c r="L119" s="49">
        <f t="shared" si="6"/>
        <v>0.4682593857</v>
      </c>
      <c r="M119" s="49">
        <f t="shared" si="7"/>
        <v>0.05688282139</v>
      </c>
      <c r="N119" s="32" t="str">
        <f t="shared" si="8"/>
        <v>Jânio</v>
      </c>
      <c r="O119" s="50" t="s">
        <v>77</v>
      </c>
      <c r="P119" s="38">
        <v>2127.0</v>
      </c>
      <c r="Q119" s="38">
        <v>377.0</v>
      </c>
      <c r="R119" s="38">
        <v>1872.0</v>
      </c>
      <c r="S119" s="38">
        <v>196.0</v>
      </c>
      <c r="T119" s="38">
        <v>113.0</v>
      </c>
      <c r="U119" s="48">
        <f t="shared" si="9"/>
        <v>4376</v>
      </c>
      <c r="V119" s="48">
        <f t="shared" si="10"/>
        <v>4685</v>
      </c>
      <c r="W119" s="49">
        <f t="shared" si="11"/>
        <v>0.4860603291</v>
      </c>
      <c r="X119" s="49">
        <f t="shared" si="12"/>
        <v>0.08615173675</v>
      </c>
      <c r="Y119" s="49">
        <f t="shared" si="13"/>
        <v>0.4277879342</v>
      </c>
      <c r="Z119" s="32" t="str">
        <f t="shared" si="14"/>
        <v>Jango</v>
      </c>
      <c r="AA119" s="50" t="s">
        <v>77</v>
      </c>
      <c r="AB119" s="38">
        <v>5311.0</v>
      </c>
      <c r="AC119" s="48">
        <f t="shared" si="19"/>
        <v>626</v>
      </c>
      <c r="AD119" s="51">
        <f t="shared" si="20"/>
        <v>0.8821314253</v>
      </c>
    </row>
    <row r="120">
      <c r="A120" s="61" t="s">
        <v>537</v>
      </c>
      <c r="B120" s="46" t="s">
        <v>1590</v>
      </c>
      <c r="C120" s="47"/>
      <c r="D120" s="38">
        <v>1591.0</v>
      </c>
      <c r="E120" s="38">
        <v>1237.0</v>
      </c>
      <c r="F120" s="38">
        <v>613.0</v>
      </c>
      <c r="G120" s="38">
        <v>72.0</v>
      </c>
      <c r="H120" s="38">
        <v>105.0</v>
      </c>
      <c r="I120" s="48">
        <f t="shared" si="3"/>
        <v>3441</v>
      </c>
      <c r="J120" s="48">
        <f t="shared" si="4"/>
        <v>3618</v>
      </c>
      <c r="K120" s="49">
        <f t="shared" si="5"/>
        <v>0.4623655914</v>
      </c>
      <c r="L120" s="49">
        <f t="shared" si="6"/>
        <v>0.3594885208</v>
      </c>
      <c r="M120" s="49">
        <f t="shared" si="7"/>
        <v>0.1781458878</v>
      </c>
      <c r="N120" s="32" t="str">
        <f t="shared" si="8"/>
        <v>Jânio</v>
      </c>
      <c r="O120" s="50" t="s">
        <v>77</v>
      </c>
      <c r="P120" s="38">
        <v>1395.0</v>
      </c>
      <c r="Q120" s="38">
        <v>222.0</v>
      </c>
      <c r="R120" s="38">
        <v>1772.0</v>
      </c>
      <c r="S120" s="38">
        <v>162.0</v>
      </c>
      <c r="T120" s="38">
        <v>67.0</v>
      </c>
      <c r="U120" s="48">
        <f t="shared" si="9"/>
        <v>3389</v>
      </c>
      <c r="V120" s="48">
        <f t="shared" si="10"/>
        <v>3618</v>
      </c>
      <c r="W120" s="49">
        <f t="shared" si="11"/>
        <v>0.4116258483</v>
      </c>
      <c r="X120" s="49">
        <f t="shared" si="12"/>
        <v>0.06550604898</v>
      </c>
      <c r="Y120" s="49">
        <f t="shared" si="13"/>
        <v>0.5228681027</v>
      </c>
      <c r="Z120" s="32" t="str">
        <f t="shared" si="14"/>
        <v>Ferrari</v>
      </c>
      <c r="AA120" s="50" t="s">
        <v>77</v>
      </c>
      <c r="AB120" s="38">
        <v>4159.0</v>
      </c>
      <c r="AC120" s="48">
        <f t="shared" si="19"/>
        <v>541</v>
      </c>
      <c r="AD120" s="51">
        <f t="shared" si="20"/>
        <v>0.869920654</v>
      </c>
    </row>
    <row r="121">
      <c r="A121" s="24"/>
      <c r="B121" s="46" t="s">
        <v>1591</v>
      </c>
      <c r="C121" s="47"/>
      <c r="D121" s="38">
        <v>1215.0</v>
      </c>
      <c r="E121" s="38">
        <v>905.0</v>
      </c>
      <c r="F121" s="38">
        <v>455.0</v>
      </c>
      <c r="G121" s="38">
        <v>60.0</v>
      </c>
      <c r="H121" s="38">
        <v>53.0</v>
      </c>
      <c r="I121" s="48">
        <f t="shared" si="3"/>
        <v>2575</v>
      </c>
      <c r="J121" s="48">
        <f t="shared" si="4"/>
        <v>2688</v>
      </c>
      <c r="K121" s="49">
        <f t="shared" si="5"/>
        <v>0.4718446602</v>
      </c>
      <c r="L121" s="49">
        <f t="shared" si="6"/>
        <v>0.3514563107</v>
      </c>
      <c r="M121" s="49">
        <f t="shared" si="7"/>
        <v>0.1766990291</v>
      </c>
      <c r="N121" s="32" t="str">
        <f t="shared" si="8"/>
        <v>Jânio</v>
      </c>
      <c r="O121" s="50" t="s">
        <v>77</v>
      </c>
      <c r="P121" s="38">
        <v>871.0</v>
      </c>
      <c r="Q121" s="38">
        <v>89.0</v>
      </c>
      <c r="R121" s="38">
        <v>1590.0</v>
      </c>
      <c r="S121" s="38">
        <v>104.0</v>
      </c>
      <c r="T121" s="38">
        <v>34.0</v>
      </c>
      <c r="U121" s="48">
        <f t="shared" si="9"/>
        <v>2550</v>
      </c>
      <c r="V121" s="48">
        <f t="shared" si="10"/>
        <v>2688</v>
      </c>
      <c r="W121" s="49">
        <f t="shared" si="11"/>
        <v>0.3415686275</v>
      </c>
      <c r="X121" s="49">
        <f t="shared" si="12"/>
        <v>0.03490196078</v>
      </c>
      <c r="Y121" s="49">
        <f t="shared" si="13"/>
        <v>0.6235294118</v>
      </c>
      <c r="Z121" s="32" t="str">
        <f t="shared" si="14"/>
        <v>Ferrari</v>
      </c>
      <c r="AA121" s="50" t="s">
        <v>77</v>
      </c>
      <c r="AB121" s="38">
        <v>2979.0</v>
      </c>
      <c r="AC121" s="48">
        <f t="shared" si="19"/>
        <v>291</v>
      </c>
      <c r="AD121" s="51">
        <f t="shared" si="20"/>
        <v>0.9023162135</v>
      </c>
    </row>
    <row r="122">
      <c r="A122" s="110" t="s">
        <v>540</v>
      </c>
      <c r="B122" s="46" t="s">
        <v>1592</v>
      </c>
      <c r="C122" s="47"/>
      <c r="D122" s="38">
        <v>5720.0</v>
      </c>
      <c r="E122" s="38">
        <v>6048.0</v>
      </c>
      <c r="F122" s="38">
        <v>9435.0</v>
      </c>
      <c r="G122" s="38">
        <v>398.0</v>
      </c>
      <c r="H122" s="38">
        <v>854.0</v>
      </c>
      <c r="I122" s="48">
        <f t="shared" si="3"/>
        <v>21203</v>
      </c>
      <c r="J122" s="48">
        <f t="shared" si="4"/>
        <v>22455</v>
      </c>
      <c r="K122" s="49">
        <f t="shared" si="5"/>
        <v>0.2697731453</v>
      </c>
      <c r="L122" s="49">
        <f t="shared" si="6"/>
        <v>0.2852426543</v>
      </c>
      <c r="M122" s="49">
        <f t="shared" si="7"/>
        <v>0.4449842003</v>
      </c>
      <c r="N122" s="32" t="str">
        <f t="shared" si="8"/>
        <v>Adhemar</v>
      </c>
      <c r="O122" s="50" t="s">
        <v>77</v>
      </c>
      <c r="P122" s="38">
        <v>8583.0</v>
      </c>
      <c r="Q122" s="38">
        <v>826.0</v>
      </c>
      <c r="R122" s="38">
        <v>11468.0</v>
      </c>
      <c r="S122" s="38">
        <v>974.0</v>
      </c>
      <c r="T122" s="38">
        <v>604.0</v>
      </c>
      <c r="U122" s="48">
        <f t="shared" si="9"/>
        <v>20877</v>
      </c>
      <c r="V122" s="48">
        <f t="shared" si="10"/>
        <v>22455</v>
      </c>
      <c r="W122" s="49">
        <f t="shared" si="11"/>
        <v>0.4111222877</v>
      </c>
      <c r="X122" s="49">
        <f t="shared" si="12"/>
        <v>0.03956507161</v>
      </c>
      <c r="Y122" s="49">
        <f t="shared" si="13"/>
        <v>0.5493126407</v>
      </c>
      <c r="Z122" s="32" t="str">
        <f t="shared" si="14"/>
        <v>Ferrari</v>
      </c>
      <c r="AA122" s="50" t="s">
        <v>77</v>
      </c>
      <c r="AB122" s="38">
        <v>24909.0</v>
      </c>
      <c r="AC122" s="48">
        <f t="shared" si="19"/>
        <v>2454</v>
      </c>
      <c r="AD122" s="51">
        <f t="shared" si="20"/>
        <v>0.9014813923</v>
      </c>
    </row>
    <row r="123">
      <c r="A123" s="61" t="s">
        <v>542</v>
      </c>
      <c r="B123" s="46" t="s">
        <v>1593</v>
      </c>
      <c r="C123" s="47"/>
      <c r="D123" s="38">
        <v>4301.0</v>
      </c>
      <c r="E123" s="38">
        <v>3028.0</v>
      </c>
      <c r="F123" s="38">
        <v>560.0</v>
      </c>
      <c r="G123" s="38">
        <v>277.0</v>
      </c>
      <c r="H123" s="38">
        <v>348.0</v>
      </c>
      <c r="I123" s="48">
        <f t="shared" si="3"/>
        <v>7889</v>
      </c>
      <c r="J123" s="48">
        <f t="shared" si="4"/>
        <v>8514</v>
      </c>
      <c r="K123" s="49">
        <f t="shared" si="5"/>
        <v>0.5451895044</v>
      </c>
      <c r="L123" s="49">
        <f t="shared" si="6"/>
        <v>0.3838255799</v>
      </c>
      <c r="M123" s="49">
        <f t="shared" si="7"/>
        <v>0.07098491571</v>
      </c>
      <c r="N123" s="32" t="str">
        <f t="shared" si="8"/>
        <v>Jânio</v>
      </c>
      <c r="O123" s="50" t="s">
        <v>77</v>
      </c>
      <c r="P123" s="38">
        <v>3200.0</v>
      </c>
      <c r="Q123" s="38">
        <v>275.0</v>
      </c>
      <c r="R123" s="38">
        <v>4311.0</v>
      </c>
      <c r="S123" s="38">
        <v>509.0</v>
      </c>
      <c r="T123" s="38">
        <v>219.0</v>
      </c>
      <c r="U123" s="48">
        <f t="shared" si="9"/>
        <v>7786</v>
      </c>
      <c r="V123" s="48">
        <f t="shared" si="10"/>
        <v>8514</v>
      </c>
      <c r="W123" s="49">
        <f t="shared" si="11"/>
        <v>0.410994092</v>
      </c>
      <c r="X123" s="49">
        <f t="shared" si="12"/>
        <v>0.03531980478</v>
      </c>
      <c r="Y123" s="49">
        <f t="shared" si="13"/>
        <v>0.5536861033</v>
      </c>
      <c r="Z123" s="32" t="str">
        <f t="shared" si="14"/>
        <v>Ferrari</v>
      </c>
      <c r="AA123" s="50" t="s">
        <v>77</v>
      </c>
      <c r="AB123" s="38">
        <v>9636.0</v>
      </c>
      <c r="AC123" s="48">
        <f t="shared" si="19"/>
        <v>1122</v>
      </c>
      <c r="AD123" s="51">
        <f t="shared" si="20"/>
        <v>0.8835616438</v>
      </c>
    </row>
    <row r="124">
      <c r="A124" s="24"/>
      <c r="B124" s="46" t="s">
        <v>1594</v>
      </c>
      <c r="C124" s="47"/>
      <c r="D124" s="38">
        <v>1177.0</v>
      </c>
      <c r="E124" s="38">
        <v>719.0</v>
      </c>
      <c r="F124" s="38">
        <v>520.0</v>
      </c>
      <c r="G124" s="38">
        <v>80.0</v>
      </c>
      <c r="H124" s="38">
        <v>88.0</v>
      </c>
      <c r="I124" s="48">
        <f t="shared" si="3"/>
        <v>2416</v>
      </c>
      <c r="J124" s="48">
        <f t="shared" si="4"/>
        <v>2584</v>
      </c>
      <c r="K124" s="49">
        <f t="shared" si="5"/>
        <v>0.4871688742</v>
      </c>
      <c r="L124" s="49">
        <f t="shared" si="6"/>
        <v>0.2975993377</v>
      </c>
      <c r="M124" s="49">
        <f t="shared" si="7"/>
        <v>0.2152317881</v>
      </c>
      <c r="N124" s="32" t="str">
        <f t="shared" si="8"/>
        <v>Jânio</v>
      </c>
      <c r="O124" s="50" t="s">
        <v>77</v>
      </c>
      <c r="P124" s="38">
        <v>834.0</v>
      </c>
      <c r="Q124" s="38">
        <v>122.0</v>
      </c>
      <c r="R124" s="38">
        <v>1436.0</v>
      </c>
      <c r="S124" s="38">
        <v>139.0</v>
      </c>
      <c r="T124" s="38">
        <v>53.0</v>
      </c>
      <c r="U124" s="48">
        <f t="shared" si="9"/>
        <v>2392</v>
      </c>
      <c r="V124" s="48">
        <f t="shared" si="10"/>
        <v>2584</v>
      </c>
      <c r="W124" s="49">
        <f t="shared" si="11"/>
        <v>0.3486622074</v>
      </c>
      <c r="X124" s="49">
        <f t="shared" si="12"/>
        <v>0.05100334448</v>
      </c>
      <c r="Y124" s="49">
        <f t="shared" si="13"/>
        <v>0.6003344482</v>
      </c>
      <c r="Z124" s="32" t="str">
        <f t="shared" si="14"/>
        <v>Ferrari</v>
      </c>
      <c r="AA124" s="50" t="s">
        <v>77</v>
      </c>
      <c r="AB124" s="38">
        <v>2799.0</v>
      </c>
      <c r="AC124" s="48">
        <f t="shared" si="19"/>
        <v>215</v>
      </c>
      <c r="AD124" s="51">
        <f t="shared" si="20"/>
        <v>0.9231868524</v>
      </c>
    </row>
    <row r="125">
      <c r="A125" s="110" t="s">
        <v>544</v>
      </c>
      <c r="B125" s="46" t="s">
        <v>1595</v>
      </c>
      <c r="C125" s="47"/>
      <c r="D125" s="38">
        <v>2280.0</v>
      </c>
      <c r="E125" s="38">
        <v>975.0</v>
      </c>
      <c r="F125" s="38">
        <v>326.0</v>
      </c>
      <c r="G125" s="38">
        <v>83.0</v>
      </c>
      <c r="H125" s="38">
        <v>104.0</v>
      </c>
      <c r="I125" s="48">
        <f t="shared" si="3"/>
        <v>3581</v>
      </c>
      <c r="J125" s="48">
        <f t="shared" si="4"/>
        <v>3768</v>
      </c>
      <c r="K125" s="49">
        <f t="shared" si="5"/>
        <v>0.636693661</v>
      </c>
      <c r="L125" s="49">
        <f t="shared" si="6"/>
        <v>0.2722703156</v>
      </c>
      <c r="M125" s="49">
        <f t="shared" si="7"/>
        <v>0.09103602346</v>
      </c>
      <c r="N125" s="32" t="str">
        <f t="shared" si="8"/>
        <v>Jânio</v>
      </c>
      <c r="O125" s="50" t="s">
        <v>77</v>
      </c>
      <c r="P125" s="38">
        <v>940.0</v>
      </c>
      <c r="Q125" s="38">
        <v>159.0</v>
      </c>
      <c r="R125" s="38">
        <v>2425.0</v>
      </c>
      <c r="S125" s="38">
        <v>177.0</v>
      </c>
      <c r="T125" s="38">
        <v>67.0</v>
      </c>
      <c r="U125" s="48">
        <f t="shared" si="9"/>
        <v>3524</v>
      </c>
      <c r="V125" s="48">
        <f t="shared" si="10"/>
        <v>3768</v>
      </c>
      <c r="W125" s="49">
        <f t="shared" si="11"/>
        <v>0.2667423383</v>
      </c>
      <c r="X125" s="49">
        <f t="shared" si="12"/>
        <v>0.04511918275</v>
      </c>
      <c r="Y125" s="49">
        <f t="shared" si="13"/>
        <v>0.688138479</v>
      </c>
      <c r="Z125" s="32" t="str">
        <f t="shared" si="14"/>
        <v>Ferrari</v>
      </c>
      <c r="AA125" s="50" t="s">
        <v>77</v>
      </c>
      <c r="AB125" s="38">
        <v>4079.0</v>
      </c>
      <c r="AC125" s="48">
        <f t="shared" si="19"/>
        <v>311</v>
      </c>
      <c r="AD125" s="51">
        <f t="shared" si="20"/>
        <v>0.9237558225</v>
      </c>
    </row>
    <row r="126">
      <c r="A126" s="110" t="s">
        <v>547</v>
      </c>
      <c r="B126" s="46" t="s">
        <v>1596</v>
      </c>
      <c r="C126" s="47"/>
      <c r="D126" s="38">
        <v>1486.0</v>
      </c>
      <c r="E126" s="38">
        <v>1206.0</v>
      </c>
      <c r="F126" s="38">
        <v>165.0</v>
      </c>
      <c r="G126" s="38">
        <v>177.0</v>
      </c>
      <c r="H126" s="38">
        <v>127.0</v>
      </c>
      <c r="I126" s="48">
        <f t="shared" si="3"/>
        <v>2857</v>
      </c>
      <c r="J126" s="48">
        <f t="shared" si="4"/>
        <v>3161</v>
      </c>
      <c r="K126" s="49">
        <f t="shared" si="5"/>
        <v>0.5201260063</v>
      </c>
      <c r="L126" s="49">
        <f t="shared" si="6"/>
        <v>0.4221211061</v>
      </c>
      <c r="M126" s="49">
        <f t="shared" si="7"/>
        <v>0.05775288764</v>
      </c>
      <c r="N126" s="32" t="str">
        <f t="shared" si="8"/>
        <v>Jânio</v>
      </c>
      <c r="O126" s="50" t="s">
        <v>77</v>
      </c>
      <c r="P126" s="38">
        <v>1162.0</v>
      </c>
      <c r="Q126" s="38">
        <v>365.0</v>
      </c>
      <c r="R126" s="38">
        <v>1368.0</v>
      </c>
      <c r="S126" s="38">
        <v>146.0</v>
      </c>
      <c r="T126" s="38">
        <v>120.0</v>
      </c>
      <c r="U126" s="48">
        <f t="shared" si="9"/>
        <v>2895</v>
      </c>
      <c r="V126" s="48">
        <f t="shared" si="10"/>
        <v>3161</v>
      </c>
      <c r="W126" s="49">
        <f t="shared" si="11"/>
        <v>0.4013816926</v>
      </c>
      <c r="X126" s="49">
        <f t="shared" si="12"/>
        <v>0.1260794473</v>
      </c>
      <c r="Y126" s="49">
        <f t="shared" si="13"/>
        <v>0.4725388601</v>
      </c>
      <c r="Z126" s="32" t="str">
        <f t="shared" si="14"/>
        <v>Ferrari</v>
      </c>
      <c r="AA126" s="50" t="s">
        <v>77</v>
      </c>
      <c r="AB126" s="38">
        <v>3625.0</v>
      </c>
      <c r="AC126" s="48">
        <f t="shared" si="19"/>
        <v>464</v>
      </c>
      <c r="AD126" s="51">
        <f t="shared" si="20"/>
        <v>0.872</v>
      </c>
    </row>
    <row r="127">
      <c r="A127" s="61" t="s">
        <v>549</v>
      </c>
      <c r="B127" s="46" t="s">
        <v>1597</v>
      </c>
      <c r="C127" s="47"/>
      <c r="D127" s="38">
        <v>2785.0</v>
      </c>
      <c r="E127" s="38">
        <v>2515.0</v>
      </c>
      <c r="F127" s="38">
        <v>890.0</v>
      </c>
      <c r="G127" s="38">
        <v>161.0</v>
      </c>
      <c r="H127" s="38">
        <v>177.0</v>
      </c>
      <c r="I127" s="48">
        <f t="shared" si="3"/>
        <v>6190</v>
      </c>
      <c r="J127" s="48">
        <f t="shared" si="4"/>
        <v>6528</v>
      </c>
      <c r="K127" s="49">
        <f t="shared" si="5"/>
        <v>0.4499192246</v>
      </c>
      <c r="L127" s="49">
        <f t="shared" si="6"/>
        <v>0.4063004847</v>
      </c>
      <c r="M127" s="49">
        <f t="shared" si="7"/>
        <v>0.1437802908</v>
      </c>
      <c r="N127" s="32" t="str">
        <f t="shared" si="8"/>
        <v>Jânio</v>
      </c>
      <c r="O127" s="50" t="s">
        <v>77</v>
      </c>
      <c r="P127" s="38">
        <v>2743.0</v>
      </c>
      <c r="Q127" s="38">
        <v>342.0</v>
      </c>
      <c r="R127" s="38">
        <v>2965.0</v>
      </c>
      <c r="S127" s="38">
        <v>360.0</v>
      </c>
      <c r="T127" s="38">
        <v>118.0</v>
      </c>
      <c r="U127" s="48">
        <f t="shared" si="9"/>
        <v>6050</v>
      </c>
      <c r="V127" s="48">
        <f t="shared" si="10"/>
        <v>6528</v>
      </c>
      <c r="W127" s="49">
        <f t="shared" si="11"/>
        <v>0.4533884298</v>
      </c>
      <c r="X127" s="49">
        <f t="shared" si="12"/>
        <v>0.05652892562</v>
      </c>
      <c r="Y127" s="49">
        <f t="shared" si="13"/>
        <v>0.4900826446</v>
      </c>
      <c r="Z127" s="32" t="str">
        <f t="shared" si="14"/>
        <v>Ferrari</v>
      </c>
      <c r="AA127" s="50" t="s">
        <v>77</v>
      </c>
      <c r="AB127" s="38">
        <v>7135.0</v>
      </c>
      <c r="AC127" s="48">
        <f t="shared" si="19"/>
        <v>607</v>
      </c>
      <c r="AD127" s="51">
        <f t="shared" si="20"/>
        <v>0.9149264191</v>
      </c>
    </row>
    <row r="128">
      <c r="A128" s="24"/>
      <c r="B128" s="46" t="s">
        <v>1598</v>
      </c>
      <c r="C128" s="47"/>
      <c r="D128" s="38">
        <v>1415.0</v>
      </c>
      <c r="E128" s="38">
        <v>1147.0</v>
      </c>
      <c r="F128" s="38">
        <v>310.0</v>
      </c>
      <c r="G128" s="38">
        <v>138.0</v>
      </c>
      <c r="H128" s="38">
        <v>152.0</v>
      </c>
      <c r="I128" s="48">
        <f t="shared" si="3"/>
        <v>2872</v>
      </c>
      <c r="J128" s="48">
        <f t="shared" si="4"/>
        <v>3162</v>
      </c>
      <c r="K128" s="49">
        <f t="shared" si="5"/>
        <v>0.4926880223</v>
      </c>
      <c r="L128" s="49">
        <f t="shared" si="6"/>
        <v>0.3993732591</v>
      </c>
      <c r="M128" s="49">
        <f t="shared" si="7"/>
        <v>0.1079387187</v>
      </c>
      <c r="N128" s="32" t="str">
        <f t="shared" si="8"/>
        <v>Jânio</v>
      </c>
      <c r="O128" s="50" t="s">
        <v>77</v>
      </c>
      <c r="P128" s="38">
        <v>1219.0</v>
      </c>
      <c r="Q128" s="38">
        <v>292.0</v>
      </c>
      <c r="R128" s="38">
        <v>1264.0</v>
      </c>
      <c r="S128" s="38">
        <v>288.0</v>
      </c>
      <c r="T128" s="38">
        <v>99.0</v>
      </c>
      <c r="U128" s="48">
        <f t="shared" si="9"/>
        <v>2775</v>
      </c>
      <c r="V128" s="48">
        <f t="shared" si="10"/>
        <v>3162</v>
      </c>
      <c r="W128" s="49">
        <f t="shared" si="11"/>
        <v>0.4392792793</v>
      </c>
      <c r="X128" s="49">
        <f t="shared" si="12"/>
        <v>0.1052252252</v>
      </c>
      <c r="Y128" s="49">
        <f t="shared" si="13"/>
        <v>0.4554954955</v>
      </c>
      <c r="Z128" s="32" t="str">
        <f t="shared" si="14"/>
        <v>Ferrari</v>
      </c>
      <c r="AA128" s="50" t="s">
        <v>77</v>
      </c>
      <c r="AB128" s="38">
        <v>3613.0</v>
      </c>
      <c r="AC128" s="48">
        <f t="shared" si="19"/>
        <v>451</v>
      </c>
      <c r="AD128" s="51">
        <f t="shared" si="20"/>
        <v>0.8751729864</v>
      </c>
    </row>
    <row r="129">
      <c r="A129" s="110" t="s">
        <v>554</v>
      </c>
      <c r="B129" s="46" t="s">
        <v>1599</v>
      </c>
      <c r="C129" s="47"/>
      <c r="D129" s="38">
        <v>4049.0</v>
      </c>
      <c r="E129" s="38">
        <v>2340.0</v>
      </c>
      <c r="F129" s="38">
        <v>1973.0</v>
      </c>
      <c r="G129" s="38">
        <v>253.0</v>
      </c>
      <c r="H129" s="38">
        <v>568.0</v>
      </c>
      <c r="I129" s="48">
        <f t="shared" si="3"/>
        <v>8362</v>
      </c>
      <c r="J129" s="48">
        <f t="shared" si="4"/>
        <v>9183</v>
      </c>
      <c r="K129" s="49">
        <f t="shared" si="5"/>
        <v>0.4842143028</v>
      </c>
      <c r="L129" s="49">
        <f t="shared" si="6"/>
        <v>0.2798373595</v>
      </c>
      <c r="M129" s="49">
        <f t="shared" si="7"/>
        <v>0.2359483377</v>
      </c>
      <c r="N129" s="32" t="str">
        <f t="shared" si="8"/>
        <v>Jânio</v>
      </c>
      <c r="O129" s="50" t="s">
        <v>77</v>
      </c>
      <c r="P129" s="38">
        <v>2700.0</v>
      </c>
      <c r="Q129" s="38">
        <v>1057.0</v>
      </c>
      <c r="R129" s="38">
        <v>4411.0</v>
      </c>
      <c r="S129" s="38">
        <v>589.0</v>
      </c>
      <c r="T129" s="38">
        <v>426.0</v>
      </c>
      <c r="U129" s="48">
        <f t="shared" si="9"/>
        <v>8168</v>
      </c>
      <c r="V129" s="48">
        <f t="shared" si="10"/>
        <v>9183</v>
      </c>
      <c r="W129" s="49">
        <f t="shared" si="11"/>
        <v>0.3305582762</v>
      </c>
      <c r="X129" s="49">
        <f t="shared" si="12"/>
        <v>0.1294074437</v>
      </c>
      <c r="Y129" s="49">
        <f t="shared" si="13"/>
        <v>0.5400342801</v>
      </c>
      <c r="Z129" s="32" t="str">
        <f t="shared" si="14"/>
        <v>Ferrari</v>
      </c>
      <c r="AA129" s="50" t="s">
        <v>77</v>
      </c>
      <c r="AB129" s="38">
        <v>10029.0</v>
      </c>
      <c r="AC129" s="48">
        <f t="shared" si="19"/>
        <v>846</v>
      </c>
      <c r="AD129" s="51">
        <f t="shared" si="20"/>
        <v>0.9156446306</v>
      </c>
    </row>
    <row r="130">
      <c r="A130" s="110" t="s">
        <v>557</v>
      </c>
      <c r="B130" s="46" t="s">
        <v>1600</v>
      </c>
      <c r="C130" s="47"/>
      <c r="D130" s="38">
        <v>1131.0</v>
      </c>
      <c r="E130" s="38">
        <v>696.0</v>
      </c>
      <c r="F130" s="38">
        <v>181.0</v>
      </c>
      <c r="G130" s="38">
        <v>89.0</v>
      </c>
      <c r="H130" s="38">
        <v>72.0</v>
      </c>
      <c r="I130" s="48">
        <f t="shared" si="3"/>
        <v>2008</v>
      </c>
      <c r="J130" s="48">
        <f t="shared" si="4"/>
        <v>2169</v>
      </c>
      <c r="K130" s="49">
        <f t="shared" si="5"/>
        <v>0.563247012</v>
      </c>
      <c r="L130" s="49">
        <f t="shared" si="6"/>
        <v>0.3466135458</v>
      </c>
      <c r="M130" s="49">
        <f t="shared" si="7"/>
        <v>0.09013944223</v>
      </c>
      <c r="N130" s="32" t="str">
        <f t="shared" si="8"/>
        <v>Jânio</v>
      </c>
      <c r="O130" s="50" t="s">
        <v>77</v>
      </c>
      <c r="P130" s="38">
        <v>802.0</v>
      </c>
      <c r="Q130" s="38">
        <v>820.0</v>
      </c>
      <c r="R130" s="38">
        <v>362.0</v>
      </c>
      <c r="S130" s="38">
        <v>153.0</v>
      </c>
      <c r="T130" s="38">
        <v>32.0</v>
      </c>
      <c r="U130" s="48">
        <f t="shared" si="9"/>
        <v>1984</v>
      </c>
      <c r="V130" s="48">
        <f t="shared" si="10"/>
        <v>2169</v>
      </c>
      <c r="W130" s="49">
        <f t="shared" si="11"/>
        <v>0.404233871</v>
      </c>
      <c r="X130" s="49">
        <f t="shared" si="12"/>
        <v>0.4133064516</v>
      </c>
      <c r="Y130" s="49">
        <f t="shared" si="13"/>
        <v>0.1824596774</v>
      </c>
      <c r="Z130" s="32" t="str">
        <f t="shared" si="14"/>
        <v>Milton</v>
      </c>
      <c r="AA130" s="50" t="s">
        <v>77</v>
      </c>
      <c r="AB130" s="38">
        <v>2454.0</v>
      </c>
      <c r="AC130" s="48">
        <f t="shared" si="19"/>
        <v>285</v>
      </c>
      <c r="AD130" s="51">
        <f t="shared" si="20"/>
        <v>0.8838630807</v>
      </c>
    </row>
    <row r="131">
      <c r="A131" s="61" t="s">
        <v>560</v>
      </c>
      <c r="B131" s="46" t="s">
        <v>1601</v>
      </c>
      <c r="C131" s="47"/>
      <c r="D131" s="38">
        <v>2801.0</v>
      </c>
      <c r="E131" s="38">
        <v>1877.0</v>
      </c>
      <c r="F131" s="38">
        <v>478.0</v>
      </c>
      <c r="G131" s="38">
        <v>172.0</v>
      </c>
      <c r="H131" s="38">
        <v>182.0</v>
      </c>
      <c r="I131" s="48">
        <f t="shared" si="3"/>
        <v>5156</v>
      </c>
      <c r="J131" s="48">
        <f t="shared" si="4"/>
        <v>5510</v>
      </c>
      <c r="K131" s="49">
        <f t="shared" si="5"/>
        <v>0.5432505818</v>
      </c>
      <c r="L131" s="49">
        <f t="shared" si="6"/>
        <v>0.3640418929</v>
      </c>
      <c r="M131" s="49">
        <f t="shared" si="7"/>
        <v>0.09270752521</v>
      </c>
      <c r="N131" s="32" t="str">
        <f t="shared" si="8"/>
        <v>Jânio</v>
      </c>
      <c r="O131" s="50" t="s">
        <v>77</v>
      </c>
      <c r="P131" s="38">
        <v>2155.0</v>
      </c>
      <c r="Q131" s="38">
        <v>1005.0</v>
      </c>
      <c r="R131" s="38">
        <v>1886.0</v>
      </c>
      <c r="S131" s="38">
        <v>354.0</v>
      </c>
      <c r="T131" s="38">
        <v>110.0</v>
      </c>
      <c r="U131" s="48">
        <f t="shared" si="9"/>
        <v>5046</v>
      </c>
      <c r="V131" s="48">
        <f t="shared" si="10"/>
        <v>5510</v>
      </c>
      <c r="W131" s="49">
        <f t="shared" si="11"/>
        <v>0.4270709473</v>
      </c>
      <c r="X131" s="49">
        <f t="shared" si="12"/>
        <v>0.1991676576</v>
      </c>
      <c r="Y131" s="49">
        <f t="shared" si="13"/>
        <v>0.3737613952</v>
      </c>
      <c r="Z131" s="32" t="str">
        <f t="shared" si="14"/>
        <v>Jango</v>
      </c>
      <c r="AA131" s="50" t="s">
        <v>77</v>
      </c>
      <c r="AB131" s="38">
        <v>6374.0</v>
      </c>
      <c r="AC131" s="48">
        <f t="shared" si="19"/>
        <v>864</v>
      </c>
      <c r="AD131" s="51">
        <f t="shared" si="20"/>
        <v>0.8644493254</v>
      </c>
    </row>
    <row r="132">
      <c r="A132" s="24"/>
      <c r="B132" s="46" t="s">
        <v>1602</v>
      </c>
      <c r="C132" s="47"/>
      <c r="D132" s="38">
        <v>3211.0</v>
      </c>
      <c r="E132" s="38">
        <v>2553.0</v>
      </c>
      <c r="F132" s="38">
        <v>504.0</v>
      </c>
      <c r="G132" s="38">
        <v>225.0</v>
      </c>
      <c r="H132" s="38">
        <v>276.0</v>
      </c>
      <c r="I132" s="48">
        <f t="shared" si="3"/>
        <v>6268</v>
      </c>
      <c r="J132" s="48">
        <f t="shared" si="4"/>
        <v>6769</v>
      </c>
      <c r="K132" s="49">
        <f t="shared" si="5"/>
        <v>0.5122846203</v>
      </c>
      <c r="L132" s="49">
        <f t="shared" si="6"/>
        <v>0.407306956</v>
      </c>
      <c r="M132" s="49">
        <f t="shared" si="7"/>
        <v>0.08040842374</v>
      </c>
      <c r="N132" s="32" t="str">
        <f t="shared" si="8"/>
        <v>Jânio</v>
      </c>
      <c r="O132" s="50" t="s">
        <v>77</v>
      </c>
      <c r="P132" s="38">
        <v>2709.0</v>
      </c>
      <c r="Q132" s="38">
        <v>490.0</v>
      </c>
      <c r="R132" s="38">
        <v>2961.0</v>
      </c>
      <c r="S132" s="38">
        <v>459.0</v>
      </c>
      <c r="T132" s="38">
        <v>150.0</v>
      </c>
      <c r="U132" s="48">
        <f t="shared" si="9"/>
        <v>6160</v>
      </c>
      <c r="V132" s="48">
        <f t="shared" si="10"/>
        <v>6769</v>
      </c>
      <c r="W132" s="49">
        <f t="shared" si="11"/>
        <v>0.4397727273</v>
      </c>
      <c r="X132" s="49">
        <f t="shared" si="12"/>
        <v>0.07954545455</v>
      </c>
      <c r="Y132" s="49">
        <f t="shared" si="13"/>
        <v>0.4806818182</v>
      </c>
      <c r="Z132" s="32" t="str">
        <f t="shared" si="14"/>
        <v>Ferrari</v>
      </c>
      <c r="AA132" s="50" t="s">
        <v>77</v>
      </c>
      <c r="AB132" s="38">
        <v>7880.0</v>
      </c>
      <c r="AC132" s="48">
        <f t="shared" si="19"/>
        <v>1111</v>
      </c>
      <c r="AD132" s="51">
        <f t="shared" si="20"/>
        <v>0.8590101523</v>
      </c>
    </row>
    <row r="133">
      <c r="A133" s="61" t="s">
        <v>563</v>
      </c>
      <c r="B133" s="46" t="s">
        <v>1603</v>
      </c>
      <c r="C133" s="47"/>
      <c r="D133" s="38">
        <v>1594.0</v>
      </c>
      <c r="E133" s="38">
        <v>1528.0</v>
      </c>
      <c r="F133" s="38">
        <v>451.0</v>
      </c>
      <c r="G133" s="38">
        <v>136.0</v>
      </c>
      <c r="H133" s="38">
        <v>174.0</v>
      </c>
      <c r="I133" s="48">
        <f t="shared" si="3"/>
        <v>3573</v>
      </c>
      <c r="J133" s="48">
        <f t="shared" si="4"/>
        <v>3883</v>
      </c>
      <c r="K133" s="49">
        <f t="shared" si="5"/>
        <v>0.4461237056</v>
      </c>
      <c r="L133" s="49">
        <f t="shared" si="6"/>
        <v>0.4276518332</v>
      </c>
      <c r="M133" s="49">
        <f t="shared" si="7"/>
        <v>0.1262244612</v>
      </c>
      <c r="N133" s="32" t="str">
        <f t="shared" si="8"/>
        <v>Jânio</v>
      </c>
      <c r="O133" s="50" t="s">
        <v>77</v>
      </c>
      <c r="P133" s="38">
        <v>1604.0</v>
      </c>
      <c r="Q133" s="38">
        <v>414.0</v>
      </c>
      <c r="R133" s="38">
        <v>1498.0</v>
      </c>
      <c r="S133" s="38">
        <v>232.0</v>
      </c>
      <c r="T133" s="38">
        <v>135.0</v>
      </c>
      <c r="U133" s="48">
        <f t="shared" si="9"/>
        <v>3516</v>
      </c>
      <c r="V133" s="48">
        <f t="shared" si="10"/>
        <v>3883</v>
      </c>
      <c r="W133" s="49">
        <f t="shared" si="11"/>
        <v>0.4562002275</v>
      </c>
      <c r="X133" s="49">
        <f t="shared" si="12"/>
        <v>0.1177474403</v>
      </c>
      <c r="Y133" s="49">
        <f t="shared" si="13"/>
        <v>0.4260523322</v>
      </c>
      <c r="Z133" s="32" t="str">
        <f t="shared" si="14"/>
        <v>Jango</v>
      </c>
      <c r="AA133" s="50" t="s">
        <v>77</v>
      </c>
      <c r="AB133" s="38">
        <v>4462.0</v>
      </c>
      <c r="AC133" s="48">
        <f t="shared" si="19"/>
        <v>579</v>
      </c>
      <c r="AD133" s="51">
        <f t="shared" si="20"/>
        <v>0.8702375616</v>
      </c>
    </row>
    <row r="134">
      <c r="A134" s="23"/>
      <c r="B134" s="46" t="s">
        <v>1604</v>
      </c>
      <c r="C134" s="47"/>
      <c r="D134" s="38">
        <v>910.0</v>
      </c>
      <c r="E134" s="38">
        <v>661.0</v>
      </c>
      <c r="F134" s="38">
        <v>186.0</v>
      </c>
      <c r="G134" s="38">
        <v>112.0</v>
      </c>
      <c r="H134" s="38">
        <v>128.0</v>
      </c>
      <c r="I134" s="48">
        <f t="shared" si="3"/>
        <v>1757</v>
      </c>
      <c r="J134" s="48">
        <f t="shared" si="4"/>
        <v>1997</v>
      </c>
      <c r="K134" s="49">
        <f t="shared" si="5"/>
        <v>0.5179282869</v>
      </c>
      <c r="L134" s="49">
        <f t="shared" si="6"/>
        <v>0.3762094479</v>
      </c>
      <c r="M134" s="49">
        <f t="shared" si="7"/>
        <v>0.1058622652</v>
      </c>
      <c r="N134" s="32" t="str">
        <f t="shared" si="8"/>
        <v>Jânio</v>
      </c>
      <c r="O134" s="50" t="s">
        <v>77</v>
      </c>
      <c r="P134" s="38">
        <v>694.0</v>
      </c>
      <c r="Q134" s="38">
        <v>397.0</v>
      </c>
      <c r="R134" s="38">
        <v>612.0</v>
      </c>
      <c r="S134" s="38">
        <v>194.0</v>
      </c>
      <c r="T134" s="38">
        <v>100.0</v>
      </c>
      <c r="U134" s="48">
        <f t="shared" si="9"/>
        <v>1703</v>
      </c>
      <c r="V134" s="48">
        <f t="shared" si="10"/>
        <v>1997</v>
      </c>
      <c r="W134" s="49">
        <f t="shared" si="11"/>
        <v>0.407516148</v>
      </c>
      <c r="X134" s="49">
        <f t="shared" si="12"/>
        <v>0.233118027</v>
      </c>
      <c r="Y134" s="49">
        <f t="shared" si="13"/>
        <v>0.359365825</v>
      </c>
      <c r="Z134" s="32" t="str">
        <f t="shared" si="14"/>
        <v>Jango</v>
      </c>
      <c r="AA134" s="50" t="s">
        <v>77</v>
      </c>
      <c r="AB134" s="38">
        <v>2265.0</v>
      </c>
      <c r="AC134" s="48">
        <f t="shared" si="19"/>
        <v>268</v>
      </c>
      <c r="AD134" s="51">
        <f t="shared" si="20"/>
        <v>0.8816777042</v>
      </c>
    </row>
    <row r="135">
      <c r="A135" s="24"/>
      <c r="B135" s="46" t="s">
        <v>1605</v>
      </c>
      <c r="C135" s="47"/>
      <c r="D135" s="38">
        <v>1582.0</v>
      </c>
      <c r="E135" s="38">
        <v>1571.0</v>
      </c>
      <c r="F135" s="38">
        <v>252.0</v>
      </c>
      <c r="G135" s="38">
        <v>151.0</v>
      </c>
      <c r="H135" s="38">
        <v>236.0</v>
      </c>
      <c r="I135" s="48">
        <f t="shared" si="3"/>
        <v>3405</v>
      </c>
      <c r="J135" s="48">
        <f t="shared" si="4"/>
        <v>3792</v>
      </c>
      <c r="K135" s="49">
        <f t="shared" si="5"/>
        <v>0.4646108664</v>
      </c>
      <c r="L135" s="49">
        <f t="shared" si="6"/>
        <v>0.4613803231</v>
      </c>
      <c r="M135" s="49">
        <f t="shared" si="7"/>
        <v>0.07400881057</v>
      </c>
      <c r="N135" s="32" t="str">
        <f t="shared" si="8"/>
        <v>Jânio</v>
      </c>
      <c r="O135" s="50" t="s">
        <v>77</v>
      </c>
      <c r="P135" s="38">
        <v>1604.0</v>
      </c>
      <c r="Q135" s="38">
        <v>478.0</v>
      </c>
      <c r="R135" s="38">
        <v>1239.0</v>
      </c>
      <c r="S135" s="38">
        <v>290.0</v>
      </c>
      <c r="T135" s="38">
        <v>181.0</v>
      </c>
      <c r="U135" s="48">
        <f t="shared" si="9"/>
        <v>3321</v>
      </c>
      <c r="V135" s="48">
        <f t="shared" si="10"/>
        <v>3792</v>
      </c>
      <c r="W135" s="49">
        <f t="shared" si="11"/>
        <v>0.4829870521</v>
      </c>
      <c r="X135" s="49">
        <f t="shared" si="12"/>
        <v>0.1439325504</v>
      </c>
      <c r="Y135" s="49">
        <f t="shared" si="13"/>
        <v>0.3730803975</v>
      </c>
      <c r="Z135" s="32" t="str">
        <f t="shared" si="14"/>
        <v>Jango</v>
      </c>
      <c r="AA135" s="50" t="s">
        <v>77</v>
      </c>
      <c r="AB135" s="38">
        <v>4388.0</v>
      </c>
      <c r="AC135" s="48">
        <f t="shared" si="19"/>
        <v>596</v>
      </c>
      <c r="AD135" s="51">
        <f t="shared" si="20"/>
        <v>0.8641750228</v>
      </c>
    </row>
    <row r="136">
      <c r="A136" s="110" t="s">
        <v>565</v>
      </c>
      <c r="B136" s="46" t="s">
        <v>1606</v>
      </c>
      <c r="C136" s="47"/>
      <c r="D136" s="38">
        <v>4123.0</v>
      </c>
      <c r="E136" s="38">
        <v>2523.0</v>
      </c>
      <c r="F136" s="38">
        <v>728.0</v>
      </c>
      <c r="G136" s="38">
        <v>172.0</v>
      </c>
      <c r="H136" s="38">
        <v>203.0</v>
      </c>
      <c r="I136" s="48">
        <f t="shared" si="3"/>
        <v>7374</v>
      </c>
      <c r="J136" s="48">
        <f t="shared" si="4"/>
        <v>7749</v>
      </c>
      <c r="K136" s="49">
        <f t="shared" si="5"/>
        <v>0.5591266612</v>
      </c>
      <c r="L136" s="49">
        <f t="shared" si="6"/>
        <v>0.3421480879</v>
      </c>
      <c r="M136" s="49">
        <f t="shared" si="7"/>
        <v>0.09872525088</v>
      </c>
      <c r="N136" s="32" t="str">
        <f t="shared" si="8"/>
        <v>Jânio</v>
      </c>
      <c r="O136" s="50" t="s">
        <v>77</v>
      </c>
      <c r="P136" s="38">
        <v>2651.0</v>
      </c>
      <c r="Q136" s="38">
        <v>418.0</v>
      </c>
      <c r="R136" s="38">
        <v>4171.0</v>
      </c>
      <c r="S136" s="38">
        <v>371.0</v>
      </c>
      <c r="T136" s="38">
        <v>138.0</v>
      </c>
      <c r="U136" s="48">
        <f t="shared" si="9"/>
        <v>7240</v>
      </c>
      <c r="V136" s="48">
        <f t="shared" si="10"/>
        <v>7749</v>
      </c>
      <c r="W136" s="49">
        <f t="shared" si="11"/>
        <v>0.366160221</v>
      </c>
      <c r="X136" s="49">
        <f t="shared" si="12"/>
        <v>0.05773480663</v>
      </c>
      <c r="Y136" s="49">
        <f t="shared" si="13"/>
        <v>0.5761049724</v>
      </c>
      <c r="Z136" s="32" t="str">
        <f t="shared" si="14"/>
        <v>Ferrari</v>
      </c>
      <c r="AA136" s="50" t="s">
        <v>77</v>
      </c>
      <c r="AB136" s="38">
        <v>8580.0</v>
      </c>
      <c r="AC136" s="48">
        <f t="shared" si="19"/>
        <v>831</v>
      </c>
      <c r="AD136" s="51">
        <f t="shared" si="20"/>
        <v>0.9031468531</v>
      </c>
    </row>
    <row r="137">
      <c r="A137" s="61" t="s">
        <v>568</v>
      </c>
      <c r="B137" s="46" t="s">
        <v>1607</v>
      </c>
      <c r="C137" s="47"/>
      <c r="D137" s="38">
        <v>7715.0</v>
      </c>
      <c r="E137" s="38">
        <v>3104.0</v>
      </c>
      <c r="F137" s="38">
        <v>3842.0</v>
      </c>
      <c r="G137" s="38">
        <v>403.0</v>
      </c>
      <c r="H137" s="38">
        <v>433.0</v>
      </c>
      <c r="I137" s="48">
        <f t="shared" si="3"/>
        <v>14661</v>
      </c>
      <c r="J137" s="48">
        <f t="shared" si="4"/>
        <v>15497</v>
      </c>
      <c r="K137" s="49">
        <f t="shared" si="5"/>
        <v>0.5262260419</v>
      </c>
      <c r="L137" s="49">
        <f t="shared" si="6"/>
        <v>0.2117181638</v>
      </c>
      <c r="M137" s="49">
        <f t="shared" si="7"/>
        <v>0.2620557943</v>
      </c>
      <c r="N137" s="32" t="str">
        <f t="shared" si="8"/>
        <v>Jânio</v>
      </c>
      <c r="O137" s="50" t="s">
        <v>77</v>
      </c>
      <c r="P137" s="38">
        <v>3467.0</v>
      </c>
      <c r="Q137" s="38">
        <v>774.0</v>
      </c>
      <c r="R137" s="38">
        <v>10312.0</v>
      </c>
      <c r="S137" s="38">
        <v>631.0</v>
      </c>
      <c r="T137" s="38">
        <v>313.0</v>
      </c>
      <c r="U137" s="48">
        <f t="shared" si="9"/>
        <v>14553</v>
      </c>
      <c r="V137" s="48">
        <f t="shared" si="10"/>
        <v>15497</v>
      </c>
      <c r="W137" s="49">
        <f t="shared" si="11"/>
        <v>0.2382326668</v>
      </c>
      <c r="X137" s="49">
        <f t="shared" si="12"/>
        <v>0.05318491033</v>
      </c>
      <c r="Y137" s="49">
        <f t="shared" si="13"/>
        <v>0.7085824229</v>
      </c>
      <c r="Z137" s="32" t="str">
        <f t="shared" si="14"/>
        <v>Ferrari</v>
      </c>
      <c r="AA137" s="50" t="s">
        <v>77</v>
      </c>
      <c r="AB137" s="38">
        <v>16850.0</v>
      </c>
      <c r="AC137" s="48">
        <f t="shared" si="19"/>
        <v>1353</v>
      </c>
      <c r="AD137" s="51">
        <f t="shared" si="20"/>
        <v>0.9197032641</v>
      </c>
    </row>
    <row r="138">
      <c r="A138" s="23"/>
      <c r="B138" s="46" t="s">
        <v>1608</v>
      </c>
      <c r="C138" s="47"/>
      <c r="D138" s="38">
        <v>1445.0</v>
      </c>
      <c r="E138" s="38">
        <v>755.0</v>
      </c>
      <c r="F138" s="38">
        <v>597.0</v>
      </c>
      <c r="G138" s="38">
        <v>112.0</v>
      </c>
      <c r="H138" s="38">
        <v>114.0</v>
      </c>
      <c r="I138" s="48">
        <f t="shared" si="3"/>
        <v>2797</v>
      </c>
      <c r="J138" s="48">
        <f t="shared" si="4"/>
        <v>3023</v>
      </c>
      <c r="K138" s="49">
        <f t="shared" si="5"/>
        <v>0.5166249553</v>
      </c>
      <c r="L138" s="49">
        <f t="shared" si="6"/>
        <v>0.2699320701</v>
      </c>
      <c r="M138" s="49">
        <f t="shared" si="7"/>
        <v>0.2134429746</v>
      </c>
      <c r="N138" s="32" t="str">
        <f t="shared" si="8"/>
        <v>Jânio</v>
      </c>
      <c r="O138" s="50" t="s">
        <v>77</v>
      </c>
      <c r="P138" s="38">
        <v>888.0</v>
      </c>
      <c r="Q138" s="38">
        <v>99.0</v>
      </c>
      <c r="R138" s="38">
        <v>1813.0</v>
      </c>
      <c r="S138" s="38">
        <v>138.0</v>
      </c>
      <c r="T138" s="38">
        <v>85.0</v>
      </c>
      <c r="U138" s="48">
        <f t="shared" si="9"/>
        <v>2800</v>
      </c>
      <c r="V138" s="48">
        <f t="shared" si="10"/>
        <v>3023</v>
      </c>
      <c r="W138" s="49">
        <f t="shared" si="11"/>
        <v>0.3171428571</v>
      </c>
      <c r="X138" s="49">
        <f t="shared" si="12"/>
        <v>0.03535714286</v>
      </c>
      <c r="Y138" s="49">
        <f t="shared" si="13"/>
        <v>0.6475</v>
      </c>
      <c r="Z138" s="32" t="str">
        <f t="shared" si="14"/>
        <v>Ferrari</v>
      </c>
      <c r="AA138" s="50" t="s">
        <v>77</v>
      </c>
      <c r="AB138" s="38">
        <v>3219.0</v>
      </c>
      <c r="AC138" s="48">
        <f t="shared" si="19"/>
        <v>196</v>
      </c>
      <c r="AD138" s="51">
        <f t="shared" si="20"/>
        <v>0.9391115253</v>
      </c>
    </row>
    <row r="139">
      <c r="A139" s="24"/>
      <c r="B139" s="46" t="s">
        <v>1609</v>
      </c>
      <c r="C139" s="47"/>
      <c r="D139" s="38">
        <v>2152.0</v>
      </c>
      <c r="E139" s="38">
        <v>998.0</v>
      </c>
      <c r="F139" s="38">
        <v>446.0</v>
      </c>
      <c r="G139" s="38">
        <v>139.0</v>
      </c>
      <c r="H139" s="38">
        <v>113.0</v>
      </c>
      <c r="I139" s="48">
        <f t="shared" si="3"/>
        <v>3596</v>
      </c>
      <c r="J139" s="48">
        <f t="shared" si="4"/>
        <v>3848</v>
      </c>
      <c r="K139" s="49">
        <f t="shared" si="5"/>
        <v>0.5984427141</v>
      </c>
      <c r="L139" s="49">
        <f t="shared" si="6"/>
        <v>0.2775305895</v>
      </c>
      <c r="M139" s="49">
        <f t="shared" si="7"/>
        <v>0.1240266963</v>
      </c>
      <c r="N139" s="32" t="str">
        <f t="shared" si="8"/>
        <v>Jânio</v>
      </c>
      <c r="O139" s="50" t="s">
        <v>77</v>
      </c>
      <c r="P139" s="38">
        <v>997.0</v>
      </c>
      <c r="Q139" s="38">
        <v>143.0</v>
      </c>
      <c r="R139" s="38">
        <v>2439.0</v>
      </c>
      <c r="S139" s="38">
        <v>192.0</v>
      </c>
      <c r="T139" s="38">
        <v>77.0</v>
      </c>
      <c r="U139" s="48">
        <f t="shared" si="9"/>
        <v>3579</v>
      </c>
      <c r="V139" s="48">
        <f t="shared" si="10"/>
        <v>3848</v>
      </c>
      <c r="W139" s="49">
        <f t="shared" si="11"/>
        <v>0.2785694328</v>
      </c>
      <c r="X139" s="49">
        <f t="shared" si="12"/>
        <v>0.03995529478</v>
      </c>
      <c r="Y139" s="49">
        <f t="shared" si="13"/>
        <v>0.6814752724</v>
      </c>
      <c r="Z139" s="32" t="str">
        <f t="shared" si="14"/>
        <v>Ferrari</v>
      </c>
      <c r="AA139" s="50" t="s">
        <v>77</v>
      </c>
      <c r="AB139" s="38">
        <v>4104.0</v>
      </c>
      <c r="AC139" s="48">
        <f t="shared" si="19"/>
        <v>256</v>
      </c>
      <c r="AD139" s="51">
        <f t="shared" si="20"/>
        <v>0.9376218324</v>
      </c>
    </row>
    <row r="140">
      <c r="A140" s="110" t="s">
        <v>570</v>
      </c>
      <c r="B140" s="46" t="s">
        <v>1610</v>
      </c>
      <c r="C140" s="47"/>
      <c r="D140" s="38">
        <v>4547.0</v>
      </c>
      <c r="E140" s="38">
        <v>3743.0</v>
      </c>
      <c r="F140" s="38">
        <v>1020.0</v>
      </c>
      <c r="G140" s="38">
        <v>270.0</v>
      </c>
      <c r="H140" s="38">
        <v>302.0</v>
      </c>
      <c r="I140" s="48">
        <f t="shared" si="3"/>
        <v>9310</v>
      </c>
      <c r="J140" s="48">
        <f t="shared" si="4"/>
        <v>9882</v>
      </c>
      <c r="K140" s="49">
        <f t="shared" si="5"/>
        <v>0.4883995704</v>
      </c>
      <c r="L140" s="49">
        <f t="shared" si="6"/>
        <v>0.4020408163</v>
      </c>
      <c r="M140" s="49">
        <f t="shared" si="7"/>
        <v>0.1095596133</v>
      </c>
      <c r="N140" s="32" t="str">
        <f t="shared" si="8"/>
        <v>Jânio</v>
      </c>
      <c r="O140" s="50" t="s">
        <v>77</v>
      </c>
      <c r="P140" s="38">
        <v>3867.0</v>
      </c>
      <c r="Q140" s="38">
        <v>2634.0</v>
      </c>
      <c r="R140" s="38">
        <v>2668.0</v>
      </c>
      <c r="S140" s="38">
        <v>510.0</v>
      </c>
      <c r="T140" s="38">
        <v>203.0</v>
      </c>
      <c r="U140" s="48">
        <f t="shared" si="9"/>
        <v>9169</v>
      </c>
      <c r="V140" s="48">
        <f t="shared" si="10"/>
        <v>9882</v>
      </c>
      <c r="W140" s="49">
        <f t="shared" si="11"/>
        <v>0.4217471916</v>
      </c>
      <c r="X140" s="49">
        <f t="shared" si="12"/>
        <v>0.2872723307</v>
      </c>
      <c r="Y140" s="49">
        <f t="shared" si="13"/>
        <v>0.2909804777</v>
      </c>
      <c r="Z140" s="32" t="str">
        <f t="shared" si="14"/>
        <v>Jango</v>
      </c>
      <c r="AA140" s="50" t="s">
        <v>77</v>
      </c>
      <c r="AB140" s="38">
        <v>11431.0</v>
      </c>
      <c r="AC140" s="48">
        <f t="shared" si="19"/>
        <v>1549</v>
      </c>
      <c r="AD140" s="51">
        <f t="shared" si="20"/>
        <v>0.8644912956</v>
      </c>
    </row>
    <row r="141">
      <c r="A141" s="110" t="s">
        <v>575</v>
      </c>
      <c r="B141" s="46" t="s">
        <v>1611</v>
      </c>
      <c r="C141" s="47"/>
      <c r="D141" s="38">
        <v>1953.0</v>
      </c>
      <c r="E141" s="38">
        <v>995.0</v>
      </c>
      <c r="F141" s="38">
        <v>177.0</v>
      </c>
      <c r="G141" s="38">
        <v>139.0</v>
      </c>
      <c r="H141" s="38">
        <v>123.0</v>
      </c>
      <c r="I141" s="48">
        <f t="shared" si="3"/>
        <v>3125</v>
      </c>
      <c r="J141" s="48">
        <f t="shared" si="4"/>
        <v>3387</v>
      </c>
      <c r="K141" s="49">
        <f t="shared" si="5"/>
        <v>0.62496</v>
      </c>
      <c r="L141" s="49">
        <f t="shared" si="6"/>
        <v>0.3184</v>
      </c>
      <c r="M141" s="49">
        <f t="shared" si="7"/>
        <v>0.05664</v>
      </c>
      <c r="N141" s="32" t="str">
        <f t="shared" si="8"/>
        <v>Jânio</v>
      </c>
      <c r="O141" s="50" t="s">
        <v>77</v>
      </c>
      <c r="P141" s="38">
        <v>975.0</v>
      </c>
      <c r="Q141" s="38">
        <v>1001.0</v>
      </c>
      <c r="R141" s="38">
        <v>1041.0</v>
      </c>
      <c r="S141" s="38">
        <v>280.0</v>
      </c>
      <c r="T141" s="38">
        <v>90.0</v>
      </c>
      <c r="U141" s="48">
        <f t="shared" si="9"/>
        <v>3017</v>
      </c>
      <c r="V141" s="48">
        <f t="shared" si="10"/>
        <v>3387</v>
      </c>
      <c r="W141" s="49">
        <f t="shared" si="11"/>
        <v>0.3231687106</v>
      </c>
      <c r="X141" s="49">
        <f t="shared" si="12"/>
        <v>0.3317865429</v>
      </c>
      <c r="Y141" s="49">
        <f t="shared" si="13"/>
        <v>0.3450447464</v>
      </c>
      <c r="Z141" s="32" t="str">
        <f t="shared" si="14"/>
        <v>Ferrari</v>
      </c>
      <c r="AA141" s="50" t="s">
        <v>77</v>
      </c>
      <c r="AB141" s="38">
        <v>3774.0</v>
      </c>
      <c r="AC141" s="48">
        <f t="shared" si="19"/>
        <v>387</v>
      </c>
      <c r="AD141" s="51">
        <f t="shared" si="20"/>
        <v>0.8974562798</v>
      </c>
    </row>
    <row r="142">
      <c r="A142" s="110" t="s">
        <v>578</v>
      </c>
      <c r="B142" s="46" t="s">
        <v>1612</v>
      </c>
      <c r="C142" s="47"/>
      <c r="D142" s="38">
        <v>2973.0</v>
      </c>
      <c r="E142" s="38">
        <v>2344.0</v>
      </c>
      <c r="F142" s="38">
        <v>140.0</v>
      </c>
      <c r="G142" s="38">
        <v>156.0</v>
      </c>
      <c r="H142" s="38">
        <v>168.0</v>
      </c>
      <c r="I142" s="48">
        <f t="shared" si="3"/>
        <v>5457</v>
      </c>
      <c r="J142" s="48">
        <f t="shared" si="4"/>
        <v>5781</v>
      </c>
      <c r="K142" s="49">
        <f t="shared" si="5"/>
        <v>0.5448048378</v>
      </c>
      <c r="L142" s="49">
        <f t="shared" si="6"/>
        <v>0.4295400403</v>
      </c>
      <c r="M142" s="49">
        <f t="shared" si="7"/>
        <v>0.02565512186</v>
      </c>
      <c r="N142" s="32" t="str">
        <f t="shared" si="8"/>
        <v>Jânio</v>
      </c>
      <c r="O142" s="50" t="s">
        <v>77</v>
      </c>
      <c r="P142" s="38">
        <v>2393.0</v>
      </c>
      <c r="Q142" s="38">
        <v>2022.0</v>
      </c>
      <c r="R142" s="38">
        <v>1021.0</v>
      </c>
      <c r="S142" s="38">
        <v>211.0</v>
      </c>
      <c r="T142" s="38">
        <v>134.0</v>
      </c>
      <c r="U142" s="48">
        <f t="shared" si="9"/>
        <v>5436</v>
      </c>
      <c r="V142" s="48">
        <f t="shared" si="10"/>
        <v>5781</v>
      </c>
      <c r="W142" s="49">
        <f t="shared" si="11"/>
        <v>0.4402133922</v>
      </c>
      <c r="X142" s="49">
        <f t="shared" si="12"/>
        <v>0.3719646799</v>
      </c>
      <c r="Y142" s="49">
        <f t="shared" si="13"/>
        <v>0.1878219279</v>
      </c>
      <c r="Z142" s="32" t="str">
        <f t="shared" si="14"/>
        <v>Jango</v>
      </c>
      <c r="AA142" s="50" t="s">
        <v>77</v>
      </c>
      <c r="AB142" s="38">
        <v>6466.0</v>
      </c>
      <c r="AC142" s="48">
        <f t="shared" si="19"/>
        <v>685</v>
      </c>
      <c r="AD142" s="51">
        <f t="shared" si="20"/>
        <v>0.8940612434</v>
      </c>
    </row>
    <row r="143">
      <c r="A143" s="110" t="s">
        <v>580</v>
      </c>
      <c r="B143" s="46" t="s">
        <v>1613</v>
      </c>
      <c r="C143" s="47"/>
      <c r="D143" s="38">
        <v>3399.0</v>
      </c>
      <c r="E143" s="38">
        <v>1772.0</v>
      </c>
      <c r="F143" s="38">
        <v>1797.0</v>
      </c>
      <c r="G143" s="38">
        <v>229.0</v>
      </c>
      <c r="H143" s="38">
        <v>328.0</v>
      </c>
      <c r="I143" s="48">
        <f t="shared" si="3"/>
        <v>6968</v>
      </c>
      <c r="J143" s="48">
        <f t="shared" si="4"/>
        <v>7525</v>
      </c>
      <c r="K143" s="49">
        <f t="shared" si="5"/>
        <v>0.4878013777</v>
      </c>
      <c r="L143" s="49">
        <f t="shared" si="6"/>
        <v>0.2543053961</v>
      </c>
      <c r="M143" s="49">
        <f t="shared" si="7"/>
        <v>0.2578932262</v>
      </c>
      <c r="N143" s="32" t="str">
        <f t="shared" si="8"/>
        <v>Jânio</v>
      </c>
      <c r="O143" s="50" t="s">
        <v>77</v>
      </c>
      <c r="P143" s="38">
        <v>2314.0</v>
      </c>
      <c r="Q143" s="38">
        <v>1044.0</v>
      </c>
      <c r="R143" s="38">
        <v>3398.0</v>
      </c>
      <c r="S143" s="38">
        <v>490.0</v>
      </c>
      <c r="T143" s="38">
        <v>279.0</v>
      </c>
      <c r="U143" s="48">
        <f t="shared" si="9"/>
        <v>6756</v>
      </c>
      <c r="V143" s="48">
        <f t="shared" si="10"/>
        <v>7525</v>
      </c>
      <c r="W143" s="49">
        <f t="shared" si="11"/>
        <v>0.3425103612</v>
      </c>
      <c r="X143" s="49">
        <f t="shared" si="12"/>
        <v>0.1545293073</v>
      </c>
      <c r="Y143" s="49">
        <f t="shared" si="13"/>
        <v>0.5029603316</v>
      </c>
      <c r="Z143" s="32" t="str">
        <f t="shared" si="14"/>
        <v>Ferrari</v>
      </c>
      <c r="AA143" s="50" t="s">
        <v>77</v>
      </c>
      <c r="AB143" s="38">
        <v>7953.0</v>
      </c>
      <c r="AC143" s="48">
        <f t="shared" si="19"/>
        <v>428</v>
      </c>
      <c r="AD143" s="51">
        <f t="shared" si="20"/>
        <v>0.94618383</v>
      </c>
    </row>
    <row r="144">
      <c r="A144" s="110" t="s">
        <v>585</v>
      </c>
      <c r="B144" s="46" t="s">
        <v>1614</v>
      </c>
      <c r="C144" s="47"/>
      <c r="D144" s="38">
        <v>2392.0</v>
      </c>
      <c r="E144" s="38">
        <v>976.0</v>
      </c>
      <c r="F144" s="38">
        <v>461.0</v>
      </c>
      <c r="G144" s="38">
        <v>229.0</v>
      </c>
      <c r="H144" s="38">
        <v>204.0</v>
      </c>
      <c r="I144" s="48">
        <f t="shared" si="3"/>
        <v>3829</v>
      </c>
      <c r="J144" s="48">
        <f t="shared" si="4"/>
        <v>4262</v>
      </c>
      <c r="K144" s="49">
        <f t="shared" si="5"/>
        <v>0.6247061896</v>
      </c>
      <c r="L144" s="49">
        <f t="shared" si="6"/>
        <v>0.2548968399</v>
      </c>
      <c r="M144" s="49">
        <f t="shared" si="7"/>
        <v>0.1203969705</v>
      </c>
      <c r="N144" s="32" t="str">
        <f t="shared" si="8"/>
        <v>Jânio</v>
      </c>
      <c r="O144" s="50" t="s">
        <v>77</v>
      </c>
      <c r="P144" s="38">
        <v>918.0</v>
      </c>
      <c r="Q144" s="38">
        <v>405.0</v>
      </c>
      <c r="R144" s="38">
        <v>2621.0</v>
      </c>
      <c r="S144" s="38">
        <v>104.0</v>
      </c>
      <c r="T144" s="38">
        <v>214.0</v>
      </c>
      <c r="U144" s="48">
        <f t="shared" si="9"/>
        <v>3944</v>
      </c>
      <c r="V144" s="48">
        <f t="shared" si="10"/>
        <v>4262</v>
      </c>
      <c r="W144" s="49">
        <f t="shared" si="11"/>
        <v>0.2327586207</v>
      </c>
      <c r="X144" s="49">
        <f t="shared" si="12"/>
        <v>0.1026876268</v>
      </c>
      <c r="Y144" s="49">
        <f t="shared" si="13"/>
        <v>0.6645537525</v>
      </c>
      <c r="Z144" s="32" t="str">
        <f t="shared" si="14"/>
        <v>Ferrari</v>
      </c>
      <c r="AA144" s="50" t="s">
        <v>77</v>
      </c>
      <c r="AB144" s="38">
        <v>4804.0</v>
      </c>
      <c r="AC144" s="48">
        <f t="shared" si="19"/>
        <v>542</v>
      </c>
      <c r="AD144" s="51">
        <f t="shared" si="20"/>
        <v>0.8871773522</v>
      </c>
    </row>
    <row r="145">
      <c r="A145" s="110" t="s">
        <v>410</v>
      </c>
      <c r="B145" s="46" t="s">
        <v>1615</v>
      </c>
      <c r="C145" s="47"/>
      <c r="D145" s="38">
        <v>3113.0</v>
      </c>
      <c r="E145" s="38">
        <v>2121.0</v>
      </c>
      <c r="F145" s="38">
        <v>592.0</v>
      </c>
      <c r="G145" s="38">
        <v>184.0</v>
      </c>
      <c r="H145" s="38">
        <v>206.0</v>
      </c>
      <c r="I145" s="48">
        <f t="shared" si="3"/>
        <v>5826</v>
      </c>
      <c r="J145" s="48">
        <f t="shared" si="4"/>
        <v>6216</v>
      </c>
      <c r="K145" s="49">
        <f t="shared" si="5"/>
        <v>0.5343288706</v>
      </c>
      <c r="L145" s="49">
        <f t="shared" si="6"/>
        <v>0.3640576725</v>
      </c>
      <c r="M145" s="49">
        <f t="shared" si="7"/>
        <v>0.1016134569</v>
      </c>
      <c r="N145" s="32" t="str">
        <f t="shared" si="8"/>
        <v>Jânio</v>
      </c>
      <c r="O145" s="50" t="s">
        <v>77</v>
      </c>
      <c r="P145" s="38">
        <v>2333.0</v>
      </c>
      <c r="Q145" s="38">
        <v>1598.0</v>
      </c>
      <c r="R145" s="38">
        <v>1856.0</v>
      </c>
      <c r="S145" s="38">
        <v>246.0</v>
      </c>
      <c r="T145" s="38">
        <v>183.0</v>
      </c>
      <c r="U145" s="48">
        <f t="shared" si="9"/>
        <v>5787</v>
      </c>
      <c r="V145" s="48">
        <f t="shared" si="10"/>
        <v>6216</v>
      </c>
      <c r="W145" s="49">
        <f t="shared" si="11"/>
        <v>0.4031449801</v>
      </c>
      <c r="X145" s="49">
        <f t="shared" si="12"/>
        <v>0.2761361673</v>
      </c>
      <c r="Y145" s="49">
        <f t="shared" si="13"/>
        <v>0.3207188526</v>
      </c>
      <c r="Z145" s="32" t="str">
        <f t="shared" si="14"/>
        <v>Jango</v>
      </c>
      <c r="AA145" s="50" t="s">
        <v>77</v>
      </c>
      <c r="AB145" s="38">
        <v>7152.0</v>
      </c>
      <c r="AC145" s="48">
        <f t="shared" si="19"/>
        <v>936</v>
      </c>
      <c r="AD145" s="51">
        <f t="shared" si="20"/>
        <v>0.8691275168</v>
      </c>
    </row>
    <row r="146">
      <c r="A146" s="61" t="s">
        <v>412</v>
      </c>
      <c r="B146" s="46" t="s">
        <v>1616</v>
      </c>
      <c r="C146" s="47"/>
      <c r="D146" s="38">
        <v>2855.0</v>
      </c>
      <c r="E146" s="38">
        <v>1990.0</v>
      </c>
      <c r="F146" s="38">
        <v>476.0</v>
      </c>
      <c r="G146" s="38">
        <v>152.0</v>
      </c>
      <c r="H146" s="38">
        <v>172.0</v>
      </c>
      <c r="I146" s="48">
        <f t="shared" si="3"/>
        <v>5321</v>
      </c>
      <c r="J146" s="48">
        <f t="shared" si="4"/>
        <v>5645</v>
      </c>
      <c r="K146" s="49">
        <f t="shared" si="5"/>
        <v>0.5365532795</v>
      </c>
      <c r="L146" s="49">
        <f t="shared" si="6"/>
        <v>0.3739898515</v>
      </c>
      <c r="M146" s="49">
        <f t="shared" si="7"/>
        <v>0.08945686901</v>
      </c>
      <c r="N146" s="32" t="str">
        <f t="shared" si="8"/>
        <v>Jânio</v>
      </c>
      <c r="O146" s="50" t="s">
        <v>77</v>
      </c>
      <c r="P146" s="38">
        <v>2137.0</v>
      </c>
      <c r="Q146" s="38">
        <v>884.0</v>
      </c>
      <c r="R146" s="38">
        <v>2214.0</v>
      </c>
      <c r="S146" s="38">
        <v>285.0</v>
      </c>
      <c r="T146" s="38">
        <v>125.0</v>
      </c>
      <c r="U146" s="48">
        <f t="shared" si="9"/>
        <v>5235</v>
      </c>
      <c r="V146" s="48">
        <f t="shared" si="10"/>
        <v>5645</v>
      </c>
      <c r="W146" s="49">
        <f t="shared" si="11"/>
        <v>0.4082139446</v>
      </c>
      <c r="X146" s="49">
        <f t="shared" si="12"/>
        <v>0.1688634193</v>
      </c>
      <c r="Y146" s="49">
        <f t="shared" si="13"/>
        <v>0.4229226361</v>
      </c>
      <c r="Z146" s="32" t="str">
        <f t="shared" si="14"/>
        <v>Ferrari</v>
      </c>
      <c r="AA146" s="50" t="s">
        <v>77</v>
      </c>
      <c r="AB146" s="38">
        <v>6192.0</v>
      </c>
      <c r="AC146" s="48">
        <f t="shared" si="19"/>
        <v>547</v>
      </c>
      <c r="AD146" s="51">
        <f t="shared" si="20"/>
        <v>0.9116602067</v>
      </c>
    </row>
    <row r="147">
      <c r="A147" s="23"/>
      <c r="B147" s="46" t="s">
        <v>1617</v>
      </c>
      <c r="C147" s="47"/>
      <c r="D147" s="38">
        <v>1276.0</v>
      </c>
      <c r="E147" s="38">
        <v>1195.0</v>
      </c>
      <c r="F147" s="38">
        <v>211.0</v>
      </c>
      <c r="G147" s="38">
        <v>129.0</v>
      </c>
      <c r="H147" s="38">
        <v>140.0</v>
      </c>
      <c r="I147" s="48">
        <f t="shared" si="3"/>
        <v>2682</v>
      </c>
      <c r="J147" s="48">
        <f t="shared" si="4"/>
        <v>2951</v>
      </c>
      <c r="K147" s="49">
        <f t="shared" si="5"/>
        <v>0.475764355</v>
      </c>
      <c r="L147" s="49">
        <f t="shared" si="6"/>
        <v>0.4455630127</v>
      </c>
      <c r="M147" s="49">
        <f t="shared" si="7"/>
        <v>0.07867263236</v>
      </c>
      <c r="N147" s="32" t="str">
        <f t="shared" si="8"/>
        <v>Jânio</v>
      </c>
      <c r="O147" s="50" t="s">
        <v>77</v>
      </c>
      <c r="P147" s="38">
        <v>1336.0</v>
      </c>
      <c r="Q147" s="38">
        <v>303.0</v>
      </c>
      <c r="R147" s="38">
        <v>961.0</v>
      </c>
      <c r="S147" s="38">
        <v>260.0</v>
      </c>
      <c r="T147" s="38">
        <v>91.0</v>
      </c>
      <c r="U147" s="48">
        <f t="shared" si="9"/>
        <v>2600</v>
      </c>
      <c r="V147" s="48">
        <f t="shared" si="10"/>
        <v>2951</v>
      </c>
      <c r="W147" s="49">
        <f t="shared" si="11"/>
        <v>0.5138461538</v>
      </c>
      <c r="X147" s="49">
        <f t="shared" si="12"/>
        <v>0.1165384615</v>
      </c>
      <c r="Y147" s="49">
        <f t="shared" si="13"/>
        <v>0.3696153846</v>
      </c>
      <c r="Z147" s="32" t="str">
        <f t="shared" si="14"/>
        <v>Jango</v>
      </c>
      <c r="AA147" s="50" t="s">
        <v>77</v>
      </c>
      <c r="AB147" s="38">
        <v>3440.0</v>
      </c>
      <c r="AC147" s="48">
        <f t="shared" si="19"/>
        <v>489</v>
      </c>
      <c r="AD147" s="51">
        <f t="shared" si="20"/>
        <v>0.8578488372</v>
      </c>
    </row>
    <row r="148">
      <c r="A148" s="24"/>
      <c r="B148" s="46" t="s">
        <v>1618</v>
      </c>
      <c r="C148" s="47"/>
      <c r="D148" s="38">
        <v>1314.0</v>
      </c>
      <c r="E148" s="38">
        <v>1245.0</v>
      </c>
      <c r="F148" s="38">
        <v>226.0</v>
      </c>
      <c r="G148" s="38">
        <v>77.0</v>
      </c>
      <c r="H148" s="38">
        <v>92.0</v>
      </c>
      <c r="I148" s="48">
        <f t="shared" si="3"/>
        <v>2785</v>
      </c>
      <c r="J148" s="48">
        <f t="shared" si="4"/>
        <v>2954</v>
      </c>
      <c r="K148" s="49">
        <f t="shared" si="5"/>
        <v>0.4718132855</v>
      </c>
      <c r="L148" s="49">
        <f t="shared" si="6"/>
        <v>0.447037702</v>
      </c>
      <c r="M148" s="49">
        <f t="shared" si="7"/>
        <v>0.08114901257</v>
      </c>
      <c r="N148" s="32" t="str">
        <f t="shared" si="8"/>
        <v>Jânio</v>
      </c>
      <c r="O148" s="50" t="s">
        <v>77</v>
      </c>
      <c r="P148" s="38">
        <v>1400.0</v>
      </c>
      <c r="Q148" s="38">
        <v>205.0</v>
      </c>
      <c r="R148" s="38">
        <v>1143.0</v>
      </c>
      <c r="S148" s="38">
        <v>128.0</v>
      </c>
      <c r="T148" s="38">
        <v>78.0</v>
      </c>
      <c r="U148" s="48">
        <f t="shared" si="9"/>
        <v>2748</v>
      </c>
      <c r="V148" s="48">
        <f t="shared" si="10"/>
        <v>2954</v>
      </c>
      <c r="W148" s="49">
        <f t="shared" si="11"/>
        <v>0.5094614265</v>
      </c>
      <c r="X148" s="49">
        <f t="shared" si="12"/>
        <v>0.07459970888</v>
      </c>
      <c r="Y148" s="49">
        <f t="shared" si="13"/>
        <v>0.4159388646</v>
      </c>
      <c r="Z148" s="32" t="str">
        <f t="shared" si="14"/>
        <v>Jango</v>
      </c>
      <c r="AA148" s="50" t="s">
        <v>77</v>
      </c>
      <c r="AB148" s="38">
        <v>3316.0</v>
      </c>
      <c r="AC148" s="48">
        <f t="shared" si="19"/>
        <v>362</v>
      </c>
      <c r="AD148" s="51">
        <f t="shared" si="20"/>
        <v>0.8908323281</v>
      </c>
    </row>
    <row r="149">
      <c r="A149" s="110" t="s">
        <v>846</v>
      </c>
      <c r="B149" s="46" t="s">
        <v>1619</v>
      </c>
      <c r="C149" s="47"/>
      <c r="D149" s="38">
        <v>2146.0</v>
      </c>
      <c r="E149" s="38">
        <v>1473.0</v>
      </c>
      <c r="F149" s="38">
        <v>270.0</v>
      </c>
      <c r="G149" s="38">
        <v>174.0</v>
      </c>
      <c r="H149" s="38">
        <v>135.0</v>
      </c>
      <c r="I149" s="48">
        <f t="shared" si="3"/>
        <v>3889</v>
      </c>
      <c r="J149" s="48">
        <f t="shared" si="4"/>
        <v>4198</v>
      </c>
      <c r="K149" s="49">
        <f t="shared" si="5"/>
        <v>0.5518128053</v>
      </c>
      <c r="L149" s="49">
        <f t="shared" si="6"/>
        <v>0.3787606068</v>
      </c>
      <c r="M149" s="49">
        <f t="shared" si="7"/>
        <v>0.06942658781</v>
      </c>
      <c r="N149" s="32" t="str">
        <f t="shared" si="8"/>
        <v>Jânio</v>
      </c>
      <c r="O149" s="50" t="s">
        <v>77</v>
      </c>
      <c r="P149" s="38">
        <v>1627.0</v>
      </c>
      <c r="Q149" s="38">
        <v>421.0</v>
      </c>
      <c r="R149" s="38">
        <v>1791.0</v>
      </c>
      <c r="S149" s="38">
        <v>260.0</v>
      </c>
      <c r="T149" s="38">
        <v>99.0</v>
      </c>
      <c r="U149" s="48">
        <f t="shared" si="9"/>
        <v>3839</v>
      </c>
      <c r="V149" s="48">
        <f t="shared" si="10"/>
        <v>4198</v>
      </c>
      <c r="W149" s="49">
        <f t="shared" si="11"/>
        <v>0.4238082834</v>
      </c>
      <c r="X149" s="49">
        <f t="shared" si="12"/>
        <v>0.109663975</v>
      </c>
      <c r="Y149" s="49">
        <f t="shared" si="13"/>
        <v>0.4665277416</v>
      </c>
      <c r="Z149" s="32" t="str">
        <f t="shared" si="14"/>
        <v>Ferrari</v>
      </c>
      <c r="AA149" s="50" t="s">
        <v>77</v>
      </c>
      <c r="AB149" s="38">
        <v>4834.0</v>
      </c>
      <c r="AC149" s="48">
        <f t="shared" si="19"/>
        <v>636</v>
      </c>
      <c r="AD149" s="51">
        <f t="shared" si="20"/>
        <v>0.8684319404</v>
      </c>
    </row>
    <row r="150">
      <c r="A150" s="110" t="s">
        <v>848</v>
      </c>
      <c r="B150" s="46" t="s">
        <v>1620</v>
      </c>
      <c r="C150" s="47"/>
      <c r="D150" s="38">
        <v>2771.0</v>
      </c>
      <c r="E150" s="38">
        <v>1731.0</v>
      </c>
      <c r="F150" s="38">
        <v>417.0</v>
      </c>
      <c r="G150" s="38">
        <v>117.0</v>
      </c>
      <c r="H150" s="38">
        <v>302.0</v>
      </c>
      <c r="I150" s="48">
        <f t="shared" si="3"/>
        <v>4919</v>
      </c>
      <c r="J150" s="48">
        <f t="shared" si="4"/>
        <v>5338</v>
      </c>
      <c r="K150" s="49">
        <f t="shared" si="5"/>
        <v>0.5633258792</v>
      </c>
      <c r="L150" s="49">
        <f t="shared" si="6"/>
        <v>0.3519007928</v>
      </c>
      <c r="M150" s="49">
        <f t="shared" si="7"/>
        <v>0.08477332791</v>
      </c>
      <c r="N150" s="32" t="str">
        <f t="shared" si="8"/>
        <v>Jânio</v>
      </c>
      <c r="O150" s="50" t="s">
        <v>77</v>
      </c>
      <c r="P150" s="38">
        <v>1655.0</v>
      </c>
      <c r="Q150" s="38">
        <v>1136.0</v>
      </c>
      <c r="R150" s="38">
        <v>2056.0</v>
      </c>
      <c r="S150" s="38">
        <v>189.0</v>
      </c>
      <c r="T150" s="38">
        <v>302.0</v>
      </c>
      <c r="U150" s="48">
        <f t="shared" si="9"/>
        <v>4847</v>
      </c>
      <c r="V150" s="48">
        <f t="shared" si="10"/>
        <v>5338</v>
      </c>
      <c r="W150" s="49">
        <f t="shared" si="11"/>
        <v>0.3414483185</v>
      </c>
      <c r="X150" s="49">
        <f t="shared" si="12"/>
        <v>0.2343717764</v>
      </c>
      <c r="Y150" s="49">
        <f t="shared" si="13"/>
        <v>0.4241799051</v>
      </c>
      <c r="Z150" s="32" t="str">
        <f t="shared" si="14"/>
        <v>Ferrari</v>
      </c>
      <c r="AA150" s="50" t="s">
        <v>77</v>
      </c>
      <c r="AB150" s="38">
        <v>6078.0</v>
      </c>
      <c r="AC150" s="48">
        <f t="shared" si="19"/>
        <v>740</v>
      </c>
      <c r="AD150" s="51">
        <f t="shared" si="20"/>
        <v>0.8782494242</v>
      </c>
    </row>
    <row r="151">
      <c r="A151" s="61" t="s">
        <v>850</v>
      </c>
      <c r="B151" s="46" t="s">
        <v>1621</v>
      </c>
      <c r="C151" s="47"/>
      <c r="D151" s="38">
        <v>2041.0</v>
      </c>
      <c r="E151" s="38">
        <v>1685.0</v>
      </c>
      <c r="F151" s="38">
        <v>1780.0</v>
      </c>
      <c r="G151" s="38">
        <v>141.0</v>
      </c>
      <c r="H151" s="38">
        <v>230.0</v>
      </c>
      <c r="I151" s="48">
        <f t="shared" si="3"/>
        <v>5506</v>
      </c>
      <c r="J151" s="48">
        <f t="shared" si="4"/>
        <v>5877</v>
      </c>
      <c r="K151" s="49">
        <f t="shared" si="5"/>
        <v>0.3706865238</v>
      </c>
      <c r="L151" s="49">
        <f t="shared" si="6"/>
        <v>0.3060297857</v>
      </c>
      <c r="M151" s="49">
        <f t="shared" si="7"/>
        <v>0.3232836905</v>
      </c>
      <c r="N151" s="32" t="str">
        <f t="shared" si="8"/>
        <v>Jânio</v>
      </c>
      <c r="O151" s="50" t="s">
        <v>77</v>
      </c>
      <c r="P151" s="38">
        <v>1942.0</v>
      </c>
      <c r="Q151" s="38">
        <v>406.0</v>
      </c>
      <c r="R151" s="38">
        <v>3041.0</v>
      </c>
      <c r="S151" s="38">
        <v>341.0</v>
      </c>
      <c r="T151" s="38">
        <v>147.0</v>
      </c>
      <c r="U151" s="48">
        <f t="shared" si="9"/>
        <v>5389</v>
      </c>
      <c r="V151" s="48">
        <f t="shared" si="10"/>
        <v>5877</v>
      </c>
      <c r="W151" s="49">
        <f t="shared" si="11"/>
        <v>0.3603637038</v>
      </c>
      <c r="X151" s="49">
        <f t="shared" si="12"/>
        <v>0.07533865281</v>
      </c>
      <c r="Y151" s="49">
        <f t="shared" si="13"/>
        <v>0.5642976433</v>
      </c>
      <c r="Z151" s="32" t="str">
        <f t="shared" si="14"/>
        <v>Ferrari</v>
      </c>
      <c r="AA151" s="50" t="s">
        <v>77</v>
      </c>
      <c r="AB151" s="38">
        <v>6920.0</v>
      </c>
      <c r="AC151" s="48">
        <f t="shared" si="19"/>
        <v>1043</v>
      </c>
      <c r="AD151" s="51">
        <f t="shared" si="20"/>
        <v>0.8492774566</v>
      </c>
    </row>
    <row r="152">
      <c r="A152" s="23"/>
      <c r="B152" s="46" t="s">
        <v>1622</v>
      </c>
      <c r="C152" s="47"/>
      <c r="D152" s="38">
        <v>913.0</v>
      </c>
      <c r="E152" s="38">
        <v>1193.0</v>
      </c>
      <c r="F152" s="38">
        <v>315.0</v>
      </c>
      <c r="G152" s="38">
        <v>103.0</v>
      </c>
      <c r="H152" s="38">
        <v>171.0</v>
      </c>
      <c r="I152" s="48">
        <f t="shared" si="3"/>
        <v>2421</v>
      </c>
      <c r="J152" s="48">
        <f t="shared" si="4"/>
        <v>2695</v>
      </c>
      <c r="K152" s="49">
        <f t="shared" si="5"/>
        <v>0.3771168938</v>
      </c>
      <c r="L152" s="49">
        <f t="shared" si="6"/>
        <v>0.492771582</v>
      </c>
      <c r="M152" s="49">
        <f t="shared" si="7"/>
        <v>0.1301115242</v>
      </c>
      <c r="N152" s="32" t="str">
        <f t="shared" si="8"/>
        <v>Mal. Lott</v>
      </c>
      <c r="O152" s="50" t="s">
        <v>77</v>
      </c>
      <c r="P152" s="38">
        <v>1244.0</v>
      </c>
      <c r="Q152" s="38">
        <v>221.0</v>
      </c>
      <c r="R152" s="38">
        <v>858.0</v>
      </c>
      <c r="S152" s="38">
        <v>231.0</v>
      </c>
      <c r="T152" s="38">
        <v>141.0</v>
      </c>
      <c r="U152" s="48">
        <f t="shared" si="9"/>
        <v>2323</v>
      </c>
      <c r="V152" s="48">
        <f t="shared" si="10"/>
        <v>2695</v>
      </c>
      <c r="W152" s="49">
        <f t="shared" si="11"/>
        <v>0.535514421</v>
      </c>
      <c r="X152" s="49">
        <f t="shared" si="12"/>
        <v>0.09513560052</v>
      </c>
      <c r="Y152" s="49">
        <f t="shared" si="13"/>
        <v>0.3693499785</v>
      </c>
      <c r="Z152" s="32" t="str">
        <f t="shared" si="14"/>
        <v>Jango</v>
      </c>
      <c r="AA152" s="50" t="s">
        <v>77</v>
      </c>
      <c r="AB152" s="38">
        <v>3275.0</v>
      </c>
      <c r="AC152" s="48">
        <f t="shared" si="19"/>
        <v>580</v>
      </c>
      <c r="AD152" s="51">
        <f t="shared" si="20"/>
        <v>0.8229007634</v>
      </c>
    </row>
    <row r="153">
      <c r="A153" s="24"/>
      <c r="B153" s="46" t="s">
        <v>1623</v>
      </c>
      <c r="C153" s="47"/>
      <c r="D153" s="38">
        <v>1748.0</v>
      </c>
      <c r="E153" s="38">
        <v>1668.0</v>
      </c>
      <c r="F153" s="38">
        <v>834.0</v>
      </c>
      <c r="G153" s="38">
        <v>152.0</v>
      </c>
      <c r="H153" s="38">
        <v>264.0</v>
      </c>
      <c r="I153" s="48">
        <f t="shared" si="3"/>
        <v>4250</v>
      </c>
      <c r="J153" s="48">
        <f t="shared" si="4"/>
        <v>4666</v>
      </c>
      <c r="K153" s="49">
        <f t="shared" si="5"/>
        <v>0.4112941176</v>
      </c>
      <c r="L153" s="49">
        <f t="shared" si="6"/>
        <v>0.3924705882</v>
      </c>
      <c r="M153" s="49">
        <f t="shared" si="7"/>
        <v>0.1962352941</v>
      </c>
      <c r="N153" s="32" t="str">
        <f t="shared" si="8"/>
        <v>Jânio</v>
      </c>
      <c r="O153" s="50" t="s">
        <v>77</v>
      </c>
      <c r="P153" s="38">
        <v>1817.0</v>
      </c>
      <c r="Q153" s="38">
        <v>256.0</v>
      </c>
      <c r="R153" s="38">
        <v>2144.0</v>
      </c>
      <c r="S153" s="38">
        <v>239.0</v>
      </c>
      <c r="T153" s="38">
        <v>210.0</v>
      </c>
      <c r="U153" s="48">
        <f t="shared" si="9"/>
        <v>4217</v>
      </c>
      <c r="V153" s="48">
        <f t="shared" si="10"/>
        <v>4666</v>
      </c>
      <c r="W153" s="49">
        <f t="shared" si="11"/>
        <v>0.4308750296</v>
      </c>
      <c r="X153" s="49">
        <f t="shared" si="12"/>
        <v>0.0607066635</v>
      </c>
      <c r="Y153" s="49">
        <f t="shared" si="13"/>
        <v>0.5084183069</v>
      </c>
      <c r="Z153" s="32" t="str">
        <f t="shared" si="14"/>
        <v>Ferrari</v>
      </c>
      <c r="AA153" s="50" t="s">
        <v>77</v>
      </c>
      <c r="AB153" s="38">
        <v>5455.0</v>
      </c>
      <c r="AC153" s="48">
        <f t="shared" si="19"/>
        <v>789</v>
      </c>
      <c r="AD153" s="51">
        <f t="shared" si="20"/>
        <v>0.8553620532</v>
      </c>
    </row>
    <row r="154">
      <c r="A154" s="110" t="s">
        <v>852</v>
      </c>
      <c r="B154" s="46" t="s">
        <v>1624</v>
      </c>
      <c r="C154" s="47"/>
      <c r="D154" s="38">
        <v>3279.0</v>
      </c>
      <c r="E154" s="38">
        <v>2568.0</v>
      </c>
      <c r="F154" s="38">
        <v>370.0</v>
      </c>
      <c r="G154" s="38">
        <v>315.0</v>
      </c>
      <c r="H154" s="38">
        <v>262.0</v>
      </c>
      <c r="I154" s="48">
        <f t="shared" si="3"/>
        <v>6217</v>
      </c>
      <c r="J154" s="48">
        <f t="shared" si="4"/>
        <v>6794</v>
      </c>
      <c r="K154" s="49">
        <f t="shared" si="5"/>
        <v>0.527424803</v>
      </c>
      <c r="L154" s="49">
        <f t="shared" si="6"/>
        <v>0.4130609619</v>
      </c>
      <c r="M154" s="49">
        <f t="shared" si="7"/>
        <v>0.05951423516</v>
      </c>
      <c r="N154" s="32" t="str">
        <f t="shared" si="8"/>
        <v>Jânio</v>
      </c>
      <c r="O154" s="50" t="s">
        <v>77</v>
      </c>
      <c r="P154" s="38">
        <v>2704.0</v>
      </c>
      <c r="Q154" s="38">
        <v>1381.0</v>
      </c>
      <c r="R154" s="38">
        <v>2034.0</v>
      </c>
      <c r="S154" s="38">
        <v>466.0</v>
      </c>
      <c r="T154" s="38">
        <v>209.0</v>
      </c>
      <c r="U154" s="48">
        <f t="shared" si="9"/>
        <v>6119</v>
      </c>
      <c r="V154" s="48">
        <f t="shared" si="10"/>
        <v>6794</v>
      </c>
      <c r="W154" s="49">
        <f t="shared" si="11"/>
        <v>0.4419022716</v>
      </c>
      <c r="X154" s="49">
        <f t="shared" si="12"/>
        <v>0.2256904723</v>
      </c>
      <c r="Y154" s="49">
        <f t="shared" si="13"/>
        <v>0.3324072561</v>
      </c>
      <c r="Z154" s="32" t="str">
        <f t="shared" si="14"/>
        <v>Jango</v>
      </c>
      <c r="AA154" s="50" t="s">
        <v>77</v>
      </c>
      <c r="AB154" s="38">
        <v>7552.0</v>
      </c>
      <c r="AC154" s="48">
        <f t="shared" si="19"/>
        <v>758</v>
      </c>
      <c r="AD154" s="51">
        <f t="shared" si="20"/>
        <v>0.8996292373</v>
      </c>
    </row>
    <row r="155">
      <c r="A155" s="110" t="s">
        <v>854</v>
      </c>
      <c r="B155" s="46" t="s">
        <v>1625</v>
      </c>
      <c r="C155" s="47"/>
      <c r="D155" s="38">
        <v>2931.0</v>
      </c>
      <c r="E155" s="38">
        <v>2578.0</v>
      </c>
      <c r="F155" s="38">
        <v>673.0</v>
      </c>
      <c r="G155" s="38">
        <v>200.0</v>
      </c>
      <c r="H155" s="38">
        <v>227.0</v>
      </c>
      <c r="I155" s="48">
        <f t="shared" si="3"/>
        <v>6182</v>
      </c>
      <c r="J155" s="48">
        <f t="shared" si="4"/>
        <v>6609</v>
      </c>
      <c r="K155" s="49">
        <f t="shared" si="5"/>
        <v>0.4741184083</v>
      </c>
      <c r="L155" s="49">
        <f t="shared" si="6"/>
        <v>0.4170171466</v>
      </c>
      <c r="M155" s="49">
        <f t="shared" si="7"/>
        <v>0.1088644452</v>
      </c>
      <c r="N155" s="32" t="str">
        <f t="shared" si="8"/>
        <v>Jânio</v>
      </c>
      <c r="O155" s="50" t="s">
        <v>77</v>
      </c>
      <c r="P155" s="38">
        <v>2818.0</v>
      </c>
      <c r="Q155" s="38">
        <v>316.0</v>
      </c>
      <c r="R155" s="38">
        <v>3001.0</v>
      </c>
      <c r="S155" s="38">
        <v>321.0</v>
      </c>
      <c r="T155" s="38">
        <v>153.0</v>
      </c>
      <c r="U155" s="48">
        <f t="shared" si="9"/>
        <v>6135</v>
      </c>
      <c r="V155" s="48">
        <f t="shared" si="10"/>
        <v>6609</v>
      </c>
      <c r="W155" s="49">
        <f t="shared" si="11"/>
        <v>0.4593317033</v>
      </c>
      <c r="X155" s="49">
        <f t="shared" si="12"/>
        <v>0.05150774246</v>
      </c>
      <c r="Y155" s="49">
        <f t="shared" si="13"/>
        <v>0.4891605542</v>
      </c>
      <c r="Z155" s="32" t="str">
        <f t="shared" si="14"/>
        <v>Ferrari</v>
      </c>
      <c r="AA155" s="50" t="s">
        <v>77</v>
      </c>
      <c r="AB155" s="38">
        <v>7143.0</v>
      </c>
      <c r="AC155" s="48">
        <f t="shared" si="19"/>
        <v>534</v>
      </c>
      <c r="AD155" s="51">
        <f t="shared" si="20"/>
        <v>0.9252414952</v>
      </c>
    </row>
    <row r="156">
      <c r="A156" s="61" t="s">
        <v>856</v>
      </c>
      <c r="B156" s="46" t="s">
        <v>1626</v>
      </c>
      <c r="C156" s="47"/>
      <c r="D156" s="38">
        <v>3410.0</v>
      </c>
      <c r="E156" s="38">
        <v>4152.0</v>
      </c>
      <c r="F156" s="38">
        <v>1078.0</v>
      </c>
      <c r="G156" s="38">
        <v>321.0</v>
      </c>
      <c r="H156" s="38">
        <v>309.0</v>
      </c>
      <c r="I156" s="48">
        <f t="shared" si="3"/>
        <v>8640</v>
      </c>
      <c r="J156" s="48">
        <f t="shared" si="4"/>
        <v>9270</v>
      </c>
      <c r="K156" s="49">
        <f t="shared" si="5"/>
        <v>0.3946759259</v>
      </c>
      <c r="L156" s="49">
        <f t="shared" si="6"/>
        <v>0.4805555556</v>
      </c>
      <c r="M156" s="49">
        <f t="shared" si="7"/>
        <v>0.1247685185</v>
      </c>
      <c r="N156" s="32" t="str">
        <f t="shared" si="8"/>
        <v>Mal. Lott</v>
      </c>
      <c r="O156" s="50" t="s">
        <v>77</v>
      </c>
      <c r="P156" s="38">
        <v>4387.0</v>
      </c>
      <c r="Q156" s="38">
        <v>447.0</v>
      </c>
      <c r="R156" s="38">
        <v>3665.0</v>
      </c>
      <c r="S156" s="38">
        <v>536.0</v>
      </c>
      <c r="T156" s="38">
        <v>235.0</v>
      </c>
      <c r="U156" s="48">
        <f t="shared" si="9"/>
        <v>8499</v>
      </c>
      <c r="V156" s="48">
        <f t="shared" si="10"/>
        <v>9270</v>
      </c>
      <c r="W156" s="49">
        <f t="shared" si="11"/>
        <v>0.5161783739</v>
      </c>
      <c r="X156" s="49">
        <f t="shared" si="12"/>
        <v>0.05259442287</v>
      </c>
      <c r="Y156" s="49">
        <f t="shared" si="13"/>
        <v>0.4312272032</v>
      </c>
      <c r="Z156" s="32" t="str">
        <f t="shared" si="14"/>
        <v>Jango</v>
      </c>
      <c r="AA156" s="50" t="s">
        <v>77</v>
      </c>
      <c r="AB156" s="38">
        <v>10072.0</v>
      </c>
      <c r="AC156" s="48">
        <f t="shared" si="19"/>
        <v>802</v>
      </c>
      <c r="AD156" s="51">
        <f t="shared" si="20"/>
        <v>0.9203733122</v>
      </c>
    </row>
    <row r="157">
      <c r="A157" s="23"/>
      <c r="B157" s="46" t="s">
        <v>1627</v>
      </c>
      <c r="C157" s="47"/>
      <c r="D157" s="38">
        <v>1297.0</v>
      </c>
      <c r="E157" s="38">
        <v>1650.0</v>
      </c>
      <c r="F157" s="38">
        <v>796.0</v>
      </c>
      <c r="G157" s="38">
        <v>161.0</v>
      </c>
      <c r="H157" s="38">
        <v>152.0</v>
      </c>
      <c r="I157" s="48">
        <f t="shared" si="3"/>
        <v>3743</v>
      </c>
      <c r="J157" s="48">
        <f t="shared" si="4"/>
        <v>4056</v>
      </c>
      <c r="K157" s="49">
        <f t="shared" si="5"/>
        <v>0.3465134919</v>
      </c>
      <c r="L157" s="49">
        <f t="shared" si="6"/>
        <v>0.4408228694</v>
      </c>
      <c r="M157" s="49">
        <f t="shared" si="7"/>
        <v>0.2126636388</v>
      </c>
      <c r="N157" s="32" t="str">
        <f t="shared" si="8"/>
        <v>Mal. Lott</v>
      </c>
      <c r="O157" s="50" t="s">
        <v>77</v>
      </c>
      <c r="P157" s="38">
        <v>1785.0</v>
      </c>
      <c r="Q157" s="38">
        <v>352.0</v>
      </c>
      <c r="R157" s="38">
        <v>1481.0</v>
      </c>
      <c r="S157" s="38">
        <v>341.0</v>
      </c>
      <c r="T157" s="38">
        <v>97.0</v>
      </c>
      <c r="U157" s="48">
        <f t="shared" si="9"/>
        <v>3618</v>
      </c>
      <c r="V157" s="48">
        <f t="shared" si="10"/>
        <v>4056</v>
      </c>
      <c r="W157" s="49">
        <f t="shared" si="11"/>
        <v>0.4933665008</v>
      </c>
      <c r="X157" s="49">
        <f t="shared" si="12"/>
        <v>0.09729132117</v>
      </c>
      <c r="Y157" s="49">
        <f t="shared" si="13"/>
        <v>0.409342178</v>
      </c>
      <c r="Z157" s="32" t="str">
        <f t="shared" si="14"/>
        <v>Jango</v>
      </c>
      <c r="AA157" s="50" t="s">
        <v>77</v>
      </c>
      <c r="AB157" s="38">
        <v>4482.0</v>
      </c>
      <c r="AC157" s="48">
        <f t="shared" si="19"/>
        <v>426</v>
      </c>
      <c r="AD157" s="51">
        <f t="shared" si="20"/>
        <v>0.9049531459</v>
      </c>
    </row>
    <row r="158">
      <c r="A158" s="24"/>
      <c r="B158" s="46" t="s">
        <v>1628</v>
      </c>
      <c r="C158" s="47"/>
      <c r="D158" s="38">
        <v>1087.0</v>
      </c>
      <c r="E158" s="38">
        <v>760.0</v>
      </c>
      <c r="F158" s="38">
        <v>413.0</v>
      </c>
      <c r="G158" s="38">
        <v>97.0</v>
      </c>
      <c r="H158" s="38">
        <v>104.0</v>
      </c>
      <c r="I158" s="48">
        <f t="shared" si="3"/>
        <v>2260</v>
      </c>
      <c r="J158" s="48">
        <f t="shared" si="4"/>
        <v>2461</v>
      </c>
      <c r="K158" s="49">
        <f t="shared" si="5"/>
        <v>0.4809734513</v>
      </c>
      <c r="L158" s="49">
        <f t="shared" si="6"/>
        <v>0.3362831858</v>
      </c>
      <c r="M158" s="49">
        <f t="shared" si="7"/>
        <v>0.1827433628</v>
      </c>
      <c r="N158" s="32" t="str">
        <f t="shared" si="8"/>
        <v>Jânio</v>
      </c>
      <c r="O158" s="50" t="s">
        <v>77</v>
      </c>
      <c r="P158" s="38">
        <v>874.0</v>
      </c>
      <c r="Q158" s="38">
        <v>136.0</v>
      </c>
      <c r="R158" s="38">
        <v>1207.0</v>
      </c>
      <c r="S158" s="38">
        <v>173.0</v>
      </c>
      <c r="T158" s="38">
        <v>71.0</v>
      </c>
      <c r="U158" s="48">
        <f t="shared" si="9"/>
        <v>2217</v>
      </c>
      <c r="V158" s="48">
        <f t="shared" si="10"/>
        <v>2461</v>
      </c>
      <c r="W158" s="49">
        <f t="shared" si="11"/>
        <v>0.3942264321</v>
      </c>
      <c r="X158" s="49">
        <f t="shared" si="12"/>
        <v>0.06134415877</v>
      </c>
      <c r="Y158" s="49">
        <f t="shared" si="13"/>
        <v>0.5444294091</v>
      </c>
      <c r="Z158" s="32" t="str">
        <f t="shared" si="14"/>
        <v>Ferrari</v>
      </c>
      <c r="AA158" s="50" t="s">
        <v>77</v>
      </c>
      <c r="AB158" s="38">
        <v>2730.0</v>
      </c>
      <c r="AC158" s="48">
        <f t="shared" si="19"/>
        <v>269</v>
      </c>
      <c r="AD158" s="51">
        <f t="shared" si="20"/>
        <v>0.9014652015</v>
      </c>
    </row>
    <row r="159">
      <c r="A159" s="61" t="s">
        <v>858</v>
      </c>
      <c r="B159" s="46" t="s">
        <v>1629</v>
      </c>
      <c r="C159" s="47"/>
      <c r="D159" s="38">
        <v>2693.0</v>
      </c>
      <c r="E159" s="38">
        <v>1930.0</v>
      </c>
      <c r="F159" s="38">
        <v>823.0</v>
      </c>
      <c r="G159" s="38">
        <v>201.0</v>
      </c>
      <c r="H159" s="38">
        <v>246.0</v>
      </c>
      <c r="I159" s="48">
        <f t="shared" si="3"/>
        <v>5446</v>
      </c>
      <c r="J159" s="48">
        <f t="shared" si="4"/>
        <v>5893</v>
      </c>
      <c r="K159" s="49">
        <f t="shared" si="5"/>
        <v>0.4944913698</v>
      </c>
      <c r="L159" s="49">
        <f t="shared" si="6"/>
        <v>0.354388542</v>
      </c>
      <c r="M159" s="49">
        <f t="shared" si="7"/>
        <v>0.1511200881</v>
      </c>
      <c r="N159" s="32" t="str">
        <f t="shared" si="8"/>
        <v>Jânio</v>
      </c>
      <c r="O159" s="50" t="s">
        <v>77</v>
      </c>
      <c r="P159" s="38">
        <v>2275.0</v>
      </c>
      <c r="Q159" s="38">
        <v>403.0</v>
      </c>
      <c r="R159" s="38">
        <v>2671.0</v>
      </c>
      <c r="S159" s="38">
        <v>359.0</v>
      </c>
      <c r="T159" s="38">
        <v>185.0</v>
      </c>
      <c r="U159" s="48">
        <f t="shared" si="9"/>
        <v>5349</v>
      </c>
      <c r="V159" s="48">
        <f t="shared" si="10"/>
        <v>5893</v>
      </c>
      <c r="W159" s="49">
        <f t="shared" si="11"/>
        <v>0.4253131426</v>
      </c>
      <c r="X159" s="49">
        <f t="shared" si="12"/>
        <v>0.07534118527</v>
      </c>
      <c r="Y159" s="49">
        <f t="shared" si="13"/>
        <v>0.4993456721</v>
      </c>
      <c r="Z159" s="32" t="str">
        <f t="shared" si="14"/>
        <v>Ferrari</v>
      </c>
      <c r="AA159" s="50" t="s">
        <v>77</v>
      </c>
      <c r="AB159" s="38">
        <v>6598.0</v>
      </c>
      <c r="AC159" s="48">
        <f t="shared" si="19"/>
        <v>705</v>
      </c>
      <c r="AD159" s="51">
        <f t="shared" si="20"/>
        <v>0.8931494392</v>
      </c>
    </row>
    <row r="160">
      <c r="A160" s="24"/>
      <c r="B160" s="46" t="s">
        <v>1630</v>
      </c>
      <c r="C160" s="47"/>
      <c r="D160" s="38">
        <v>643.0</v>
      </c>
      <c r="E160" s="38">
        <v>688.0</v>
      </c>
      <c r="F160" s="38">
        <v>336.0</v>
      </c>
      <c r="G160" s="38">
        <v>62.0</v>
      </c>
      <c r="H160" s="38">
        <v>121.0</v>
      </c>
      <c r="I160" s="48">
        <f t="shared" si="3"/>
        <v>1667</v>
      </c>
      <c r="J160" s="48">
        <f t="shared" si="4"/>
        <v>1850</v>
      </c>
      <c r="K160" s="49">
        <f t="shared" si="5"/>
        <v>0.3857228554</v>
      </c>
      <c r="L160" s="49">
        <f t="shared" si="6"/>
        <v>0.4127174565</v>
      </c>
      <c r="M160" s="49">
        <f t="shared" si="7"/>
        <v>0.2015596881</v>
      </c>
      <c r="N160" s="32" t="str">
        <f t="shared" si="8"/>
        <v>Mal. Lott</v>
      </c>
      <c r="O160" s="50" t="s">
        <v>77</v>
      </c>
      <c r="P160" s="38">
        <v>834.0</v>
      </c>
      <c r="Q160" s="38">
        <v>96.0</v>
      </c>
      <c r="R160" s="38">
        <v>699.0</v>
      </c>
      <c r="S160" s="38">
        <v>100.0</v>
      </c>
      <c r="T160" s="38">
        <v>121.0</v>
      </c>
      <c r="U160" s="48">
        <f t="shared" si="9"/>
        <v>1629</v>
      </c>
      <c r="V160" s="48">
        <f t="shared" si="10"/>
        <v>1850</v>
      </c>
      <c r="W160" s="49">
        <f t="shared" si="11"/>
        <v>0.5119705341</v>
      </c>
      <c r="X160" s="49">
        <f t="shared" si="12"/>
        <v>0.05893186004</v>
      </c>
      <c r="Y160" s="49">
        <f t="shared" si="13"/>
        <v>0.4290976059</v>
      </c>
      <c r="Z160" s="32" t="str">
        <f t="shared" si="14"/>
        <v>Jango</v>
      </c>
      <c r="AA160" s="50" t="s">
        <v>77</v>
      </c>
      <c r="AB160" s="38">
        <v>2103.0</v>
      </c>
      <c r="AC160" s="48">
        <f t="shared" si="19"/>
        <v>253</v>
      </c>
      <c r="AD160" s="51">
        <f t="shared" si="20"/>
        <v>0.8796956728</v>
      </c>
    </row>
    <row r="161">
      <c r="A161" s="61" t="s">
        <v>860</v>
      </c>
      <c r="B161" s="46" t="s">
        <v>1631</v>
      </c>
      <c r="C161" s="47"/>
      <c r="D161" s="38">
        <v>1624.0</v>
      </c>
      <c r="E161" s="38">
        <v>1138.0</v>
      </c>
      <c r="F161" s="38">
        <v>863.0</v>
      </c>
      <c r="G161" s="38">
        <v>150.0</v>
      </c>
      <c r="H161" s="38">
        <v>271.0</v>
      </c>
      <c r="I161" s="48">
        <f t="shared" si="3"/>
        <v>3625</v>
      </c>
      <c r="J161" s="48">
        <f t="shared" si="4"/>
        <v>4046</v>
      </c>
      <c r="K161" s="49">
        <f t="shared" si="5"/>
        <v>0.448</v>
      </c>
      <c r="L161" s="49">
        <f t="shared" si="6"/>
        <v>0.3139310345</v>
      </c>
      <c r="M161" s="49">
        <f t="shared" si="7"/>
        <v>0.2380689655</v>
      </c>
      <c r="N161" s="32" t="str">
        <f t="shared" si="8"/>
        <v>Jânio</v>
      </c>
      <c r="O161" s="50" t="s">
        <v>77</v>
      </c>
      <c r="P161" s="38">
        <v>1307.0</v>
      </c>
      <c r="Q161" s="38">
        <v>403.0</v>
      </c>
      <c r="R161" s="38">
        <v>1852.0</v>
      </c>
      <c r="S161" s="38">
        <v>276.0</v>
      </c>
      <c r="T161" s="38">
        <v>208.0</v>
      </c>
      <c r="U161" s="48">
        <f t="shared" si="9"/>
        <v>3562</v>
      </c>
      <c r="V161" s="48">
        <f t="shared" si="10"/>
        <v>4046</v>
      </c>
      <c r="W161" s="49">
        <f t="shared" si="11"/>
        <v>0.3669286917</v>
      </c>
      <c r="X161" s="49">
        <f t="shared" si="12"/>
        <v>0.1131386861</v>
      </c>
      <c r="Y161" s="49">
        <f t="shared" si="13"/>
        <v>0.5199326221</v>
      </c>
      <c r="Z161" s="32" t="str">
        <f t="shared" si="14"/>
        <v>Ferrari</v>
      </c>
      <c r="AA161" s="50" t="s">
        <v>77</v>
      </c>
      <c r="AB161" s="38">
        <v>4709.0</v>
      </c>
      <c r="AC161" s="48">
        <f t="shared" si="19"/>
        <v>663</v>
      </c>
      <c r="AD161" s="51">
        <f t="shared" si="20"/>
        <v>0.8592057762</v>
      </c>
    </row>
    <row r="162">
      <c r="A162" s="24"/>
      <c r="B162" s="46" t="s">
        <v>126</v>
      </c>
      <c r="C162" s="47"/>
      <c r="D162" s="38">
        <v>1045.0</v>
      </c>
      <c r="E162" s="38">
        <v>644.0</v>
      </c>
      <c r="F162" s="38">
        <v>197.0</v>
      </c>
      <c r="G162" s="38">
        <v>52.0</v>
      </c>
      <c r="H162" s="38">
        <v>95.0</v>
      </c>
      <c r="I162" s="48">
        <f t="shared" si="3"/>
        <v>1886</v>
      </c>
      <c r="J162" s="48">
        <f t="shared" si="4"/>
        <v>2033</v>
      </c>
      <c r="K162" s="49">
        <f t="shared" si="5"/>
        <v>0.5540827147</v>
      </c>
      <c r="L162" s="49">
        <f t="shared" si="6"/>
        <v>0.3414634146</v>
      </c>
      <c r="M162" s="49">
        <f t="shared" si="7"/>
        <v>0.1044538706</v>
      </c>
      <c r="N162" s="32" t="str">
        <f t="shared" si="8"/>
        <v>Jânio</v>
      </c>
      <c r="O162" s="50" t="s">
        <v>77</v>
      </c>
      <c r="P162" s="38">
        <v>652.0</v>
      </c>
      <c r="Q162" s="38">
        <v>110.0</v>
      </c>
      <c r="R162" s="38">
        <v>1119.0</v>
      </c>
      <c r="S162" s="38">
        <v>83.0</v>
      </c>
      <c r="T162" s="38">
        <v>69.0</v>
      </c>
      <c r="U162" s="48">
        <f t="shared" si="9"/>
        <v>1881</v>
      </c>
      <c r="V162" s="48">
        <f t="shared" si="10"/>
        <v>2033</v>
      </c>
      <c r="W162" s="49">
        <f t="shared" si="11"/>
        <v>0.3466241361</v>
      </c>
      <c r="X162" s="49">
        <f t="shared" si="12"/>
        <v>0.05847953216</v>
      </c>
      <c r="Y162" s="49">
        <f t="shared" si="13"/>
        <v>0.5948963317</v>
      </c>
      <c r="Z162" s="32" t="str">
        <f t="shared" si="14"/>
        <v>Ferrari</v>
      </c>
      <c r="AA162" s="50" t="s">
        <v>77</v>
      </c>
      <c r="AB162" s="38">
        <v>2331.0</v>
      </c>
      <c r="AC162" s="48">
        <f t="shared" si="19"/>
        <v>298</v>
      </c>
      <c r="AD162" s="51">
        <f t="shared" si="20"/>
        <v>0.8721578722</v>
      </c>
    </row>
    <row r="163">
      <c r="A163" s="110" t="s">
        <v>862</v>
      </c>
      <c r="B163" s="46" t="s">
        <v>1632</v>
      </c>
      <c r="C163" s="47"/>
      <c r="D163" s="38">
        <v>1324.0</v>
      </c>
      <c r="E163" s="38">
        <v>951.0</v>
      </c>
      <c r="F163" s="38">
        <v>313.0</v>
      </c>
      <c r="G163" s="38">
        <v>99.0</v>
      </c>
      <c r="H163" s="38">
        <v>86.0</v>
      </c>
      <c r="I163" s="48">
        <f t="shared" si="3"/>
        <v>2588</v>
      </c>
      <c r="J163" s="48">
        <f t="shared" si="4"/>
        <v>2773</v>
      </c>
      <c r="K163" s="49">
        <f t="shared" si="5"/>
        <v>0.5115919629</v>
      </c>
      <c r="L163" s="49">
        <f t="shared" si="6"/>
        <v>0.3674652241</v>
      </c>
      <c r="M163" s="49">
        <f t="shared" si="7"/>
        <v>0.120942813</v>
      </c>
      <c r="N163" s="32" t="str">
        <f t="shared" si="8"/>
        <v>Jânio</v>
      </c>
      <c r="O163" s="50" t="s">
        <v>77</v>
      </c>
      <c r="P163" s="38">
        <v>1139.0</v>
      </c>
      <c r="Q163" s="38">
        <v>746.0</v>
      </c>
      <c r="R163" s="38">
        <v>676.0</v>
      </c>
      <c r="S163" s="38">
        <v>168.0</v>
      </c>
      <c r="T163" s="38">
        <v>44.0</v>
      </c>
      <c r="U163" s="48">
        <f t="shared" si="9"/>
        <v>2561</v>
      </c>
      <c r="V163" s="48">
        <f t="shared" si="10"/>
        <v>2773</v>
      </c>
      <c r="W163" s="49">
        <f t="shared" si="11"/>
        <v>0.4447481453</v>
      </c>
      <c r="X163" s="49">
        <f t="shared" si="12"/>
        <v>0.2912924639</v>
      </c>
      <c r="Y163" s="49">
        <f t="shared" si="13"/>
        <v>0.2639593909</v>
      </c>
      <c r="Z163" s="32" t="str">
        <f t="shared" si="14"/>
        <v>Jango</v>
      </c>
      <c r="AA163" s="50" t="s">
        <v>77</v>
      </c>
      <c r="AB163" s="38">
        <v>3086.0</v>
      </c>
      <c r="AC163" s="48">
        <f t="shared" si="19"/>
        <v>313</v>
      </c>
      <c r="AD163" s="51">
        <f t="shared" si="20"/>
        <v>0.8985742061</v>
      </c>
    </row>
    <row r="164">
      <c r="A164" s="69" t="s">
        <v>54</v>
      </c>
      <c r="B164" s="13"/>
      <c r="C164" s="47"/>
      <c r="D164" s="38">
        <f t="shared" ref="D164:H164" si="21">SUM(D12:D163)</f>
        <v>541331</v>
      </c>
      <c r="E164" s="38">
        <f t="shared" si="21"/>
        <v>431497</v>
      </c>
      <c r="F164" s="38">
        <f t="shared" si="21"/>
        <v>214963</v>
      </c>
      <c r="G164" s="38">
        <f t="shared" si="21"/>
        <v>33501</v>
      </c>
      <c r="H164" s="38">
        <f t="shared" si="21"/>
        <v>42159</v>
      </c>
      <c r="I164" s="48">
        <f t="shared" si="3"/>
        <v>1187791</v>
      </c>
      <c r="J164" s="48">
        <f t="shared" si="4"/>
        <v>1263451</v>
      </c>
      <c r="K164" s="49">
        <f t="shared" si="5"/>
        <v>0.4557460025</v>
      </c>
      <c r="L164" s="49">
        <f t="shared" si="6"/>
        <v>0.3632768728</v>
      </c>
      <c r="M164" s="49">
        <f t="shared" si="7"/>
        <v>0.1809771248</v>
      </c>
      <c r="N164" s="32" t="str">
        <f t="shared" si="8"/>
        <v>Jânio</v>
      </c>
      <c r="O164" s="50"/>
      <c r="P164" s="38">
        <f t="shared" ref="P164:T164" si="22">SUM(P12:P163)</f>
        <v>472902</v>
      </c>
      <c r="Q164" s="38">
        <f t="shared" si="22"/>
        <v>143509</v>
      </c>
      <c r="R164" s="38">
        <f t="shared" si="22"/>
        <v>557425</v>
      </c>
      <c r="S164" s="38">
        <f t="shared" si="22"/>
        <v>56929</v>
      </c>
      <c r="T164" s="38">
        <f t="shared" si="22"/>
        <v>32686</v>
      </c>
      <c r="U164" s="48">
        <f t="shared" si="9"/>
        <v>1173836</v>
      </c>
      <c r="V164" s="48">
        <f t="shared" si="10"/>
        <v>1263451</v>
      </c>
      <c r="W164" s="49">
        <f t="shared" si="11"/>
        <v>0.4028688846</v>
      </c>
      <c r="X164" s="49">
        <f t="shared" si="12"/>
        <v>0.1222564311</v>
      </c>
      <c r="Y164" s="49">
        <f t="shared" si="13"/>
        <v>0.4748746844</v>
      </c>
      <c r="Z164" s="32" t="str">
        <f t="shared" si="14"/>
        <v>Ferrari</v>
      </c>
      <c r="AA164" s="44"/>
      <c r="AB164" s="55">
        <v>1409310.0</v>
      </c>
      <c r="AC164" s="48">
        <f t="shared" si="19"/>
        <v>145859</v>
      </c>
      <c r="AD164" s="51">
        <f t="shared" si="20"/>
        <v>0.8965032534</v>
      </c>
    </row>
    <row r="165">
      <c r="O165" s="73"/>
    </row>
    <row r="166">
      <c r="B166" s="74" t="s">
        <v>138</v>
      </c>
      <c r="D166" s="75"/>
      <c r="E166" s="75"/>
      <c r="F166" s="75"/>
      <c r="G166" s="75"/>
    </row>
    <row r="167">
      <c r="B167" s="76" t="s">
        <v>139</v>
      </c>
      <c r="C167" s="33"/>
      <c r="D167" s="29"/>
      <c r="E167" s="29"/>
      <c r="F167" s="77"/>
      <c r="G167" s="77"/>
    </row>
    <row r="168">
      <c r="B168" s="76" t="s">
        <v>139</v>
      </c>
      <c r="D168" s="29"/>
      <c r="E168" s="29"/>
      <c r="F168" s="77"/>
      <c r="G168" s="77"/>
    </row>
    <row r="169">
      <c r="B169" s="75"/>
      <c r="D169" s="29"/>
      <c r="E169" s="29"/>
      <c r="F169" s="77"/>
      <c r="G169" s="77"/>
    </row>
  </sheetData>
  <mergeCells count="42">
    <mergeCell ref="D2:G2"/>
    <mergeCell ref="A10:C10"/>
    <mergeCell ref="D10:N10"/>
    <mergeCell ref="P10:Z10"/>
    <mergeCell ref="AA10:AD10"/>
    <mergeCell ref="A13:A14"/>
    <mergeCell ref="A18:A19"/>
    <mergeCell ref="A20:A22"/>
    <mergeCell ref="A24:A26"/>
    <mergeCell ref="A27:A29"/>
    <mergeCell ref="A33:A35"/>
    <mergeCell ref="A37:A40"/>
    <mergeCell ref="A43:A45"/>
    <mergeCell ref="A46:A47"/>
    <mergeCell ref="A48:A51"/>
    <mergeCell ref="A52:A53"/>
    <mergeCell ref="A57:A59"/>
    <mergeCell ref="A60:A62"/>
    <mergeCell ref="A63:A64"/>
    <mergeCell ref="A67:A69"/>
    <mergeCell ref="A75:A76"/>
    <mergeCell ref="A79:A81"/>
    <mergeCell ref="A83:A86"/>
    <mergeCell ref="A89:A91"/>
    <mergeCell ref="A96:A98"/>
    <mergeCell ref="A99:A102"/>
    <mergeCell ref="A103:A104"/>
    <mergeCell ref="A106:A107"/>
    <mergeCell ref="A137:A139"/>
    <mergeCell ref="A146:A148"/>
    <mergeCell ref="A151:A153"/>
    <mergeCell ref="A156:A158"/>
    <mergeCell ref="A159:A160"/>
    <mergeCell ref="A161:A162"/>
    <mergeCell ref="A164:B164"/>
    <mergeCell ref="A108:A110"/>
    <mergeCell ref="A116:A117"/>
    <mergeCell ref="A120:A121"/>
    <mergeCell ref="A123:A124"/>
    <mergeCell ref="A127:A128"/>
    <mergeCell ref="A131:A132"/>
    <mergeCell ref="A133:A135"/>
  </mergeCells>
  <conditionalFormatting sqref="K12:M164 N12:N165 Z12:Z164">
    <cfRule type="colorScale" priority="1">
      <colorScale>
        <cfvo type="percent" val="0"/>
        <cfvo type="percent" val="50"/>
        <cfvo type="percent" val="100"/>
        <color rgb="FFFFFFFF"/>
        <color rgb="FFABDDC5"/>
        <color rgb="FF57BB8A"/>
      </colorScale>
    </cfRule>
  </conditionalFormatting>
  <conditionalFormatting sqref="W12:Y164">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IF(SUM(COUNTIF($N$12:$N$34,D3),COUNTIF($N$37:$N$115,D3))=0,"-",SUM(COUNTIF($N$12:$N$34,D3),COUNTIF($N$37:$N$115,D3)))</f>
        <v>66</v>
      </c>
      <c r="F3" s="32" t="s">
        <v>47</v>
      </c>
      <c r="G3" s="22">
        <f t="shared" ref="G3:G6" si="2">IF(SUM(COUNTIF($Z$12:$Z$34,F3),COUNTIF($Z$37:$Z$115,F3))=0,"-",SUM(COUNTIF($Z$12:$Z$34,F3),COUNTIF($Z$37:$Z$115,F3)))</f>
        <v>79</v>
      </c>
    </row>
    <row r="4">
      <c r="D4" s="32" t="s">
        <v>48</v>
      </c>
      <c r="E4" s="22">
        <f t="shared" si="1"/>
        <v>36</v>
      </c>
      <c r="F4" s="32" t="s">
        <v>49</v>
      </c>
      <c r="G4" s="22">
        <f t="shared" si="2"/>
        <v>18</v>
      </c>
    </row>
    <row r="5">
      <c r="D5" s="32" t="s">
        <v>50</v>
      </c>
      <c r="E5" s="22" t="str">
        <f t="shared" si="1"/>
        <v>-</v>
      </c>
      <c r="F5" s="32" t="s">
        <v>51</v>
      </c>
      <c r="G5" s="22">
        <f t="shared" si="2"/>
        <v>5</v>
      </c>
    </row>
    <row r="6">
      <c r="D6" s="32" t="s">
        <v>52</v>
      </c>
      <c r="E6" s="22" t="str">
        <f t="shared" si="1"/>
        <v>-</v>
      </c>
      <c r="F6" s="32" t="s">
        <v>52</v>
      </c>
      <c r="G6" s="22" t="str">
        <f t="shared" si="2"/>
        <v>-</v>
      </c>
    </row>
    <row r="7">
      <c r="D7" s="32" t="s">
        <v>54</v>
      </c>
      <c r="E7" s="32">
        <f>SUM(E3:E6)</f>
        <v>102</v>
      </c>
      <c r="F7" s="32" t="s">
        <v>54</v>
      </c>
      <c r="G7" s="32">
        <f>SUM(G3:G6)</f>
        <v>102</v>
      </c>
    </row>
    <row r="8">
      <c r="D8" s="109"/>
      <c r="E8" s="109"/>
      <c r="F8" s="109"/>
      <c r="G8" s="109"/>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61" t="s">
        <v>73</v>
      </c>
      <c r="B12" s="46" t="s">
        <v>1633</v>
      </c>
      <c r="C12" s="47"/>
      <c r="D12" s="38">
        <v>3128.0</v>
      </c>
      <c r="E12" s="38">
        <v>2869.0</v>
      </c>
      <c r="F12" s="38">
        <v>208.0</v>
      </c>
      <c r="G12" s="38">
        <v>185.0</v>
      </c>
      <c r="H12" s="38">
        <v>141.0</v>
      </c>
      <c r="I12" s="48">
        <f t="shared" ref="I12:I116" si="3">SUM(D12:F12)</f>
        <v>6205</v>
      </c>
      <c r="J12" s="48">
        <f t="shared" ref="J12:J116" si="4">SUM(G12:I12)</f>
        <v>6531</v>
      </c>
      <c r="K12" s="49">
        <f t="shared" ref="K12:K116" si="5">D12/I12</f>
        <v>0.504109589</v>
      </c>
      <c r="L12" s="49">
        <f t="shared" ref="L12:L116" si="6">E12/I12</f>
        <v>0.4623690572</v>
      </c>
      <c r="M12" s="49">
        <f t="shared" ref="M12:M116" si="7">F12/I12</f>
        <v>0.03352135375</v>
      </c>
      <c r="N12" s="32" t="str">
        <f t="shared" ref="N12:N116" si="8">IF(LARGE(D12:F12,1)=0,#REF!,IF(LARGE(D12:F12,1)=LARGE(D12:F12,2),$D$6,IF(LARGE(D12:F12,1)=D12,$D$3,IF(LARGE(D12:F12,1)=E12,$D$4,IF(LARGE(D12:F12,1)=F12,$D$5)))))</f>
        <v>Jânio</v>
      </c>
      <c r="O12" s="50" t="s">
        <v>77</v>
      </c>
      <c r="P12" s="38">
        <v>2945.0</v>
      </c>
      <c r="Q12" s="38">
        <v>2796.0</v>
      </c>
      <c r="R12" s="38">
        <v>305.0</v>
      </c>
      <c r="S12" s="38">
        <v>396.0</v>
      </c>
      <c r="T12" s="38">
        <v>89.0</v>
      </c>
      <c r="U12" s="48">
        <f t="shared" ref="U12:U116" si="9">SUM(P12:R12)</f>
        <v>6046</v>
      </c>
      <c r="V12" s="48">
        <f t="shared" ref="V12:V116" si="10">SUM(S12:U12)</f>
        <v>6531</v>
      </c>
      <c r="W12" s="49">
        <f t="shared" ref="W12:W116" si="11">P12/U12</f>
        <v>0.4870989084</v>
      </c>
      <c r="X12" s="49">
        <f t="shared" ref="X12:X116" si="12">Q12/U12</f>
        <v>0.4624545154</v>
      </c>
      <c r="Y12" s="49">
        <f t="shared" ref="Y12:Y116" si="13">R12/U12</f>
        <v>0.05044657625</v>
      </c>
      <c r="Z12" s="32" t="str">
        <f t="shared" ref="Z12:Z116" si="14">IF(LARGE(P12:R12,1)=0,#REF!,IF(LARGE(P12:R12,1)=LARGE(P12:R12,2),$F$6,IF(LARGE(P12:R12,1)=P12,$F$3,IF(LARGE(P12:R12,1)=Q12,$F$4,IF(LARGE(P12:R12,1)=R12,$F$5)))))</f>
        <v>Jango</v>
      </c>
      <c r="AA12" s="50" t="s">
        <v>77</v>
      </c>
      <c r="AB12" s="38">
        <v>7118.0</v>
      </c>
      <c r="AC12" s="48">
        <f t="shared" ref="AC12:AC34" si="15">AB12-V12</f>
        <v>587</v>
      </c>
      <c r="AD12" s="51">
        <f t="shared" ref="AD12:AD34" si="16">V12/AB12</f>
        <v>0.9175330149</v>
      </c>
    </row>
    <row r="13">
      <c r="A13" s="24"/>
      <c r="B13" s="46" t="s">
        <v>1634</v>
      </c>
      <c r="C13" s="47"/>
      <c r="D13" s="38">
        <v>2506.0</v>
      </c>
      <c r="E13" s="38">
        <v>2045.0</v>
      </c>
      <c r="F13" s="38">
        <v>165.0</v>
      </c>
      <c r="G13" s="38">
        <v>111.0</v>
      </c>
      <c r="H13" s="38">
        <v>87.0</v>
      </c>
      <c r="I13" s="48">
        <f t="shared" si="3"/>
        <v>4716</v>
      </c>
      <c r="J13" s="48">
        <f t="shared" si="4"/>
        <v>4914</v>
      </c>
      <c r="K13" s="49">
        <f t="shared" si="5"/>
        <v>0.5313825276</v>
      </c>
      <c r="L13" s="49">
        <f t="shared" si="6"/>
        <v>0.4336301951</v>
      </c>
      <c r="M13" s="49">
        <f t="shared" si="7"/>
        <v>0.03498727735</v>
      </c>
      <c r="N13" s="32" t="str">
        <f t="shared" si="8"/>
        <v>Jânio</v>
      </c>
      <c r="O13" s="50" t="s">
        <v>77</v>
      </c>
      <c r="P13" s="38">
        <v>2161.0</v>
      </c>
      <c r="Q13" s="38">
        <v>2288.0</v>
      </c>
      <c r="R13" s="38">
        <v>175.0</v>
      </c>
      <c r="S13" s="38">
        <v>220.0</v>
      </c>
      <c r="T13" s="38">
        <v>70.0</v>
      </c>
      <c r="U13" s="48">
        <f t="shared" si="9"/>
        <v>4624</v>
      </c>
      <c r="V13" s="48">
        <f t="shared" si="10"/>
        <v>4914</v>
      </c>
      <c r="W13" s="49">
        <f t="shared" si="11"/>
        <v>0.4673442907</v>
      </c>
      <c r="X13" s="49">
        <f t="shared" si="12"/>
        <v>0.4948096886</v>
      </c>
      <c r="Y13" s="49">
        <f t="shared" si="13"/>
        <v>0.03784602076</v>
      </c>
      <c r="Z13" s="32" t="str">
        <f t="shared" si="14"/>
        <v>Milton</v>
      </c>
      <c r="AA13" s="50" t="s">
        <v>77</v>
      </c>
      <c r="AB13" s="38">
        <v>5497.0</v>
      </c>
      <c r="AC13" s="48">
        <f t="shared" si="15"/>
        <v>583</v>
      </c>
      <c r="AD13" s="51">
        <f t="shared" si="16"/>
        <v>0.8939421503</v>
      </c>
    </row>
    <row r="14">
      <c r="A14" s="110" t="s">
        <v>75</v>
      </c>
      <c r="B14" s="46" t="s">
        <v>1635</v>
      </c>
      <c r="C14" s="47"/>
      <c r="D14" s="38">
        <v>2454.0</v>
      </c>
      <c r="E14" s="38">
        <v>2304.0</v>
      </c>
      <c r="F14" s="38">
        <v>250.0</v>
      </c>
      <c r="G14" s="38">
        <v>280.0</v>
      </c>
      <c r="H14" s="38">
        <v>109.0</v>
      </c>
      <c r="I14" s="48">
        <f t="shared" si="3"/>
        <v>5008</v>
      </c>
      <c r="J14" s="48">
        <f t="shared" si="4"/>
        <v>5397</v>
      </c>
      <c r="K14" s="49">
        <f t="shared" si="5"/>
        <v>0.4900159744</v>
      </c>
      <c r="L14" s="49">
        <f t="shared" si="6"/>
        <v>0.4600638978</v>
      </c>
      <c r="M14" s="49">
        <f t="shared" si="7"/>
        <v>0.0499201278</v>
      </c>
      <c r="N14" s="32" t="str">
        <f t="shared" si="8"/>
        <v>Jânio</v>
      </c>
      <c r="O14" s="50" t="s">
        <v>77</v>
      </c>
      <c r="P14" s="38">
        <v>2408.0</v>
      </c>
      <c r="Q14" s="38">
        <v>2182.0</v>
      </c>
      <c r="R14" s="38">
        <v>150.0</v>
      </c>
      <c r="S14" s="38">
        <v>579.0</v>
      </c>
      <c r="T14" s="38">
        <v>78.0</v>
      </c>
      <c r="U14" s="48">
        <f t="shared" si="9"/>
        <v>4740</v>
      </c>
      <c r="V14" s="48">
        <f t="shared" si="10"/>
        <v>5397</v>
      </c>
      <c r="W14" s="49">
        <f t="shared" si="11"/>
        <v>0.5080168776</v>
      </c>
      <c r="X14" s="49">
        <f t="shared" si="12"/>
        <v>0.4603375527</v>
      </c>
      <c r="Y14" s="49">
        <f t="shared" si="13"/>
        <v>0.03164556962</v>
      </c>
      <c r="Z14" s="32" t="str">
        <f t="shared" si="14"/>
        <v>Jango</v>
      </c>
      <c r="AA14" s="50" t="s">
        <v>77</v>
      </c>
      <c r="AB14" s="38">
        <v>5827.0</v>
      </c>
      <c r="AC14" s="48">
        <f t="shared" si="15"/>
        <v>430</v>
      </c>
      <c r="AD14" s="51">
        <f t="shared" si="16"/>
        <v>0.9262055946</v>
      </c>
    </row>
    <row r="15">
      <c r="A15" s="61" t="s">
        <v>79</v>
      </c>
      <c r="B15" s="46" t="s">
        <v>1636</v>
      </c>
      <c r="C15" s="47"/>
      <c r="D15" s="38">
        <v>8850.0</v>
      </c>
      <c r="E15" s="38">
        <v>8195.0</v>
      </c>
      <c r="F15" s="38">
        <v>2013.0</v>
      </c>
      <c r="G15" s="38">
        <v>1025.0</v>
      </c>
      <c r="H15" s="38">
        <v>526.0</v>
      </c>
      <c r="I15" s="48">
        <f t="shared" si="3"/>
        <v>19058</v>
      </c>
      <c r="J15" s="48">
        <f t="shared" si="4"/>
        <v>20609</v>
      </c>
      <c r="K15" s="49">
        <f t="shared" si="5"/>
        <v>0.4643719173</v>
      </c>
      <c r="L15" s="49">
        <f t="shared" si="6"/>
        <v>0.4300031483</v>
      </c>
      <c r="M15" s="49">
        <f t="shared" si="7"/>
        <v>0.1056249344</v>
      </c>
      <c r="N15" s="32" t="str">
        <f t="shared" si="8"/>
        <v>Jânio</v>
      </c>
      <c r="O15" s="50" t="s">
        <v>77</v>
      </c>
      <c r="P15" s="38">
        <v>8683.0</v>
      </c>
      <c r="Q15" s="38">
        <v>6705.0</v>
      </c>
      <c r="R15" s="38">
        <v>2642.0</v>
      </c>
      <c r="S15" s="38">
        <v>2047.0</v>
      </c>
      <c r="T15" s="38">
        <v>532.0</v>
      </c>
      <c r="U15" s="48">
        <f t="shared" si="9"/>
        <v>18030</v>
      </c>
      <c r="V15" s="48">
        <f t="shared" si="10"/>
        <v>20609</v>
      </c>
      <c r="W15" s="49">
        <f t="shared" si="11"/>
        <v>0.4815862451</v>
      </c>
      <c r="X15" s="49">
        <f t="shared" si="12"/>
        <v>0.3718801997</v>
      </c>
      <c r="Y15" s="49">
        <f t="shared" si="13"/>
        <v>0.1465335552</v>
      </c>
      <c r="Z15" s="32" t="str">
        <f t="shared" si="14"/>
        <v>Jango</v>
      </c>
      <c r="AA15" s="50" t="s">
        <v>77</v>
      </c>
      <c r="AB15" s="38">
        <v>21291.0</v>
      </c>
      <c r="AC15" s="48">
        <f t="shared" si="15"/>
        <v>682</v>
      </c>
      <c r="AD15" s="51">
        <f t="shared" si="16"/>
        <v>0.9679676859</v>
      </c>
    </row>
    <row r="16">
      <c r="A16" s="23"/>
      <c r="B16" s="46" t="s">
        <v>1637</v>
      </c>
      <c r="C16" s="47"/>
      <c r="D16" s="38">
        <v>2263.0</v>
      </c>
      <c r="E16" s="38">
        <v>1993.0</v>
      </c>
      <c r="F16" s="38">
        <v>119.0</v>
      </c>
      <c r="G16" s="38">
        <v>280.0</v>
      </c>
      <c r="H16" s="38">
        <v>82.0</v>
      </c>
      <c r="I16" s="48">
        <f t="shared" si="3"/>
        <v>4375</v>
      </c>
      <c r="J16" s="48">
        <f t="shared" si="4"/>
        <v>4737</v>
      </c>
      <c r="K16" s="49">
        <f t="shared" si="5"/>
        <v>0.5172571429</v>
      </c>
      <c r="L16" s="49">
        <f t="shared" si="6"/>
        <v>0.4555428571</v>
      </c>
      <c r="M16" s="49">
        <f t="shared" si="7"/>
        <v>0.0272</v>
      </c>
      <c r="N16" s="32" t="str">
        <f t="shared" si="8"/>
        <v>Jânio</v>
      </c>
      <c r="O16" s="50" t="s">
        <v>77</v>
      </c>
      <c r="P16" s="38">
        <v>1966.0</v>
      </c>
      <c r="Q16" s="38">
        <v>1901.0</v>
      </c>
      <c r="R16" s="38">
        <v>232.0</v>
      </c>
      <c r="S16" s="38">
        <v>589.0</v>
      </c>
      <c r="T16" s="38">
        <v>49.0</v>
      </c>
      <c r="U16" s="48">
        <f t="shared" si="9"/>
        <v>4099</v>
      </c>
      <c r="V16" s="48">
        <f t="shared" si="10"/>
        <v>4737</v>
      </c>
      <c r="W16" s="49">
        <f t="shared" si="11"/>
        <v>0.4796291778</v>
      </c>
      <c r="X16" s="49">
        <f t="shared" si="12"/>
        <v>0.4637716516</v>
      </c>
      <c r="Y16" s="49">
        <f t="shared" si="13"/>
        <v>0.05659917053</v>
      </c>
      <c r="Z16" s="32" t="str">
        <f t="shared" si="14"/>
        <v>Jango</v>
      </c>
      <c r="AA16" s="50" t="s">
        <v>77</v>
      </c>
      <c r="AB16" s="38">
        <v>4831.0</v>
      </c>
      <c r="AC16" s="48">
        <f t="shared" si="15"/>
        <v>94</v>
      </c>
      <c r="AD16" s="51">
        <f t="shared" si="16"/>
        <v>0.9805423308</v>
      </c>
    </row>
    <row r="17">
      <c r="A17" s="24"/>
      <c r="B17" s="46" t="s">
        <v>1638</v>
      </c>
      <c r="C17" s="47"/>
      <c r="D17" s="38">
        <v>1862.0</v>
      </c>
      <c r="E17" s="38">
        <v>1238.0</v>
      </c>
      <c r="F17" s="38">
        <v>289.0</v>
      </c>
      <c r="G17" s="38">
        <v>207.0</v>
      </c>
      <c r="H17" s="38">
        <v>45.0</v>
      </c>
      <c r="I17" s="48">
        <f t="shared" si="3"/>
        <v>3389</v>
      </c>
      <c r="J17" s="48">
        <f t="shared" si="4"/>
        <v>3641</v>
      </c>
      <c r="K17" s="49">
        <f t="shared" si="5"/>
        <v>0.549424609</v>
      </c>
      <c r="L17" s="49">
        <f t="shared" si="6"/>
        <v>0.3652994984</v>
      </c>
      <c r="M17" s="49">
        <f t="shared" si="7"/>
        <v>0.08527589259</v>
      </c>
      <c r="N17" s="32" t="str">
        <f t="shared" si="8"/>
        <v>Jânio</v>
      </c>
      <c r="O17" s="50" t="s">
        <v>77</v>
      </c>
      <c r="P17" s="38">
        <v>1355.0</v>
      </c>
      <c r="Q17" s="38">
        <v>1763.0</v>
      </c>
      <c r="R17" s="38">
        <v>169.0</v>
      </c>
      <c r="S17" s="38">
        <v>330.0</v>
      </c>
      <c r="T17" s="38">
        <v>24.0</v>
      </c>
      <c r="U17" s="48">
        <f t="shared" si="9"/>
        <v>3287</v>
      </c>
      <c r="V17" s="48">
        <f t="shared" si="10"/>
        <v>3641</v>
      </c>
      <c r="W17" s="49">
        <f t="shared" si="11"/>
        <v>0.412229997</v>
      </c>
      <c r="X17" s="49">
        <f t="shared" si="12"/>
        <v>0.5363553392</v>
      </c>
      <c r="Y17" s="49">
        <f t="shared" si="13"/>
        <v>0.05141466383</v>
      </c>
      <c r="Z17" s="32" t="str">
        <f t="shared" si="14"/>
        <v>Milton</v>
      </c>
      <c r="AA17" s="50" t="s">
        <v>77</v>
      </c>
      <c r="AB17" s="38">
        <v>3724.0</v>
      </c>
      <c r="AC17" s="48">
        <f t="shared" si="15"/>
        <v>83</v>
      </c>
      <c r="AD17" s="51">
        <f t="shared" si="16"/>
        <v>0.9777121375</v>
      </c>
    </row>
    <row r="18">
      <c r="A18" s="61" t="s">
        <v>85</v>
      </c>
      <c r="B18" s="46" t="s">
        <v>1639</v>
      </c>
      <c r="C18" s="47"/>
      <c r="D18" s="38">
        <v>2457.0</v>
      </c>
      <c r="E18" s="38">
        <v>1845.0</v>
      </c>
      <c r="F18" s="38">
        <v>220.0</v>
      </c>
      <c r="G18" s="38">
        <v>289.0</v>
      </c>
      <c r="H18" s="38">
        <v>110.0</v>
      </c>
      <c r="I18" s="48">
        <f t="shared" si="3"/>
        <v>4522</v>
      </c>
      <c r="J18" s="48">
        <f t="shared" si="4"/>
        <v>4921</v>
      </c>
      <c r="K18" s="49">
        <f t="shared" si="5"/>
        <v>0.5433436533</v>
      </c>
      <c r="L18" s="49">
        <f t="shared" si="6"/>
        <v>0.4080053074</v>
      </c>
      <c r="M18" s="49">
        <f t="shared" si="7"/>
        <v>0.04865103936</v>
      </c>
      <c r="N18" s="32" t="str">
        <f t="shared" si="8"/>
        <v>Jânio</v>
      </c>
      <c r="O18" s="50" t="s">
        <v>77</v>
      </c>
      <c r="P18" s="38">
        <v>1909.0</v>
      </c>
      <c r="Q18" s="38">
        <v>2234.0</v>
      </c>
      <c r="R18" s="38">
        <v>169.0</v>
      </c>
      <c r="S18" s="38">
        <v>539.0</v>
      </c>
      <c r="T18" s="38">
        <v>70.0</v>
      </c>
      <c r="U18" s="48">
        <f t="shared" si="9"/>
        <v>4312</v>
      </c>
      <c r="V18" s="48">
        <f t="shared" si="10"/>
        <v>4921</v>
      </c>
      <c r="W18" s="49">
        <f t="shared" si="11"/>
        <v>0.4427179963</v>
      </c>
      <c r="X18" s="49">
        <f t="shared" si="12"/>
        <v>0.5180890538</v>
      </c>
      <c r="Y18" s="49">
        <f t="shared" si="13"/>
        <v>0.03919294991</v>
      </c>
      <c r="Z18" s="32" t="str">
        <f t="shared" si="14"/>
        <v>Milton</v>
      </c>
      <c r="AA18" s="50" t="s">
        <v>77</v>
      </c>
      <c r="AB18" s="38">
        <v>5339.0</v>
      </c>
      <c r="AC18" s="48">
        <f t="shared" si="15"/>
        <v>418</v>
      </c>
      <c r="AD18" s="51">
        <f t="shared" si="16"/>
        <v>0.9217081851</v>
      </c>
    </row>
    <row r="19">
      <c r="A19" s="24"/>
      <c r="B19" s="46" t="s">
        <v>1640</v>
      </c>
      <c r="C19" s="47"/>
      <c r="D19" s="38">
        <v>1224.0</v>
      </c>
      <c r="E19" s="38">
        <v>1135.0</v>
      </c>
      <c r="F19" s="38">
        <v>203.0</v>
      </c>
      <c r="G19" s="38">
        <v>187.0</v>
      </c>
      <c r="H19" s="38">
        <v>67.0</v>
      </c>
      <c r="I19" s="48">
        <f t="shared" si="3"/>
        <v>2562</v>
      </c>
      <c r="J19" s="48">
        <f t="shared" si="4"/>
        <v>2816</v>
      </c>
      <c r="K19" s="49">
        <f t="shared" si="5"/>
        <v>0.4777517564</v>
      </c>
      <c r="L19" s="49">
        <f t="shared" si="6"/>
        <v>0.4430132709</v>
      </c>
      <c r="M19" s="49">
        <f t="shared" si="7"/>
        <v>0.07923497268</v>
      </c>
      <c r="N19" s="32" t="str">
        <f t="shared" si="8"/>
        <v>Jânio</v>
      </c>
      <c r="O19" s="50" t="s">
        <v>77</v>
      </c>
      <c r="P19" s="38">
        <v>1209.0</v>
      </c>
      <c r="Q19" s="38">
        <v>1029.0</v>
      </c>
      <c r="R19" s="48">
        <v>262.0</v>
      </c>
      <c r="S19" s="38">
        <v>268.0</v>
      </c>
      <c r="T19" s="38">
        <v>48.0</v>
      </c>
      <c r="U19" s="48">
        <f t="shared" si="9"/>
        <v>2500</v>
      </c>
      <c r="V19" s="48">
        <f t="shared" si="10"/>
        <v>2816</v>
      </c>
      <c r="W19" s="49">
        <f t="shared" si="11"/>
        <v>0.4836</v>
      </c>
      <c r="X19" s="49">
        <f t="shared" si="12"/>
        <v>0.4116</v>
      </c>
      <c r="Y19" s="49">
        <f t="shared" si="13"/>
        <v>0.1048</v>
      </c>
      <c r="Z19" s="32" t="str">
        <f t="shared" si="14"/>
        <v>Jango</v>
      </c>
      <c r="AA19" s="50" t="s">
        <v>77</v>
      </c>
      <c r="AB19" s="38">
        <v>3363.0</v>
      </c>
      <c r="AC19" s="48">
        <f t="shared" si="15"/>
        <v>547</v>
      </c>
      <c r="AD19" s="51">
        <f t="shared" si="16"/>
        <v>0.8373476063</v>
      </c>
    </row>
    <row r="20">
      <c r="A20" s="61" t="s">
        <v>90</v>
      </c>
      <c r="B20" s="46" t="s">
        <v>1641</v>
      </c>
      <c r="C20" s="47"/>
      <c r="D20" s="38">
        <v>5312.0</v>
      </c>
      <c r="E20" s="38">
        <v>4085.0</v>
      </c>
      <c r="F20" s="38">
        <v>535.0</v>
      </c>
      <c r="G20" s="38">
        <v>728.0</v>
      </c>
      <c r="H20" s="38">
        <v>127.0</v>
      </c>
      <c r="I20" s="48">
        <f t="shared" si="3"/>
        <v>9932</v>
      </c>
      <c r="J20" s="48">
        <f t="shared" si="4"/>
        <v>10787</v>
      </c>
      <c r="K20" s="49">
        <f t="shared" si="5"/>
        <v>0.5348368909</v>
      </c>
      <c r="L20" s="49">
        <f t="shared" si="6"/>
        <v>0.4112968184</v>
      </c>
      <c r="M20" s="49">
        <f t="shared" si="7"/>
        <v>0.05386629078</v>
      </c>
      <c r="N20" s="32" t="str">
        <f t="shared" si="8"/>
        <v>Jânio</v>
      </c>
      <c r="O20" s="50" t="s">
        <v>77</v>
      </c>
      <c r="P20" s="38">
        <v>3722.0</v>
      </c>
      <c r="Q20" s="38">
        <v>2973.0</v>
      </c>
      <c r="R20" s="48">
        <v>2537.0</v>
      </c>
      <c r="S20" s="38">
        <v>1417.0</v>
      </c>
      <c r="T20" s="38">
        <v>138.0</v>
      </c>
      <c r="U20" s="48">
        <f t="shared" si="9"/>
        <v>9232</v>
      </c>
      <c r="V20" s="48">
        <f t="shared" si="10"/>
        <v>10787</v>
      </c>
      <c r="W20" s="49">
        <f t="shared" si="11"/>
        <v>0.4031629116</v>
      </c>
      <c r="X20" s="49">
        <f t="shared" si="12"/>
        <v>0.3220320624</v>
      </c>
      <c r="Y20" s="49">
        <f t="shared" si="13"/>
        <v>0.274805026</v>
      </c>
      <c r="Z20" s="32" t="str">
        <f t="shared" si="14"/>
        <v>Jango</v>
      </c>
      <c r="AA20" s="50" t="s">
        <v>77</v>
      </c>
      <c r="AB20" s="38">
        <v>11354.0</v>
      </c>
      <c r="AC20" s="48">
        <f t="shared" si="15"/>
        <v>567</v>
      </c>
      <c r="AD20" s="51">
        <f t="shared" si="16"/>
        <v>0.9500616523</v>
      </c>
    </row>
    <row r="21">
      <c r="A21" s="23"/>
      <c r="B21" s="46" t="s">
        <v>1642</v>
      </c>
      <c r="C21" s="47"/>
      <c r="D21" s="38">
        <v>1474.0</v>
      </c>
      <c r="E21" s="38">
        <v>977.0</v>
      </c>
      <c r="F21" s="38">
        <v>147.0</v>
      </c>
      <c r="G21" s="38">
        <v>200.0</v>
      </c>
      <c r="H21" s="38">
        <v>62.0</v>
      </c>
      <c r="I21" s="48">
        <f t="shared" si="3"/>
        <v>2598</v>
      </c>
      <c r="J21" s="48">
        <f t="shared" si="4"/>
        <v>2860</v>
      </c>
      <c r="K21" s="49">
        <f t="shared" si="5"/>
        <v>0.5673595073</v>
      </c>
      <c r="L21" s="49">
        <f t="shared" si="6"/>
        <v>0.3760585065</v>
      </c>
      <c r="M21" s="49">
        <f t="shared" si="7"/>
        <v>0.05658198614</v>
      </c>
      <c r="N21" s="32" t="str">
        <f t="shared" si="8"/>
        <v>Jânio</v>
      </c>
      <c r="O21" s="50" t="s">
        <v>77</v>
      </c>
      <c r="P21" s="38">
        <v>985.0</v>
      </c>
      <c r="Q21" s="38">
        <v>1131.0</v>
      </c>
      <c r="R21" s="48">
        <v>220.0</v>
      </c>
      <c r="S21" s="38">
        <v>484.0</v>
      </c>
      <c r="T21" s="38">
        <v>40.0</v>
      </c>
      <c r="U21" s="48">
        <f t="shared" si="9"/>
        <v>2336</v>
      </c>
      <c r="V21" s="48">
        <f t="shared" si="10"/>
        <v>2860</v>
      </c>
      <c r="W21" s="49">
        <f t="shared" si="11"/>
        <v>0.4216609589</v>
      </c>
      <c r="X21" s="49">
        <f t="shared" si="12"/>
        <v>0.4841609589</v>
      </c>
      <c r="Y21" s="49">
        <f t="shared" si="13"/>
        <v>0.09417808219</v>
      </c>
      <c r="Z21" s="32" t="str">
        <f t="shared" si="14"/>
        <v>Milton</v>
      </c>
      <c r="AA21" s="50" t="s">
        <v>77</v>
      </c>
      <c r="AB21" s="38">
        <v>3080.0</v>
      </c>
      <c r="AC21" s="48">
        <f t="shared" si="15"/>
        <v>220</v>
      </c>
      <c r="AD21" s="51">
        <f t="shared" si="16"/>
        <v>0.9285714286</v>
      </c>
    </row>
    <row r="22">
      <c r="A22" s="24"/>
      <c r="B22" s="46" t="s">
        <v>1643</v>
      </c>
      <c r="C22" s="47"/>
      <c r="D22" s="38">
        <v>1204.0</v>
      </c>
      <c r="E22" s="38">
        <v>1130.0</v>
      </c>
      <c r="F22" s="38">
        <v>147.0</v>
      </c>
      <c r="G22" s="38">
        <v>97.0</v>
      </c>
      <c r="H22" s="38">
        <v>60.0</v>
      </c>
      <c r="I22" s="48">
        <f t="shared" si="3"/>
        <v>2481</v>
      </c>
      <c r="J22" s="48">
        <f t="shared" si="4"/>
        <v>2638</v>
      </c>
      <c r="K22" s="49">
        <f t="shared" si="5"/>
        <v>0.4852881902</v>
      </c>
      <c r="L22" s="49">
        <f t="shared" si="6"/>
        <v>0.4554615075</v>
      </c>
      <c r="M22" s="49">
        <f t="shared" si="7"/>
        <v>0.0592503023</v>
      </c>
      <c r="N22" s="32" t="str">
        <f t="shared" si="8"/>
        <v>Jânio</v>
      </c>
      <c r="O22" s="50" t="s">
        <v>77</v>
      </c>
      <c r="P22" s="38">
        <v>1205.0</v>
      </c>
      <c r="Q22" s="38">
        <v>1065.0</v>
      </c>
      <c r="R22" s="48">
        <v>152.0</v>
      </c>
      <c r="S22" s="38">
        <v>152.0</v>
      </c>
      <c r="T22" s="38">
        <v>64.0</v>
      </c>
      <c r="U22" s="48">
        <f t="shared" si="9"/>
        <v>2422</v>
      </c>
      <c r="V22" s="48">
        <f t="shared" si="10"/>
        <v>2638</v>
      </c>
      <c r="W22" s="49">
        <f t="shared" si="11"/>
        <v>0.4975227085</v>
      </c>
      <c r="X22" s="49">
        <f t="shared" si="12"/>
        <v>0.4397192403</v>
      </c>
      <c r="Y22" s="49">
        <f t="shared" si="13"/>
        <v>0.0627580512</v>
      </c>
      <c r="Z22" s="32" t="str">
        <f t="shared" si="14"/>
        <v>Jango</v>
      </c>
      <c r="AA22" s="50" t="s">
        <v>77</v>
      </c>
      <c r="AB22" s="38">
        <v>2882.0</v>
      </c>
      <c r="AC22" s="48">
        <f t="shared" si="15"/>
        <v>244</v>
      </c>
      <c r="AD22" s="51">
        <f t="shared" si="16"/>
        <v>0.9153365718</v>
      </c>
    </row>
    <row r="23">
      <c r="A23" s="61" t="s">
        <v>92</v>
      </c>
      <c r="B23" s="46" t="s">
        <v>1644</v>
      </c>
      <c r="C23" s="47"/>
      <c r="D23" s="38">
        <v>2451.0</v>
      </c>
      <c r="E23" s="38">
        <v>1670.0</v>
      </c>
      <c r="F23" s="38">
        <v>1103.0</v>
      </c>
      <c r="G23" s="38">
        <v>314.0</v>
      </c>
      <c r="H23" s="38">
        <v>83.0</v>
      </c>
      <c r="I23" s="48">
        <f t="shared" si="3"/>
        <v>5224</v>
      </c>
      <c r="J23" s="48">
        <f t="shared" si="4"/>
        <v>5621</v>
      </c>
      <c r="K23" s="49">
        <f t="shared" si="5"/>
        <v>0.4691807044</v>
      </c>
      <c r="L23" s="49">
        <f t="shared" si="6"/>
        <v>0.3196784074</v>
      </c>
      <c r="M23" s="49">
        <f t="shared" si="7"/>
        <v>0.2111408882</v>
      </c>
      <c r="N23" s="32" t="str">
        <f t="shared" si="8"/>
        <v>Jânio</v>
      </c>
      <c r="O23" s="50" t="s">
        <v>77</v>
      </c>
      <c r="P23" s="38">
        <v>2019.0</v>
      </c>
      <c r="Q23" s="38">
        <v>1621.0</v>
      </c>
      <c r="R23" s="48">
        <v>1112.0</v>
      </c>
      <c r="S23" s="38">
        <v>805.0</v>
      </c>
      <c r="T23" s="38">
        <v>64.0</v>
      </c>
      <c r="U23" s="48">
        <f t="shared" si="9"/>
        <v>4752</v>
      </c>
      <c r="V23" s="48">
        <f t="shared" si="10"/>
        <v>5621</v>
      </c>
      <c r="W23" s="49">
        <f t="shared" si="11"/>
        <v>0.4248737374</v>
      </c>
      <c r="X23" s="49">
        <f t="shared" si="12"/>
        <v>0.3411195286</v>
      </c>
      <c r="Y23" s="49">
        <f t="shared" si="13"/>
        <v>0.234006734</v>
      </c>
      <c r="Z23" s="32" t="str">
        <f t="shared" si="14"/>
        <v>Jango</v>
      </c>
      <c r="AA23" s="50" t="s">
        <v>77</v>
      </c>
      <c r="AB23" s="38">
        <v>6382.0</v>
      </c>
      <c r="AC23" s="48">
        <f t="shared" si="15"/>
        <v>761</v>
      </c>
      <c r="AD23" s="51">
        <f t="shared" si="16"/>
        <v>0.880758383</v>
      </c>
    </row>
    <row r="24">
      <c r="A24" s="24"/>
      <c r="B24" s="46" t="s">
        <v>1645</v>
      </c>
      <c r="C24" s="47"/>
      <c r="D24" s="38">
        <v>870.0</v>
      </c>
      <c r="E24" s="38">
        <v>455.0</v>
      </c>
      <c r="F24" s="38">
        <v>128.0</v>
      </c>
      <c r="G24" s="38">
        <v>58.0</v>
      </c>
      <c r="H24" s="38">
        <v>44.0</v>
      </c>
      <c r="I24" s="48">
        <f t="shared" si="3"/>
        <v>1453</v>
      </c>
      <c r="J24" s="48">
        <f t="shared" si="4"/>
        <v>1555</v>
      </c>
      <c r="K24" s="49">
        <f t="shared" si="5"/>
        <v>0.5987611838</v>
      </c>
      <c r="L24" s="49">
        <f t="shared" si="6"/>
        <v>0.3131452168</v>
      </c>
      <c r="M24" s="49">
        <f t="shared" si="7"/>
        <v>0.08809359945</v>
      </c>
      <c r="N24" s="32" t="str">
        <f t="shared" si="8"/>
        <v>Jânio</v>
      </c>
      <c r="O24" s="50" t="s">
        <v>77</v>
      </c>
      <c r="P24" s="38">
        <v>475.0</v>
      </c>
      <c r="Q24" s="38">
        <v>563.0</v>
      </c>
      <c r="R24" s="48">
        <v>349.0</v>
      </c>
      <c r="S24" s="38">
        <v>133.0</v>
      </c>
      <c r="T24" s="38">
        <v>35.0</v>
      </c>
      <c r="U24" s="48">
        <f t="shared" si="9"/>
        <v>1387</v>
      </c>
      <c r="V24" s="48">
        <f t="shared" si="10"/>
        <v>1555</v>
      </c>
      <c r="W24" s="49">
        <f t="shared" si="11"/>
        <v>0.3424657534</v>
      </c>
      <c r="X24" s="49">
        <f t="shared" si="12"/>
        <v>0.4059120404</v>
      </c>
      <c r="Y24" s="49">
        <f t="shared" si="13"/>
        <v>0.2516222062</v>
      </c>
      <c r="Z24" s="32" t="str">
        <f t="shared" si="14"/>
        <v>Milton</v>
      </c>
      <c r="AA24" s="50" t="s">
        <v>77</v>
      </c>
      <c r="AB24" s="38">
        <v>1754.0</v>
      </c>
      <c r="AC24" s="48">
        <f t="shared" si="15"/>
        <v>199</v>
      </c>
      <c r="AD24" s="51">
        <f t="shared" si="16"/>
        <v>0.8865450399</v>
      </c>
    </row>
    <row r="25">
      <c r="A25" s="110" t="s">
        <v>94</v>
      </c>
      <c r="B25" s="46" t="s">
        <v>1646</v>
      </c>
      <c r="C25" s="47"/>
      <c r="D25" s="38">
        <v>3216.0</v>
      </c>
      <c r="E25" s="38">
        <v>4461.0</v>
      </c>
      <c r="F25" s="38">
        <v>776.0</v>
      </c>
      <c r="G25" s="38">
        <v>809.0</v>
      </c>
      <c r="H25" s="38">
        <v>179.0</v>
      </c>
      <c r="I25" s="48">
        <f t="shared" si="3"/>
        <v>8453</v>
      </c>
      <c r="J25" s="48">
        <f t="shared" si="4"/>
        <v>9441</v>
      </c>
      <c r="K25" s="49">
        <f t="shared" si="5"/>
        <v>0.3804566426</v>
      </c>
      <c r="L25" s="49">
        <f t="shared" si="6"/>
        <v>0.5277416302</v>
      </c>
      <c r="M25" s="49">
        <f t="shared" si="7"/>
        <v>0.0918017272</v>
      </c>
      <c r="N25" s="32" t="str">
        <f t="shared" si="8"/>
        <v>Mal. Lott</v>
      </c>
      <c r="O25" s="50" t="s">
        <v>77</v>
      </c>
      <c r="P25" s="38">
        <v>4651.0</v>
      </c>
      <c r="Q25" s="38">
        <v>2032.0</v>
      </c>
      <c r="R25" s="38">
        <v>974.0</v>
      </c>
      <c r="S25" s="38">
        <v>1667.0</v>
      </c>
      <c r="T25" s="38">
        <v>117.0</v>
      </c>
      <c r="U25" s="48">
        <f t="shared" si="9"/>
        <v>7657</v>
      </c>
      <c r="V25" s="48">
        <f t="shared" si="10"/>
        <v>9441</v>
      </c>
      <c r="W25" s="49">
        <f t="shared" si="11"/>
        <v>0.6074180488</v>
      </c>
      <c r="X25" s="49">
        <f t="shared" si="12"/>
        <v>0.2653780854</v>
      </c>
      <c r="Y25" s="49">
        <f t="shared" si="13"/>
        <v>0.1272038657</v>
      </c>
      <c r="Z25" s="32" t="str">
        <f t="shared" si="14"/>
        <v>Jango</v>
      </c>
      <c r="AA25" s="50" t="s">
        <v>77</v>
      </c>
      <c r="AB25" s="38">
        <v>10301.0</v>
      </c>
      <c r="AC25" s="48">
        <f t="shared" si="15"/>
        <v>860</v>
      </c>
      <c r="AD25" s="51">
        <f t="shared" si="16"/>
        <v>0.9165129599</v>
      </c>
    </row>
    <row r="26">
      <c r="A26" s="110" t="s">
        <v>97</v>
      </c>
      <c r="B26" s="46" t="s">
        <v>1647</v>
      </c>
      <c r="C26" s="47"/>
      <c r="D26" s="38">
        <v>3993.0</v>
      </c>
      <c r="E26" s="38">
        <v>3677.0</v>
      </c>
      <c r="F26" s="38">
        <v>655.0</v>
      </c>
      <c r="G26" s="38">
        <v>690.0</v>
      </c>
      <c r="H26" s="38">
        <v>193.0</v>
      </c>
      <c r="I26" s="48">
        <f t="shared" si="3"/>
        <v>8325</v>
      </c>
      <c r="J26" s="48">
        <f t="shared" si="4"/>
        <v>9208</v>
      </c>
      <c r="K26" s="49">
        <f t="shared" si="5"/>
        <v>0.4796396396</v>
      </c>
      <c r="L26" s="49">
        <f t="shared" si="6"/>
        <v>0.4416816817</v>
      </c>
      <c r="M26" s="49">
        <f t="shared" si="7"/>
        <v>0.07867867868</v>
      </c>
      <c r="N26" s="32" t="str">
        <f t="shared" si="8"/>
        <v>Jânio</v>
      </c>
      <c r="O26" s="50" t="s">
        <v>77</v>
      </c>
      <c r="P26" s="38">
        <v>3801.0</v>
      </c>
      <c r="Q26" s="38">
        <v>3216.0</v>
      </c>
      <c r="R26" s="38">
        <v>707.0</v>
      </c>
      <c r="S26" s="38">
        <v>1343.0</v>
      </c>
      <c r="T26" s="38">
        <v>141.0</v>
      </c>
      <c r="U26" s="48">
        <f t="shared" si="9"/>
        <v>7724</v>
      </c>
      <c r="V26" s="48">
        <f t="shared" si="10"/>
        <v>9208</v>
      </c>
      <c r="W26" s="49">
        <f t="shared" si="11"/>
        <v>0.4921025375</v>
      </c>
      <c r="X26" s="49">
        <f t="shared" si="12"/>
        <v>0.4163645779</v>
      </c>
      <c r="Y26" s="49">
        <f t="shared" si="13"/>
        <v>0.09153288452</v>
      </c>
      <c r="Z26" s="32" t="str">
        <f t="shared" si="14"/>
        <v>Jango</v>
      </c>
      <c r="AA26" s="50" t="s">
        <v>77</v>
      </c>
      <c r="AB26" s="38">
        <v>10092.0</v>
      </c>
      <c r="AC26" s="48">
        <f t="shared" si="15"/>
        <v>884</v>
      </c>
      <c r="AD26" s="51">
        <f t="shared" si="16"/>
        <v>0.912405866</v>
      </c>
    </row>
    <row r="27">
      <c r="A27" s="61" t="s">
        <v>99</v>
      </c>
      <c r="B27" s="46" t="s">
        <v>1648</v>
      </c>
      <c r="C27" s="47"/>
      <c r="D27" s="38">
        <v>4000.0</v>
      </c>
      <c r="E27" s="38">
        <v>4116.0</v>
      </c>
      <c r="F27" s="38">
        <v>713.0</v>
      </c>
      <c r="G27" s="38">
        <v>336.0</v>
      </c>
      <c r="H27" s="38">
        <v>182.0</v>
      </c>
      <c r="I27" s="48">
        <f t="shared" si="3"/>
        <v>8829</v>
      </c>
      <c r="J27" s="48">
        <f t="shared" si="4"/>
        <v>9347</v>
      </c>
      <c r="K27" s="49">
        <f t="shared" si="5"/>
        <v>0.4530524408</v>
      </c>
      <c r="L27" s="49">
        <f t="shared" si="6"/>
        <v>0.4661909616</v>
      </c>
      <c r="M27" s="49">
        <f t="shared" si="7"/>
        <v>0.08075659758</v>
      </c>
      <c r="N27" s="32" t="str">
        <f t="shared" si="8"/>
        <v>Mal. Lott</v>
      </c>
      <c r="O27" s="50" t="s">
        <v>77</v>
      </c>
      <c r="P27" s="38">
        <v>4027.0</v>
      </c>
      <c r="Q27" s="38">
        <v>2990.0</v>
      </c>
      <c r="R27" s="38">
        <v>1446.0</v>
      </c>
      <c r="S27" s="38">
        <v>754.0</v>
      </c>
      <c r="T27" s="38">
        <v>130.0</v>
      </c>
      <c r="U27" s="48">
        <f t="shared" si="9"/>
        <v>8463</v>
      </c>
      <c r="V27" s="48">
        <f t="shared" si="10"/>
        <v>9347</v>
      </c>
      <c r="W27" s="49">
        <f t="shared" si="11"/>
        <v>0.475835992</v>
      </c>
      <c r="X27" s="49">
        <f t="shared" si="12"/>
        <v>0.3533026114</v>
      </c>
      <c r="Y27" s="49">
        <f t="shared" si="13"/>
        <v>0.1708613967</v>
      </c>
      <c r="Z27" s="32" t="str">
        <f t="shared" si="14"/>
        <v>Jango</v>
      </c>
      <c r="AA27" s="50" t="s">
        <v>77</v>
      </c>
      <c r="AB27" s="38">
        <v>9966.0</v>
      </c>
      <c r="AC27" s="48">
        <f t="shared" si="15"/>
        <v>619</v>
      </c>
      <c r="AD27" s="51">
        <f t="shared" si="16"/>
        <v>0.937888822</v>
      </c>
    </row>
    <row r="28">
      <c r="A28" s="23"/>
      <c r="B28" s="46" t="s">
        <v>1649</v>
      </c>
      <c r="C28" s="47"/>
      <c r="D28" s="38">
        <v>902.0</v>
      </c>
      <c r="E28" s="38">
        <v>349.0</v>
      </c>
      <c r="F28" s="38">
        <v>167.0</v>
      </c>
      <c r="G28" s="38">
        <v>51.0</v>
      </c>
      <c r="H28" s="38">
        <v>37.0</v>
      </c>
      <c r="I28" s="48">
        <f t="shared" si="3"/>
        <v>1418</v>
      </c>
      <c r="J28" s="48">
        <f t="shared" si="4"/>
        <v>1506</v>
      </c>
      <c r="K28" s="49">
        <f t="shared" si="5"/>
        <v>0.6361071932</v>
      </c>
      <c r="L28" s="49">
        <f t="shared" si="6"/>
        <v>0.2461212976</v>
      </c>
      <c r="M28" s="49">
        <f t="shared" si="7"/>
        <v>0.1177715092</v>
      </c>
      <c r="N28" s="32" t="str">
        <f t="shared" si="8"/>
        <v>Jânio</v>
      </c>
      <c r="O28" s="50" t="s">
        <v>77</v>
      </c>
      <c r="P28" s="38">
        <v>431.0</v>
      </c>
      <c r="Q28" s="38">
        <v>673.0</v>
      </c>
      <c r="R28" s="38">
        <v>292.0</v>
      </c>
      <c r="S28" s="38">
        <v>82.0</v>
      </c>
      <c r="T28" s="38">
        <v>28.0</v>
      </c>
      <c r="U28" s="48">
        <f t="shared" si="9"/>
        <v>1396</v>
      </c>
      <c r="V28" s="48">
        <f t="shared" si="10"/>
        <v>1506</v>
      </c>
      <c r="W28" s="49">
        <f t="shared" si="11"/>
        <v>0.308739255</v>
      </c>
      <c r="X28" s="49">
        <f t="shared" si="12"/>
        <v>0.4820916905</v>
      </c>
      <c r="Y28" s="49">
        <f t="shared" si="13"/>
        <v>0.2091690544</v>
      </c>
      <c r="Z28" s="32" t="str">
        <f t="shared" si="14"/>
        <v>Milton</v>
      </c>
      <c r="AA28" s="50" t="s">
        <v>77</v>
      </c>
      <c r="AB28" s="38">
        <v>1578.0</v>
      </c>
      <c r="AC28" s="48">
        <f t="shared" si="15"/>
        <v>72</v>
      </c>
      <c r="AD28" s="51">
        <f t="shared" si="16"/>
        <v>0.9543726236</v>
      </c>
    </row>
    <row r="29">
      <c r="A29" s="24"/>
      <c r="B29" s="46" t="s">
        <v>1650</v>
      </c>
      <c r="C29" s="47"/>
      <c r="D29" s="38">
        <v>1265.0</v>
      </c>
      <c r="E29" s="38">
        <v>1556.0</v>
      </c>
      <c r="F29" s="38">
        <v>242.0</v>
      </c>
      <c r="G29" s="38">
        <v>84.0</v>
      </c>
      <c r="H29" s="38">
        <v>81.0</v>
      </c>
      <c r="I29" s="48">
        <f t="shared" si="3"/>
        <v>3063</v>
      </c>
      <c r="J29" s="48">
        <f t="shared" si="4"/>
        <v>3228</v>
      </c>
      <c r="K29" s="49">
        <f t="shared" si="5"/>
        <v>0.4129937969</v>
      </c>
      <c r="L29" s="49">
        <f t="shared" si="6"/>
        <v>0.5079986941</v>
      </c>
      <c r="M29" s="49">
        <f t="shared" si="7"/>
        <v>0.07900750898</v>
      </c>
      <c r="N29" s="32" t="str">
        <f t="shared" si="8"/>
        <v>Mal. Lott</v>
      </c>
      <c r="O29" s="50" t="s">
        <v>77</v>
      </c>
      <c r="P29" s="38">
        <v>1613.0</v>
      </c>
      <c r="Q29" s="38">
        <v>568.0</v>
      </c>
      <c r="R29" s="38">
        <v>827.0</v>
      </c>
      <c r="S29" s="38">
        <v>172.0</v>
      </c>
      <c r="T29" s="38">
        <v>48.0</v>
      </c>
      <c r="U29" s="48">
        <f t="shared" si="9"/>
        <v>3008</v>
      </c>
      <c r="V29" s="48">
        <f t="shared" si="10"/>
        <v>3228</v>
      </c>
      <c r="W29" s="49">
        <f t="shared" si="11"/>
        <v>0.5362367021</v>
      </c>
      <c r="X29" s="49">
        <f t="shared" si="12"/>
        <v>0.1888297872</v>
      </c>
      <c r="Y29" s="49">
        <f t="shared" si="13"/>
        <v>0.2749335106</v>
      </c>
      <c r="Z29" s="32" t="str">
        <f t="shared" si="14"/>
        <v>Jango</v>
      </c>
      <c r="AA29" s="50" t="s">
        <v>77</v>
      </c>
      <c r="AB29" s="38">
        <v>3331.0</v>
      </c>
      <c r="AC29" s="48">
        <f t="shared" si="15"/>
        <v>103</v>
      </c>
      <c r="AD29" s="51">
        <f t="shared" si="16"/>
        <v>0.9690783548</v>
      </c>
    </row>
    <row r="30">
      <c r="A30" s="61" t="s">
        <v>104</v>
      </c>
      <c r="B30" s="46" t="s">
        <v>1651</v>
      </c>
      <c r="C30" s="47"/>
      <c r="D30" s="38">
        <v>3746.0</v>
      </c>
      <c r="E30" s="38">
        <v>7378.0</v>
      </c>
      <c r="F30" s="38">
        <v>465.0</v>
      </c>
      <c r="G30" s="38">
        <v>457.0</v>
      </c>
      <c r="H30" s="38">
        <v>186.0</v>
      </c>
      <c r="I30" s="48">
        <f t="shared" si="3"/>
        <v>11589</v>
      </c>
      <c r="J30" s="48">
        <f t="shared" si="4"/>
        <v>12232</v>
      </c>
      <c r="K30" s="49">
        <f t="shared" si="5"/>
        <v>0.3232375529</v>
      </c>
      <c r="L30" s="49">
        <f t="shared" si="6"/>
        <v>0.6366381914</v>
      </c>
      <c r="M30" s="49">
        <f t="shared" si="7"/>
        <v>0.04012425576</v>
      </c>
      <c r="N30" s="32" t="str">
        <f t="shared" si="8"/>
        <v>Mal. Lott</v>
      </c>
      <c r="O30" s="50" t="s">
        <v>77</v>
      </c>
      <c r="P30" s="38">
        <v>7679.0</v>
      </c>
      <c r="Q30" s="38">
        <v>2514.0</v>
      </c>
      <c r="R30" s="38">
        <v>1066.0</v>
      </c>
      <c r="S30" s="38">
        <v>850.0</v>
      </c>
      <c r="T30" s="38">
        <v>123.0</v>
      </c>
      <c r="U30" s="48">
        <f t="shared" si="9"/>
        <v>11259</v>
      </c>
      <c r="V30" s="48">
        <f t="shared" si="10"/>
        <v>12232</v>
      </c>
      <c r="W30" s="49">
        <f t="shared" si="11"/>
        <v>0.6820321521</v>
      </c>
      <c r="X30" s="49">
        <f t="shared" si="12"/>
        <v>0.2232880362</v>
      </c>
      <c r="Y30" s="49">
        <f t="shared" si="13"/>
        <v>0.09467981171</v>
      </c>
      <c r="Z30" s="32" t="str">
        <f t="shared" si="14"/>
        <v>Jango</v>
      </c>
      <c r="AA30" s="50" t="s">
        <v>77</v>
      </c>
      <c r="AB30" s="38">
        <v>13079.0</v>
      </c>
      <c r="AC30" s="48">
        <f t="shared" si="15"/>
        <v>847</v>
      </c>
      <c r="AD30" s="51">
        <f t="shared" si="16"/>
        <v>0.9352396972</v>
      </c>
    </row>
    <row r="31">
      <c r="A31" s="24"/>
      <c r="B31" s="46" t="s">
        <v>1316</v>
      </c>
      <c r="C31" s="47"/>
      <c r="D31" s="38">
        <v>1135.0</v>
      </c>
      <c r="E31" s="38">
        <v>1005.0</v>
      </c>
      <c r="F31" s="38">
        <v>68.0</v>
      </c>
      <c r="G31" s="38">
        <v>84.0</v>
      </c>
      <c r="H31" s="38">
        <v>25.0</v>
      </c>
      <c r="I31" s="48">
        <f t="shared" si="3"/>
        <v>2208</v>
      </c>
      <c r="J31" s="48">
        <f t="shared" si="4"/>
        <v>2317</v>
      </c>
      <c r="K31" s="49">
        <f t="shared" si="5"/>
        <v>0.5140398551</v>
      </c>
      <c r="L31" s="49">
        <f t="shared" si="6"/>
        <v>0.4551630435</v>
      </c>
      <c r="M31" s="49">
        <f t="shared" si="7"/>
        <v>0.03079710145</v>
      </c>
      <c r="N31" s="32" t="str">
        <f t="shared" si="8"/>
        <v>Jânio</v>
      </c>
      <c r="O31" s="50" t="s">
        <v>77</v>
      </c>
      <c r="P31" s="38">
        <v>1036.0</v>
      </c>
      <c r="Q31" s="38">
        <v>883.0</v>
      </c>
      <c r="R31" s="38">
        <v>262.0</v>
      </c>
      <c r="S31" s="38">
        <v>112.0</v>
      </c>
      <c r="T31" s="38">
        <v>24.0</v>
      </c>
      <c r="U31" s="48">
        <f t="shared" si="9"/>
        <v>2181</v>
      </c>
      <c r="V31" s="48">
        <f t="shared" si="10"/>
        <v>2317</v>
      </c>
      <c r="W31" s="49">
        <f t="shared" si="11"/>
        <v>0.4750114626</v>
      </c>
      <c r="X31" s="49">
        <f t="shared" si="12"/>
        <v>0.4048601559</v>
      </c>
      <c r="Y31" s="49">
        <f t="shared" si="13"/>
        <v>0.1201283815</v>
      </c>
      <c r="Z31" s="32" t="str">
        <f t="shared" si="14"/>
        <v>Jango</v>
      </c>
      <c r="AA31" s="50" t="s">
        <v>77</v>
      </c>
      <c r="AB31" s="38">
        <v>2518.0</v>
      </c>
      <c r="AC31" s="48">
        <f t="shared" si="15"/>
        <v>201</v>
      </c>
      <c r="AD31" s="51">
        <f t="shared" si="16"/>
        <v>0.9201747419</v>
      </c>
    </row>
    <row r="32">
      <c r="A32" s="61" t="s">
        <v>107</v>
      </c>
      <c r="B32" s="46" t="s">
        <v>1652</v>
      </c>
      <c r="C32" s="47"/>
      <c r="D32" s="38">
        <v>3062.0</v>
      </c>
      <c r="E32" s="38">
        <v>2695.0</v>
      </c>
      <c r="F32" s="38">
        <v>1021.0</v>
      </c>
      <c r="G32" s="38">
        <v>694.0</v>
      </c>
      <c r="H32" s="38">
        <v>181.0</v>
      </c>
      <c r="I32" s="48">
        <f t="shared" si="3"/>
        <v>6778</v>
      </c>
      <c r="J32" s="48">
        <f t="shared" si="4"/>
        <v>7653</v>
      </c>
      <c r="K32" s="49">
        <f t="shared" si="5"/>
        <v>0.4517556801</v>
      </c>
      <c r="L32" s="49">
        <f t="shared" si="6"/>
        <v>0.3976099144</v>
      </c>
      <c r="M32" s="49">
        <f t="shared" si="7"/>
        <v>0.1506344054</v>
      </c>
      <c r="N32" s="32" t="str">
        <f t="shared" si="8"/>
        <v>Jânio</v>
      </c>
      <c r="O32" s="50" t="s">
        <v>77</v>
      </c>
      <c r="P32" s="38">
        <v>3260.0</v>
      </c>
      <c r="Q32" s="38">
        <v>2239.0</v>
      </c>
      <c r="R32" s="38">
        <v>792.0</v>
      </c>
      <c r="S32" s="38">
        <v>1159.0</v>
      </c>
      <c r="T32" s="38">
        <v>203.0</v>
      </c>
      <c r="U32" s="48">
        <f t="shared" si="9"/>
        <v>6291</v>
      </c>
      <c r="V32" s="48">
        <f t="shared" si="10"/>
        <v>7653</v>
      </c>
      <c r="W32" s="49">
        <f t="shared" si="11"/>
        <v>0.518200604</v>
      </c>
      <c r="X32" s="49">
        <f t="shared" si="12"/>
        <v>0.3559052615</v>
      </c>
      <c r="Y32" s="49">
        <f t="shared" si="13"/>
        <v>0.1258941345</v>
      </c>
      <c r="Z32" s="32" t="str">
        <f t="shared" si="14"/>
        <v>Jango</v>
      </c>
      <c r="AA32" s="50" t="s">
        <v>77</v>
      </c>
      <c r="AB32" s="38">
        <v>8577.0</v>
      </c>
      <c r="AC32" s="48">
        <f t="shared" si="15"/>
        <v>924</v>
      </c>
      <c r="AD32" s="51">
        <f t="shared" si="16"/>
        <v>0.8922700245</v>
      </c>
    </row>
    <row r="33">
      <c r="A33" s="23"/>
      <c r="B33" s="46" t="s">
        <v>1653</v>
      </c>
      <c r="C33" s="47"/>
      <c r="D33" s="38">
        <v>406.0</v>
      </c>
      <c r="E33" s="38">
        <v>549.0</v>
      </c>
      <c r="F33" s="38">
        <v>129.0</v>
      </c>
      <c r="G33" s="38">
        <v>103.0</v>
      </c>
      <c r="H33" s="38">
        <v>54.0</v>
      </c>
      <c r="I33" s="48">
        <f t="shared" si="3"/>
        <v>1084</v>
      </c>
      <c r="J33" s="48">
        <f t="shared" si="4"/>
        <v>1241</v>
      </c>
      <c r="K33" s="49">
        <f t="shared" si="5"/>
        <v>0.3745387454</v>
      </c>
      <c r="L33" s="49">
        <f t="shared" si="6"/>
        <v>0.5064575646</v>
      </c>
      <c r="M33" s="49">
        <f t="shared" si="7"/>
        <v>0.11900369</v>
      </c>
      <c r="N33" s="32" t="str">
        <f t="shared" si="8"/>
        <v>Mal. Lott</v>
      </c>
      <c r="O33" s="50" t="s">
        <v>77</v>
      </c>
      <c r="P33" s="38">
        <v>631.0</v>
      </c>
      <c r="Q33" s="38">
        <v>270.0</v>
      </c>
      <c r="R33" s="38">
        <v>133.0</v>
      </c>
      <c r="S33" s="38">
        <v>155.0</v>
      </c>
      <c r="T33" s="38">
        <v>52.0</v>
      </c>
      <c r="U33" s="48">
        <f t="shared" si="9"/>
        <v>1034</v>
      </c>
      <c r="V33" s="48">
        <f t="shared" si="10"/>
        <v>1241</v>
      </c>
      <c r="W33" s="49">
        <f t="shared" si="11"/>
        <v>0.6102514507</v>
      </c>
      <c r="X33" s="49">
        <f t="shared" si="12"/>
        <v>0.2611218569</v>
      </c>
      <c r="Y33" s="49">
        <f t="shared" si="13"/>
        <v>0.1286266925</v>
      </c>
      <c r="Z33" s="32" t="str">
        <f t="shared" si="14"/>
        <v>Jango</v>
      </c>
      <c r="AA33" s="50" t="s">
        <v>77</v>
      </c>
      <c r="AB33" s="38">
        <v>1561.0</v>
      </c>
      <c r="AC33" s="48">
        <f t="shared" si="15"/>
        <v>320</v>
      </c>
      <c r="AD33" s="51">
        <f t="shared" si="16"/>
        <v>0.7950032031</v>
      </c>
    </row>
    <row r="34">
      <c r="A34" s="24"/>
      <c r="B34" s="46" t="s">
        <v>1654</v>
      </c>
      <c r="C34" s="47"/>
      <c r="D34" s="38">
        <v>670.0</v>
      </c>
      <c r="E34" s="38">
        <v>408.0</v>
      </c>
      <c r="F34" s="38">
        <v>112.0</v>
      </c>
      <c r="G34" s="38">
        <v>82.0</v>
      </c>
      <c r="H34" s="38">
        <v>44.0</v>
      </c>
      <c r="I34" s="48">
        <f t="shared" si="3"/>
        <v>1190</v>
      </c>
      <c r="J34" s="48">
        <f t="shared" si="4"/>
        <v>1316</v>
      </c>
      <c r="K34" s="49">
        <f t="shared" si="5"/>
        <v>0.5630252101</v>
      </c>
      <c r="L34" s="49">
        <f t="shared" si="6"/>
        <v>0.3428571429</v>
      </c>
      <c r="M34" s="49">
        <f t="shared" si="7"/>
        <v>0.09411764706</v>
      </c>
      <c r="N34" s="32" t="str">
        <f t="shared" si="8"/>
        <v>Jânio</v>
      </c>
      <c r="O34" s="50" t="s">
        <v>77</v>
      </c>
      <c r="P34" s="38">
        <v>522.0</v>
      </c>
      <c r="Q34" s="38">
        <v>472.0</v>
      </c>
      <c r="R34" s="38">
        <v>159.0</v>
      </c>
      <c r="S34" s="38">
        <v>127.0</v>
      </c>
      <c r="T34" s="38">
        <v>36.0</v>
      </c>
      <c r="U34" s="48">
        <f t="shared" si="9"/>
        <v>1153</v>
      </c>
      <c r="V34" s="48">
        <f t="shared" si="10"/>
        <v>1316</v>
      </c>
      <c r="W34" s="49">
        <f t="shared" si="11"/>
        <v>0.4527320035</v>
      </c>
      <c r="X34" s="49">
        <f t="shared" si="12"/>
        <v>0.409366869</v>
      </c>
      <c r="Y34" s="49">
        <f t="shared" si="13"/>
        <v>0.1379011275</v>
      </c>
      <c r="Z34" s="32" t="str">
        <f t="shared" si="14"/>
        <v>Jango</v>
      </c>
      <c r="AA34" s="50" t="s">
        <v>77</v>
      </c>
      <c r="AB34" s="38">
        <v>1524.0</v>
      </c>
      <c r="AC34" s="48">
        <f t="shared" si="15"/>
        <v>208</v>
      </c>
      <c r="AD34" s="51">
        <f t="shared" si="16"/>
        <v>0.8635170604</v>
      </c>
    </row>
    <row r="35">
      <c r="A35" s="110" t="s">
        <v>111</v>
      </c>
      <c r="B35" s="46" t="s">
        <v>1655</v>
      </c>
      <c r="C35" s="47"/>
      <c r="D35" s="38">
        <v>4449.0</v>
      </c>
      <c r="E35" s="38">
        <v>4476.0</v>
      </c>
      <c r="F35" s="38">
        <v>501.0</v>
      </c>
      <c r="G35" s="38">
        <v>309.0</v>
      </c>
      <c r="H35" s="38">
        <v>243.0</v>
      </c>
      <c r="I35" s="48">
        <f t="shared" si="3"/>
        <v>9426</v>
      </c>
      <c r="J35" s="48">
        <f t="shared" si="4"/>
        <v>9978</v>
      </c>
      <c r="K35" s="49">
        <f t="shared" si="5"/>
        <v>0.4719923616</v>
      </c>
      <c r="L35" s="49">
        <f t="shared" si="6"/>
        <v>0.4748567791</v>
      </c>
      <c r="M35" s="49">
        <f t="shared" si="7"/>
        <v>0.05315085933</v>
      </c>
      <c r="N35" s="32" t="str">
        <f t="shared" si="8"/>
        <v>Mal. Lott</v>
      </c>
      <c r="O35" s="50"/>
      <c r="P35" s="38">
        <v>4388.0</v>
      </c>
      <c r="Q35" s="38">
        <v>3923.0</v>
      </c>
      <c r="R35" s="38">
        <v>821.0</v>
      </c>
      <c r="S35" s="38">
        <v>645.0</v>
      </c>
      <c r="T35" s="38">
        <v>201.0</v>
      </c>
      <c r="U35" s="48">
        <f t="shared" si="9"/>
        <v>9132</v>
      </c>
      <c r="V35" s="48">
        <f t="shared" si="10"/>
        <v>9978</v>
      </c>
      <c r="W35" s="49">
        <f t="shared" si="11"/>
        <v>0.4805081034</v>
      </c>
      <c r="X35" s="49">
        <f t="shared" si="12"/>
        <v>0.4295882611</v>
      </c>
      <c r="Y35" s="49">
        <f t="shared" si="13"/>
        <v>0.08990363557</v>
      </c>
      <c r="Z35" s="32" t="str">
        <f t="shared" si="14"/>
        <v>Jango</v>
      </c>
      <c r="AA35" s="50"/>
      <c r="AB35" s="38" t="s">
        <v>77</v>
      </c>
      <c r="AC35" s="38" t="s">
        <v>77</v>
      </c>
      <c r="AD35" s="38" t="s">
        <v>77</v>
      </c>
    </row>
    <row r="36">
      <c r="A36" s="110" t="s">
        <v>114</v>
      </c>
      <c r="B36" s="46" t="s">
        <v>1656</v>
      </c>
      <c r="C36" s="47"/>
      <c r="D36" s="38">
        <v>8603.0</v>
      </c>
      <c r="E36" s="38">
        <v>8885.0</v>
      </c>
      <c r="F36" s="38">
        <v>1110.0</v>
      </c>
      <c r="G36" s="38">
        <v>474.0</v>
      </c>
      <c r="H36" s="38">
        <v>651.0</v>
      </c>
      <c r="I36" s="48">
        <f t="shared" si="3"/>
        <v>18598</v>
      </c>
      <c r="J36" s="48">
        <f t="shared" si="4"/>
        <v>19723</v>
      </c>
      <c r="K36" s="49">
        <f t="shared" si="5"/>
        <v>0.4625766211</v>
      </c>
      <c r="L36" s="49">
        <f t="shared" si="6"/>
        <v>0.4777395419</v>
      </c>
      <c r="M36" s="49">
        <f t="shared" si="7"/>
        <v>0.05968383697</v>
      </c>
      <c r="N36" s="32" t="str">
        <f t="shared" si="8"/>
        <v>Mal. Lott</v>
      </c>
      <c r="O36" s="50"/>
      <c r="P36" s="38">
        <v>8448.0</v>
      </c>
      <c r="Q36" s="38">
        <v>7786.0</v>
      </c>
      <c r="R36" s="38">
        <v>1951.0</v>
      </c>
      <c r="S36" s="38">
        <v>885.0</v>
      </c>
      <c r="T36" s="38">
        <v>653.0</v>
      </c>
      <c r="U36" s="48">
        <f t="shared" si="9"/>
        <v>18185</v>
      </c>
      <c r="V36" s="48">
        <f t="shared" si="10"/>
        <v>19723</v>
      </c>
      <c r="W36" s="49">
        <f t="shared" si="11"/>
        <v>0.4645587022</v>
      </c>
      <c r="X36" s="49">
        <f t="shared" si="12"/>
        <v>0.4281550729</v>
      </c>
      <c r="Y36" s="49">
        <f t="shared" si="13"/>
        <v>0.1072862249</v>
      </c>
      <c r="Z36" s="32" t="str">
        <f t="shared" si="14"/>
        <v>Jango</v>
      </c>
      <c r="AA36" s="50"/>
      <c r="AB36" s="38" t="s">
        <v>77</v>
      </c>
      <c r="AC36" s="38" t="s">
        <v>77</v>
      </c>
      <c r="AD36" s="38" t="s">
        <v>77</v>
      </c>
    </row>
    <row r="37">
      <c r="A37" s="110" t="s">
        <v>77</v>
      </c>
      <c r="B37" s="46" t="s">
        <v>1657</v>
      </c>
      <c r="C37" s="47"/>
      <c r="D37" s="38">
        <v>13052.0</v>
      </c>
      <c r="E37" s="38">
        <v>13361.0</v>
      </c>
      <c r="F37" s="38">
        <v>1611.0</v>
      </c>
      <c r="G37" s="38">
        <v>783.0</v>
      </c>
      <c r="H37" s="38">
        <v>894.0</v>
      </c>
      <c r="I37" s="48">
        <f t="shared" si="3"/>
        <v>28024</v>
      </c>
      <c r="J37" s="48">
        <f t="shared" si="4"/>
        <v>29701</v>
      </c>
      <c r="K37" s="49">
        <f t="shared" si="5"/>
        <v>0.4657436483</v>
      </c>
      <c r="L37" s="49">
        <f t="shared" si="6"/>
        <v>0.4767699115</v>
      </c>
      <c r="M37" s="49">
        <f t="shared" si="7"/>
        <v>0.05748644019</v>
      </c>
      <c r="N37" s="32" t="str">
        <f t="shared" si="8"/>
        <v>Mal. Lott</v>
      </c>
      <c r="O37" s="50" t="s">
        <v>77</v>
      </c>
      <c r="P37" s="38">
        <v>12836.0</v>
      </c>
      <c r="Q37" s="38">
        <v>11709.0</v>
      </c>
      <c r="R37" s="38">
        <v>2772.0</v>
      </c>
      <c r="S37" s="38">
        <v>1530.0</v>
      </c>
      <c r="T37" s="38">
        <v>854.0</v>
      </c>
      <c r="U37" s="48">
        <f t="shared" si="9"/>
        <v>27317</v>
      </c>
      <c r="V37" s="48">
        <f t="shared" si="10"/>
        <v>29701</v>
      </c>
      <c r="W37" s="49">
        <f t="shared" si="11"/>
        <v>0.4698905443</v>
      </c>
      <c r="X37" s="49">
        <f t="shared" si="12"/>
        <v>0.4286341838</v>
      </c>
      <c r="Y37" s="49">
        <f t="shared" si="13"/>
        <v>0.1014752718</v>
      </c>
      <c r="Z37" s="32" t="str">
        <f t="shared" si="14"/>
        <v>Jango</v>
      </c>
      <c r="AA37" s="50" t="s">
        <v>77</v>
      </c>
      <c r="AB37" s="38">
        <v>33909.0</v>
      </c>
      <c r="AC37" s="48">
        <f t="shared" ref="AC37:AC116" si="17">AB37-V37</f>
        <v>4208</v>
      </c>
      <c r="AD37" s="51">
        <f t="shared" ref="AD37:AD116" si="18">V37/AB37</f>
        <v>0.8759031526</v>
      </c>
    </row>
    <row r="38">
      <c r="A38" s="61" t="s">
        <v>117</v>
      </c>
      <c r="B38" s="46" t="s">
        <v>1658</v>
      </c>
      <c r="C38" s="47"/>
      <c r="D38" s="38">
        <v>1778.0</v>
      </c>
      <c r="E38" s="38">
        <v>1519.0</v>
      </c>
      <c r="F38" s="38">
        <v>437.0</v>
      </c>
      <c r="G38" s="38">
        <v>240.0</v>
      </c>
      <c r="H38" s="38">
        <v>69.0</v>
      </c>
      <c r="I38" s="48">
        <f t="shared" si="3"/>
        <v>3734</v>
      </c>
      <c r="J38" s="48">
        <f t="shared" si="4"/>
        <v>4043</v>
      </c>
      <c r="K38" s="49">
        <f t="shared" si="5"/>
        <v>0.4761649705</v>
      </c>
      <c r="L38" s="49">
        <f t="shared" si="6"/>
        <v>0.4068023567</v>
      </c>
      <c r="M38" s="49">
        <f t="shared" si="7"/>
        <v>0.1170326727</v>
      </c>
      <c r="N38" s="32" t="str">
        <f t="shared" si="8"/>
        <v>Jânio</v>
      </c>
      <c r="O38" s="50" t="s">
        <v>77</v>
      </c>
      <c r="P38" s="38">
        <v>1635.0</v>
      </c>
      <c r="Q38" s="38">
        <v>1449.0</v>
      </c>
      <c r="R38" s="38">
        <v>344.0</v>
      </c>
      <c r="S38" s="38">
        <v>564.0</v>
      </c>
      <c r="T38" s="38">
        <v>51.0</v>
      </c>
      <c r="U38" s="48">
        <f t="shared" si="9"/>
        <v>3428</v>
      </c>
      <c r="V38" s="48">
        <f t="shared" si="10"/>
        <v>4043</v>
      </c>
      <c r="W38" s="49">
        <f t="shared" si="11"/>
        <v>0.4769544924</v>
      </c>
      <c r="X38" s="49">
        <f t="shared" si="12"/>
        <v>0.4226954492</v>
      </c>
      <c r="Y38" s="49">
        <f t="shared" si="13"/>
        <v>0.1003500583</v>
      </c>
      <c r="Z38" s="32" t="str">
        <f t="shared" si="14"/>
        <v>Jango</v>
      </c>
      <c r="AA38" s="50" t="s">
        <v>77</v>
      </c>
      <c r="AB38" s="38">
        <v>4352.0</v>
      </c>
      <c r="AC38" s="48">
        <f t="shared" si="17"/>
        <v>309</v>
      </c>
      <c r="AD38" s="51">
        <f t="shared" si="18"/>
        <v>0.9289981618</v>
      </c>
    </row>
    <row r="39">
      <c r="A39" s="24"/>
      <c r="B39" s="46" t="s">
        <v>1659</v>
      </c>
      <c r="C39" s="47"/>
      <c r="D39" s="38">
        <v>1755.0</v>
      </c>
      <c r="E39" s="38">
        <v>1833.0</v>
      </c>
      <c r="F39" s="38">
        <v>210.0</v>
      </c>
      <c r="G39" s="38">
        <v>230.0</v>
      </c>
      <c r="H39" s="38">
        <v>68.0</v>
      </c>
      <c r="I39" s="48">
        <f t="shared" si="3"/>
        <v>3798</v>
      </c>
      <c r="J39" s="48">
        <f t="shared" si="4"/>
        <v>4096</v>
      </c>
      <c r="K39" s="49">
        <f t="shared" si="5"/>
        <v>0.4620853081</v>
      </c>
      <c r="L39" s="49">
        <f t="shared" si="6"/>
        <v>0.4826224329</v>
      </c>
      <c r="M39" s="49">
        <f t="shared" si="7"/>
        <v>0.05529225908</v>
      </c>
      <c r="N39" s="32" t="str">
        <f t="shared" si="8"/>
        <v>Mal. Lott</v>
      </c>
      <c r="O39" s="50" t="s">
        <v>77</v>
      </c>
      <c r="P39" s="38">
        <v>1920.0</v>
      </c>
      <c r="Q39" s="38">
        <v>1469.0</v>
      </c>
      <c r="R39" s="38">
        <v>283.0</v>
      </c>
      <c r="S39" s="38">
        <v>381.0</v>
      </c>
      <c r="T39" s="38">
        <v>43.0</v>
      </c>
      <c r="U39" s="48">
        <f t="shared" si="9"/>
        <v>3672</v>
      </c>
      <c r="V39" s="48">
        <f t="shared" si="10"/>
        <v>4096</v>
      </c>
      <c r="W39" s="49">
        <f t="shared" si="11"/>
        <v>0.522875817</v>
      </c>
      <c r="X39" s="49">
        <f t="shared" si="12"/>
        <v>0.4000544662</v>
      </c>
      <c r="Y39" s="49">
        <f t="shared" si="13"/>
        <v>0.07706971678</v>
      </c>
      <c r="Z39" s="32" t="str">
        <f t="shared" si="14"/>
        <v>Jango</v>
      </c>
      <c r="AA39" s="50" t="s">
        <v>77</v>
      </c>
      <c r="AB39" s="38">
        <v>4439.0</v>
      </c>
      <c r="AC39" s="48">
        <f t="shared" si="17"/>
        <v>343</v>
      </c>
      <c r="AD39" s="51">
        <f t="shared" si="18"/>
        <v>0.9227303447</v>
      </c>
    </row>
    <row r="40">
      <c r="A40" s="61" t="s">
        <v>119</v>
      </c>
      <c r="B40" s="46" t="s">
        <v>1660</v>
      </c>
      <c r="C40" s="47"/>
      <c r="D40" s="38">
        <v>3127.0</v>
      </c>
      <c r="E40" s="38">
        <v>2852.0</v>
      </c>
      <c r="F40" s="38">
        <v>302.0</v>
      </c>
      <c r="G40" s="38">
        <v>222.0</v>
      </c>
      <c r="H40" s="38">
        <v>72.0</v>
      </c>
      <c r="I40" s="48">
        <f t="shared" si="3"/>
        <v>6281</v>
      </c>
      <c r="J40" s="48">
        <f t="shared" si="4"/>
        <v>6575</v>
      </c>
      <c r="K40" s="49">
        <f t="shared" si="5"/>
        <v>0.4978506607</v>
      </c>
      <c r="L40" s="49">
        <f t="shared" si="6"/>
        <v>0.4540678236</v>
      </c>
      <c r="M40" s="49">
        <f t="shared" si="7"/>
        <v>0.04808151568</v>
      </c>
      <c r="N40" s="32" t="str">
        <f t="shared" si="8"/>
        <v>Jânio</v>
      </c>
      <c r="O40" s="50" t="s">
        <v>77</v>
      </c>
      <c r="P40" s="38">
        <v>2815.0</v>
      </c>
      <c r="Q40" s="38">
        <v>2513.0</v>
      </c>
      <c r="R40" s="38">
        <v>633.0</v>
      </c>
      <c r="S40" s="38">
        <v>551.0</v>
      </c>
      <c r="T40" s="38">
        <v>63.0</v>
      </c>
      <c r="U40" s="48">
        <f t="shared" si="9"/>
        <v>5961</v>
      </c>
      <c r="V40" s="48">
        <f t="shared" si="10"/>
        <v>6575</v>
      </c>
      <c r="W40" s="49">
        <f t="shared" si="11"/>
        <v>0.472236202</v>
      </c>
      <c r="X40" s="49">
        <f t="shared" si="12"/>
        <v>0.4215735615</v>
      </c>
      <c r="Y40" s="49">
        <f t="shared" si="13"/>
        <v>0.1061902365</v>
      </c>
      <c r="Z40" s="32" t="str">
        <f t="shared" si="14"/>
        <v>Jango</v>
      </c>
      <c r="AA40" s="50" t="s">
        <v>77</v>
      </c>
      <c r="AB40" s="38">
        <v>6960.0</v>
      </c>
      <c r="AC40" s="48">
        <f t="shared" si="17"/>
        <v>385</v>
      </c>
      <c r="AD40" s="51">
        <f t="shared" si="18"/>
        <v>0.944683908</v>
      </c>
    </row>
    <row r="41">
      <c r="A41" s="24"/>
      <c r="B41" s="46" t="s">
        <v>1661</v>
      </c>
      <c r="C41" s="47"/>
      <c r="D41" s="38">
        <v>3001.0</v>
      </c>
      <c r="E41" s="38">
        <v>1454.0</v>
      </c>
      <c r="F41" s="38">
        <v>379.0</v>
      </c>
      <c r="G41" s="38">
        <v>376.0</v>
      </c>
      <c r="H41" s="38">
        <v>69.0</v>
      </c>
      <c r="I41" s="48">
        <f t="shared" si="3"/>
        <v>4834</v>
      </c>
      <c r="J41" s="48">
        <f t="shared" si="4"/>
        <v>5279</v>
      </c>
      <c r="K41" s="49">
        <f t="shared" si="5"/>
        <v>0.6208109226</v>
      </c>
      <c r="L41" s="49">
        <f t="shared" si="6"/>
        <v>0.3007860985</v>
      </c>
      <c r="M41" s="49">
        <f t="shared" si="7"/>
        <v>0.0784029789</v>
      </c>
      <c r="N41" s="32" t="str">
        <f t="shared" si="8"/>
        <v>Jânio</v>
      </c>
      <c r="O41" s="50" t="s">
        <v>77</v>
      </c>
      <c r="P41" s="38">
        <v>1474.0</v>
      </c>
      <c r="Q41" s="38">
        <v>2494.0</v>
      </c>
      <c r="R41" s="38">
        <v>455.0</v>
      </c>
      <c r="S41" s="38">
        <v>802.0</v>
      </c>
      <c r="T41" s="38">
        <v>54.0</v>
      </c>
      <c r="U41" s="48">
        <f t="shared" si="9"/>
        <v>4423</v>
      </c>
      <c r="V41" s="48">
        <f t="shared" si="10"/>
        <v>5279</v>
      </c>
      <c r="W41" s="49">
        <f t="shared" si="11"/>
        <v>0.3332579697</v>
      </c>
      <c r="X41" s="49">
        <f t="shared" si="12"/>
        <v>0.563870676</v>
      </c>
      <c r="Y41" s="49">
        <f t="shared" si="13"/>
        <v>0.1028713543</v>
      </c>
      <c r="Z41" s="32" t="str">
        <f t="shared" si="14"/>
        <v>Milton</v>
      </c>
      <c r="AA41" s="50" t="s">
        <v>77</v>
      </c>
      <c r="AB41" s="38">
        <v>5676.0</v>
      </c>
      <c r="AC41" s="48">
        <f t="shared" si="17"/>
        <v>397</v>
      </c>
      <c r="AD41" s="51">
        <f t="shared" si="18"/>
        <v>0.9300563777</v>
      </c>
    </row>
    <row r="42">
      <c r="A42" s="61" t="s">
        <v>123</v>
      </c>
      <c r="B42" s="46" t="s">
        <v>1662</v>
      </c>
      <c r="C42" s="47"/>
      <c r="D42" s="38">
        <v>5016.0</v>
      </c>
      <c r="E42" s="38">
        <v>7129.0</v>
      </c>
      <c r="F42" s="38">
        <v>590.0</v>
      </c>
      <c r="G42" s="38">
        <v>593.0</v>
      </c>
      <c r="H42" s="38">
        <v>225.0</v>
      </c>
      <c r="I42" s="48">
        <f t="shared" si="3"/>
        <v>12735</v>
      </c>
      <c r="J42" s="48">
        <f t="shared" si="4"/>
        <v>13553</v>
      </c>
      <c r="K42" s="49">
        <f t="shared" si="5"/>
        <v>0.3938751472</v>
      </c>
      <c r="L42" s="49">
        <f t="shared" si="6"/>
        <v>0.5597958382</v>
      </c>
      <c r="M42" s="49">
        <f t="shared" si="7"/>
        <v>0.04632901453</v>
      </c>
      <c r="N42" s="32" t="str">
        <f t="shared" si="8"/>
        <v>Mal. Lott</v>
      </c>
      <c r="O42" s="50" t="s">
        <v>77</v>
      </c>
      <c r="P42" s="38">
        <v>7599.0</v>
      </c>
      <c r="Q42" s="38">
        <v>4036.0</v>
      </c>
      <c r="R42" s="38">
        <v>714.0</v>
      </c>
      <c r="S42" s="38">
        <v>1002.0</v>
      </c>
      <c r="T42" s="38">
        <v>202.0</v>
      </c>
      <c r="U42" s="48">
        <f t="shared" si="9"/>
        <v>12349</v>
      </c>
      <c r="V42" s="48">
        <f t="shared" si="10"/>
        <v>13553</v>
      </c>
      <c r="W42" s="49">
        <f t="shared" si="11"/>
        <v>0.6153534699</v>
      </c>
      <c r="X42" s="49">
        <f t="shared" si="12"/>
        <v>0.3268280832</v>
      </c>
      <c r="Y42" s="49">
        <f t="shared" si="13"/>
        <v>0.05781844684</v>
      </c>
      <c r="Z42" s="32" t="str">
        <f t="shared" si="14"/>
        <v>Jango</v>
      </c>
      <c r="AA42" s="50" t="s">
        <v>77</v>
      </c>
      <c r="AB42" s="38">
        <v>15222.0</v>
      </c>
      <c r="AC42" s="48">
        <f t="shared" si="17"/>
        <v>1669</v>
      </c>
      <c r="AD42" s="51">
        <f t="shared" si="18"/>
        <v>0.8903560636</v>
      </c>
    </row>
    <row r="43">
      <c r="A43" s="23"/>
      <c r="B43" s="46" t="s">
        <v>1663</v>
      </c>
      <c r="C43" s="47"/>
      <c r="D43" s="38">
        <v>1360.0</v>
      </c>
      <c r="E43" s="38">
        <v>1189.0</v>
      </c>
      <c r="F43" s="38">
        <v>107.0</v>
      </c>
      <c r="G43" s="38">
        <v>309.0</v>
      </c>
      <c r="H43" s="38">
        <v>59.0</v>
      </c>
      <c r="I43" s="48">
        <f t="shared" si="3"/>
        <v>2656</v>
      </c>
      <c r="J43" s="48">
        <f t="shared" si="4"/>
        <v>3024</v>
      </c>
      <c r="K43" s="49">
        <f t="shared" si="5"/>
        <v>0.5120481928</v>
      </c>
      <c r="L43" s="49">
        <f t="shared" si="6"/>
        <v>0.4476656627</v>
      </c>
      <c r="M43" s="49">
        <f t="shared" si="7"/>
        <v>0.04028614458</v>
      </c>
      <c r="N43" s="32" t="str">
        <f t="shared" si="8"/>
        <v>Jânio</v>
      </c>
      <c r="O43" s="50" t="s">
        <v>77</v>
      </c>
      <c r="P43" s="38">
        <v>1256.0</v>
      </c>
      <c r="Q43" s="38">
        <v>1143.0</v>
      </c>
      <c r="R43" s="38">
        <v>65.0</v>
      </c>
      <c r="S43" s="38">
        <v>502.0</v>
      </c>
      <c r="T43" s="38">
        <v>58.0</v>
      </c>
      <c r="U43" s="48">
        <f t="shared" si="9"/>
        <v>2464</v>
      </c>
      <c r="V43" s="48">
        <f t="shared" si="10"/>
        <v>3024</v>
      </c>
      <c r="W43" s="49">
        <f t="shared" si="11"/>
        <v>0.5097402597</v>
      </c>
      <c r="X43" s="49">
        <f t="shared" si="12"/>
        <v>0.4638798701</v>
      </c>
      <c r="Y43" s="49">
        <f t="shared" si="13"/>
        <v>0.02637987013</v>
      </c>
      <c r="Z43" s="32" t="str">
        <f t="shared" si="14"/>
        <v>Jango</v>
      </c>
      <c r="AA43" s="50" t="s">
        <v>77</v>
      </c>
      <c r="AB43" s="38">
        <v>3270.0</v>
      </c>
      <c r="AC43" s="48">
        <f t="shared" si="17"/>
        <v>246</v>
      </c>
      <c r="AD43" s="51">
        <f t="shared" si="18"/>
        <v>0.9247706422</v>
      </c>
    </row>
    <row r="44">
      <c r="A44" s="23"/>
      <c r="B44" s="46" t="s">
        <v>1664</v>
      </c>
      <c r="C44" s="47"/>
      <c r="D44" s="38">
        <v>932.0</v>
      </c>
      <c r="E44" s="38">
        <v>786.0</v>
      </c>
      <c r="F44" s="38">
        <v>91.0</v>
      </c>
      <c r="G44" s="38">
        <v>69.0</v>
      </c>
      <c r="H44" s="38">
        <v>36.0</v>
      </c>
      <c r="I44" s="48">
        <f t="shared" si="3"/>
        <v>1809</v>
      </c>
      <c r="J44" s="48">
        <f t="shared" si="4"/>
        <v>1914</v>
      </c>
      <c r="K44" s="49">
        <f t="shared" si="5"/>
        <v>0.5152017689</v>
      </c>
      <c r="L44" s="49">
        <f t="shared" si="6"/>
        <v>0.4344941957</v>
      </c>
      <c r="M44" s="49">
        <f t="shared" si="7"/>
        <v>0.05030403538</v>
      </c>
      <c r="N44" s="32" t="str">
        <f t="shared" si="8"/>
        <v>Jânio</v>
      </c>
      <c r="O44" s="50" t="s">
        <v>77</v>
      </c>
      <c r="P44" s="38">
        <v>831.0</v>
      </c>
      <c r="Q44" s="38">
        <v>853.0</v>
      </c>
      <c r="R44" s="38">
        <v>75.0</v>
      </c>
      <c r="S44" s="38">
        <v>129.0</v>
      </c>
      <c r="T44" s="38">
        <v>26.0</v>
      </c>
      <c r="U44" s="48">
        <f t="shared" si="9"/>
        <v>1759</v>
      </c>
      <c r="V44" s="48">
        <f t="shared" si="10"/>
        <v>1914</v>
      </c>
      <c r="W44" s="49">
        <f t="shared" si="11"/>
        <v>0.4724275156</v>
      </c>
      <c r="X44" s="49">
        <f t="shared" si="12"/>
        <v>0.4849346219</v>
      </c>
      <c r="Y44" s="49">
        <f t="shared" si="13"/>
        <v>0.04263786242</v>
      </c>
      <c r="Z44" s="32" t="str">
        <f t="shared" si="14"/>
        <v>Milton</v>
      </c>
      <c r="AA44" s="50" t="s">
        <v>77</v>
      </c>
      <c r="AB44" s="38">
        <v>2026.0</v>
      </c>
      <c r="AC44" s="48">
        <f t="shared" si="17"/>
        <v>112</v>
      </c>
      <c r="AD44" s="51">
        <f t="shared" si="18"/>
        <v>0.9447186575</v>
      </c>
    </row>
    <row r="45">
      <c r="A45" s="23"/>
      <c r="B45" s="46" t="s">
        <v>1665</v>
      </c>
      <c r="C45" s="47"/>
      <c r="D45" s="38">
        <v>872.0</v>
      </c>
      <c r="E45" s="38">
        <v>895.0</v>
      </c>
      <c r="F45" s="38">
        <v>113.0</v>
      </c>
      <c r="G45" s="38">
        <v>80.0</v>
      </c>
      <c r="H45" s="38">
        <v>64.0</v>
      </c>
      <c r="I45" s="48">
        <f t="shared" si="3"/>
        <v>1880</v>
      </c>
      <c r="J45" s="48">
        <f t="shared" si="4"/>
        <v>2024</v>
      </c>
      <c r="K45" s="49">
        <f t="shared" si="5"/>
        <v>0.4638297872</v>
      </c>
      <c r="L45" s="49">
        <f t="shared" si="6"/>
        <v>0.4760638298</v>
      </c>
      <c r="M45" s="49">
        <f t="shared" si="7"/>
        <v>0.06010638298</v>
      </c>
      <c r="N45" s="32" t="str">
        <f t="shared" si="8"/>
        <v>Mal. Lott</v>
      </c>
      <c r="O45" s="50" t="s">
        <v>77</v>
      </c>
      <c r="P45" s="38">
        <v>992.0</v>
      </c>
      <c r="Q45" s="38">
        <v>757.0</v>
      </c>
      <c r="R45" s="38">
        <v>72.0</v>
      </c>
      <c r="S45" s="38">
        <v>158.0</v>
      </c>
      <c r="T45" s="38">
        <v>45.0</v>
      </c>
      <c r="U45" s="48">
        <f t="shared" si="9"/>
        <v>1821</v>
      </c>
      <c r="V45" s="48">
        <f t="shared" si="10"/>
        <v>2024</v>
      </c>
      <c r="W45" s="49">
        <f t="shared" si="11"/>
        <v>0.5447556288</v>
      </c>
      <c r="X45" s="49">
        <f t="shared" si="12"/>
        <v>0.4157056562</v>
      </c>
      <c r="Y45" s="49">
        <f t="shared" si="13"/>
        <v>0.03953871499</v>
      </c>
      <c r="Z45" s="32" t="str">
        <f t="shared" si="14"/>
        <v>Jango</v>
      </c>
      <c r="AA45" s="50" t="s">
        <v>77</v>
      </c>
      <c r="AB45" s="38">
        <v>2289.0</v>
      </c>
      <c r="AC45" s="48">
        <f t="shared" si="17"/>
        <v>265</v>
      </c>
      <c r="AD45" s="51">
        <f t="shared" si="18"/>
        <v>0.8842289209</v>
      </c>
    </row>
    <row r="46">
      <c r="A46" s="24"/>
      <c r="B46" s="46" t="s">
        <v>1666</v>
      </c>
      <c r="C46" s="47"/>
      <c r="D46" s="38">
        <v>1099.0</v>
      </c>
      <c r="E46" s="38">
        <v>1045.0</v>
      </c>
      <c r="F46" s="38">
        <v>99.0</v>
      </c>
      <c r="G46" s="38">
        <v>122.0</v>
      </c>
      <c r="H46" s="38">
        <v>45.0</v>
      </c>
      <c r="I46" s="48">
        <f t="shared" si="3"/>
        <v>2243</v>
      </c>
      <c r="J46" s="48">
        <f t="shared" si="4"/>
        <v>2410</v>
      </c>
      <c r="K46" s="49">
        <f t="shared" si="5"/>
        <v>0.4899687918</v>
      </c>
      <c r="L46" s="49">
        <f t="shared" si="6"/>
        <v>0.4658938921</v>
      </c>
      <c r="M46" s="49">
        <f t="shared" si="7"/>
        <v>0.04413731609</v>
      </c>
      <c r="N46" s="32" t="str">
        <f t="shared" si="8"/>
        <v>Jânio</v>
      </c>
      <c r="O46" s="50" t="s">
        <v>77</v>
      </c>
      <c r="P46" s="38">
        <v>1157.0</v>
      </c>
      <c r="Q46" s="38">
        <v>952.0</v>
      </c>
      <c r="R46" s="38">
        <v>101.0</v>
      </c>
      <c r="S46" s="38">
        <v>161.0</v>
      </c>
      <c r="T46" s="38">
        <v>39.0</v>
      </c>
      <c r="U46" s="48">
        <f t="shared" si="9"/>
        <v>2210</v>
      </c>
      <c r="V46" s="48">
        <f t="shared" si="10"/>
        <v>2410</v>
      </c>
      <c r="W46" s="49">
        <f t="shared" si="11"/>
        <v>0.5235294118</v>
      </c>
      <c r="X46" s="49">
        <f t="shared" si="12"/>
        <v>0.4307692308</v>
      </c>
      <c r="Y46" s="49">
        <f t="shared" si="13"/>
        <v>0.04570135747</v>
      </c>
      <c r="Z46" s="32" t="str">
        <f t="shared" si="14"/>
        <v>Jango</v>
      </c>
      <c r="AA46" s="50" t="s">
        <v>77</v>
      </c>
      <c r="AB46" s="38">
        <v>2693.0</v>
      </c>
      <c r="AC46" s="48">
        <f t="shared" si="17"/>
        <v>283</v>
      </c>
      <c r="AD46" s="51">
        <f t="shared" si="18"/>
        <v>0.8949127367</v>
      </c>
    </row>
    <row r="47">
      <c r="A47" s="61" t="s">
        <v>125</v>
      </c>
      <c r="B47" s="46" t="s">
        <v>1667</v>
      </c>
      <c r="C47" s="47"/>
      <c r="D47" s="38">
        <v>2860.0</v>
      </c>
      <c r="E47" s="38">
        <v>2771.0</v>
      </c>
      <c r="F47" s="38">
        <v>670.0</v>
      </c>
      <c r="G47" s="38">
        <v>243.0</v>
      </c>
      <c r="H47" s="38">
        <v>158.0</v>
      </c>
      <c r="I47" s="48">
        <f t="shared" si="3"/>
        <v>6301</v>
      </c>
      <c r="J47" s="48">
        <f t="shared" si="4"/>
        <v>6702</v>
      </c>
      <c r="K47" s="49">
        <f t="shared" si="5"/>
        <v>0.453896207</v>
      </c>
      <c r="L47" s="49">
        <f t="shared" si="6"/>
        <v>0.4397714648</v>
      </c>
      <c r="M47" s="49">
        <f t="shared" si="7"/>
        <v>0.1063323282</v>
      </c>
      <c r="N47" s="32" t="str">
        <f t="shared" si="8"/>
        <v>Jânio</v>
      </c>
      <c r="O47" s="50" t="s">
        <v>77</v>
      </c>
      <c r="P47" s="38">
        <v>2726.0</v>
      </c>
      <c r="Q47" s="38">
        <v>2561.0</v>
      </c>
      <c r="R47" s="38">
        <v>573.0</v>
      </c>
      <c r="S47" s="38">
        <v>681.0</v>
      </c>
      <c r="T47" s="38">
        <v>161.0</v>
      </c>
      <c r="U47" s="48">
        <f t="shared" si="9"/>
        <v>5860</v>
      </c>
      <c r="V47" s="48">
        <f t="shared" si="10"/>
        <v>6702</v>
      </c>
      <c r="W47" s="49">
        <f t="shared" si="11"/>
        <v>0.4651877133</v>
      </c>
      <c r="X47" s="49">
        <f t="shared" si="12"/>
        <v>0.4370307167</v>
      </c>
      <c r="Y47" s="49">
        <f t="shared" si="13"/>
        <v>0.09778156997</v>
      </c>
      <c r="Z47" s="32" t="str">
        <f t="shared" si="14"/>
        <v>Jango</v>
      </c>
      <c r="AA47" s="50" t="s">
        <v>77</v>
      </c>
      <c r="AB47" s="38">
        <v>7126.0</v>
      </c>
      <c r="AC47" s="48">
        <f t="shared" si="17"/>
        <v>424</v>
      </c>
      <c r="AD47" s="51">
        <f t="shared" si="18"/>
        <v>0.940499579</v>
      </c>
    </row>
    <row r="48">
      <c r="A48" s="23"/>
      <c r="B48" s="46" t="s">
        <v>1668</v>
      </c>
      <c r="C48" s="47"/>
      <c r="D48" s="38">
        <v>2440.0</v>
      </c>
      <c r="E48" s="38">
        <v>2252.0</v>
      </c>
      <c r="F48" s="38">
        <v>374.0</v>
      </c>
      <c r="G48" s="38">
        <v>145.0</v>
      </c>
      <c r="H48" s="38">
        <v>225.0</v>
      </c>
      <c r="I48" s="48">
        <f t="shared" si="3"/>
        <v>5066</v>
      </c>
      <c r="J48" s="48">
        <f t="shared" si="4"/>
        <v>5436</v>
      </c>
      <c r="K48" s="49">
        <f t="shared" si="5"/>
        <v>0.4816423214</v>
      </c>
      <c r="L48" s="49">
        <f t="shared" si="6"/>
        <v>0.4445321753</v>
      </c>
      <c r="M48" s="49">
        <f t="shared" si="7"/>
        <v>0.07382550336</v>
      </c>
      <c r="N48" s="32" t="str">
        <f t="shared" si="8"/>
        <v>Jânio</v>
      </c>
      <c r="O48" s="50" t="s">
        <v>77</v>
      </c>
      <c r="P48" s="38">
        <v>2473.0</v>
      </c>
      <c r="Q48" s="38">
        <v>2138.0</v>
      </c>
      <c r="R48" s="38">
        <v>309.0</v>
      </c>
      <c r="S48" s="38">
        <v>291.0</v>
      </c>
      <c r="T48" s="38">
        <v>225.0</v>
      </c>
      <c r="U48" s="48">
        <f t="shared" si="9"/>
        <v>4920</v>
      </c>
      <c r="V48" s="48">
        <f t="shared" si="10"/>
        <v>5436</v>
      </c>
      <c r="W48" s="49">
        <f t="shared" si="11"/>
        <v>0.5026422764</v>
      </c>
      <c r="X48" s="49">
        <f t="shared" si="12"/>
        <v>0.4345528455</v>
      </c>
      <c r="Y48" s="49">
        <f t="shared" si="13"/>
        <v>0.06280487805</v>
      </c>
      <c r="Z48" s="32" t="str">
        <f t="shared" si="14"/>
        <v>Jango</v>
      </c>
      <c r="AA48" s="50" t="s">
        <v>77</v>
      </c>
      <c r="AB48" s="38">
        <v>5879.0</v>
      </c>
      <c r="AC48" s="48">
        <f t="shared" si="17"/>
        <v>443</v>
      </c>
      <c r="AD48" s="51">
        <f t="shared" si="18"/>
        <v>0.9246470488</v>
      </c>
    </row>
    <row r="49">
      <c r="A49" s="24"/>
      <c r="B49" s="46" t="s">
        <v>1669</v>
      </c>
      <c r="C49" s="47"/>
      <c r="D49" s="38">
        <v>776.0</v>
      </c>
      <c r="E49" s="38">
        <v>634.0</v>
      </c>
      <c r="F49" s="38">
        <v>174.0</v>
      </c>
      <c r="G49" s="38">
        <v>30.0</v>
      </c>
      <c r="H49" s="38">
        <v>47.0</v>
      </c>
      <c r="I49" s="48">
        <f t="shared" si="3"/>
        <v>1584</v>
      </c>
      <c r="J49" s="48">
        <f t="shared" si="4"/>
        <v>1661</v>
      </c>
      <c r="K49" s="49">
        <f t="shared" si="5"/>
        <v>0.4898989899</v>
      </c>
      <c r="L49" s="49">
        <f t="shared" si="6"/>
        <v>0.4002525253</v>
      </c>
      <c r="M49" s="49">
        <f t="shared" si="7"/>
        <v>0.1098484848</v>
      </c>
      <c r="N49" s="32" t="str">
        <f t="shared" si="8"/>
        <v>Jânio</v>
      </c>
      <c r="O49" s="50" t="s">
        <v>77</v>
      </c>
      <c r="P49" s="38">
        <v>690.0</v>
      </c>
      <c r="Q49" s="38">
        <v>711.0</v>
      </c>
      <c r="R49" s="38">
        <v>146.0</v>
      </c>
      <c r="S49" s="38">
        <v>67.0</v>
      </c>
      <c r="T49" s="38">
        <v>47.0</v>
      </c>
      <c r="U49" s="48">
        <f t="shared" si="9"/>
        <v>1547</v>
      </c>
      <c r="V49" s="48">
        <f t="shared" si="10"/>
        <v>1661</v>
      </c>
      <c r="W49" s="49">
        <f t="shared" si="11"/>
        <v>0.4460245637</v>
      </c>
      <c r="X49" s="49">
        <f t="shared" si="12"/>
        <v>0.4595992243</v>
      </c>
      <c r="Y49" s="49">
        <f t="shared" si="13"/>
        <v>0.09437621202</v>
      </c>
      <c r="Z49" s="32" t="str">
        <f t="shared" si="14"/>
        <v>Milton</v>
      </c>
      <c r="AA49" s="50" t="s">
        <v>77</v>
      </c>
      <c r="AB49" s="38">
        <v>1795.0</v>
      </c>
      <c r="AC49" s="48">
        <f t="shared" si="17"/>
        <v>134</v>
      </c>
      <c r="AD49" s="51">
        <f t="shared" si="18"/>
        <v>0.9253481894</v>
      </c>
    </row>
    <row r="50">
      <c r="A50" s="61" t="s">
        <v>127</v>
      </c>
      <c r="B50" s="46" t="s">
        <v>1670</v>
      </c>
      <c r="C50" s="47"/>
      <c r="D50" s="38">
        <v>4277.0</v>
      </c>
      <c r="E50" s="38">
        <v>3810.0</v>
      </c>
      <c r="F50" s="38">
        <v>567.0</v>
      </c>
      <c r="G50" s="38">
        <v>289.0</v>
      </c>
      <c r="H50" s="38">
        <v>129.0</v>
      </c>
      <c r="I50" s="48">
        <f t="shared" si="3"/>
        <v>8654</v>
      </c>
      <c r="J50" s="48">
        <f t="shared" si="4"/>
        <v>9072</v>
      </c>
      <c r="K50" s="49">
        <f t="shared" si="5"/>
        <v>0.4942223249</v>
      </c>
      <c r="L50" s="49">
        <f t="shared" si="6"/>
        <v>0.4402588398</v>
      </c>
      <c r="M50" s="49">
        <f t="shared" si="7"/>
        <v>0.06551883522</v>
      </c>
      <c r="N50" s="32" t="str">
        <f t="shared" si="8"/>
        <v>Jânio</v>
      </c>
      <c r="O50" s="50" t="s">
        <v>77</v>
      </c>
      <c r="P50" s="38">
        <v>3797.0</v>
      </c>
      <c r="Q50" s="38">
        <v>3386.0</v>
      </c>
      <c r="R50" s="38">
        <v>1045.0</v>
      </c>
      <c r="S50" s="38">
        <v>754.0</v>
      </c>
      <c r="T50" s="38">
        <v>90.0</v>
      </c>
      <c r="U50" s="48">
        <f t="shared" si="9"/>
        <v>8228</v>
      </c>
      <c r="V50" s="48">
        <f t="shared" si="10"/>
        <v>9072</v>
      </c>
      <c r="W50" s="49">
        <f t="shared" si="11"/>
        <v>0.461473019</v>
      </c>
      <c r="X50" s="49">
        <f t="shared" si="12"/>
        <v>0.4115216334</v>
      </c>
      <c r="Y50" s="49">
        <f t="shared" si="13"/>
        <v>0.1270053476</v>
      </c>
      <c r="Z50" s="32" t="str">
        <f t="shared" si="14"/>
        <v>Jango</v>
      </c>
      <c r="AA50" s="50" t="s">
        <v>77</v>
      </c>
      <c r="AB50" s="38">
        <v>9914.0</v>
      </c>
      <c r="AC50" s="48">
        <f t="shared" si="17"/>
        <v>842</v>
      </c>
      <c r="AD50" s="51">
        <f t="shared" si="18"/>
        <v>0.9150695985</v>
      </c>
    </row>
    <row r="51">
      <c r="A51" s="23"/>
      <c r="B51" s="46" t="s">
        <v>1671</v>
      </c>
      <c r="C51" s="47"/>
      <c r="D51" s="38">
        <v>1114.0</v>
      </c>
      <c r="E51" s="38">
        <v>1297.0</v>
      </c>
      <c r="F51" s="38">
        <v>154.0</v>
      </c>
      <c r="G51" s="38">
        <v>78.0</v>
      </c>
      <c r="H51" s="38">
        <v>56.0</v>
      </c>
      <c r="I51" s="48">
        <f t="shared" si="3"/>
        <v>2565</v>
      </c>
      <c r="J51" s="48">
        <f t="shared" si="4"/>
        <v>2699</v>
      </c>
      <c r="K51" s="49">
        <f t="shared" si="5"/>
        <v>0.4343079922</v>
      </c>
      <c r="L51" s="49">
        <f t="shared" si="6"/>
        <v>0.5056530214</v>
      </c>
      <c r="M51" s="49">
        <f t="shared" si="7"/>
        <v>0.06003898635</v>
      </c>
      <c r="N51" s="32" t="str">
        <f t="shared" si="8"/>
        <v>Mal. Lott</v>
      </c>
      <c r="O51" s="50" t="s">
        <v>77</v>
      </c>
      <c r="P51" s="38">
        <v>1256.0</v>
      </c>
      <c r="Q51" s="38">
        <v>763.0</v>
      </c>
      <c r="R51" s="38">
        <v>441.0</v>
      </c>
      <c r="S51" s="38">
        <v>198.0</v>
      </c>
      <c r="T51" s="38">
        <v>41.0</v>
      </c>
      <c r="U51" s="48">
        <f t="shared" si="9"/>
        <v>2460</v>
      </c>
      <c r="V51" s="48">
        <f t="shared" si="10"/>
        <v>2699</v>
      </c>
      <c r="W51" s="49">
        <f t="shared" si="11"/>
        <v>0.5105691057</v>
      </c>
      <c r="X51" s="49">
        <f t="shared" si="12"/>
        <v>0.3101626016</v>
      </c>
      <c r="Y51" s="49">
        <f t="shared" si="13"/>
        <v>0.1792682927</v>
      </c>
      <c r="Z51" s="32" t="str">
        <f t="shared" si="14"/>
        <v>Jango</v>
      </c>
      <c r="AA51" s="50" t="s">
        <v>77</v>
      </c>
      <c r="AB51" s="38">
        <v>3068.0</v>
      </c>
      <c r="AC51" s="48">
        <f t="shared" si="17"/>
        <v>369</v>
      </c>
      <c r="AD51" s="51">
        <f t="shared" si="18"/>
        <v>0.879726206</v>
      </c>
    </row>
    <row r="52">
      <c r="A52" s="23"/>
      <c r="B52" s="46" t="s">
        <v>1672</v>
      </c>
      <c r="C52" s="47"/>
      <c r="D52" s="38">
        <v>580.0</v>
      </c>
      <c r="E52" s="38">
        <v>438.0</v>
      </c>
      <c r="F52" s="38">
        <v>131.0</v>
      </c>
      <c r="G52" s="38">
        <v>52.0</v>
      </c>
      <c r="H52" s="38">
        <v>30.0</v>
      </c>
      <c r="I52" s="48">
        <f t="shared" si="3"/>
        <v>1149</v>
      </c>
      <c r="J52" s="48">
        <f t="shared" si="4"/>
        <v>1231</v>
      </c>
      <c r="K52" s="49">
        <f t="shared" si="5"/>
        <v>0.5047867711</v>
      </c>
      <c r="L52" s="49">
        <f t="shared" si="6"/>
        <v>0.3812010444</v>
      </c>
      <c r="M52" s="49">
        <f t="shared" si="7"/>
        <v>0.1140121845</v>
      </c>
      <c r="N52" s="32" t="str">
        <f t="shared" si="8"/>
        <v>Jânio</v>
      </c>
      <c r="O52" s="50" t="s">
        <v>77</v>
      </c>
      <c r="P52" s="38">
        <v>513.0</v>
      </c>
      <c r="Q52" s="38">
        <v>461.0</v>
      </c>
      <c r="R52" s="38">
        <v>164.0</v>
      </c>
      <c r="S52" s="38">
        <v>76.0</v>
      </c>
      <c r="T52" s="38">
        <v>17.0</v>
      </c>
      <c r="U52" s="48">
        <f t="shared" si="9"/>
        <v>1138</v>
      </c>
      <c r="V52" s="48">
        <f t="shared" si="10"/>
        <v>1231</v>
      </c>
      <c r="W52" s="49">
        <f t="shared" si="11"/>
        <v>0.4507908612</v>
      </c>
      <c r="X52" s="49">
        <f t="shared" si="12"/>
        <v>0.4050966608</v>
      </c>
      <c r="Y52" s="49">
        <f t="shared" si="13"/>
        <v>0.144112478</v>
      </c>
      <c r="Z52" s="32" t="str">
        <f t="shared" si="14"/>
        <v>Jango</v>
      </c>
      <c r="AA52" s="50" t="s">
        <v>77</v>
      </c>
      <c r="AB52" s="38">
        <v>1480.0</v>
      </c>
      <c r="AC52" s="48">
        <f t="shared" si="17"/>
        <v>249</v>
      </c>
      <c r="AD52" s="51">
        <f t="shared" si="18"/>
        <v>0.8317567568</v>
      </c>
    </row>
    <row r="53">
      <c r="A53" s="24"/>
      <c r="B53" s="46" t="s">
        <v>1673</v>
      </c>
      <c r="C53" s="47"/>
      <c r="D53" s="38">
        <v>381.0</v>
      </c>
      <c r="E53" s="38">
        <v>286.0</v>
      </c>
      <c r="F53" s="38">
        <v>100.0</v>
      </c>
      <c r="G53" s="38">
        <v>49.0</v>
      </c>
      <c r="H53" s="38">
        <v>53.0</v>
      </c>
      <c r="I53" s="48">
        <f t="shared" si="3"/>
        <v>767</v>
      </c>
      <c r="J53" s="48">
        <f t="shared" si="4"/>
        <v>869</v>
      </c>
      <c r="K53" s="49">
        <f t="shared" si="5"/>
        <v>0.4967405476</v>
      </c>
      <c r="L53" s="49">
        <f t="shared" si="6"/>
        <v>0.3728813559</v>
      </c>
      <c r="M53" s="49">
        <f t="shared" si="7"/>
        <v>0.1303780965</v>
      </c>
      <c r="N53" s="32" t="str">
        <f t="shared" si="8"/>
        <v>Jânio</v>
      </c>
      <c r="O53" s="50" t="s">
        <v>77</v>
      </c>
      <c r="P53" s="38">
        <v>306.0</v>
      </c>
      <c r="Q53" s="38">
        <v>121.0</v>
      </c>
      <c r="R53" s="38">
        <v>292.0</v>
      </c>
      <c r="S53" s="38">
        <v>113.0</v>
      </c>
      <c r="T53" s="38">
        <v>37.0</v>
      </c>
      <c r="U53" s="48">
        <f t="shared" si="9"/>
        <v>719</v>
      </c>
      <c r="V53" s="48">
        <f t="shared" si="10"/>
        <v>869</v>
      </c>
      <c r="W53" s="49">
        <f t="shared" si="11"/>
        <v>0.4255910987</v>
      </c>
      <c r="X53" s="49">
        <f t="shared" si="12"/>
        <v>0.1682892907</v>
      </c>
      <c r="Y53" s="49">
        <f t="shared" si="13"/>
        <v>0.4061196106</v>
      </c>
      <c r="Z53" s="32" t="str">
        <f t="shared" si="14"/>
        <v>Jango</v>
      </c>
      <c r="AA53" s="50" t="s">
        <v>77</v>
      </c>
      <c r="AB53" s="38">
        <v>990.0</v>
      </c>
      <c r="AC53" s="48">
        <f t="shared" si="17"/>
        <v>121</v>
      </c>
      <c r="AD53" s="51">
        <f t="shared" si="18"/>
        <v>0.8777777778</v>
      </c>
    </row>
    <row r="54">
      <c r="A54" s="110" t="s">
        <v>129</v>
      </c>
      <c r="B54" s="46" t="s">
        <v>1674</v>
      </c>
      <c r="C54" s="47"/>
      <c r="D54" s="38">
        <v>13505.0</v>
      </c>
      <c r="E54" s="38">
        <v>12728.0</v>
      </c>
      <c r="F54" s="38">
        <v>1306.0</v>
      </c>
      <c r="G54" s="38">
        <v>735.0</v>
      </c>
      <c r="H54" s="38">
        <v>418.0</v>
      </c>
      <c r="I54" s="48">
        <f t="shared" si="3"/>
        <v>27539</v>
      </c>
      <c r="J54" s="48">
        <f t="shared" si="4"/>
        <v>28692</v>
      </c>
      <c r="K54" s="49">
        <f t="shared" si="5"/>
        <v>0.4903954392</v>
      </c>
      <c r="L54" s="49">
        <f t="shared" si="6"/>
        <v>0.4621809071</v>
      </c>
      <c r="M54" s="49">
        <f t="shared" si="7"/>
        <v>0.04742365373</v>
      </c>
      <c r="N54" s="32" t="str">
        <f t="shared" si="8"/>
        <v>Jânio</v>
      </c>
      <c r="O54" s="50" t="s">
        <v>77</v>
      </c>
      <c r="P54" s="38">
        <v>13313.0</v>
      </c>
      <c r="Q54" s="38">
        <v>11624.0</v>
      </c>
      <c r="R54" s="38">
        <v>1820.0</v>
      </c>
      <c r="S54" s="38">
        <v>1572.0</v>
      </c>
      <c r="T54" s="38">
        <v>363.0</v>
      </c>
      <c r="U54" s="48">
        <f t="shared" si="9"/>
        <v>26757</v>
      </c>
      <c r="V54" s="48">
        <f t="shared" si="10"/>
        <v>28692</v>
      </c>
      <c r="W54" s="49">
        <f t="shared" si="11"/>
        <v>0.4975520425</v>
      </c>
      <c r="X54" s="49">
        <f t="shared" si="12"/>
        <v>0.4344283739</v>
      </c>
      <c r="Y54" s="49">
        <f t="shared" si="13"/>
        <v>0.06801958366</v>
      </c>
      <c r="Z54" s="32" t="str">
        <f t="shared" si="14"/>
        <v>Jango</v>
      </c>
      <c r="AA54" s="50" t="s">
        <v>77</v>
      </c>
      <c r="AB54" s="38">
        <v>30921.0</v>
      </c>
      <c r="AC54" s="48">
        <f t="shared" si="17"/>
        <v>2229</v>
      </c>
      <c r="AD54" s="51">
        <f t="shared" si="18"/>
        <v>0.9279130688</v>
      </c>
    </row>
    <row r="55">
      <c r="A55" s="61" t="s">
        <v>131</v>
      </c>
      <c r="B55" s="46" t="s">
        <v>1675</v>
      </c>
      <c r="C55" s="47"/>
      <c r="D55" s="38">
        <v>2547.0</v>
      </c>
      <c r="E55" s="38">
        <v>3435.0</v>
      </c>
      <c r="F55" s="38">
        <v>472.0</v>
      </c>
      <c r="G55" s="38">
        <v>394.0</v>
      </c>
      <c r="H55" s="38">
        <v>202.0</v>
      </c>
      <c r="I55" s="48">
        <f t="shared" si="3"/>
        <v>6454</v>
      </c>
      <c r="J55" s="48">
        <f t="shared" si="4"/>
        <v>7050</v>
      </c>
      <c r="K55" s="49">
        <f t="shared" si="5"/>
        <v>0.3946389836</v>
      </c>
      <c r="L55" s="49">
        <f t="shared" si="6"/>
        <v>0.5322280756</v>
      </c>
      <c r="M55" s="49">
        <f t="shared" si="7"/>
        <v>0.07313294081</v>
      </c>
      <c r="N55" s="32" t="str">
        <f t="shared" si="8"/>
        <v>Mal. Lott</v>
      </c>
      <c r="O55" s="50" t="s">
        <v>77</v>
      </c>
      <c r="P55" s="38">
        <v>3600.0</v>
      </c>
      <c r="Q55" s="38">
        <v>1817.0</v>
      </c>
      <c r="R55" s="38">
        <v>697.0</v>
      </c>
      <c r="S55" s="38">
        <v>793.0</v>
      </c>
      <c r="T55" s="38">
        <v>143.0</v>
      </c>
      <c r="U55" s="48">
        <f t="shared" si="9"/>
        <v>6114</v>
      </c>
      <c r="V55" s="48">
        <f t="shared" si="10"/>
        <v>7050</v>
      </c>
      <c r="W55" s="49">
        <f t="shared" si="11"/>
        <v>0.5888125613</v>
      </c>
      <c r="X55" s="49">
        <f t="shared" si="12"/>
        <v>0.2971867844</v>
      </c>
      <c r="Y55" s="49">
        <f t="shared" si="13"/>
        <v>0.1140006542</v>
      </c>
      <c r="Z55" s="32" t="str">
        <f t="shared" si="14"/>
        <v>Jango</v>
      </c>
      <c r="AA55" s="50" t="s">
        <v>77</v>
      </c>
      <c r="AB55" s="38">
        <v>8031.0</v>
      </c>
      <c r="AC55" s="48">
        <f t="shared" si="17"/>
        <v>981</v>
      </c>
      <c r="AD55" s="51">
        <f t="shared" si="18"/>
        <v>0.8778483377</v>
      </c>
    </row>
    <row r="56">
      <c r="A56" s="23"/>
      <c r="B56" s="46" t="s">
        <v>1676</v>
      </c>
      <c r="C56" s="47"/>
      <c r="D56" s="38">
        <v>1920.0</v>
      </c>
      <c r="E56" s="38">
        <v>2377.0</v>
      </c>
      <c r="F56" s="38">
        <v>256.0</v>
      </c>
      <c r="G56" s="38">
        <v>204.0</v>
      </c>
      <c r="H56" s="38">
        <v>132.0</v>
      </c>
      <c r="I56" s="48">
        <f t="shared" si="3"/>
        <v>4553</v>
      </c>
      <c r="J56" s="48">
        <f t="shared" si="4"/>
        <v>4889</v>
      </c>
      <c r="K56" s="49">
        <f t="shared" si="5"/>
        <v>0.421699978</v>
      </c>
      <c r="L56" s="49">
        <f t="shared" si="6"/>
        <v>0.5220733582</v>
      </c>
      <c r="M56" s="49">
        <f t="shared" si="7"/>
        <v>0.05622666374</v>
      </c>
      <c r="N56" s="32" t="str">
        <f t="shared" si="8"/>
        <v>Mal. Lott</v>
      </c>
      <c r="O56" s="50" t="s">
        <v>77</v>
      </c>
      <c r="P56" s="38">
        <v>2540.0</v>
      </c>
      <c r="Q56" s="38">
        <v>1730.0</v>
      </c>
      <c r="R56" s="38">
        <v>173.0</v>
      </c>
      <c r="S56" s="38">
        <v>367.0</v>
      </c>
      <c r="T56" s="38">
        <v>79.0</v>
      </c>
      <c r="U56" s="48">
        <f t="shared" si="9"/>
        <v>4443</v>
      </c>
      <c r="V56" s="48">
        <f t="shared" si="10"/>
        <v>4889</v>
      </c>
      <c r="W56" s="49">
        <f t="shared" si="11"/>
        <v>0.5716857979</v>
      </c>
      <c r="X56" s="49">
        <f t="shared" si="12"/>
        <v>0.3893765474</v>
      </c>
      <c r="Y56" s="49">
        <f t="shared" si="13"/>
        <v>0.03893765474</v>
      </c>
      <c r="Z56" s="32" t="str">
        <f t="shared" si="14"/>
        <v>Jango</v>
      </c>
      <c r="AA56" s="50" t="s">
        <v>77</v>
      </c>
      <c r="AB56" s="38">
        <v>5525.0</v>
      </c>
      <c r="AC56" s="48">
        <f t="shared" si="17"/>
        <v>636</v>
      </c>
      <c r="AD56" s="51">
        <f t="shared" si="18"/>
        <v>0.8848868778</v>
      </c>
    </row>
    <row r="57">
      <c r="A57" s="24"/>
      <c r="B57" s="46" t="s">
        <v>1677</v>
      </c>
      <c r="C57" s="47"/>
      <c r="D57" s="38">
        <v>896.0</v>
      </c>
      <c r="E57" s="38">
        <v>2101.0</v>
      </c>
      <c r="F57" s="38">
        <v>100.0</v>
      </c>
      <c r="G57" s="38">
        <v>108.0</v>
      </c>
      <c r="H57" s="38">
        <v>67.0</v>
      </c>
      <c r="I57" s="48">
        <f t="shared" si="3"/>
        <v>3097</v>
      </c>
      <c r="J57" s="48">
        <f t="shared" si="4"/>
        <v>3272</v>
      </c>
      <c r="K57" s="49">
        <f t="shared" si="5"/>
        <v>0.2893122376</v>
      </c>
      <c r="L57" s="49">
        <f t="shared" si="6"/>
        <v>0.6783984501</v>
      </c>
      <c r="M57" s="49">
        <f t="shared" si="7"/>
        <v>0.03228931224</v>
      </c>
      <c r="N57" s="32" t="str">
        <f t="shared" si="8"/>
        <v>Mal. Lott</v>
      </c>
      <c r="O57" s="50" t="s">
        <v>77</v>
      </c>
      <c r="P57" s="38">
        <v>2176.0</v>
      </c>
      <c r="Q57" s="38">
        <v>718.0</v>
      </c>
      <c r="R57" s="38">
        <v>171.0</v>
      </c>
      <c r="S57" s="38">
        <v>168.0</v>
      </c>
      <c r="T57" s="38">
        <v>39.0</v>
      </c>
      <c r="U57" s="48">
        <f t="shared" si="9"/>
        <v>3065</v>
      </c>
      <c r="V57" s="48">
        <f t="shared" si="10"/>
        <v>3272</v>
      </c>
      <c r="W57" s="49">
        <f t="shared" si="11"/>
        <v>0.7099510604</v>
      </c>
      <c r="X57" s="49">
        <f t="shared" si="12"/>
        <v>0.2342577488</v>
      </c>
      <c r="Y57" s="49">
        <f t="shared" si="13"/>
        <v>0.05579119086</v>
      </c>
      <c r="Z57" s="32" t="str">
        <f t="shared" si="14"/>
        <v>Jango</v>
      </c>
      <c r="AA57" s="50" t="s">
        <v>77</v>
      </c>
      <c r="AB57" s="38">
        <v>3685.0</v>
      </c>
      <c r="AC57" s="48">
        <f t="shared" si="17"/>
        <v>413</v>
      </c>
      <c r="AD57" s="51">
        <f t="shared" si="18"/>
        <v>0.8879240163</v>
      </c>
    </row>
    <row r="58">
      <c r="A58" s="110" t="s">
        <v>133</v>
      </c>
      <c r="B58" s="46" t="s">
        <v>624</v>
      </c>
      <c r="C58" s="47"/>
      <c r="D58" s="38">
        <v>9105.0</v>
      </c>
      <c r="E58" s="38">
        <v>10443.0</v>
      </c>
      <c r="F58" s="38">
        <v>4651.0</v>
      </c>
      <c r="G58" s="38">
        <v>1265.0</v>
      </c>
      <c r="H58" s="38">
        <v>640.0</v>
      </c>
      <c r="I58" s="48">
        <f t="shared" si="3"/>
        <v>24199</v>
      </c>
      <c r="J58" s="48">
        <f t="shared" si="4"/>
        <v>26104</v>
      </c>
      <c r="K58" s="49">
        <f t="shared" si="5"/>
        <v>0.3762552172</v>
      </c>
      <c r="L58" s="49">
        <f t="shared" si="6"/>
        <v>0.4315467581</v>
      </c>
      <c r="M58" s="49">
        <f t="shared" si="7"/>
        <v>0.1921980247</v>
      </c>
      <c r="N58" s="32" t="str">
        <f t="shared" si="8"/>
        <v>Mal. Lott</v>
      </c>
      <c r="O58" s="50" t="s">
        <v>77</v>
      </c>
      <c r="P58" s="38">
        <v>12746.0</v>
      </c>
      <c r="Q58" s="38">
        <v>6646.0</v>
      </c>
      <c r="R58" s="38">
        <v>3479.0</v>
      </c>
      <c r="S58" s="38">
        <v>2796.0</v>
      </c>
      <c r="T58" s="38">
        <v>437.0</v>
      </c>
      <c r="U58" s="48">
        <f t="shared" si="9"/>
        <v>22871</v>
      </c>
      <c r="V58" s="48">
        <f t="shared" si="10"/>
        <v>26104</v>
      </c>
      <c r="W58" s="49">
        <f t="shared" si="11"/>
        <v>0.5572996371</v>
      </c>
      <c r="X58" s="49">
        <f t="shared" si="12"/>
        <v>0.290586332</v>
      </c>
      <c r="Y58" s="49">
        <f t="shared" si="13"/>
        <v>0.1521140309</v>
      </c>
      <c r="Z58" s="32" t="str">
        <f t="shared" si="14"/>
        <v>Jango</v>
      </c>
      <c r="AA58" s="50" t="s">
        <v>77</v>
      </c>
      <c r="AB58" s="38">
        <v>28852.0</v>
      </c>
      <c r="AC58" s="48">
        <f t="shared" si="17"/>
        <v>2748</v>
      </c>
      <c r="AD58" s="51">
        <f t="shared" si="18"/>
        <v>0.9047553029</v>
      </c>
    </row>
    <row r="59">
      <c r="A59" s="110" t="s">
        <v>135</v>
      </c>
      <c r="B59" s="46" t="s">
        <v>1678</v>
      </c>
      <c r="C59" s="47"/>
      <c r="D59" s="38">
        <v>1788.0</v>
      </c>
      <c r="E59" s="38">
        <v>2096.0</v>
      </c>
      <c r="F59" s="38">
        <v>1007.0</v>
      </c>
      <c r="G59" s="38">
        <v>253.0</v>
      </c>
      <c r="H59" s="38">
        <v>123.0</v>
      </c>
      <c r="I59" s="48">
        <f t="shared" si="3"/>
        <v>4891</v>
      </c>
      <c r="J59" s="48">
        <f t="shared" si="4"/>
        <v>5267</v>
      </c>
      <c r="K59" s="49">
        <f t="shared" si="5"/>
        <v>0.3655694132</v>
      </c>
      <c r="L59" s="49">
        <f t="shared" si="6"/>
        <v>0.4285422204</v>
      </c>
      <c r="M59" s="49">
        <f t="shared" si="7"/>
        <v>0.2058883664</v>
      </c>
      <c r="N59" s="32" t="str">
        <f t="shared" si="8"/>
        <v>Mal. Lott</v>
      </c>
      <c r="O59" s="50" t="s">
        <v>77</v>
      </c>
      <c r="P59" s="38">
        <v>2383.0</v>
      </c>
      <c r="Q59" s="38">
        <v>1290.0</v>
      </c>
      <c r="R59" s="38">
        <v>784.0</v>
      </c>
      <c r="S59" s="38">
        <v>717.0</v>
      </c>
      <c r="T59" s="38">
        <v>93.0</v>
      </c>
      <c r="U59" s="48">
        <f t="shared" si="9"/>
        <v>4457</v>
      </c>
      <c r="V59" s="48">
        <f t="shared" si="10"/>
        <v>5267</v>
      </c>
      <c r="W59" s="49">
        <f t="shared" si="11"/>
        <v>0.5346645726</v>
      </c>
      <c r="X59" s="49">
        <f t="shared" si="12"/>
        <v>0.2894323536</v>
      </c>
      <c r="Y59" s="49">
        <f t="shared" si="13"/>
        <v>0.1759030738</v>
      </c>
      <c r="Z59" s="32" t="str">
        <f t="shared" si="14"/>
        <v>Jango</v>
      </c>
      <c r="AA59" s="50" t="s">
        <v>77</v>
      </c>
      <c r="AB59" s="38">
        <v>5571.0</v>
      </c>
      <c r="AC59" s="48">
        <f t="shared" si="17"/>
        <v>304</v>
      </c>
      <c r="AD59" s="51">
        <f t="shared" si="18"/>
        <v>0.9454316999</v>
      </c>
    </row>
    <row r="60">
      <c r="A60" s="61" t="s">
        <v>193</v>
      </c>
      <c r="B60" s="46" t="s">
        <v>1679</v>
      </c>
      <c r="C60" s="47"/>
      <c r="D60" s="38">
        <v>1996.0</v>
      </c>
      <c r="E60" s="38">
        <v>1879.0</v>
      </c>
      <c r="F60" s="38">
        <v>178.0</v>
      </c>
      <c r="G60" s="38">
        <v>156.0</v>
      </c>
      <c r="H60" s="38">
        <v>72.0</v>
      </c>
      <c r="I60" s="48">
        <f t="shared" si="3"/>
        <v>4053</v>
      </c>
      <c r="J60" s="48">
        <f t="shared" si="4"/>
        <v>4281</v>
      </c>
      <c r="K60" s="49">
        <f t="shared" si="5"/>
        <v>0.4924747101</v>
      </c>
      <c r="L60" s="49">
        <f t="shared" si="6"/>
        <v>0.4636072045</v>
      </c>
      <c r="M60" s="49">
        <f t="shared" si="7"/>
        <v>0.04391808537</v>
      </c>
      <c r="N60" s="32" t="str">
        <f t="shared" si="8"/>
        <v>Jânio</v>
      </c>
      <c r="O60" s="50" t="s">
        <v>77</v>
      </c>
      <c r="P60" s="38">
        <v>1998.0</v>
      </c>
      <c r="Q60" s="38">
        <v>1686.0</v>
      </c>
      <c r="R60" s="38">
        <v>244.0</v>
      </c>
      <c r="S60" s="38">
        <v>306.0</v>
      </c>
      <c r="T60" s="38">
        <v>47.0</v>
      </c>
      <c r="U60" s="48">
        <f t="shared" si="9"/>
        <v>3928</v>
      </c>
      <c r="V60" s="48">
        <f t="shared" si="10"/>
        <v>4281</v>
      </c>
      <c r="W60" s="49">
        <f t="shared" si="11"/>
        <v>0.5086558045</v>
      </c>
      <c r="X60" s="49">
        <f t="shared" si="12"/>
        <v>0.4292260692</v>
      </c>
      <c r="Y60" s="49">
        <f t="shared" si="13"/>
        <v>0.06211812627</v>
      </c>
      <c r="Z60" s="32" t="str">
        <f t="shared" si="14"/>
        <v>Jango</v>
      </c>
      <c r="AA60" s="50" t="s">
        <v>77</v>
      </c>
      <c r="AB60" s="38">
        <v>4757.0</v>
      </c>
      <c r="AC60" s="48">
        <f t="shared" si="17"/>
        <v>476</v>
      </c>
      <c r="AD60" s="51">
        <f t="shared" si="18"/>
        <v>0.899936935</v>
      </c>
    </row>
    <row r="61">
      <c r="A61" s="24"/>
      <c r="B61" s="46" t="s">
        <v>1680</v>
      </c>
      <c r="C61" s="47"/>
      <c r="D61" s="38">
        <v>1275.0</v>
      </c>
      <c r="E61" s="38">
        <v>1731.0</v>
      </c>
      <c r="F61" s="38">
        <v>172.0</v>
      </c>
      <c r="G61" s="38">
        <v>110.0</v>
      </c>
      <c r="H61" s="38">
        <v>72.0</v>
      </c>
      <c r="I61" s="48">
        <f t="shared" si="3"/>
        <v>3178</v>
      </c>
      <c r="J61" s="48">
        <f t="shared" si="4"/>
        <v>3360</v>
      </c>
      <c r="K61" s="49">
        <f t="shared" si="5"/>
        <v>0.4011957206</v>
      </c>
      <c r="L61" s="49">
        <f t="shared" si="6"/>
        <v>0.5446821901</v>
      </c>
      <c r="M61" s="49">
        <f t="shared" si="7"/>
        <v>0.05412208936</v>
      </c>
      <c r="N61" s="32" t="str">
        <f t="shared" si="8"/>
        <v>Mal. Lott</v>
      </c>
      <c r="O61" s="50" t="s">
        <v>77</v>
      </c>
      <c r="P61" s="38">
        <v>2025.0</v>
      </c>
      <c r="Q61" s="38">
        <v>965.0</v>
      </c>
      <c r="R61" s="38">
        <v>173.0</v>
      </c>
      <c r="S61" s="38">
        <v>139.0</v>
      </c>
      <c r="T61" s="38">
        <v>58.0</v>
      </c>
      <c r="U61" s="48">
        <f t="shared" si="9"/>
        <v>3163</v>
      </c>
      <c r="V61" s="48">
        <f t="shared" si="10"/>
        <v>3360</v>
      </c>
      <c r="W61" s="49">
        <f t="shared" si="11"/>
        <v>0.6402149858</v>
      </c>
      <c r="X61" s="49">
        <f t="shared" si="12"/>
        <v>0.3050901043</v>
      </c>
      <c r="Y61" s="49">
        <f t="shared" si="13"/>
        <v>0.0546949099</v>
      </c>
      <c r="Z61" s="32" t="str">
        <f t="shared" si="14"/>
        <v>Jango</v>
      </c>
      <c r="AA61" s="50" t="s">
        <v>77</v>
      </c>
      <c r="AB61" s="38">
        <v>3634.0</v>
      </c>
      <c r="AC61" s="48">
        <f t="shared" si="17"/>
        <v>274</v>
      </c>
      <c r="AD61" s="51">
        <f t="shared" si="18"/>
        <v>0.9246009906</v>
      </c>
    </row>
    <row r="62">
      <c r="A62" s="61" t="s">
        <v>196</v>
      </c>
      <c r="B62" s="46" t="s">
        <v>1681</v>
      </c>
      <c r="C62" s="47"/>
      <c r="D62" s="38">
        <v>2332.0</v>
      </c>
      <c r="E62" s="38">
        <v>3275.0</v>
      </c>
      <c r="F62" s="38">
        <v>272.0</v>
      </c>
      <c r="G62" s="38">
        <v>239.0</v>
      </c>
      <c r="H62" s="38">
        <v>157.0</v>
      </c>
      <c r="I62" s="48">
        <f t="shared" si="3"/>
        <v>5879</v>
      </c>
      <c r="J62" s="48">
        <f t="shared" si="4"/>
        <v>6275</v>
      </c>
      <c r="K62" s="49">
        <f t="shared" si="5"/>
        <v>0.3966660997</v>
      </c>
      <c r="L62" s="49">
        <f t="shared" si="6"/>
        <v>0.5570675285</v>
      </c>
      <c r="M62" s="49">
        <f t="shared" si="7"/>
        <v>0.04626637183</v>
      </c>
      <c r="N62" s="32" t="str">
        <f t="shared" si="8"/>
        <v>Mal. Lott</v>
      </c>
      <c r="O62" s="50" t="s">
        <v>77</v>
      </c>
      <c r="P62" s="38">
        <v>3473.0</v>
      </c>
      <c r="Q62" s="38">
        <v>1965.0</v>
      </c>
      <c r="R62" s="38">
        <v>265.0</v>
      </c>
      <c r="S62" s="38">
        <v>474.0</v>
      </c>
      <c r="T62" s="38">
        <v>98.0</v>
      </c>
      <c r="U62" s="48">
        <f t="shared" si="9"/>
        <v>5703</v>
      </c>
      <c r="V62" s="48">
        <f t="shared" si="10"/>
        <v>6275</v>
      </c>
      <c r="W62" s="49">
        <f t="shared" si="11"/>
        <v>0.608977731</v>
      </c>
      <c r="X62" s="49">
        <f t="shared" si="12"/>
        <v>0.3445554971</v>
      </c>
      <c r="Y62" s="49">
        <f t="shared" si="13"/>
        <v>0.04646677187</v>
      </c>
      <c r="Z62" s="32" t="str">
        <f t="shared" si="14"/>
        <v>Jango</v>
      </c>
      <c r="AA62" s="50" t="s">
        <v>77</v>
      </c>
      <c r="AB62" s="38">
        <v>7067.0</v>
      </c>
      <c r="AC62" s="48">
        <f t="shared" si="17"/>
        <v>792</v>
      </c>
      <c r="AD62" s="51">
        <f t="shared" si="18"/>
        <v>0.8879298146</v>
      </c>
    </row>
    <row r="63">
      <c r="A63" s="24"/>
      <c r="B63" s="46" t="s">
        <v>1682</v>
      </c>
      <c r="C63" s="47"/>
      <c r="D63" s="38">
        <v>2428.0</v>
      </c>
      <c r="E63" s="38">
        <v>2010.0</v>
      </c>
      <c r="F63" s="38">
        <v>192.0</v>
      </c>
      <c r="G63" s="38">
        <v>145.0</v>
      </c>
      <c r="H63" s="38">
        <v>82.0</v>
      </c>
      <c r="I63" s="48">
        <f t="shared" si="3"/>
        <v>4630</v>
      </c>
      <c r="J63" s="48">
        <f t="shared" si="4"/>
        <v>4857</v>
      </c>
      <c r="K63" s="49">
        <f t="shared" si="5"/>
        <v>0.5244060475</v>
      </c>
      <c r="L63" s="49">
        <f t="shared" si="6"/>
        <v>0.43412527</v>
      </c>
      <c r="M63" s="49">
        <f t="shared" si="7"/>
        <v>0.04146868251</v>
      </c>
      <c r="N63" s="32" t="str">
        <f t="shared" si="8"/>
        <v>Jânio</v>
      </c>
      <c r="O63" s="50" t="s">
        <v>77</v>
      </c>
      <c r="P63" s="38">
        <v>2147.0</v>
      </c>
      <c r="Q63" s="38">
        <v>2249.0</v>
      </c>
      <c r="R63" s="38">
        <v>148.0</v>
      </c>
      <c r="S63" s="38">
        <v>261.0</v>
      </c>
      <c r="T63" s="38">
        <v>52.0</v>
      </c>
      <c r="U63" s="48">
        <f t="shared" si="9"/>
        <v>4544</v>
      </c>
      <c r="V63" s="48">
        <f t="shared" si="10"/>
        <v>4857</v>
      </c>
      <c r="W63" s="49">
        <f t="shared" si="11"/>
        <v>0.4724911972</v>
      </c>
      <c r="X63" s="49">
        <f t="shared" si="12"/>
        <v>0.4949383803</v>
      </c>
      <c r="Y63" s="49">
        <f t="shared" si="13"/>
        <v>0.03257042254</v>
      </c>
      <c r="Z63" s="32" t="str">
        <f t="shared" si="14"/>
        <v>Milton</v>
      </c>
      <c r="AA63" s="50" t="s">
        <v>77</v>
      </c>
      <c r="AB63" s="38">
        <v>5348.0</v>
      </c>
      <c r="AC63" s="48">
        <f t="shared" si="17"/>
        <v>491</v>
      </c>
      <c r="AD63" s="51">
        <f t="shared" si="18"/>
        <v>0.9081899776</v>
      </c>
    </row>
    <row r="64">
      <c r="A64" s="110" t="s">
        <v>198</v>
      </c>
      <c r="B64" s="46" t="s">
        <v>1683</v>
      </c>
      <c r="C64" s="47"/>
      <c r="D64" s="38">
        <v>2559.0</v>
      </c>
      <c r="E64" s="38">
        <v>2485.0</v>
      </c>
      <c r="F64" s="38">
        <v>1105.0</v>
      </c>
      <c r="G64" s="38">
        <v>261.0</v>
      </c>
      <c r="H64" s="38">
        <v>122.0</v>
      </c>
      <c r="I64" s="48">
        <f t="shared" si="3"/>
        <v>6149</v>
      </c>
      <c r="J64" s="48">
        <f t="shared" si="4"/>
        <v>6532</v>
      </c>
      <c r="K64" s="49">
        <f t="shared" si="5"/>
        <v>0.4161652301</v>
      </c>
      <c r="L64" s="49">
        <f t="shared" si="6"/>
        <v>0.404130753</v>
      </c>
      <c r="M64" s="49">
        <f t="shared" si="7"/>
        <v>0.1797040169</v>
      </c>
      <c r="N64" s="32" t="str">
        <f t="shared" si="8"/>
        <v>Jânio</v>
      </c>
      <c r="O64" s="50" t="s">
        <v>77</v>
      </c>
      <c r="P64" s="38">
        <v>2789.0</v>
      </c>
      <c r="Q64" s="38">
        <v>1852.0</v>
      </c>
      <c r="R64" s="38">
        <v>874.0</v>
      </c>
      <c r="S64" s="38">
        <v>917.0</v>
      </c>
      <c r="T64" s="38">
        <v>100.0</v>
      </c>
      <c r="U64" s="48">
        <f t="shared" si="9"/>
        <v>5515</v>
      </c>
      <c r="V64" s="48">
        <f t="shared" si="10"/>
        <v>6532</v>
      </c>
      <c r="W64" s="49">
        <f t="shared" si="11"/>
        <v>0.5057116954</v>
      </c>
      <c r="X64" s="49">
        <f t="shared" si="12"/>
        <v>0.3358114234</v>
      </c>
      <c r="Y64" s="49">
        <f t="shared" si="13"/>
        <v>0.1584768812</v>
      </c>
      <c r="Z64" s="32" t="str">
        <f t="shared" si="14"/>
        <v>Jango</v>
      </c>
      <c r="AA64" s="50" t="s">
        <v>77</v>
      </c>
      <c r="AB64" s="38">
        <v>7322.0</v>
      </c>
      <c r="AC64" s="48">
        <f t="shared" si="17"/>
        <v>790</v>
      </c>
      <c r="AD64" s="51">
        <f t="shared" si="18"/>
        <v>0.892105982</v>
      </c>
    </row>
    <row r="65">
      <c r="A65" s="61" t="s">
        <v>202</v>
      </c>
      <c r="B65" s="46" t="s">
        <v>1684</v>
      </c>
      <c r="C65" s="47"/>
      <c r="D65" s="38">
        <v>5697.0</v>
      </c>
      <c r="E65" s="38">
        <v>5726.0</v>
      </c>
      <c r="F65" s="38">
        <v>934.0</v>
      </c>
      <c r="G65" s="38">
        <v>357.0</v>
      </c>
      <c r="H65" s="38">
        <v>192.0</v>
      </c>
      <c r="I65" s="48">
        <f t="shared" si="3"/>
        <v>12357</v>
      </c>
      <c r="J65" s="48">
        <f t="shared" si="4"/>
        <v>12906</v>
      </c>
      <c r="K65" s="49">
        <f t="shared" si="5"/>
        <v>0.4610342316</v>
      </c>
      <c r="L65" s="49">
        <f t="shared" si="6"/>
        <v>0.4633810796</v>
      </c>
      <c r="M65" s="49">
        <f t="shared" si="7"/>
        <v>0.07558468884</v>
      </c>
      <c r="N65" s="32" t="str">
        <f t="shared" si="8"/>
        <v>Mal. Lott</v>
      </c>
      <c r="O65" s="50" t="s">
        <v>77</v>
      </c>
      <c r="P65" s="38">
        <v>5864.0</v>
      </c>
      <c r="Q65" s="38">
        <v>5170.0</v>
      </c>
      <c r="R65" s="38">
        <v>705.0</v>
      </c>
      <c r="S65" s="38">
        <v>1024.0</v>
      </c>
      <c r="T65" s="38">
        <v>143.0</v>
      </c>
      <c r="U65" s="48">
        <f t="shared" si="9"/>
        <v>11739</v>
      </c>
      <c r="V65" s="48">
        <f t="shared" si="10"/>
        <v>12906</v>
      </c>
      <c r="W65" s="49">
        <f t="shared" si="11"/>
        <v>0.4995314763</v>
      </c>
      <c r="X65" s="49">
        <f t="shared" si="12"/>
        <v>0.4404123009</v>
      </c>
      <c r="Y65" s="49">
        <f t="shared" si="13"/>
        <v>0.06005622285</v>
      </c>
      <c r="Z65" s="32" t="str">
        <f t="shared" si="14"/>
        <v>Jango</v>
      </c>
      <c r="AA65" s="50" t="s">
        <v>77</v>
      </c>
      <c r="AB65" s="38">
        <v>14009.0</v>
      </c>
      <c r="AC65" s="48">
        <f t="shared" si="17"/>
        <v>1103</v>
      </c>
      <c r="AD65" s="51">
        <f t="shared" si="18"/>
        <v>0.9212649011</v>
      </c>
    </row>
    <row r="66">
      <c r="A66" s="23"/>
      <c r="B66" s="46" t="s">
        <v>1685</v>
      </c>
      <c r="C66" s="47"/>
      <c r="D66" s="38">
        <v>1063.0</v>
      </c>
      <c r="E66" s="38">
        <v>1066.0</v>
      </c>
      <c r="F66" s="38">
        <v>91.0</v>
      </c>
      <c r="G66" s="38">
        <v>101.0</v>
      </c>
      <c r="H66" s="38">
        <v>51.0</v>
      </c>
      <c r="I66" s="48">
        <f t="shared" si="3"/>
        <v>2220</v>
      </c>
      <c r="J66" s="48">
        <f t="shared" si="4"/>
        <v>2372</v>
      </c>
      <c r="K66" s="49">
        <f t="shared" si="5"/>
        <v>0.4788288288</v>
      </c>
      <c r="L66" s="49">
        <f t="shared" si="6"/>
        <v>0.4801801802</v>
      </c>
      <c r="M66" s="49">
        <f t="shared" si="7"/>
        <v>0.04099099099</v>
      </c>
      <c r="N66" s="32" t="str">
        <f t="shared" si="8"/>
        <v>Mal. Lott</v>
      </c>
      <c r="O66" s="50" t="s">
        <v>77</v>
      </c>
      <c r="P66" s="38">
        <v>1163.0</v>
      </c>
      <c r="Q66" s="38">
        <v>932.0</v>
      </c>
      <c r="R66" s="38">
        <v>79.0</v>
      </c>
      <c r="S66" s="38">
        <v>157.0</v>
      </c>
      <c r="T66" s="38">
        <v>41.0</v>
      </c>
      <c r="U66" s="48">
        <f t="shared" si="9"/>
        <v>2174</v>
      </c>
      <c r="V66" s="48">
        <f t="shared" si="10"/>
        <v>2372</v>
      </c>
      <c r="W66" s="49">
        <f t="shared" si="11"/>
        <v>0.5349586017</v>
      </c>
      <c r="X66" s="49">
        <f t="shared" si="12"/>
        <v>0.4287028519</v>
      </c>
      <c r="Y66" s="49">
        <f t="shared" si="13"/>
        <v>0.03633854646</v>
      </c>
      <c r="Z66" s="32" t="str">
        <f t="shared" si="14"/>
        <v>Jango</v>
      </c>
      <c r="AA66" s="50" t="s">
        <v>77</v>
      </c>
      <c r="AB66" s="38">
        <v>2569.0</v>
      </c>
      <c r="AC66" s="48">
        <f t="shared" si="17"/>
        <v>197</v>
      </c>
      <c r="AD66" s="51">
        <f t="shared" si="18"/>
        <v>0.9233164656</v>
      </c>
    </row>
    <row r="67">
      <c r="A67" s="23"/>
      <c r="B67" s="46" t="s">
        <v>1686</v>
      </c>
      <c r="C67" s="47"/>
      <c r="D67" s="38">
        <v>1096.0</v>
      </c>
      <c r="E67" s="38">
        <v>933.0</v>
      </c>
      <c r="F67" s="38">
        <v>66.0</v>
      </c>
      <c r="G67" s="38">
        <v>60.0</v>
      </c>
      <c r="H67" s="38">
        <v>29.0</v>
      </c>
      <c r="I67" s="48">
        <f t="shared" si="3"/>
        <v>2095</v>
      </c>
      <c r="J67" s="48">
        <f t="shared" si="4"/>
        <v>2184</v>
      </c>
      <c r="K67" s="49">
        <f t="shared" si="5"/>
        <v>0.523150358</v>
      </c>
      <c r="L67" s="49">
        <f t="shared" si="6"/>
        <v>0.4453460621</v>
      </c>
      <c r="M67" s="49">
        <f t="shared" si="7"/>
        <v>0.03150357995</v>
      </c>
      <c r="N67" s="32" t="str">
        <f t="shared" si="8"/>
        <v>Jânio</v>
      </c>
      <c r="O67" s="50" t="s">
        <v>77</v>
      </c>
      <c r="P67" s="38">
        <v>975.0</v>
      </c>
      <c r="Q67" s="38">
        <v>945.0</v>
      </c>
      <c r="R67" s="38">
        <v>141.0</v>
      </c>
      <c r="S67" s="38">
        <v>97.0</v>
      </c>
      <c r="T67" s="38">
        <v>26.0</v>
      </c>
      <c r="U67" s="48">
        <f t="shared" si="9"/>
        <v>2061</v>
      </c>
      <c r="V67" s="48">
        <f t="shared" si="10"/>
        <v>2184</v>
      </c>
      <c r="W67" s="49">
        <f t="shared" si="11"/>
        <v>0.4730713246</v>
      </c>
      <c r="X67" s="49">
        <f t="shared" si="12"/>
        <v>0.4585152838</v>
      </c>
      <c r="Y67" s="49">
        <f t="shared" si="13"/>
        <v>0.06841339156</v>
      </c>
      <c r="Z67" s="32" t="str">
        <f t="shared" si="14"/>
        <v>Jango</v>
      </c>
      <c r="AA67" s="50" t="s">
        <v>77</v>
      </c>
      <c r="AB67" s="38">
        <v>2367.0</v>
      </c>
      <c r="AC67" s="48">
        <f t="shared" si="17"/>
        <v>183</v>
      </c>
      <c r="AD67" s="51">
        <f t="shared" si="18"/>
        <v>0.9226869455</v>
      </c>
    </row>
    <row r="68">
      <c r="A68" s="24"/>
      <c r="B68" s="46" t="s">
        <v>1687</v>
      </c>
      <c r="C68" s="47"/>
      <c r="D68" s="38">
        <v>1330.0</v>
      </c>
      <c r="E68" s="38">
        <v>1299.0</v>
      </c>
      <c r="F68" s="38">
        <v>305.0</v>
      </c>
      <c r="G68" s="38">
        <v>175.0</v>
      </c>
      <c r="H68" s="38">
        <v>76.0</v>
      </c>
      <c r="I68" s="48">
        <f t="shared" si="3"/>
        <v>2934</v>
      </c>
      <c r="J68" s="48">
        <f t="shared" si="4"/>
        <v>3185</v>
      </c>
      <c r="K68" s="49">
        <f t="shared" si="5"/>
        <v>0.4533060668</v>
      </c>
      <c r="L68" s="49">
        <f t="shared" si="6"/>
        <v>0.4427402863</v>
      </c>
      <c r="M68" s="49">
        <f t="shared" si="7"/>
        <v>0.1039536469</v>
      </c>
      <c r="N68" s="32" t="str">
        <f t="shared" si="8"/>
        <v>Jânio</v>
      </c>
      <c r="O68" s="50" t="s">
        <v>77</v>
      </c>
      <c r="P68" s="38">
        <v>1448.0</v>
      </c>
      <c r="Q68" s="38">
        <v>1125.0</v>
      </c>
      <c r="R68" s="38">
        <v>257.0</v>
      </c>
      <c r="S68" s="38">
        <v>300.0</v>
      </c>
      <c r="T68" s="38">
        <v>55.0</v>
      </c>
      <c r="U68" s="48">
        <f t="shared" si="9"/>
        <v>2830</v>
      </c>
      <c r="V68" s="48">
        <f t="shared" si="10"/>
        <v>3185</v>
      </c>
      <c r="W68" s="49">
        <f t="shared" si="11"/>
        <v>0.5116607774</v>
      </c>
      <c r="X68" s="49">
        <f t="shared" si="12"/>
        <v>0.3975265018</v>
      </c>
      <c r="Y68" s="49">
        <f t="shared" si="13"/>
        <v>0.09081272085</v>
      </c>
      <c r="Z68" s="32" t="str">
        <f t="shared" si="14"/>
        <v>Jango</v>
      </c>
      <c r="AA68" s="50" t="s">
        <v>77</v>
      </c>
      <c r="AB68" s="38">
        <v>3513.0</v>
      </c>
      <c r="AC68" s="48">
        <f t="shared" si="17"/>
        <v>328</v>
      </c>
      <c r="AD68" s="51">
        <f t="shared" si="18"/>
        <v>0.9066325078</v>
      </c>
    </row>
    <row r="69">
      <c r="A69" s="61" t="s">
        <v>205</v>
      </c>
      <c r="B69" s="46" t="s">
        <v>1688</v>
      </c>
      <c r="C69" s="47"/>
      <c r="D69" s="38">
        <v>2210.0</v>
      </c>
      <c r="E69" s="38">
        <v>3022.0</v>
      </c>
      <c r="F69" s="38">
        <v>397.0</v>
      </c>
      <c r="G69" s="38">
        <v>216.0</v>
      </c>
      <c r="H69" s="38">
        <v>147.0</v>
      </c>
      <c r="I69" s="48">
        <f t="shared" si="3"/>
        <v>5629</v>
      </c>
      <c r="J69" s="48">
        <f t="shared" si="4"/>
        <v>5992</v>
      </c>
      <c r="K69" s="49">
        <f t="shared" si="5"/>
        <v>0.3926096998</v>
      </c>
      <c r="L69" s="49">
        <f t="shared" si="6"/>
        <v>0.5368626754</v>
      </c>
      <c r="M69" s="49">
        <f t="shared" si="7"/>
        <v>0.0705276248</v>
      </c>
      <c r="N69" s="32" t="str">
        <f t="shared" si="8"/>
        <v>Mal. Lott</v>
      </c>
      <c r="O69" s="50" t="s">
        <v>77</v>
      </c>
      <c r="P69" s="38">
        <v>3246.0</v>
      </c>
      <c r="Q69" s="38">
        <v>440.0</v>
      </c>
      <c r="R69" s="38">
        <v>1834.0</v>
      </c>
      <c r="S69" s="38">
        <v>337.0</v>
      </c>
      <c r="T69" s="38">
        <v>135.0</v>
      </c>
      <c r="U69" s="48">
        <f t="shared" si="9"/>
        <v>5520</v>
      </c>
      <c r="V69" s="48">
        <f t="shared" si="10"/>
        <v>5992</v>
      </c>
      <c r="W69" s="49">
        <f t="shared" si="11"/>
        <v>0.5880434783</v>
      </c>
      <c r="X69" s="49">
        <f t="shared" si="12"/>
        <v>0.07971014493</v>
      </c>
      <c r="Y69" s="49">
        <f t="shared" si="13"/>
        <v>0.3322463768</v>
      </c>
      <c r="Z69" s="32" t="str">
        <f t="shared" si="14"/>
        <v>Jango</v>
      </c>
      <c r="AA69" s="50" t="s">
        <v>77</v>
      </c>
      <c r="AB69" s="38">
        <v>6817.0</v>
      </c>
      <c r="AC69" s="48">
        <f t="shared" si="17"/>
        <v>825</v>
      </c>
      <c r="AD69" s="51">
        <f t="shared" si="18"/>
        <v>0.878979023</v>
      </c>
    </row>
    <row r="70">
      <c r="A70" s="24"/>
      <c r="B70" s="46" t="s">
        <v>1689</v>
      </c>
      <c r="C70" s="47"/>
      <c r="D70" s="38">
        <v>1237.0</v>
      </c>
      <c r="E70" s="38">
        <v>1804.0</v>
      </c>
      <c r="F70" s="38">
        <v>272.0</v>
      </c>
      <c r="G70" s="38">
        <v>239.0</v>
      </c>
      <c r="H70" s="38">
        <v>94.0</v>
      </c>
      <c r="I70" s="48">
        <f t="shared" si="3"/>
        <v>3313</v>
      </c>
      <c r="J70" s="48">
        <f t="shared" si="4"/>
        <v>3646</v>
      </c>
      <c r="K70" s="49">
        <f t="shared" si="5"/>
        <v>0.3733776034</v>
      </c>
      <c r="L70" s="49">
        <f t="shared" si="6"/>
        <v>0.5445215816</v>
      </c>
      <c r="M70" s="49">
        <f t="shared" si="7"/>
        <v>0.08210081497</v>
      </c>
      <c r="N70" s="32" t="str">
        <f t="shared" si="8"/>
        <v>Mal. Lott</v>
      </c>
      <c r="O70" s="50" t="s">
        <v>77</v>
      </c>
      <c r="P70" s="38">
        <v>1989.0</v>
      </c>
      <c r="Q70" s="38">
        <v>1036.0</v>
      </c>
      <c r="R70" s="38">
        <v>137.0</v>
      </c>
      <c r="S70" s="38">
        <v>409.0</v>
      </c>
      <c r="T70" s="38">
        <v>75.0</v>
      </c>
      <c r="U70" s="48">
        <f t="shared" si="9"/>
        <v>3162</v>
      </c>
      <c r="V70" s="48">
        <f t="shared" si="10"/>
        <v>3646</v>
      </c>
      <c r="W70" s="49">
        <f t="shared" si="11"/>
        <v>0.6290322581</v>
      </c>
      <c r="X70" s="49">
        <f t="shared" si="12"/>
        <v>0.3276407337</v>
      </c>
      <c r="Y70" s="49">
        <f t="shared" si="13"/>
        <v>0.04332700822</v>
      </c>
      <c r="Z70" s="32" t="str">
        <f t="shared" si="14"/>
        <v>Jango</v>
      </c>
      <c r="AA70" s="50" t="s">
        <v>77</v>
      </c>
      <c r="AB70" s="38">
        <v>3914.0</v>
      </c>
      <c r="AC70" s="48">
        <f t="shared" si="17"/>
        <v>268</v>
      </c>
      <c r="AD70" s="51">
        <f t="shared" si="18"/>
        <v>0.9315278487</v>
      </c>
    </row>
    <row r="71">
      <c r="A71" s="110" t="s">
        <v>141</v>
      </c>
      <c r="B71" s="46" t="s">
        <v>1690</v>
      </c>
      <c r="C71" s="47"/>
      <c r="D71" s="38">
        <v>3370.0</v>
      </c>
      <c r="E71" s="38">
        <v>2032.0</v>
      </c>
      <c r="F71" s="38">
        <v>411.0</v>
      </c>
      <c r="G71" s="38">
        <v>423.0</v>
      </c>
      <c r="H71" s="38">
        <v>135.0</v>
      </c>
      <c r="I71" s="48">
        <f t="shared" si="3"/>
        <v>5813</v>
      </c>
      <c r="J71" s="48">
        <f t="shared" si="4"/>
        <v>6371</v>
      </c>
      <c r="K71" s="49">
        <f t="shared" si="5"/>
        <v>0.5797350766</v>
      </c>
      <c r="L71" s="49">
        <f t="shared" si="6"/>
        <v>0.3495613281</v>
      </c>
      <c r="M71" s="49">
        <f t="shared" si="7"/>
        <v>0.07070359539</v>
      </c>
      <c r="N71" s="32" t="str">
        <f t="shared" si="8"/>
        <v>Jânio</v>
      </c>
      <c r="O71" s="50" t="s">
        <v>77</v>
      </c>
      <c r="P71" s="38">
        <v>2231.0</v>
      </c>
      <c r="Q71" s="38">
        <v>2544.0</v>
      </c>
      <c r="R71" s="38">
        <v>762.0</v>
      </c>
      <c r="S71" s="38">
        <v>710.0</v>
      </c>
      <c r="T71" s="38">
        <v>124.0</v>
      </c>
      <c r="U71" s="48">
        <f t="shared" si="9"/>
        <v>5537</v>
      </c>
      <c r="V71" s="48">
        <f t="shared" si="10"/>
        <v>6371</v>
      </c>
      <c r="W71" s="49">
        <f t="shared" si="11"/>
        <v>0.4029257721</v>
      </c>
      <c r="X71" s="49">
        <f t="shared" si="12"/>
        <v>0.4594545783</v>
      </c>
      <c r="Y71" s="49">
        <f t="shared" si="13"/>
        <v>0.1376196496</v>
      </c>
      <c r="Z71" s="32" t="str">
        <f t="shared" si="14"/>
        <v>Milton</v>
      </c>
      <c r="AA71" s="50" t="s">
        <v>77</v>
      </c>
      <c r="AB71" s="38">
        <v>6778.0</v>
      </c>
      <c r="AC71" s="48">
        <f t="shared" si="17"/>
        <v>407</v>
      </c>
      <c r="AD71" s="51">
        <f t="shared" si="18"/>
        <v>0.9399527884</v>
      </c>
    </row>
    <row r="72">
      <c r="A72" s="110" t="s">
        <v>143</v>
      </c>
      <c r="B72" s="46" t="s">
        <v>1691</v>
      </c>
      <c r="C72" s="47"/>
      <c r="D72" s="38">
        <v>3146.0</v>
      </c>
      <c r="E72" s="38">
        <v>2541.0</v>
      </c>
      <c r="F72" s="38">
        <v>284.0</v>
      </c>
      <c r="G72" s="38">
        <v>263.0</v>
      </c>
      <c r="H72" s="38">
        <v>130.0</v>
      </c>
      <c r="I72" s="48">
        <f t="shared" si="3"/>
        <v>5971</v>
      </c>
      <c r="J72" s="48">
        <f t="shared" si="4"/>
        <v>6364</v>
      </c>
      <c r="K72" s="49">
        <f t="shared" si="5"/>
        <v>0.5268799196</v>
      </c>
      <c r="L72" s="49">
        <f t="shared" si="6"/>
        <v>0.4255568581</v>
      </c>
      <c r="M72" s="49">
        <f t="shared" si="7"/>
        <v>0.04756322224</v>
      </c>
      <c r="N72" s="32" t="str">
        <f t="shared" si="8"/>
        <v>Jânio</v>
      </c>
      <c r="O72" s="50" t="s">
        <v>77</v>
      </c>
      <c r="P72" s="38">
        <v>2691.0</v>
      </c>
      <c r="Q72" s="38">
        <v>2840.0</v>
      </c>
      <c r="R72" s="38">
        <v>252.0</v>
      </c>
      <c r="S72" s="38">
        <v>476.0</v>
      </c>
      <c r="T72" s="38">
        <v>105.0</v>
      </c>
      <c r="U72" s="48">
        <f t="shared" si="9"/>
        <v>5783</v>
      </c>
      <c r="V72" s="48">
        <f t="shared" si="10"/>
        <v>6364</v>
      </c>
      <c r="W72" s="49">
        <f t="shared" si="11"/>
        <v>0.4653294138</v>
      </c>
      <c r="X72" s="49">
        <f t="shared" si="12"/>
        <v>0.4910945876</v>
      </c>
      <c r="Y72" s="49">
        <f t="shared" si="13"/>
        <v>0.04357599862</v>
      </c>
      <c r="Z72" s="32" t="str">
        <f t="shared" si="14"/>
        <v>Milton</v>
      </c>
      <c r="AA72" s="50" t="s">
        <v>77</v>
      </c>
      <c r="AB72" s="38">
        <v>6976.0</v>
      </c>
      <c r="AC72" s="48">
        <f t="shared" si="17"/>
        <v>612</v>
      </c>
      <c r="AD72" s="51">
        <f t="shared" si="18"/>
        <v>0.9122706422</v>
      </c>
    </row>
    <row r="73">
      <c r="A73" s="61" t="s">
        <v>145</v>
      </c>
      <c r="B73" s="46" t="s">
        <v>1692</v>
      </c>
      <c r="C73" s="47"/>
      <c r="D73" s="38">
        <v>2201.0</v>
      </c>
      <c r="E73" s="38">
        <v>1425.0</v>
      </c>
      <c r="F73" s="38">
        <v>284.0</v>
      </c>
      <c r="G73" s="38">
        <v>143.0</v>
      </c>
      <c r="H73" s="38">
        <v>57.0</v>
      </c>
      <c r="I73" s="48">
        <f t="shared" si="3"/>
        <v>3910</v>
      </c>
      <c r="J73" s="48">
        <f t="shared" si="4"/>
        <v>4110</v>
      </c>
      <c r="K73" s="49">
        <f t="shared" si="5"/>
        <v>0.562915601</v>
      </c>
      <c r="L73" s="49">
        <f t="shared" si="6"/>
        <v>0.3644501279</v>
      </c>
      <c r="M73" s="49">
        <f t="shared" si="7"/>
        <v>0.0726342711</v>
      </c>
      <c r="N73" s="32" t="str">
        <f t="shared" si="8"/>
        <v>Jânio</v>
      </c>
      <c r="O73" s="50" t="s">
        <v>77</v>
      </c>
      <c r="P73" s="38">
        <v>1448.0</v>
      </c>
      <c r="Q73" s="38">
        <v>1428.0</v>
      </c>
      <c r="R73" s="38">
        <v>804.0</v>
      </c>
      <c r="S73" s="38">
        <v>366.0</v>
      </c>
      <c r="T73" s="38">
        <v>64.0</v>
      </c>
      <c r="U73" s="48">
        <f t="shared" si="9"/>
        <v>3680</v>
      </c>
      <c r="V73" s="48">
        <f t="shared" si="10"/>
        <v>4110</v>
      </c>
      <c r="W73" s="49">
        <f t="shared" si="11"/>
        <v>0.3934782609</v>
      </c>
      <c r="X73" s="49">
        <f t="shared" si="12"/>
        <v>0.3880434783</v>
      </c>
      <c r="Y73" s="49">
        <f t="shared" si="13"/>
        <v>0.2184782609</v>
      </c>
      <c r="Z73" s="32" t="str">
        <f t="shared" si="14"/>
        <v>Jango</v>
      </c>
      <c r="AA73" s="50" t="s">
        <v>77</v>
      </c>
      <c r="AB73" s="38">
        <v>4371.0</v>
      </c>
      <c r="AC73" s="48">
        <f t="shared" si="17"/>
        <v>261</v>
      </c>
      <c r="AD73" s="51">
        <f t="shared" si="18"/>
        <v>0.9402882636</v>
      </c>
    </row>
    <row r="74">
      <c r="A74" s="23"/>
      <c r="B74" s="46" t="s">
        <v>931</v>
      </c>
      <c r="C74" s="47"/>
      <c r="D74" s="38">
        <v>758.0</v>
      </c>
      <c r="E74" s="38">
        <v>673.0</v>
      </c>
      <c r="F74" s="38">
        <v>79.0</v>
      </c>
      <c r="G74" s="38">
        <v>113.0</v>
      </c>
      <c r="H74" s="38">
        <v>24.0</v>
      </c>
      <c r="I74" s="48">
        <f t="shared" si="3"/>
        <v>1510</v>
      </c>
      <c r="J74" s="48">
        <f t="shared" si="4"/>
        <v>1647</v>
      </c>
      <c r="K74" s="49">
        <f t="shared" si="5"/>
        <v>0.501986755</v>
      </c>
      <c r="L74" s="49">
        <f t="shared" si="6"/>
        <v>0.4456953642</v>
      </c>
      <c r="M74" s="49">
        <f t="shared" si="7"/>
        <v>0.05231788079</v>
      </c>
      <c r="N74" s="32" t="str">
        <f t="shared" si="8"/>
        <v>Jânio</v>
      </c>
      <c r="O74" s="50" t="s">
        <v>77</v>
      </c>
      <c r="P74" s="38">
        <v>683.0</v>
      </c>
      <c r="Q74" s="38">
        <v>587.0</v>
      </c>
      <c r="R74" s="38">
        <v>136.0</v>
      </c>
      <c r="S74" s="38">
        <v>220.0</v>
      </c>
      <c r="T74" s="38">
        <v>21.0</v>
      </c>
      <c r="U74" s="48">
        <f t="shared" si="9"/>
        <v>1406</v>
      </c>
      <c r="V74" s="48">
        <f t="shared" si="10"/>
        <v>1647</v>
      </c>
      <c r="W74" s="49">
        <f t="shared" si="11"/>
        <v>0.4857752489</v>
      </c>
      <c r="X74" s="49">
        <f t="shared" si="12"/>
        <v>0.4174964438</v>
      </c>
      <c r="Y74" s="49">
        <f t="shared" si="13"/>
        <v>0.09672830725</v>
      </c>
      <c r="Z74" s="32" t="str">
        <f t="shared" si="14"/>
        <v>Jango</v>
      </c>
      <c r="AA74" s="50" t="s">
        <v>77</v>
      </c>
      <c r="AB74" s="38">
        <v>1739.0</v>
      </c>
      <c r="AC74" s="48">
        <f t="shared" si="17"/>
        <v>92</v>
      </c>
      <c r="AD74" s="51">
        <f t="shared" si="18"/>
        <v>0.9470960322</v>
      </c>
    </row>
    <row r="75">
      <c r="A75" s="24"/>
      <c r="B75" s="46" t="s">
        <v>1693</v>
      </c>
      <c r="C75" s="47"/>
      <c r="D75" s="38">
        <v>1114.0</v>
      </c>
      <c r="E75" s="38">
        <v>1011.0</v>
      </c>
      <c r="F75" s="38">
        <v>308.0</v>
      </c>
      <c r="G75" s="38">
        <v>147.0</v>
      </c>
      <c r="H75" s="38">
        <v>75.0</v>
      </c>
      <c r="I75" s="48">
        <f t="shared" si="3"/>
        <v>2433</v>
      </c>
      <c r="J75" s="48">
        <f t="shared" si="4"/>
        <v>2655</v>
      </c>
      <c r="K75" s="49">
        <f t="shared" si="5"/>
        <v>0.4578709412</v>
      </c>
      <c r="L75" s="49">
        <f t="shared" si="6"/>
        <v>0.4155363748</v>
      </c>
      <c r="M75" s="49">
        <f t="shared" si="7"/>
        <v>0.1265926839</v>
      </c>
      <c r="N75" s="32" t="str">
        <f t="shared" si="8"/>
        <v>Jânio</v>
      </c>
      <c r="O75" s="50" t="s">
        <v>77</v>
      </c>
      <c r="P75" s="38">
        <v>1162.0</v>
      </c>
      <c r="Q75" s="38">
        <v>1017.0</v>
      </c>
      <c r="R75" s="38">
        <v>189.0</v>
      </c>
      <c r="S75" s="38">
        <v>226.0</v>
      </c>
      <c r="T75" s="38">
        <v>61.0</v>
      </c>
      <c r="U75" s="48">
        <f t="shared" si="9"/>
        <v>2368</v>
      </c>
      <c r="V75" s="48">
        <f t="shared" si="10"/>
        <v>2655</v>
      </c>
      <c r="W75" s="49">
        <f t="shared" si="11"/>
        <v>0.4907094595</v>
      </c>
      <c r="X75" s="49">
        <f t="shared" si="12"/>
        <v>0.4294763514</v>
      </c>
      <c r="Y75" s="49">
        <f t="shared" si="13"/>
        <v>0.07981418919</v>
      </c>
      <c r="Z75" s="32" t="str">
        <f t="shared" si="14"/>
        <v>Jango</v>
      </c>
      <c r="AA75" s="50" t="s">
        <v>77</v>
      </c>
      <c r="AB75" s="38">
        <v>2895.0</v>
      </c>
      <c r="AC75" s="48">
        <f t="shared" si="17"/>
        <v>240</v>
      </c>
      <c r="AD75" s="51">
        <f t="shared" si="18"/>
        <v>0.9170984456</v>
      </c>
    </row>
    <row r="76">
      <c r="A76" s="61" t="s">
        <v>207</v>
      </c>
      <c r="B76" s="46" t="s">
        <v>1694</v>
      </c>
      <c r="C76" s="47"/>
      <c r="D76" s="38">
        <v>1974.0</v>
      </c>
      <c r="E76" s="38">
        <v>1985.0</v>
      </c>
      <c r="F76" s="38">
        <v>138.0</v>
      </c>
      <c r="G76" s="38">
        <v>217.0</v>
      </c>
      <c r="H76" s="38">
        <v>65.0</v>
      </c>
      <c r="I76" s="48">
        <f t="shared" si="3"/>
        <v>4097</v>
      </c>
      <c r="J76" s="48">
        <f t="shared" si="4"/>
        <v>4379</v>
      </c>
      <c r="K76" s="49">
        <f t="shared" si="5"/>
        <v>0.4818159629</v>
      </c>
      <c r="L76" s="49">
        <f t="shared" si="6"/>
        <v>0.4845008543</v>
      </c>
      <c r="M76" s="49">
        <f t="shared" si="7"/>
        <v>0.03368318282</v>
      </c>
      <c r="N76" s="32" t="str">
        <f t="shared" si="8"/>
        <v>Mal. Lott</v>
      </c>
      <c r="O76" s="50" t="s">
        <v>77</v>
      </c>
      <c r="P76" s="38">
        <v>2013.0</v>
      </c>
      <c r="Q76" s="38">
        <v>1752.0</v>
      </c>
      <c r="R76" s="38">
        <v>111.0</v>
      </c>
      <c r="S76" s="38">
        <v>456.0</v>
      </c>
      <c r="T76" s="38">
        <v>47.0</v>
      </c>
      <c r="U76" s="48">
        <f t="shared" si="9"/>
        <v>3876</v>
      </c>
      <c r="V76" s="48">
        <f t="shared" si="10"/>
        <v>4379</v>
      </c>
      <c r="W76" s="49">
        <f t="shared" si="11"/>
        <v>0.5193498452</v>
      </c>
      <c r="X76" s="49">
        <f t="shared" si="12"/>
        <v>0.4520123839</v>
      </c>
      <c r="Y76" s="49">
        <f t="shared" si="13"/>
        <v>0.0286377709</v>
      </c>
      <c r="Z76" s="32" t="str">
        <f t="shared" si="14"/>
        <v>Jango</v>
      </c>
      <c r="AA76" s="50" t="s">
        <v>77</v>
      </c>
      <c r="AB76" s="38">
        <v>4783.0</v>
      </c>
      <c r="AC76" s="48">
        <f t="shared" si="17"/>
        <v>404</v>
      </c>
      <c r="AD76" s="51">
        <f t="shared" si="18"/>
        <v>0.9155341836</v>
      </c>
    </row>
    <row r="77">
      <c r="A77" s="23"/>
      <c r="B77" s="46" t="s">
        <v>1695</v>
      </c>
      <c r="C77" s="47"/>
      <c r="D77" s="38">
        <v>706.0</v>
      </c>
      <c r="E77" s="38">
        <v>847.0</v>
      </c>
      <c r="F77" s="38">
        <v>62.0</v>
      </c>
      <c r="G77" s="38">
        <v>173.0</v>
      </c>
      <c r="H77" s="38">
        <v>52.0</v>
      </c>
      <c r="I77" s="48">
        <f t="shared" si="3"/>
        <v>1615</v>
      </c>
      <c r="J77" s="48">
        <f t="shared" si="4"/>
        <v>1840</v>
      </c>
      <c r="K77" s="49">
        <f t="shared" si="5"/>
        <v>0.4371517028</v>
      </c>
      <c r="L77" s="49">
        <f t="shared" si="6"/>
        <v>0.5244582043</v>
      </c>
      <c r="M77" s="49">
        <f t="shared" si="7"/>
        <v>0.03839009288</v>
      </c>
      <c r="N77" s="32" t="str">
        <f t="shared" si="8"/>
        <v>Mal. Lott</v>
      </c>
      <c r="O77" s="50" t="s">
        <v>77</v>
      </c>
      <c r="P77" s="38">
        <v>866.0</v>
      </c>
      <c r="Q77" s="38">
        <v>556.0</v>
      </c>
      <c r="R77" s="38">
        <v>48.0</v>
      </c>
      <c r="S77" s="38">
        <v>351.0</v>
      </c>
      <c r="T77" s="38">
        <v>19.0</v>
      </c>
      <c r="U77" s="48">
        <f t="shared" si="9"/>
        <v>1470</v>
      </c>
      <c r="V77" s="48">
        <f t="shared" si="10"/>
        <v>1840</v>
      </c>
      <c r="W77" s="49">
        <f t="shared" si="11"/>
        <v>0.5891156463</v>
      </c>
      <c r="X77" s="49">
        <f t="shared" si="12"/>
        <v>0.3782312925</v>
      </c>
      <c r="Y77" s="49">
        <f t="shared" si="13"/>
        <v>0.03265306122</v>
      </c>
      <c r="Z77" s="32" t="str">
        <f t="shared" si="14"/>
        <v>Jango</v>
      </c>
      <c r="AA77" s="50" t="s">
        <v>77</v>
      </c>
      <c r="AB77" s="38">
        <v>2109.0</v>
      </c>
      <c r="AC77" s="48">
        <f t="shared" si="17"/>
        <v>269</v>
      </c>
      <c r="AD77" s="51">
        <f t="shared" si="18"/>
        <v>0.8724513988</v>
      </c>
    </row>
    <row r="78">
      <c r="A78" s="24"/>
      <c r="B78" s="46" t="s">
        <v>323</v>
      </c>
      <c r="C78" s="47"/>
      <c r="D78" s="38">
        <v>1452.0</v>
      </c>
      <c r="E78" s="38">
        <v>1594.0</v>
      </c>
      <c r="F78" s="38">
        <v>127.0</v>
      </c>
      <c r="G78" s="38">
        <v>139.0</v>
      </c>
      <c r="H78" s="38">
        <v>70.0</v>
      </c>
      <c r="I78" s="48">
        <f t="shared" si="3"/>
        <v>3173</v>
      </c>
      <c r="J78" s="48">
        <f t="shared" si="4"/>
        <v>3382</v>
      </c>
      <c r="K78" s="49">
        <f t="shared" si="5"/>
        <v>0.4576110936</v>
      </c>
      <c r="L78" s="49">
        <f t="shared" si="6"/>
        <v>0.5023636937</v>
      </c>
      <c r="M78" s="49">
        <f t="shared" si="7"/>
        <v>0.04002521273</v>
      </c>
      <c r="N78" s="32" t="str">
        <f t="shared" si="8"/>
        <v>Mal. Lott</v>
      </c>
      <c r="O78" s="50" t="s">
        <v>77</v>
      </c>
      <c r="P78" s="38">
        <v>1708.0</v>
      </c>
      <c r="Q78" s="38">
        <v>1203.0</v>
      </c>
      <c r="R78" s="38">
        <v>153.0</v>
      </c>
      <c r="S78" s="38">
        <v>280.0</v>
      </c>
      <c r="T78" s="38">
        <v>38.0</v>
      </c>
      <c r="U78" s="48">
        <f t="shared" si="9"/>
        <v>3064</v>
      </c>
      <c r="V78" s="48">
        <f t="shared" si="10"/>
        <v>3382</v>
      </c>
      <c r="W78" s="49">
        <f t="shared" si="11"/>
        <v>0.5574412533</v>
      </c>
      <c r="X78" s="49">
        <f t="shared" si="12"/>
        <v>0.3926240209</v>
      </c>
      <c r="Y78" s="49">
        <f t="shared" si="13"/>
        <v>0.04993472585</v>
      </c>
      <c r="Z78" s="32" t="str">
        <f t="shared" si="14"/>
        <v>Jango</v>
      </c>
      <c r="AA78" s="50" t="s">
        <v>77</v>
      </c>
      <c r="AB78" s="38">
        <v>3770.0</v>
      </c>
      <c r="AC78" s="48">
        <f t="shared" si="17"/>
        <v>388</v>
      </c>
      <c r="AD78" s="51">
        <f t="shared" si="18"/>
        <v>0.8970822281</v>
      </c>
    </row>
    <row r="79">
      <c r="A79" s="110" t="s">
        <v>209</v>
      </c>
      <c r="B79" s="46" t="s">
        <v>1696</v>
      </c>
      <c r="C79" s="47"/>
      <c r="D79" s="38">
        <v>2768.0</v>
      </c>
      <c r="E79" s="38">
        <v>2112.0</v>
      </c>
      <c r="F79" s="38">
        <v>362.0</v>
      </c>
      <c r="G79" s="38">
        <v>373.0</v>
      </c>
      <c r="H79" s="38">
        <v>99.0</v>
      </c>
      <c r="I79" s="48">
        <f t="shared" si="3"/>
        <v>5242</v>
      </c>
      <c r="J79" s="48">
        <f t="shared" si="4"/>
        <v>5714</v>
      </c>
      <c r="K79" s="49">
        <f t="shared" si="5"/>
        <v>0.5280427318</v>
      </c>
      <c r="L79" s="49">
        <f t="shared" si="6"/>
        <v>0.4028996566</v>
      </c>
      <c r="M79" s="49">
        <f t="shared" si="7"/>
        <v>0.0690576116</v>
      </c>
      <c r="N79" s="32" t="str">
        <f t="shared" si="8"/>
        <v>Jânio</v>
      </c>
      <c r="O79" s="50" t="s">
        <v>77</v>
      </c>
      <c r="P79" s="38">
        <v>2159.0</v>
      </c>
      <c r="Q79" s="38">
        <v>1928.0</v>
      </c>
      <c r="R79" s="38">
        <v>855.0</v>
      </c>
      <c r="S79" s="38">
        <v>689.0</v>
      </c>
      <c r="T79" s="38">
        <v>83.0</v>
      </c>
      <c r="U79" s="48">
        <f t="shared" si="9"/>
        <v>4942</v>
      </c>
      <c r="V79" s="48">
        <f t="shared" si="10"/>
        <v>5714</v>
      </c>
      <c r="W79" s="49">
        <f t="shared" si="11"/>
        <v>0.4368676649</v>
      </c>
      <c r="X79" s="49">
        <f t="shared" si="12"/>
        <v>0.3901254553</v>
      </c>
      <c r="Y79" s="49">
        <f t="shared" si="13"/>
        <v>0.1730068798</v>
      </c>
      <c r="Z79" s="32" t="str">
        <f t="shared" si="14"/>
        <v>Jango</v>
      </c>
      <c r="AA79" s="50" t="s">
        <v>77</v>
      </c>
      <c r="AB79" s="38">
        <v>5947.0</v>
      </c>
      <c r="AC79" s="48">
        <f t="shared" si="17"/>
        <v>233</v>
      </c>
      <c r="AD79" s="51">
        <f t="shared" si="18"/>
        <v>0.9608205818</v>
      </c>
    </row>
    <row r="80">
      <c r="A80" s="61" t="s">
        <v>211</v>
      </c>
      <c r="B80" s="46" t="s">
        <v>1697</v>
      </c>
      <c r="C80" s="47"/>
      <c r="D80" s="38">
        <v>5727.0</v>
      </c>
      <c r="E80" s="38">
        <v>8911.0</v>
      </c>
      <c r="F80" s="38">
        <v>712.0</v>
      </c>
      <c r="G80" s="38">
        <v>779.0</v>
      </c>
      <c r="H80" s="38">
        <v>209.0</v>
      </c>
      <c r="I80" s="48">
        <f t="shared" si="3"/>
        <v>15350</v>
      </c>
      <c r="J80" s="48">
        <f t="shared" si="4"/>
        <v>16338</v>
      </c>
      <c r="K80" s="49">
        <f t="shared" si="5"/>
        <v>0.3730944625</v>
      </c>
      <c r="L80" s="49">
        <f t="shared" si="6"/>
        <v>0.5805211726</v>
      </c>
      <c r="M80" s="49">
        <f t="shared" si="7"/>
        <v>0.04638436482</v>
      </c>
      <c r="N80" s="32" t="str">
        <f t="shared" si="8"/>
        <v>Mal. Lott</v>
      </c>
      <c r="O80" s="50" t="s">
        <v>77</v>
      </c>
      <c r="P80" s="38">
        <v>9470.0</v>
      </c>
      <c r="Q80" s="38">
        <v>4373.0</v>
      </c>
      <c r="R80" s="38">
        <v>1112.0</v>
      </c>
      <c r="S80" s="38">
        <v>1194.0</v>
      </c>
      <c r="T80" s="38">
        <v>189.0</v>
      </c>
      <c r="U80" s="48">
        <f t="shared" si="9"/>
        <v>14955</v>
      </c>
      <c r="V80" s="48">
        <f t="shared" si="10"/>
        <v>16338</v>
      </c>
      <c r="W80" s="49">
        <f t="shared" si="11"/>
        <v>0.6332330324</v>
      </c>
      <c r="X80" s="49">
        <f t="shared" si="12"/>
        <v>0.292410565</v>
      </c>
      <c r="Y80" s="49">
        <f t="shared" si="13"/>
        <v>0.07435640254</v>
      </c>
      <c r="Z80" s="32" t="str">
        <f t="shared" si="14"/>
        <v>Jango</v>
      </c>
      <c r="AA80" s="50" t="s">
        <v>77</v>
      </c>
      <c r="AB80" s="38">
        <v>17712.0</v>
      </c>
      <c r="AC80" s="48">
        <f t="shared" si="17"/>
        <v>1374</v>
      </c>
      <c r="AD80" s="51">
        <f t="shared" si="18"/>
        <v>0.9224254743</v>
      </c>
    </row>
    <row r="81">
      <c r="A81" s="23"/>
      <c r="B81" s="46" t="s">
        <v>1698</v>
      </c>
      <c r="C81" s="47"/>
      <c r="D81" s="38">
        <v>716.0</v>
      </c>
      <c r="E81" s="38">
        <v>1661.0</v>
      </c>
      <c r="F81" s="38">
        <v>81.0</v>
      </c>
      <c r="G81" s="38">
        <v>128.0</v>
      </c>
      <c r="H81" s="38">
        <v>48.0</v>
      </c>
      <c r="I81" s="48">
        <f t="shared" si="3"/>
        <v>2458</v>
      </c>
      <c r="J81" s="48">
        <f t="shared" si="4"/>
        <v>2634</v>
      </c>
      <c r="K81" s="49">
        <f t="shared" si="5"/>
        <v>0.2912937347</v>
      </c>
      <c r="L81" s="49">
        <f t="shared" si="6"/>
        <v>0.6757526444</v>
      </c>
      <c r="M81" s="49">
        <f t="shared" si="7"/>
        <v>0.03295362083</v>
      </c>
      <c r="N81" s="32" t="str">
        <f t="shared" si="8"/>
        <v>Mal. Lott</v>
      </c>
      <c r="O81" s="50" t="s">
        <v>77</v>
      </c>
      <c r="P81" s="38">
        <v>1709.0</v>
      </c>
      <c r="Q81" s="38">
        <v>592.0</v>
      </c>
      <c r="R81" s="38">
        <v>99.0</v>
      </c>
      <c r="S81" s="38">
        <v>205.0</v>
      </c>
      <c r="T81" s="38">
        <v>29.0</v>
      </c>
      <c r="U81" s="48">
        <f t="shared" si="9"/>
        <v>2400</v>
      </c>
      <c r="V81" s="48">
        <f t="shared" si="10"/>
        <v>2634</v>
      </c>
      <c r="W81" s="49">
        <f t="shared" si="11"/>
        <v>0.7120833333</v>
      </c>
      <c r="X81" s="49">
        <f t="shared" si="12"/>
        <v>0.2466666667</v>
      </c>
      <c r="Y81" s="49">
        <f t="shared" si="13"/>
        <v>0.04125</v>
      </c>
      <c r="Z81" s="32" t="str">
        <f t="shared" si="14"/>
        <v>Jango</v>
      </c>
      <c r="AA81" s="50" t="s">
        <v>77</v>
      </c>
      <c r="AB81" s="38">
        <v>2806.0</v>
      </c>
      <c r="AC81" s="48">
        <f t="shared" si="17"/>
        <v>172</v>
      </c>
      <c r="AD81" s="51">
        <f t="shared" si="18"/>
        <v>0.9387027798</v>
      </c>
    </row>
    <row r="82">
      <c r="A82" s="24"/>
      <c r="B82" s="46" t="s">
        <v>1699</v>
      </c>
      <c r="C82" s="47"/>
      <c r="D82" s="38">
        <v>629.0</v>
      </c>
      <c r="E82" s="38">
        <v>644.0</v>
      </c>
      <c r="F82" s="38">
        <v>70.0</v>
      </c>
      <c r="G82" s="38">
        <v>42.0</v>
      </c>
      <c r="H82" s="38">
        <v>10.0</v>
      </c>
      <c r="I82" s="48">
        <f t="shared" si="3"/>
        <v>1343</v>
      </c>
      <c r="J82" s="48">
        <f t="shared" si="4"/>
        <v>1395</v>
      </c>
      <c r="K82" s="49">
        <f t="shared" si="5"/>
        <v>0.4683544304</v>
      </c>
      <c r="L82" s="49">
        <f t="shared" si="6"/>
        <v>0.479523455</v>
      </c>
      <c r="M82" s="49">
        <f t="shared" si="7"/>
        <v>0.05212211467</v>
      </c>
      <c r="N82" s="32" t="str">
        <f t="shared" si="8"/>
        <v>Mal. Lott</v>
      </c>
      <c r="O82" s="50" t="s">
        <v>77</v>
      </c>
      <c r="P82" s="38">
        <v>699.0</v>
      </c>
      <c r="Q82" s="38">
        <v>524.0</v>
      </c>
      <c r="R82" s="38">
        <v>112.0</v>
      </c>
      <c r="S82" s="38">
        <v>52.0</v>
      </c>
      <c r="T82" s="38">
        <v>8.0</v>
      </c>
      <c r="U82" s="48">
        <f t="shared" si="9"/>
        <v>1335</v>
      </c>
      <c r="V82" s="48">
        <f t="shared" si="10"/>
        <v>1395</v>
      </c>
      <c r="W82" s="49">
        <f t="shared" si="11"/>
        <v>0.5235955056</v>
      </c>
      <c r="X82" s="49">
        <f t="shared" si="12"/>
        <v>0.3925093633</v>
      </c>
      <c r="Y82" s="49">
        <f t="shared" si="13"/>
        <v>0.08389513109</v>
      </c>
      <c r="Z82" s="32" t="str">
        <f t="shared" si="14"/>
        <v>Jango</v>
      </c>
      <c r="AA82" s="50" t="s">
        <v>77</v>
      </c>
      <c r="AB82" s="38">
        <v>1509.0</v>
      </c>
      <c r="AC82" s="48">
        <f t="shared" si="17"/>
        <v>114</v>
      </c>
      <c r="AD82" s="51">
        <f t="shared" si="18"/>
        <v>0.9244532803</v>
      </c>
    </row>
    <row r="83">
      <c r="A83" s="61" t="s">
        <v>213</v>
      </c>
      <c r="B83" s="46" t="s">
        <v>1700</v>
      </c>
      <c r="C83" s="47"/>
      <c r="D83" s="38">
        <v>1973.0</v>
      </c>
      <c r="E83" s="38">
        <v>2497.0</v>
      </c>
      <c r="F83" s="38">
        <v>129.0</v>
      </c>
      <c r="G83" s="38">
        <v>185.0</v>
      </c>
      <c r="H83" s="38">
        <v>76.0</v>
      </c>
      <c r="I83" s="48">
        <f t="shared" si="3"/>
        <v>4599</v>
      </c>
      <c r="J83" s="48">
        <f t="shared" si="4"/>
        <v>4860</v>
      </c>
      <c r="K83" s="49">
        <f t="shared" si="5"/>
        <v>0.4290063057</v>
      </c>
      <c r="L83" s="49">
        <f t="shared" si="6"/>
        <v>0.5429441183</v>
      </c>
      <c r="M83" s="49">
        <f t="shared" si="7"/>
        <v>0.02804957599</v>
      </c>
      <c r="N83" s="32" t="str">
        <f t="shared" si="8"/>
        <v>Mal. Lott</v>
      </c>
      <c r="O83" s="50" t="s">
        <v>77</v>
      </c>
      <c r="P83" s="38">
        <v>2507.0</v>
      </c>
      <c r="Q83" s="38">
        <v>1660.0</v>
      </c>
      <c r="R83" s="38">
        <v>238.0</v>
      </c>
      <c r="S83" s="38">
        <v>386.0</v>
      </c>
      <c r="T83" s="38">
        <v>69.0</v>
      </c>
      <c r="U83" s="48">
        <f t="shared" si="9"/>
        <v>4405</v>
      </c>
      <c r="V83" s="48">
        <f t="shared" si="10"/>
        <v>4860</v>
      </c>
      <c r="W83" s="49">
        <f t="shared" si="11"/>
        <v>0.5691259932</v>
      </c>
      <c r="X83" s="49">
        <f t="shared" si="12"/>
        <v>0.3768444949</v>
      </c>
      <c r="Y83" s="49">
        <f t="shared" si="13"/>
        <v>0.05402951192</v>
      </c>
      <c r="Z83" s="32" t="str">
        <f t="shared" si="14"/>
        <v>Jango</v>
      </c>
      <c r="AA83" s="50" t="s">
        <v>77</v>
      </c>
      <c r="AB83" s="38">
        <v>5165.0</v>
      </c>
      <c r="AC83" s="48">
        <f t="shared" si="17"/>
        <v>305</v>
      </c>
      <c r="AD83" s="51">
        <f t="shared" si="18"/>
        <v>0.9409486931</v>
      </c>
    </row>
    <row r="84">
      <c r="A84" s="24"/>
      <c r="B84" s="46" t="s">
        <v>1701</v>
      </c>
      <c r="C84" s="47"/>
      <c r="D84" s="38">
        <v>1273.0</v>
      </c>
      <c r="E84" s="38">
        <v>1553.0</v>
      </c>
      <c r="F84" s="38">
        <v>96.0</v>
      </c>
      <c r="G84" s="38">
        <v>60.0</v>
      </c>
      <c r="H84" s="38">
        <v>44.0</v>
      </c>
      <c r="I84" s="48">
        <f t="shared" si="3"/>
        <v>2922</v>
      </c>
      <c r="J84" s="48">
        <f t="shared" si="4"/>
        <v>3026</v>
      </c>
      <c r="K84" s="49">
        <f t="shared" si="5"/>
        <v>0.4356605065</v>
      </c>
      <c r="L84" s="49">
        <f t="shared" si="6"/>
        <v>0.5314852841</v>
      </c>
      <c r="M84" s="49">
        <f t="shared" si="7"/>
        <v>0.03285420945</v>
      </c>
      <c r="N84" s="32" t="str">
        <f t="shared" si="8"/>
        <v>Mal. Lott</v>
      </c>
      <c r="O84" s="50" t="s">
        <v>77</v>
      </c>
      <c r="P84" s="38">
        <v>1616.0</v>
      </c>
      <c r="Q84" s="38">
        <v>1152.0</v>
      </c>
      <c r="R84" s="38">
        <v>135.0</v>
      </c>
      <c r="S84" s="38">
        <v>88.0</v>
      </c>
      <c r="T84" s="38">
        <v>35.0</v>
      </c>
      <c r="U84" s="48">
        <f t="shared" si="9"/>
        <v>2903</v>
      </c>
      <c r="V84" s="48">
        <f t="shared" si="10"/>
        <v>3026</v>
      </c>
      <c r="W84" s="49">
        <f t="shared" si="11"/>
        <v>0.5566655184</v>
      </c>
      <c r="X84" s="49">
        <f t="shared" si="12"/>
        <v>0.3968308646</v>
      </c>
      <c r="Y84" s="49">
        <f t="shared" si="13"/>
        <v>0.04650361695</v>
      </c>
      <c r="Z84" s="32" t="str">
        <f t="shared" si="14"/>
        <v>Jango</v>
      </c>
      <c r="AA84" s="50" t="s">
        <v>77</v>
      </c>
      <c r="AB84" s="38">
        <v>3357.0</v>
      </c>
      <c r="AC84" s="48">
        <f t="shared" si="17"/>
        <v>331</v>
      </c>
      <c r="AD84" s="51">
        <f t="shared" si="18"/>
        <v>0.9014000596</v>
      </c>
    </row>
    <row r="85">
      <c r="A85" s="61" t="s">
        <v>215</v>
      </c>
      <c r="B85" s="46" t="s">
        <v>1702</v>
      </c>
      <c r="C85" s="47"/>
      <c r="D85" s="38">
        <v>3041.0</v>
      </c>
      <c r="E85" s="38">
        <v>4202.0</v>
      </c>
      <c r="F85" s="38">
        <v>1362.0</v>
      </c>
      <c r="G85" s="38">
        <v>542.0</v>
      </c>
      <c r="H85" s="38">
        <v>229.0</v>
      </c>
      <c r="I85" s="48">
        <f t="shared" si="3"/>
        <v>8605</v>
      </c>
      <c r="J85" s="48">
        <f t="shared" si="4"/>
        <v>9376</v>
      </c>
      <c r="K85" s="49">
        <f t="shared" si="5"/>
        <v>0.3533991865</v>
      </c>
      <c r="L85" s="49">
        <f t="shared" si="6"/>
        <v>0.4883207438</v>
      </c>
      <c r="M85" s="49">
        <f t="shared" si="7"/>
        <v>0.1582800697</v>
      </c>
      <c r="N85" s="32" t="str">
        <f t="shared" si="8"/>
        <v>Mal. Lott</v>
      </c>
      <c r="O85" s="50" t="s">
        <v>77</v>
      </c>
      <c r="P85" s="38">
        <v>4520.0</v>
      </c>
      <c r="Q85" s="38">
        <v>941.0</v>
      </c>
      <c r="R85" s="38">
        <v>2862.0</v>
      </c>
      <c r="S85" s="38">
        <v>864.0</v>
      </c>
      <c r="T85" s="38">
        <v>189.0</v>
      </c>
      <c r="U85" s="48">
        <f t="shared" si="9"/>
        <v>8323</v>
      </c>
      <c r="V85" s="48">
        <f t="shared" si="10"/>
        <v>9376</v>
      </c>
      <c r="W85" s="49">
        <f t="shared" si="11"/>
        <v>0.543073411</v>
      </c>
      <c r="X85" s="49">
        <f t="shared" si="12"/>
        <v>0.1130601946</v>
      </c>
      <c r="Y85" s="49">
        <f t="shared" si="13"/>
        <v>0.3438663943</v>
      </c>
      <c r="Z85" s="32" t="str">
        <f t="shared" si="14"/>
        <v>Jango</v>
      </c>
      <c r="AA85" s="50" t="s">
        <v>77</v>
      </c>
      <c r="AB85" s="38">
        <v>10246.0</v>
      </c>
      <c r="AC85" s="48">
        <f t="shared" si="17"/>
        <v>870</v>
      </c>
      <c r="AD85" s="51">
        <f t="shared" si="18"/>
        <v>0.9150888151</v>
      </c>
    </row>
    <row r="86">
      <c r="A86" s="23"/>
      <c r="B86" s="46" t="s">
        <v>1703</v>
      </c>
      <c r="C86" s="47"/>
      <c r="D86" s="38">
        <v>192.0</v>
      </c>
      <c r="E86" s="38">
        <v>161.0</v>
      </c>
      <c r="F86" s="38">
        <v>72.0</v>
      </c>
      <c r="G86" s="38">
        <v>46.0</v>
      </c>
      <c r="H86" s="38">
        <v>16.0</v>
      </c>
      <c r="I86" s="48">
        <f t="shared" si="3"/>
        <v>425</v>
      </c>
      <c r="J86" s="48">
        <f t="shared" si="4"/>
        <v>487</v>
      </c>
      <c r="K86" s="49">
        <f t="shared" si="5"/>
        <v>0.4517647059</v>
      </c>
      <c r="L86" s="49">
        <f t="shared" si="6"/>
        <v>0.3788235294</v>
      </c>
      <c r="M86" s="49">
        <f t="shared" si="7"/>
        <v>0.1694117647</v>
      </c>
      <c r="N86" s="32" t="str">
        <f t="shared" si="8"/>
        <v>Jânio</v>
      </c>
      <c r="O86" s="50" t="s">
        <v>77</v>
      </c>
      <c r="P86" s="38">
        <v>214.0</v>
      </c>
      <c r="Q86" s="38">
        <v>118.0</v>
      </c>
      <c r="R86" s="38">
        <v>91.0</v>
      </c>
      <c r="S86" s="38">
        <v>49.0</v>
      </c>
      <c r="T86" s="38">
        <v>15.0</v>
      </c>
      <c r="U86" s="48">
        <f t="shared" si="9"/>
        <v>423</v>
      </c>
      <c r="V86" s="48">
        <f t="shared" si="10"/>
        <v>487</v>
      </c>
      <c r="W86" s="49">
        <f t="shared" si="11"/>
        <v>0.5059101655</v>
      </c>
      <c r="X86" s="49">
        <f t="shared" si="12"/>
        <v>0.2789598109</v>
      </c>
      <c r="Y86" s="49">
        <f t="shared" si="13"/>
        <v>0.2151300236</v>
      </c>
      <c r="Z86" s="32" t="str">
        <f t="shared" si="14"/>
        <v>Jango</v>
      </c>
      <c r="AA86" s="50" t="s">
        <v>77</v>
      </c>
      <c r="AB86" s="38">
        <v>573.0</v>
      </c>
      <c r="AC86" s="48">
        <f t="shared" si="17"/>
        <v>86</v>
      </c>
      <c r="AD86" s="51">
        <f t="shared" si="18"/>
        <v>0.84991274</v>
      </c>
    </row>
    <row r="87">
      <c r="A87" s="24"/>
      <c r="B87" s="46" t="s">
        <v>1704</v>
      </c>
      <c r="C87" s="47"/>
      <c r="D87" s="38">
        <v>434.0</v>
      </c>
      <c r="E87" s="38">
        <v>467.0</v>
      </c>
      <c r="F87" s="38">
        <v>198.0</v>
      </c>
      <c r="G87" s="38">
        <v>82.0</v>
      </c>
      <c r="H87" s="38">
        <v>29.0</v>
      </c>
      <c r="I87" s="48">
        <f t="shared" si="3"/>
        <v>1099</v>
      </c>
      <c r="J87" s="48">
        <f t="shared" si="4"/>
        <v>1210</v>
      </c>
      <c r="K87" s="49">
        <f t="shared" si="5"/>
        <v>0.3949044586</v>
      </c>
      <c r="L87" s="49">
        <f t="shared" si="6"/>
        <v>0.4249317561</v>
      </c>
      <c r="M87" s="49">
        <f t="shared" si="7"/>
        <v>0.1801637853</v>
      </c>
      <c r="N87" s="32" t="str">
        <f t="shared" si="8"/>
        <v>Mal. Lott</v>
      </c>
      <c r="O87" s="50" t="s">
        <v>77</v>
      </c>
      <c r="P87" s="38">
        <v>596.0</v>
      </c>
      <c r="Q87" s="38">
        <v>204.0</v>
      </c>
      <c r="R87" s="38">
        <v>264.0</v>
      </c>
      <c r="S87" s="38">
        <v>126.0</v>
      </c>
      <c r="T87" s="38">
        <v>20.0</v>
      </c>
      <c r="U87" s="48">
        <f t="shared" si="9"/>
        <v>1064</v>
      </c>
      <c r="V87" s="48">
        <f t="shared" si="10"/>
        <v>1210</v>
      </c>
      <c r="W87" s="49">
        <f t="shared" si="11"/>
        <v>0.5601503759</v>
      </c>
      <c r="X87" s="49">
        <f t="shared" si="12"/>
        <v>0.1917293233</v>
      </c>
      <c r="Y87" s="49">
        <f t="shared" si="13"/>
        <v>0.2481203008</v>
      </c>
      <c r="Z87" s="32" t="str">
        <f t="shared" si="14"/>
        <v>Jango</v>
      </c>
      <c r="AA87" s="50" t="s">
        <v>77</v>
      </c>
      <c r="AB87" s="38">
        <v>1407.0</v>
      </c>
      <c r="AC87" s="48">
        <f t="shared" si="17"/>
        <v>197</v>
      </c>
      <c r="AD87" s="51">
        <f t="shared" si="18"/>
        <v>0.8599857854</v>
      </c>
    </row>
    <row r="88">
      <c r="A88" s="110" t="s">
        <v>218</v>
      </c>
      <c r="B88" s="46" t="s">
        <v>1705</v>
      </c>
      <c r="C88" s="47"/>
      <c r="D88" s="38">
        <v>2869.0</v>
      </c>
      <c r="E88" s="38">
        <v>1635.0</v>
      </c>
      <c r="F88" s="38">
        <v>1112.0</v>
      </c>
      <c r="G88" s="38">
        <v>281.0</v>
      </c>
      <c r="H88" s="38">
        <v>114.0</v>
      </c>
      <c r="I88" s="48">
        <f t="shared" si="3"/>
        <v>5616</v>
      </c>
      <c r="J88" s="48">
        <f t="shared" si="4"/>
        <v>6011</v>
      </c>
      <c r="K88" s="49">
        <f t="shared" si="5"/>
        <v>0.5108618234</v>
      </c>
      <c r="L88" s="49">
        <f t="shared" si="6"/>
        <v>0.2911324786</v>
      </c>
      <c r="M88" s="49">
        <f t="shared" si="7"/>
        <v>0.198005698</v>
      </c>
      <c r="N88" s="32" t="str">
        <f t="shared" si="8"/>
        <v>Jânio</v>
      </c>
      <c r="O88" s="50" t="s">
        <v>77</v>
      </c>
      <c r="P88" s="38">
        <v>2054.0</v>
      </c>
      <c r="Q88" s="38">
        <v>1737.0</v>
      </c>
      <c r="R88" s="38">
        <v>1508.0</v>
      </c>
      <c r="S88" s="38">
        <v>611.0</v>
      </c>
      <c r="T88" s="38">
        <v>101.0</v>
      </c>
      <c r="U88" s="48">
        <f t="shared" si="9"/>
        <v>5299</v>
      </c>
      <c r="V88" s="48">
        <f t="shared" si="10"/>
        <v>6011</v>
      </c>
      <c r="W88" s="49">
        <f t="shared" si="11"/>
        <v>0.3876203057</v>
      </c>
      <c r="X88" s="49">
        <f t="shared" si="12"/>
        <v>0.3277976977</v>
      </c>
      <c r="Y88" s="49">
        <f t="shared" si="13"/>
        <v>0.2845819966</v>
      </c>
      <c r="Z88" s="32" t="str">
        <f t="shared" si="14"/>
        <v>Jango</v>
      </c>
      <c r="AA88" s="50" t="s">
        <v>77</v>
      </c>
      <c r="AB88" s="38">
        <v>6660.0</v>
      </c>
      <c r="AC88" s="48">
        <f t="shared" si="17"/>
        <v>649</v>
      </c>
      <c r="AD88" s="51">
        <f t="shared" si="18"/>
        <v>0.9025525526</v>
      </c>
    </row>
    <row r="89">
      <c r="A89" s="61" t="s">
        <v>220</v>
      </c>
      <c r="B89" s="46" t="s">
        <v>1706</v>
      </c>
      <c r="C89" s="47"/>
      <c r="D89" s="38">
        <v>2563.0</v>
      </c>
      <c r="E89" s="38">
        <v>2267.0</v>
      </c>
      <c r="F89" s="38">
        <v>427.0</v>
      </c>
      <c r="G89" s="38">
        <v>130.0</v>
      </c>
      <c r="H89" s="38">
        <v>105.0</v>
      </c>
      <c r="I89" s="48">
        <f t="shared" si="3"/>
        <v>5257</v>
      </c>
      <c r="J89" s="48">
        <f t="shared" si="4"/>
        <v>5492</v>
      </c>
      <c r="K89" s="49">
        <f t="shared" si="5"/>
        <v>0.4875404223</v>
      </c>
      <c r="L89" s="49">
        <f t="shared" si="6"/>
        <v>0.4312345444</v>
      </c>
      <c r="M89" s="49">
        <f t="shared" si="7"/>
        <v>0.08122503329</v>
      </c>
      <c r="N89" s="32" t="str">
        <f t="shared" si="8"/>
        <v>Jânio</v>
      </c>
      <c r="O89" s="50" t="s">
        <v>77</v>
      </c>
      <c r="P89" s="38">
        <v>2496.0</v>
      </c>
      <c r="Q89" s="38">
        <v>2103.0</v>
      </c>
      <c r="R89" s="38">
        <v>483.0</v>
      </c>
      <c r="S89" s="38">
        <v>340.0</v>
      </c>
      <c r="T89" s="38">
        <v>70.0</v>
      </c>
      <c r="U89" s="48">
        <f t="shared" si="9"/>
        <v>5082</v>
      </c>
      <c r="V89" s="48">
        <f t="shared" si="10"/>
        <v>5492</v>
      </c>
      <c r="W89" s="49">
        <f t="shared" si="11"/>
        <v>0.4911452184</v>
      </c>
      <c r="X89" s="49">
        <f t="shared" si="12"/>
        <v>0.4138134593</v>
      </c>
      <c r="Y89" s="49">
        <f t="shared" si="13"/>
        <v>0.09504132231</v>
      </c>
      <c r="Z89" s="32" t="str">
        <f t="shared" si="14"/>
        <v>Jango</v>
      </c>
      <c r="AA89" s="50" t="s">
        <v>77</v>
      </c>
      <c r="AB89" s="38">
        <v>6128.0</v>
      </c>
      <c r="AC89" s="48">
        <f t="shared" si="17"/>
        <v>636</v>
      </c>
      <c r="AD89" s="51">
        <f t="shared" si="18"/>
        <v>0.8962140992</v>
      </c>
    </row>
    <row r="90">
      <c r="A90" s="24"/>
      <c r="B90" s="46" t="s">
        <v>1707</v>
      </c>
      <c r="C90" s="47"/>
      <c r="D90" s="38">
        <v>2014.0</v>
      </c>
      <c r="E90" s="38">
        <v>1179.0</v>
      </c>
      <c r="F90" s="38">
        <v>307.0</v>
      </c>
      <c r="G90" s="38">
        <v>148.0</v>
      </c>
      <c r="H90" s="38">
        <v>123.0</v>
      </c>
      <c r="I90" s="48">
        <f t="shared" si="3"/>
        <v>3500</v>
      </c>
      <c r="J90" s="48">
        <f t="shared" si="4"/>
        <v>3771</v>
      </c>
      <c r="K90" s="49">
        <f t="shared" si="5"/>
        <v>0.5754285714</v>
      </c>
      <c r="L90" s="49">
        <f t="shared" si="6"/>
        <v>0.3368571429</v>
      </c>
      <c r="M90" s="49">
        <f t="shared" si="7"/>
        <v>0.08771428571</v>
      </c>
      <c r="N90" s="32" t="str">
        <f t="shared" si="8"/>
        <v>Jânio</v>
      </c>
      <c r="O90" s="50" t="s">
        <v>77</v>
      </c>
      <c r="P90" s="38">
        <v>1337.0</v>
      </c>
      <c r="Q90" s="38">
        <v>1578.0</v>
      </c>
      <c r="R90" s="38">
        <v>484.0</v>
      </c>
      <c r="S90" s="38">
        <v>282.0</v>
      </c>
      <c r="T90" s="38">
        <v>90.0</v>
      </c>
      <c r="U90" s="48">
        <f t="shared" si="9"/>
        <v>3399</v>
      </c>
      <c r="V90" s="48">
        <f t="shared" si="10"/>
        <v>3771</v>
      </c>
      <c r="W90" s="49">
        <f t="shared" si="11"/>
        <v>0.3933509856</v>
      </c>
      <c r="X90" s="49">
        <f t="shared" si="12"/>
        <v>0.4642541924</v>
      </c>
      <c r="Y90" s="49">
        <f t="shared" si="13"/>
        <v>0.142394822</v>
      </c>
      <c r="Z90" s="32" t="str">
        <f t="shared" si="14"/>
        <v>Milton</v>
      </c>
      <c r="AA90" s="50" t="s">
        <v>77</v>
      </c>
      <c r="AB90" s="38">
        <v>4138.0</v>
      </c>
      <c r="AC90" s="48">
        <f t="shared" si="17"/>
        <v>367</v>
      </c>
      <c r="AD90" s="51">
        <f t="shared" si="18"/>
        <v>0.9113098115</v>
      </c>
    </row>
    <row r="91">
      <c r="A91" s="61" t="s">
        <v>295</v>
      </c>
      <c r="B91" s="46" t="s">
        <v>1708</v>
      </c>
      <c r="C91" s="47"/>
      <c r="D91" s="38">
        <v>1394.0</v>
      </c>
      <c r="E91" s="38">
        <v>1345.0</v>
      </c>
      <c r="F91" s="38">
        <v>419.0</v>
      </c>
      <c r="G91" s="38">
        <v>267.0</v>
      </c>
      <c r="H91" s="38">
        <v>94.0</v>
      </c>
      <c r="I91" s="48">
        <f t="shared" si="3"/>
        <v>3158</v>
      </c>
      <c r="J91" s="48">
        <f t="shared" si="4"/>
        <v>3519</v>
      </c>
      <c r="K91" s="49">
        <f t="shared" si="5"/>
        <v>0.4414186194</v>
      </c>
      <c r="L91" s="49">
        <f t="shared" si="6"/>
        <v>0.4259024699</v>
      </c>
      <c r="M91" s="49">
        <f t="shared" si="7"/>
        <v>0.1326789107</v>
      </c>
      <c r="N91" s="32" t="str">
        <f t="shared" si="8"/>
        <v>Jânio</v>
      </c>
      <c r="O91" s="50" t="s">
        <v>77</v>
      </c>
      <c r="P91" s="38">
        <v>1525.0</v>
      </c>
      <c r="Q91" s="38">
        <v>817.0</v>
      </c>
      <c r="R91" s="38">
        <v>428.0</v>
      </c>
      <c r="S91" s="38">
        <v>687.0</v>
      </c>
      <c r="T91" s="38">
        <v>62.0</v>
      </c>
      <c r="U91" s="48">
        <f t="shared" si="9"/>
        <v>2770</v>
      </c>
      <c r="V91" s="48">
        <f t="shared" si="10"/>
        <v>3519</v>
      </c>
      <c r="W91" s="49">
        <f t="shared" si="11"/>
        <v>0.5505415162</v>
      </c>
      <c r="X91" s="49">
        <f t="shared" si="12"/>
        <v>0.2949458484</v>
      </c>
      <c r="Y91" s="49">
        <f t="shared" si="13"/>
        <v>0.1545126354</v>
      </c>
      <c r="Z91" s="32" t="str">
        <f t="shared" si="14"/>
        <v>Jango</v>
      </c>
      <c r="AA91" s="50" t="s">
        <v>77</v>
      </c>
      <c r="AB91" s="38">
        <v>3703.0</v>
      </c>
      <c r="AC91" s="48">
        <f t="shared" si="17"/>
        <v>184</v>
      </c>
      <c r="AD91" s="51">
        <f t="shared" si="18"/>
        <v>0.950310559</v>
      </c>
    </row>
    <row r="92">
      <c r="A92" s="24"/>
      <c r="B92" s="46" t="s">
        <v>1709</v>
      </c>
      <c r="C92" s="47"/>
      <c r="D92" s="38">
        <v>804.0</v>
      </c>
      <c r="E92" s="38">
        <v>903.0</v>
      </c>
      <c r="F92" s="38">
        <v>216.0</v>
      </c>
      <c r="G92" s="38">
        <v>166.0</v>
      </c>
      <c r="H92" s="38">
        <v>111.0</v>
      </c>
      <c r="I92" s="48">
        <f t="shared" si="3"/>
        <v>1923</v>
      </c>
      <c r="J92" s="48">
        <f t="shared" si="4"/>
        <v>2200</v>
      </c>
      <c r="K92" s="49">
        <f t="shared" si="5"/>
        <v>0.4180967239</v>
      </c>
      <c r="L92" s="49">
        <f t="shared" si="6"/>
        <v>0.4695787832</v>
      </c>
      <c r="M92" s="49">
        <f t="shared" si="7"/>
        <v>0.112324493</v>
      </c>
      <c r="N92" s="32" t="str">
        <f t="shared" si="8"/>
        <v>Mal. Lott</v>
      </c>
      <c r="O92" s="50" t="s">
        <v>77</v>
      </c>
      <c r="P92" s="38">
        <v>1054.0</v>
      </c>
      <c r="Q92" s="38">
        <v>540.0</v>
      </c>
      <c r="R92" s="38">
        <v>195.0</v>
      </c>
      <c r="S92" s="38">
        <v>351.0</v>
      </c>
      <c r="T92" s="38">
        <v>60.0</v>
      </c>
      <c r="U92" s="48">
        <f t="shared" si="9"/>
        <v>1789</v>
      </c>
      <c r="V92" s="48">
        <f t="shared" si="10"/>
        <v>2200</v>
      </c>
      <c r="W92" s="49">
        <f t="shared" si="11"/>
        <v>0.589155953</v>
      </c>
      <c r="X92" s="49">
        <f t="shared" si="12"/>
        <v>0.3018446059</v>
      </c>
      <c r="Y92" s="49">
        <f t="shared" si="13"/>
        <v>0.108999441</v>
      </c>
      <c r="Z92" s="32" t="str">
        <f t="shared" si="14"/>
        <v>Jango</v>
      </c>
      <c r="AA92" s="50" t="s">
        <v>77</v>
      </c>
      <c r="AB92" s="38">
        <v>2432.0</v>
      </c>
      <c r="AC92" s="48">
        <f t="shared" si="17"/>
        <v>232</v>
      </c>
      <c r="AD92" s="51">
        <f t="shared" si="18"/>
        <v>0.9046052632</v>
      </c>
    </row>
    <row r="93">
      <c r="A93" s="110" t="s">
        <v>299</v>
      </c>
      <c r="B93" s="46" t="s">
        <v>1710</v>
      </c>
      <c r="C93" s="47"/>
      <c r="D93" s="38">
        <v>2711.0</v>
      </c>
      <c r="E93" s="38">
        <v>2195.0</v>
      </c>
      <c r="F93" s="38">
        <v>349.0</v>
      </c>
      <c r="G93" s="38">
        <v>272.0</v>
      </c>
      <c r="H93" s="38">
        <v>102.0</v>
      </c>
      <c r="I93" s="48">
        <f t="shared" si="3"/>
        <v>5255</v>
      </c>
      <c r="J93" s="48">
        <f t="shared" si="4"/>
        <v>5629</v>
      </c>
      <c r="K93" s="49">
        <f t="shared" si="5"/>
        <v>0.5158896289</v>
      </c>
      <c r="L93" s="49">
        <f t="shared" si="6"/>
        <v>0.417697431</v>
      </c>
      <c r="M93" s="49">
        <f t="shared" si="7"/>
        <v>0.06641294006</v>
      </c>
      <c r="N93" s="32" t="str">
        <f t="shared" si="8"/>
        <v>Jânio</v>
      </c>
      <c r="O93" s="50" t="s">
        <v>77</v>
      </c>
      <c r="P93" s="38">
        <v>2288.0</v>
      </c>
      <c r="Q93" s="38">
        <v>2286.0</v>
      </c>
      <c r="R93" s="38">
        <v>476.0</v>
      </c>
      <c r="S93" s="38">
        <v>518.0</v>
      </c>
      <c r="T93" s="38">
        <v>61.0</v>
      </c>
      <c r="U93" s="48">
        <f t="shared" si="9"/>
        <v>5050</v>
      </c>
      <c r="V93" s="48">
        <f t="shared" si="10"/>
        <v>5629</v>
      </c>
      <c r="W93" s="49">
        <f t="shared" si="11"/>
        <v>0.4530693069</v>
      </c>
      <c r="X93" s="49">
        <f t="shared" si="12"/>
        <v>0.4526732673</v>
      </c>
      <c r="Y93" s="49">
        <f t="shared" si="13"/>
        <v>0.09425742574</v>
      </c>
      <c r="Z93" s="32" t="str">
        <f t="shared" si="14"/>
        <v>Jango</v>
      </c>
      <c r="AA93" s="50" t="s">
        <v>77</v>
      </c>
      <c r="AB93" s="38">
        <v>6142.0</v>
      </c>
      <c r="AC93" s="48">
        <f t="shared" si="17"/>
        <v>513</v>
      </c>
      <c r="AD93" s="51">
        <f t="shared" si="18"/>
        <v>0.9164767177</v>
      </c>
    </row>
    <row r="94">
      <c r="A94" s="61" t="s">
        <v>302</v>
      </c>
      <c r="B94" s="46" t="s">
        <v>1711</v>
      </c>
      <c r="C94" s="47"/>
      <c r="D94" s="38">
        <v>1351.0</v>
      </c>
      <c r="E94" s="38">
        <v>668.0</v>
      </c>
      <c r="F94" s="38">
        <v>384.0</v>
      </c>
      <c r="G94" s="38">
        <v>94.0</v>
      </c>
      <c r="H94" s="38">
        <v>64.0</v>
      </c>
      <c r="I94" s="48">
        <f t="shared" si="3"/>
        <v>2403</v>
      </c>
      <c r="J94" s="48">
        <f t="shared" si="4"/>
        <v>2561</v>
      </c>
      <c r="K94" s="49">
        <f t="shared" si="5"/>
        <v>0.5622138993</v>
      </c>
      <c r="L94" s="49">
        <f t="shared" si="6"/>
        <v>0.277985851</v>
      </c>
      <c r="M94" s="49">
        <f t="shared" si="7"/>
        <v>0.1598002497</v>
      </c>
      <c r="N94" s="32" t="str">
        <f t="shared" si="8"/>
        <v>Jânio</v>
      </c>
      <c r="O94" s="50" t="s">
        <v>77</v>
      </c>
      <c r="P94" s="38">
        <v>827.0</v>
      </c>
      <c r="Q94" s="38">
        <v>1001.0</v>
      </c>
      <c r="R94" s="38">
        <v>474.0</v>
      </c>
      <c r="S94" s="38">
        <v>210.0</v>
      </c>
      <c r="T94" s="38">
        <v>49.0</v>
      </c>
      <c r="U94" s="48">
        <f t="shared" si="9"/>
        <v>2302</v>
      </c>
      <c r="V94" s="48">
        <f t="shared" si="10"/>
        <v>2561</v>
      </c>
      <c r="W94" s="49">
        <f t="shared" si="11"/>
        <v>0.3592528236</v>
      </c>
      <c r="X94" s="49">
        <f t="shared" si="12"/>
        <v>0.4348392702</v>
      </c>
      <c r="Y94" s="49">
        <f t="shared" si="13"/>
        <v>0.2059079062</v>
      </c>
      <c r="Z94" s="32" t="str">
        <f t="shared" si="14"/>
        <v>Milton</v>
      </c>
      <c r="AA94" s="50" t="s">
        <v>77</v>
      </c>
      <c r="AB94" s="38">
        <v>2820.0</v>
      </c>
      <c r="AC94" s="48">
        <f t="shared" si="17"/>
        <v>259</v>
      </c>
      <c r="AD94" s="51">
        <f t="shared" si="18"/>
        <v>0.9081560284</v>
      </c>
    </row>
    <row r="95">
      <c r="A95" s="24"/>
      <c r="B95" s="46" t="s">
        <v>83</v>
      </c>
      <c r="C95" s="47"/>
      <c r="D95" s="38">
        <v>1837.0</v>
      </c>
      <c r="E95" s="38">
        <v>1427.0</v>
      </c>
      <c r="F95" s="38">
        <v>595.0</v>
      </c>
      <c r="G95" s="38">
        <v>119.0</v>
      </c>
      <c r="H95" s="38">
        <v>58.0</v>
      </c>
      <c r="I95" s="48">
        <f t="shared" si="3"/>
        <v>3859</v>
      </c>
      <c r="J95" s="48">
        <f t="shared" si="4"/>
        <v>4036</v>
      </c>
      <c r="K95" s="49">
        <f t="shared" si="5"/>
        <v>0.4760300596</v>
      </c>
      <c r="L95" s="49">
        <f t="shared" si="6"/>
        <v>0.3697849184</v>
      </c>
      <c r="M95" s="49">
        <f t="shared" si="7"/>
        <v>0.154185022</v>
      </c>
      <c r="N95" s="32" t="str">
        <f t="shared" si="8"/>
        <v>Jânio</v>
      </c>
      <c r="O95" s="50" t="s">
        <v>77</v>
      </c>
      <c r="P95" s="38">
        <v>1244.0</v>
      </c>
      <c r="Q95" s="38">
        <v>1305.0</v>
      </c>
      <c r="R95" s="38">
        <v>1181.0</v>
      </c>
      <c r="S95" s="38">
        <v>264.0</v>
      </c>
      <c r="T95" s="38">
        <v>42.0</v>
      </c>
      <c r="U95" s="48">
        <f t="shared" si="9"/>
        <v>3730</v>
      </c>
      <c r="V95" s="48">
        <f t="shared" si="10"/>
        <v>4036</v>
      </c>
      <c r="W95" s="49">
        <f t="shared" si="11"/>
        <v>0.3335120643</v>
      </c>
      <c r="X95" s="49">
        <f t="shared" si="12"/>
        <v>0.3498659517</v>
      </c>
      <c r="Y95" s="49">
        <f t="shared" si="13"/>
        <v>0.3166219839</v>
      </c>
      <c r="Z95" s="32" t="str">
        <f t="shared" si="14"/>
        <v>Milton</v>
      </c>
      <c r="AA95" s="50" t="s">
        <v>77</v>
      </c>
      <c r="AB95" s="38">
        <v>4357.0</v>
      </c>
      <c r="AC95" s="48">
        <f t="shared" si="17"/>
        <v>321</v>
      </c>
      <c r="AD95" s="51">
        <f t="shared" si="18"/>
        <v>0.9263254533</v>
      </c>
    </row>
    <row r="96">
      <c r="A96" s="61" t="s">
        <v>304</v>
      </c>
      <c r="B96" s="46" t="s">
        <v>1712</v>
      </c>
      <c r="C96" s="47"/>
      <c r="D96" s="38">
        <v>1393.0</v>
      </c>
      <c r="E96" s="38">
        <v>885.0</v>
      </c>
      <c r="F96" s="38">
        <v>571.0</v>
      </c>
      <c r="G96" s="38">
        <v>112.0</v>
      </c>
      <c r="H96" s="38">
        <v>67.0</v>
      </c>
      <c r="I96" s="48">
        <f t="shared" si="3"/>
        <v>2849</v>
      </c>
      <c r="J96" s="48">
        <f t="shared" si="4"/>
        <v>3028</v>
      </c>
      <c r="K96" s="49">
        <f t="shared" si="5"/>
        <v>0.4889434889</v>
      </c>
      <c r="L96" s="49">
        <f t="shared" si="6"/>
        <v>0.3106353106</v>
      </c>
      <c r="M96" s="49">
        <f t="shared" si="7"/>
        <v>0.2004212004</v>
      </c>
      <c r="N96" s="32" t="str">
        <f t="shared" si="8"/>
        <v>Jânio</v>
      </c>
      <c r="O96" s="50" t="s">
        <v>77</v>
      </c>
      <c r="P96" s="38">
        <v>1018.0</v>
      </c>
      <c r="Q96" s="38">
        <v>670.0</v>
      </c>
      <c r="R96" s="38">
        <v>1061.0</v>
      </c>
      <c r="S96" s="38">
        <v>229.0</v>
      </c>
      <c r="T96" s="38">
        <v>50.0</v>
      </c>
      <c r="U96" s="48">
        <f t="shared" si="9"/>
        <v>2749</v>
      </c>
      <c r="V96" s="48">
        <f t="shared" si="10"/>
        <v>3028</v>
      </c>
      <c r="W96" s="49">
        <f t="shared" si="11"/>
        <v>0.3703164787</v>
      </c>
      <c r="X96" s="49">
        <f t="shared" si="12"/>
        <v>0.2437249909</v>
      </c>
      <c r="Y96" s="49">
        <f t="shared" si="13"/>
        <v>0.3859585304</v>
      </c>
      <c r="Z96" s="32" t="str">
        <f t="shared" si="14"/>
        <v>Ferrari</v>
      </c>
      <c r="AA96" s="50" t="s">
        <v>77</v>
      </c>
      <c r="AB96" s="38">
        <v>3336.0</v>
      </c>
      <c r="AC96" s="48">
        <f t="shared" si="17"/>
        <v>308</v>
      </c>
      <c r="AD96" s="51">
        <f t="shared" si="18"/>
        <v>0.9076738609</v>
      </c>
    </row>
    <row r="97">
      <c r="A97" s="23"/>
      <c r="B97" s="46" t="s">
        <v>1713</v>
      </c>
      <c r="C97" s="47"/>
      <c r="D97" s="38">
        <v>2626.0</v>
      </c>
      <c r="E97" s="38">
        <v>1018.0</v>
      </c>
      <c r="F97" s="38">
        <v>529.0</v>
      </c>
      <c r="G97" s="38">
        <v>140.0</v>
      </c>
      <c r="H97" s="38">
        <v>82.0</v>
      </c>
      <c r="I97" s="48">
        <f t="shared" si="3"/>
        <v>4173</v>
      </c>
      <c r="J97" s="48">
        <f t="shared" si="4"/>
        <v>4395</v>
      </c>
      <c r="K97" s="49">
        <f t="shared" si="5"/>
        <v>0.6292834891</v>
      </c>
      <c r="L97" s="49">
        <f t="shared" si="6"/>
        <v>0.2439491972</v>
      </c>
      <c r="M97" s="49">
        <f t="shared" si="7"/>
        <v>0.1267673137</v>
      </c>
      <c r="N97" s="32" t="str">
        <f t="shared" si="8"/>
        <v>Jânio</v>
      </c>
      <c r="O97" s="50" t="s">
        <v>77</v>
      </c>
      <c r="P97" s="38">
        <v>1064.0</v>
      </c>
      <c r="Q97" s="38">
        <v>1461.0</v>
      </c>
      <c r="R97" s="38">
        <v>1558.0</v>
      </c>
      <c r="S97" s="38">
        <v>249.0</v>
      </c>
      <c r="T97" s="38">
        <v>63.0</v>
      </c>
      <c r="U97" s="48">
        <f t="shared" si="9"/>
        <v>4083</v>
      </c>
      <c r="V97" s="48">
        <f t="shared" si="10"/>
        <v>4395</v>
      </c>
      <c r="W97" s="49">
        <f t="shared" si="11"/>
        <v>0.2605927014</v>
      </c>
      <c r="X97" s="49">
        <f t="shared" si="12"/>
        <v>0.3578251286</v>
      </c>
      <c r="Y97" s="49">
        <f t="shared" si="13"/>
        <v>0.38158217</v>
      </c>
      <c r="Z97" s="32" t="str">
        <f t="shared" si="14"/>
        <v>Ferrari</v>
      </c>
      <c r="AA97" s="50" t="s">
        <v>77</v>
      </c>
      <c r="AB97" s="38">
        <v>4753.0</v>
      </c>
      <c r="AC97" s="48">
        <f t="shared" si="17"/>
        <v>358</v>
      </c>
      <c r="AD97" s="51">
        <f t="shared" si="18"/>
        <v>0.92467915</v>
      </c>
    </row>
    <row r="98">
      <c r="A98" s="23"/>
      <c r="B98" s="46" t="s">
        <v>935</v>
      </c>
      <c r="C98" s="47"/>
      <c r="D98" s="38">
        <v>542.0</v>
      </c>
      <c r="E98" s="38">
        <v>314.0</v>
      </c>
      <c r="F98" s="38">
        <v>195.0</v>
      </c>
      <c r="G98" s="38">
        <v>50.0</v>
      </c>
      <c r="H98" s="38">
        <v>28.0</v>
      </c>
      <c r="I98" s="48">
        <f t="shared" si="3"/>
        <v>1051</v>
      </c>
      <c r="J98" s="48">
        <f t="shared" si="4"/>
        <v>1129</v>
      </c>
      <c r="K98" s="49">
        <f t="shared" si="5"/>
        <v>0.515699334</v>
      </c>
      <c r="L98" s="49">
        <f t="shared" si="6"/>
        <v>0.2987630828</v>
      </c>
      <c r="M98" s="49">
        <f t="shared" si="7"/>
        <v>0.1855375833</v>
      </c>
      <c r="N98" s="32" t="str">
        <f t="shared" si="8"/>
        <v>Jânio</v>
      </c>
      <c r="O98" s="50" t="s">
        <v>77</v>
      </c>
      <c r="P98" s="38">
        <v>370.0</v>
      </c>
      <c r="Q98" s="38">
        <v>329.0</v>
      </c>
      <c r="R98" s="38">
        <v>336.0</v>
      </c>
      <c r="S98" s="38">
        <v>81.0</v>
      </c>
      <c r="T98" s="38">
        <v>13.0</v>
      </c>
      <c r="U98" s="48">
        <f t="shared" si="9"/>
        <v>1035</v>
      </c>
      <c r="V98" s="48">
        <f t="shared" si="10"/>
        <v>1129</v>
      </c>
      <c r="W98" s="49">
        <f t="shared" si="11"/>
        <v>0.3574879227</v>
      </c>
      <c r="X98" s="49">
        <f t="shared" si="12"/>
        <v>0.3178743961</v>
      </c>
      <c r="Y98" s="49">
        <f t="shared" si="13"/>
        <v>0.3246376812</v>
      </c>
      <c r="Z98" s="32" t="str">
        <f t="shared" si="14"/>
        <v>Jango</v>
      </c>
      <c r="AA98" s="50" t="s">
        <v>77</v>
      </c>
      <c r="AB98" s="38">
        <v>1254.0</v>
      </c>
      <c r="AC98" s="48">
        <f t="shared" si="17"/>
        <v>125</v>
      </c>
      <c r="AD98" s="51">
        <f t="shared" si="18"/>
        <v>0.9003189793</v>
      </c>
    </row>
    <row r="99">
      <c r="A99" s="24"/>
      <c r="B99" s="46" t="s">
        <v>1714</v>
      </c>
      <c r="C99" s="47"/>
      <c r="D99" s="38">
        <v>627.0</v>
      </c>
      <c r="E99" s="38">
        <v>312.0</v>
      </c>
      <c r="F99" s="38">
        <v>269.0</v>
      </c>
      <c r="G99" s="38">
        <v>63.0</v>
      </c>
      <c r="H99" s="38">
        <v>35.0</v>
      </c>
      <c r="I99" s="48">
        <f t="shared" si="3"/>
        <v>1208</v>
      </c>
      <c r="J99" s="48">
        <f t="shared" si="4"/>
        <v>1306</v>
      </c>
      <c r="K99" s="49">
        <f t="shared" si="5"/>
        <v>0.5190397351</v>
      </c>
      <c r="L99" s="49">
        <f t="shared" si="6"/>
        <v>0.2582781457</v>
      </c>
      <c r="M99" s="49">
        <f t="shared" si="7"/>
        <v>0.2226821192</v>
      </c>
      <c r="N99" s="32" t="str">
        <f t="shared" si="8"/>
        <v>Jânio</v>
      </c>
      <c r="O99" s="50" t="s">
        <v>77</v>
      </c>
      <c r="P99" s="38">
        <v>258.0</v>
      </c>
      <c r="Q99" s="38">
        <v>241.0</v>
      </c>
      <c r="R99" s="38">
        <v>684.0</v>
      </c>
      <c r="S99" s="38">
        <v>97.0</v>
      </c>
      <c r="T99" s="38">
        <v>26.0</v>
      </c>
      <c r="U99" s="48">
        <f t="shared" si="9"/>
        <v>1183</v>
      </c>
      <c r="V99" s="48">
        <f t="shared" si="10"/>
        <v>1306</v>
      </c>
      <c r="W99" s="49">
        <f t="shared" si="11"/>
        <v>0.2180896027</v>
      </c>
      <c r="X99" s="49">
        <f t="shared" si="12"/>
        <v>0.2037193576</v>
      </c>
      <c r="Y99" s="49">
        <f t="shared" si="13"/>
        <v>0.5781910397</v>
      </c>
      <c r="Z99" s="32" t="str">
        <f t="shared" si="14"/>
        <v>Ferrari</v>
      </c>
      <c r="AA99" s="50" t="s">
        <v>77</v>
      </c>
      <c r="AB99" s="38">
        <v>1463.0</v>
      </c>
      <c r="AC99" s="48">
        <f t="shared" si="17"/>
        <v>157</v>
      </c>
      <c r="AD99" s="51">
        <f t="shared" si="18"/>
        <v>0.8926862611</v>
      </c>
    </row>
    <row r="100">
      <c r="A100" s="61" t="s">
        <v>308</v>
      </c>
      <c r="B100" s="46" t="s">
        <v>1715</v>
      </c>
      <c r="C100" s="47"/>
      <c r="D100" s="38">
        <v>2425.0</v>
      </c>
      <c r="E100" s="38">
        <v>2061.0</v>
      </c>
      <c r="F100" s="38">
        <v>236.0</v>
      </c>
      <c r="G100" s="38">
        <v>139.0</v>
      </c>
      <c r="H100" s="38">
        <v>100.0</v>
      </c>
      <c r="I100" s="48">
        <f t="shared" si="3"/>
        <v>4722</v>
      </c>
      <c r="J100" s="48">
        <f t="shared" si="4"/>
        <v>4961</v>
      </c>
      <c r="K100" s="49">
        <f t="shared" si="5"/>
        <v>0.513553579</v>
      </c>
      <c r="L100" s="49">
        <f t="shared" si="6"/>
        <v>0.4364675985</v>
      </c>
      <c r="M100" s="49">
        <f t="shared" si="7"/>
        <v>0.04997882253</v>
      </c>
      <c r="N100" s="32" t="str">
        <f t="shared" si="8"/>
        <v>Jânio</v>
      </c>
      <c r="O100" s="50" t="s">
        <v>77</v>
      </c>
      <c r="P100" s="38">
        <v>2253.0</v>
      </c>
      <c r="Q100" s="38">
        <v>2203.0</v>
      </c>
      <c r="R100" s="38">
        <v>175.0</v>
      </c>
      <c r="S100" s="38">
        <v>240.0</v>
      </c>
      <c r="T100" s="38">
        <v>90.0</v>
      </c>
      <c r="U100" s="48">
        <f t="shared" si="9"/>
        <v>4631</v>
      </c>
      <c r="V100" s="48">
        <f t="shared" si="10"/>
        <v>4961</v>
      </c>
      <c r="W100" s="49">
        <f t="shared" si="11"/>
        <v>0.4865039948</v>
      </c>
      <c r="X100" s="49">
        <f t="shared" si="12"/>
        <v>0.4757071907</v>
      </c>
      <c r="Y100" s="49">
        <f t="shared" si="13"/>
        <v>0.03778881451</v>
      </c>
      <c r="Z100" s="32" t="str">
        <f t="shared" si="14"/>
        <v>Jango</v>
      </c>
      <c r="AA100" s="50" t="s">
        <v>77</v>
      </c>
      <c r="AB100" s="38">
        <v>5543.0</v>
      </c>
      <c r="AC100" s="48">
        <f t="shared" si="17"/>
        <v>582</v>
      </c>
      <c r="AD100" s="51">
        <f t="shared" si="18"/>
        <v>0.8950027061</v>
      </c>
    </row>
    <row r="101">
      <c r="A101" s="23"/>
      <c r="B101" s="46" t="s">
        <v>1716</v>
      </c>
      <c r="C101" s="47"/>
      <c r="D101" s="38">
        <v>823.0</v>
      </c>
      <c r="E101" s="38">
        <v>906.0</v>
      </c>
      <c r="F101" s="38">
        <v>65.0</v>
      </c>
      <c r="G101" s="38">
        <v>61.0</v>
      </c>
      <c r="H101" s="38">
        <v>30.0</v>
      </c>
      <c r="I101" s="48">
        <f t="shared" si="3"/>
        <v>1794</v>
      </c>
      <c r="J101" s="48">
        <f t="shared" si="4"/>
        <v>1885</v>
      </c>
      <c r="K101" s="49">
        <f t="shared" si="5"/>
        <v>0.4587513935</v>
      </c>
      <c r="L101" s="49">
        <f t="shared" si="6"/>
        <v>0.5050167224</v>
      </c>
      <c r="M101" s="49">
        <f t="shared" si="7"/>
        <v>0.03623188406</v>
      </c>
      <c r="N101" s="32" t="str">
        <f t="shared" si="8"/>
        <v>Mal. Lott</v>
      </c>
      <c r="O101" s="50" t="s">
        <v>77</v>
      </c>
      <c r="P101" s="38">
        <v>970.0</v>
      </c>
      <c r="Q101" s="38">
        <v>744.0</v>
      </c>
      <c r="R101" s="38">
        <v>57.0</v>
      </c>
      <c r="S101" s="38">
        <v>87.0</v>
      </c>
      <c r="T101" s="38">
        <v>27.0</v>
      </c>
      <c r="U101" s="48">
        <f t="shared" si="9"/>
        <v>1771</v>
      </c>
      <c r="V101" s="48">
        <f t="shared" si="10"/>
        <v>1885</v>
      </c>
      <c r="W101" s="49">
        <f t="shared" si="11"/>
        <v>0.5477131564</v>
      </c>
      <c r="X101" s="49">
        <f t="shared" si="12"/>
        <v>0.4201016375</v>
      </c>
      <c r="Y101" s="49">
        <f t="shared" si="13"/>
        <v>0.0321852061</v>
      </c>
      <c r="Z101" s="32" t="str">
        <f t="shared" si="14"/>
        <v>Jango</v>
      </c>
      <c r="AA101" s="50" t="s">
        <v>77</v>
      </c>
      <c r="AB101" s="38">
        <v>2082.0</v>
      </c>
      <c r="AC101" s="48">
        <f t="shared" si="17"/>
        <v>197</v>
      </c>
      <c r="AD101" s="51">
        <f t="shared" si="18"/>
        <v>0.9053794428</v>
      </c>
    </row>
    <row r="102">
      <c r="A102" s="24"/>
      <c r="B102" s="46" t="s">
        <v>1717</v>
      </c>
      <c r="C102" s="47"/>
      <c r="D102" s="38">
        <v>456.0</v>
      </c>
      <c r="E102" s="38">
        <v>507.0</v>
      </c>
      <c r="F102" s="38">
        <v>33.0</v>
      </c>
      <c r="G102" s="38">
        <v>34.0</v>
      </c>
      <c r="H102" s="38">
        <v>33.0</v>
      </c>
      <c r="I102" s="48">
        <f t="shared" si="3"/>
        <v>996</v>
      </c>
      <c r="J102" s="48">
        <f t="shared" si="4"/>
        <v>1063</v>
      </c>
      <c r="K102" s="49">
        <f t="shared" si="5"/>
        <v>0.4578313253</v>
      </c>
      <c r="L102" s="49">
        <f t="shared" si="6"/>
        <v>0.5090361446</v>
      </c>
      <c r="M102" s="49">
        <f t="shared" si="7"/>
        <v>0.03313253012</v>
      </c>
      <c r="N102" s="32" t="str">
        <f t="shared" si="8"/>
        <v>Mal. Lott</v>
      </c>
      <c r="O102" s="50" t="s">
        <v>77</v>
      </c>
      <c r="P102" s="38">
        <v>516.0</v>
      </c>
      <c r="Q102" s="38">
        <v>379.0</v>
      </c>
      <c r="R102" s="38">
        <v>73.0</v>
      </c>
      <c r="S102" s="38">
        <v>74.0</v>
      </c>
      <c r="T102" s="38">
        <v>21.0</v>
      </c>
      <c r="U102" s="48">
        <f t="shared" si="9"/>
        <v>968</v>
      </c>
      <c r="V102" s="48">
        <f t="shared" si="10"/>
        <v>1063</v>
      </c>
      <c r="W102" s="49">
        <f t="shared" si="11"/>
        <v>0.5330578512</v>
      </c>
      <c r="X102" s="49">
        <f t="shared" si="12"/>
        <v>0.3915289256</v>
      </c>
      <c r="Y102" s="49">
        <f t="shared" si="13"/>
        <v>0.07541322314</v>
      </c>
      <c r="Z102" s="32" t="str">
        <f t="shared" si="14"/>
        <v>Jango</v>
      </c>
      <c r="AA102" s="50" t="s">
        <v>77</v>
      </c>
      <c r="AB102" s="38">
        <v>1174.0</v>
      </c>
      <c r="AC102" s="48">
        <f t="shared" si="17"/>
        <v>111</v>
      </c>
      <c r="AD102" s="51">
        <f t="shared" si="18"/>
        <v>0.905451448</v>
      </c>
    </row>
    <row r="103">
      <c r="A103" s="61" t="s">
        <v>312</v>
      </c>
      <c r="B103" s="46" t="s">
        <v>1718</v>
      </c>
      <c r="C103" s="47"/>
      <c r="D103" s="38">
        <v>1344.0</v>
      </c>
      <c r="E103" s="38">
        <v>846.0</v>
      </c>
      <c r="F103" s="38">
        <v>711.0</v>
      </c>
      <c r="G103" s="38">
        <v>168.0</v>
      </c>
      <c r="H103" s="38">
        <v>72.0</v>
      </c>
      <c r="I103" s="48">
        <f t="shared" si="3"/>
        <v>2901</v>
      </c>
      <c r="J103" s="48">
        <f t="shared" si="4"/>
        <v>3141</v>
      </c>
      <c r="K103" s="49">
        <f t="shared" si="5"/>
        <v>0.4632885212</v>
      </c>
      <c r="L103" s="49">
        <f t="shared" si="6"/>
        <v>0.2916235781</v>
      </c>
      <c r="M103" s="49">
        <f t="shared" si="7"/>
        <v>0.2450879007</v>
      </c>
      <c r="N103" s="32" t="str">
        <f t="shared" si="8"/>
        <v>Jânio</v>
      </c>
      <c r="O103" s="50" t="s">
        <v>77</v>
      </c>
      <c r="P103" s="38">
        <v>1125.0</v>
      </c>
      <c r="Q103" s="38">
        <v>425.0</v>
      </c>
      <c r="R103" s="38">
        <v>1184.0</v>
      </c>
      <c r="S103" s="38">
        <v>329.0</v>
      </c>
      <c r="T103" s="38">
        <v>78.0</v>
      </c>
      <c r="U103" s="48">
        <f t="shared" si="9"/>
        <v>2734</v>
      </c>
      <c r="V103" s="48">
        <f t="shared" si="10"/>
        <v>3141</v>
      </c>
      <c r="W103" s="49">
        <f t="shared" si="11"/>
        <v>0.4114850037</v>
      </c>
      <c r="X103" s="49">
        <f t="shared" si="12"/>
        <v>0.1554498903</v>
      </c>
      <c r="Y103" s="49">
        <f t="shared" si="13"/>
        <v>0.4330651061</v>
      </c>
      <c r="Z103" s="32" t="str">
        <f t="shared" si="14"/>
        <v>Ferrari</v>
      </c>
      <c r="AA103" s="50" t="s">
        <v>77</v>
      </c>
      <c r="AB103" s="38">
        <v>3627.0</v>
      </c>
      <c r="AC103" s="48">
        <f t="shared" si="17"/>
        <v>486</v>
      </c>
      <c r="AD103" s="51">
        <f t="shared" si="18"/>
        <v>0.8660049628</v>
      </c>
    </row>
    <row r="104">
      <c r="A104" s="23"/>
      <c r="B104" s="46" t="s">
        <v>1719</v>
      </c>
      <c r="C104" s="47"/>
      <c r="D104" s="38">
        <v>1402.0</v>
      </c>
      <c r="E104" s="38">
        <v>1236.0</v>
      </c>
      <c r="F104" s="38">
        <v>649.0</v>
      </c>
      <c r="G104" s="38">
        <v>142.0</v>
      </c>
      <c r="H104" s="38">
        <v>115.0</v>
      </c>
      <c r="I104" s="48">
        <f t="shared" si="3"/>
        <v>3287</v>
      </c>
      <c r="J104" s="48">
        <f t="shared" si="4"/>
        <v>3544</v>
      </c>
      <c r="K104" s="49">
        <f t="shared" si="5"/>
        <v>0.4265287496</v>
      </c>
      <c r="L104" s="49">
        <f t="shared" si="6"/>
        <v>0.3760267721</v>
      </c>
      <c r="M104" s="49">
        <f t="shared" si="7"/>
        <v>0.1974444782</v>
      </c>
      <c r="N104" s="32" t="str">
        <f t="shared" si="8"/>
        <v>Jânio</v>
      </c>
      <c r="O104" s="50" t="s">
        <v>77</v>
      </c>
      <c r="P104" s="38">
        <v>1489.0</v>
      </c>
      <c r="Q104" s="38">
        <v>657.0</v>
      </c>
      <c r="R104" s="38">
        <v>1026.0</v>
      </c>
      <c r="S104" s="38">
        <v>287.0</v>
      </c>
      <c r="T104" s="38">
        <v>85.0</v>
      </c>
      <c r="U104" s="48">
        <f t="shared" si="9"/>
        <v>3172</v>
      </c>
      <c r="V104" s="48">
        <f t="shared" si="10"/>
        <v>3544</v>
      </c>
      <c r="W104" s="49">
        <f t="shared" si="11"/>
        <v>0.4694199243</v>
      </c>
      <c r="X104" s="49">
        <f t="shared" si="12"/>
        <v>0.2071248424</v>
      </c>
      <c r="Y104" s="49">
        <f t="shared" si="13"/>
        <v>0.3234552333</v>
      </c>
      <c r="Z104" s="32" t="str">
        <f t="shared" si="14"/>
        <v>Jango</v>
      </c>
      <c r="AA104" s="50" t="s">
        <v>77</v>
      </c>
      <c r="AB104" s="38">
        <v>3981.0</v>
      </c>
      <c r="AC104" s="48">
        <f t="shared" si="17"/>
        <v>437</v>
      </c>
      <c r="AD104" s="51">
        <f t="shared" si="18"/>
        <v>0.8902285858</v>
      </c>
    </row>
    <row r="105">
      <c r="A105" s="23"/>
      <c r="B105" s="46" t="s">
        <v>1720</v>
      </c>
      <c r="C105" s="47"/>
      <c r="D105" s="38">
        <v>353.0</v>
      </c>
      <c r="E105" s="38">
        <v>498.0</v>
      </c>
      <c r="F105" s="38">
        <v>122.0</v>
      </c>
      <c r="G105" s="38">
        <v>56.0</v>
      </c>
      <c r="H105" s="38">
        <v>35.0</v>
      </c>
      <c r="I105" s="48">
        <f t="shared" si="3"/>
        <v>973</v>
      </c>
      <c r="J105" s="48">
        <f t="shared" si="4"/>
        <v>1064</v>
      </c>
      <c r="K105" s="49">
        <f t="shared" si="5"/>
        <v>0.3627954779</v>
      </c>
      <c r="L105" s="49">
        <f t="shared" si="6"/>
        <v>0.5118191161</v>
      </c>
      <c r="M105" s="49">
        <f t="shared" si="7"/>
        <v>0.125385406</v>
      </c>
      <c r="N105" s="32" t="str">
        <f t="shared" si="8"/>
        <v>Mal. Lott</v>
      </c>
      <c r="O105" s="50" t="s">
        <v>77</v>
      </c>
      <c r="P105" s="38">
        <v>512.0</v>
      </c>
      <c r="Q105" s="38">
        <v>125.0</v>
      </c>
      <c r="R105" s="38">
        <v>321.0</v>
      </c>
      <c r="S105" s="38">
        <v>77.0</v>
      </c>
      <c r="T105" s="38">
        <v>29.0</v>
      </c>
      <c r="U105" s="48">
        <f t="shared" si="9"/>
        <v>958</v>
      </c>
      <c r="V105" s="48">
        <f t="shared" si="10"/>
        <v>1064</v>
      </c>
      <c r="W105" s="49">
        <f t="shared" si="11"/>
        <v>0.5344467641</v>
      </c>
      <c r="X105" s="49">
        <f t="shared" si="12"/>
        <v>0.130480167</v>
      </c>
      <c r="Y105" s="49">
        <f t="shared" si="13"/>
        <v>0.3350730689</v>
      </c>
      <c r="Z105" s="32" t="str">
        <f t="shared" si="14"/>
        <v>Jango</v>
      </c>
      <c r="AA105" s="50" t="s">
        <v>77</v>
      </c>
      <c r="AB105" s="38">
        <v>1204.0</v>
      </c>
      <c r="AC105" s="48">
        <f t="shared" si="17"/>
        <v>140</v>
      </c>
      <c r="AD105" s="51">
        <f t="shared" si="18"/>
        <v>0.8837209302</v>
      </c>
    </row>
    <row r="106">
      <c r="A106" s="24"/>
      <c r="B106" s="46" t="s">
        <v>1721</v>
      </c>
      <c r="C106" s="47"/>
      <c r="D106" s="38">
        <v>440.0</v>
      </c>
      <c r="E106" s="38">
        <v>290.0</v>
      </c>
      <c r="F106" s="38">
        <v>241.0</v>
      </c>
      <c r="G106" s="38">
        <v>56.0</v>
      </c>
      <c r="H106" s="38">
        <v>29.0</v>
      </c>
      <c r="I106" s="48">
        <f t="shared" si="3"/>
        <v>971</v>
      </c>
      <c r="J106" s="48">
        <f t="shared" si="4"/>
        <v>1056</v>
      </c>
      <c r="K106" s="49">
        <f t="shared" si="5"/>
        <v>0.4531410917</v>
      </c>
      <c r="L106" s="49">
        <f t="shared" si="6"/>
        <v>0.298661174</v>
      </c>
      <c r="M106" s="49">
        <f t="shared" si="7"/>
        <v>0.2481977343</v>
      </c>
      <c r="N106" s="32" t="str">
        <f t="shared" si="8"/>
        <v>Jânio</v>
      </c>
      <c r="O106" s="50" t="s">
        <v>77</v>
      </c>
      <c r="P106" s="38">
        <v>408.0</v>
      </c>
      <c r="Q106" s="38">
        <v>314.0</v>
      </c>
      <c r="R106" s="38">
        <v>182.0</v>
      </c>
      <c r="S106" s="38">
        <v>131.0</v>
      </c>
      <c r="T106" s="38">
        <v>21.0</v>
      </c>
      <c r="U106" s="48">
        <f t="shared" si="9"/>
        <v>904</v>
      </c>
      <c r="V106" s="48">
        <f t="shared" si="10"/>
        <v>1056</v>
      </c>
      <c r="W106" s="49">
        <f t="shared" si="11"/>
        <v>0.4513274336</v>
      </c>
      <c r="X106" s="49">
        <f t="shared" si="12"/>
        <v>0.3473451327</v>
      </c>
      <c r="Y106" s="49">
        <f t="shared" si="13"/>
        <v>0.2013274336</v>
      </c>
      <c r="Z106" s="32" t="str">
        <f t="shared" si="14"/>
        <v>Jango</v>
      </c>
      <c r="AA106" s="50" t="s">
        <v>77</v>
      </c>
      <c r="AB106" s="38">
        <v>1247.0</v>
      </c>
      <c r="AC106" s="48">
        <f t="shared" si="17"/>
        <v>191</v>
      </c>
      <c r="AD106" s="51">
        <f t="shared" si="18"/>
        <v>0.8468323978</v>
      </c>
    </row>
    <row r="107">
      <c r="A107" s="61" t="s">
        <v>314</v>
      </c>
      <c r="B107" s="46" t="s">
        <v>1722</v>
      </c>
      <c r="C107" s="47"/>
      <c r="D107" s="38">
        <v>1476.0</v>
      </c>
      <c r="E107" s="38">
        <v>1139.0</v>
      </c>
      <c r="F107" s="38">
        <v>107.0</v>
      </c>
      <c r="G107" s="38">
        <v>85.0</v>
      </c>
      <c r="H107" s="38">
        <v>61.0</v>
      </c>
      <c r="I107" s="48">
        <f t="shared" si="3"/>
        <v>2722</v>
      </c>
      <c r="J107" s="48">
        <f t="shared" si="4"/>
        <v>2868</v>
      </c>
      <c r="K107" s="49">
        <f t="shared" si="5"/>
        <v>0.5422483468</v>
      </c>
      <c r="L107" s="49">
        <f t="shared" si="6"/>
        <v>0.4184423218</v>
      </c>
      <c r="M107" s="49">
        <f t="shared" si="7"/>
        <v>0.03930933137</v>
      </c>
      <c r="N107" s="32" t="str">
        <f t="shared" si="8"/>
        <v>Jânio</v>
      </c>
      <c r="O107" s="50" t="s">
        <v>77</v>
      </c>
      <c r="P107" s="38">
        <v>1250.0</v>
      </c>
      <c r="Q107" s="38">
        <v>1291.0</v>
      </c>
      <c r="R107" s="38">
        <v>168.0</v>
      </c>
      <c r="S107" s="38">
        <v>118.0</v>
      </c>
      <c r="T107" s="38">
        <v>41.0</v>
      </c>
      <c r="U107" s="48">
        <f t="shared" si="9"/>
        <v>2709</v>
      </c>
      <c r="V107" s="48">
        <f t="shared" si="10"/>
        <v>2868</v>
      </c>
      <c r="W107" s="49">
        <f t="shared" si="11"/>
        <v>0.46142488</v>
      </c>
      <c r="X107" s="49">
        <f t="shared" si="12"/>
        <v>0.4765596161</v>
      </c>
      <c r="Y107" s="49">
        <f t="shared" si="13"/>
        <v>0.06201550388</v>
      </c>
      <c r="Z107" s="32" t="str">
        <f t="shared" si="14"/>
        <v>Milton</v>
      </c>
      <c r="AA107" s="50" t="s">
        <v>77</v>
      </c>
      <c r="AB107" s="38">
        <v>3132.0</v>
      </c>
      <c r="AC107" s="48">
        <f t="shared" si="17"/>
        <v>264</v>
      </c>
      <c r="AD107" s="51">
        <f t="shared" si="18"/>
        <v>0.9157088123</v>
      </c>
    </row>
    <row r="108">
      <c r="A108" s="23"/>
      <c r="B108" s="46" t="s">
        <v>1723</v>
      </c>
      <c r="C108" s="47"/>
      <c r="D108" s="38">
        <v>385.0</v>
      </c>
      <c r="E108" s="38">
        <v>800.0</v>
      </c>
      <c r="F108" s="38">
        <v>40.0</v>
      </c>
      <c r="G108" s="38">
        <v>26.0</v>
      </c>
      <c r="H108" s="38">
        <v>18.0</v>
      </c>
      <c r="I108" s="48">
        <f t="shared" si="3"/>
        <v>1225</v>
      </c>
      <c r="J108" s="48">
        <f t="shared" si="4"/>
        <v>1269</v>
      </c>
      <c r="K108" s="49">
        <f t="shared" si="5"/>
        <v>0.3142857143</v>
      </c>
      <c r="L108" s="49">
        <f t="shared" si="6"/>
        <v>0.6530612245</v>
      </c>
      <c r="M108" s="49">
        <f t="shared" si="7"/>
        <v>0.03265306122</v>
      </c>
      <c r="N108" s="32" t="str">
        <f t="shared" si="8"/>
        <v>Mal. Lott</v>
      </c>
      <c r="O108" s="50" t="s">
        <v>77</v>
      </c>
      <c r="P108" s="38">
        <v>843.0</v>
      </c>
      <c r="Q108" s="38">
        <v>329.0</v>
      </c>
      <c r="R108" s="38">
        <v>39.0</v>
      </c>
      <c r="S108" s="38">
        <v>45.0</v>
      </c>
      <c r="T108" s="38">
        <v>13.0</v>
      </c>
      <c r="U108" s="48">
        <f t="shared" si="9"/>
        <v>1211</v>
      </c>
      <c r="V108" s="48">
        <f t="shared" si="10"/>
        <v>1269</v>
      </c>
      <c r="W108" s="49">
        <f t="shared" si="11"/>
        <v>0.69611891</v>
      </c>
      <c r="X108" s="49">
        <f t="shared" si="12"/>
        <v>0.2716763006</v>
      </c>
      <c r="Y108" s="49">
        <f t="shared" si="13"/>
        <v>0.03220478943</v>
      </c>
      <c r="Z108" s="32" t="str">
        <f t="shared" si="14"/>
        <v>Jango</v>
      </c>
      <c r="AA108" s="50" t="s">
        <v>77</v>
      </c>
      <c r="AB108" s="38">
        <v>1522.0</v>
      </c>
      <c r="AC108" s="48">
        <f t="shared" si="17"/>
        <v>253</v>
      </c>
      <c r="AD108" s="51">
        <f t="shared" si="18"/>
        <v>0.8337713535</v>
      </c>
    </row>
    <row r="109">
      <c r="A109" s="24"/>
      <c r="B109" s="46" t="s">
        <v>1724</v>
      </c>
      <c r="C109" s="47"/>
      <c r="D109" s="38">
        <v>882.0</v>
      </c>
      <c r="E109" s="38">
        <v>564.0</v>
      </c>
      <c r="F109" s="38">
        <v>89.0</v>
      </c>
      <c r="G109" s="38">
        <v>50.0</v>
      </c>
      <c r="H109" s="38">
        <v>19.0</v>
      </c>
      <c r="I109" s="48">
        <f t="shared" si="3"/>
        <v>1535</v>
      </c>
      <c r="J109" s="48">
        <f t="shared" si="4"/>
        <v>1604</v>
      </c>
      <c r="K109" s="49">
        <f t="shared" si="5"/>
        <v>0.5745928339</v>
      </c>
      <c r="L109" s="49">
        <f t="shared" si="6"/>
        <v>0.3674267101</v>
      </c>
      <c r="M109" s="49">
        <f t="shared" si="7"/>
        <v>0.05798045603</v>
      </c>
      <c r="N109" s="32" t="str">
        <f t="shared" si="8"/>
        <v>Jânio</v>
      </c>
      <c r="O109" s="50" t="s">
        <v>77</v>
      </c>
      <c r="P109" s="38">
        <v>641.0</v>
      </c>
      <c r="Q109" s="38">
        <v>779.0</v>
      </c>
      <c r="R109" s="38">
        <v>89.0</v>
      </c>
      <c r="S109" s="38">
        <v>80.0</v>
      </c>
      <c r="T109" s="38">
        <v>15.0</v>
      </c>
      <c r="U109" s="48">
        <f t="shared" si="9"/>
        <v>1509</v>
      </c>
      <c r="V109" s="48">
        <f t="shared" si="10"/>
        <v>1604</v>
      </c>
      <c r="W109" s="49">
        <f t="shared" si="11"/>
        <v>0.4247846256</v>
      </c>
      <c r="X109" s="49">
        <f t="shared" si="12"/>
        <v>0.5162359178</v>
      </c>
      <c r="Y109" s="49">
        <f t="shared" si="13"/>
        <v>0.05897945659</v>
      </c>
      <c r="Z109" s="32" t="str">
        <f t="shared" si="14"/>
        <v>Milton</v>
      </c>
      <c r="AA109" s="50" t="s">
        <v>77</v>
      </c>
      <c r="AB109" s="38">
        <v>1860.0</v>
      </c>
      <c r="AC109" s="48">
        <f t="shared" si="17"/>
        <v>256</v>
      </c>
      <c r="AD109" s="51">
        <f t="shared" si="18"/>
        <v>0.8623655914</v>
      </c>
    </row>
    <row r="110">
      <c r="A110" s="61" t="s">
        <v>254</v>
      </c>
      <c r="B110" s="46" t="s">
        <v>1725</v>
      </c>
      <c r="C110" s="47"/>
      <c r="D110" s="38">
        <v>1670.0</v>
      </c>
      <c r="E110" s="38">
        <v>1453.0</v>
      </c>
      <c r="F110" s="38">
        <v>512.0</v>
      </c>
      <c r="G110" s="38">
        <v>102.0</v>
      </c>
      <c r="H110" s="38">
        <v>62.0</v>
      </c>
      <c r="I110" s="48">
        <f t="shared" si="3"/>
        <v>3635</v>
      </c>
      <c r="J110" s="48">
        <f t="shared" si="4"/>
        <v>3799</v>
      </c>
      <c r="K110" s="49">
        <f t="shared" si="5"/>
        <v>0.4594222834</v>
      </c>
      <c r="L110" s="49">
        <f t="shared" si="6"/>
        <v>0.3997248968</v>
      </c>
      <c r="M110" s="49">
        <f t="shared" si="7"/>
        <v>0.1408528198</v>
      </c>
      <c r="N110" s="32" t="str">
        <f t="shared" si="8"/>
        <v>Jânio</v>
      </c>
      <c r="O110" s="50" t="s">
        <v>77</v>
      </c>
      <c r="P110" s="38">
        <v>1630.0</v>
      </c>
      <c r="Q110" s="38">
        <v>1055.0</v>
      </c>
      <c r="R110" s="38">
        <v>870.0</v>
      </c>
      <c r="S110" s="38">
        <v>186.0</v>
      </c>
      <c r="T110" s="38">
        <v>58.0</v>
      </c>
      <c r="U110" s="48">
        <f t="shared" si="9"/>
        <v>3555</v>
      </c>
      <c r="V110" s="48">
        <f t="shared" si="10"/>
        <v>3799</v>
      </c>
      <c r="W110" s="49">
        <f t="shared" si="11"/>
        <v>0.4585091421</v>
      </c>
      <c r="X110" s="49">
        <f t="shared" si="12"/>
        <v>0.2967651195</v>
      </c>
      <c r="Y110" s="49">
        <f t="shared" si="13"/>
        <v>0.2447257384</v>
      </c>
      <c r="Z110" s="32" t="str">
        <f t="shared" si="14"/>
        <v>Jango</v>
      </c>
      <c r="AA110" s="50" t="s">
        <v>77</v>
      </c>
      <c r="AB110" s="38">
        <v>4189.0</v>
      </c>
      <c r="AC110" s="48">
        <f t="shared" si="17"/>
        <v>390</v>
      </c>
      <c r="AD110" s="51">
        <f t="shared" si="18"/>
        <v>0.9068990212</v>
      </c>
    </row>
    <row r="111">
      <c r="A111" s="23"/>
      <c r="B111" s="46" t="s">
        <v>1726</v>
      </c>
      <c r="C111" s="47"/>
      <c r="D111" s="38">
        <v>584.0</v>
      </c>
      <c r="E111" s="38">
        <v>349.0</v>
      </c>
      <c r="F111" s="38">
        <v>79.0</v>
      </c>
      <c r="G111" s="38">
        <v>36.0</v>
      </c>
      <c r="H111" s="38">
        <v>25.0</v>
      </c>
      <c r="I111" s="48">
        <f t="shared" si="3"/>
        <v>1012</v>
      </c>
      <c r="J111" s="48">
        <f t="shared" si="4"/>
        <v>1073</v>
      </c>
      <c r="K111" s="49">
        <f t="shared" si="5"/>
        <v>0.5770750988</v>
      </c>
      <c r="L111" s="49">
        <f t="shared" si="6"/>
        <v>0.3448616601</v>
      </c>
      <c r="M111" s="49">
        <f t="shared" si="7"/>
        <v>0.07806324111</v>
      </c>
      <c r="N111" s="32" t="str">
        <f t="shared" si="8"/>
        <v>Jânio</v>
      </c>
      <c r="O111" s="50" t="s">
        <v>77</v>
      </c>
      <c r="P111" s="38">
        <v>380.0</v>
      </c>
      <c r="Q111" s="38">
        <v>332.0</v>
      </c>
      <c r="R111" s="38">
        <v>278.0</v>
      </c>
      <c r="S111" s="38">
        <v>57.0</v>
      </c>
      <c r="T111" s="38">
        <v>26.0</v>
      </c>
      <c r="U111" s="48">
        <f t="shared" si="9"/>
        <v>990</v>
      </c>
      <c r="V111" s="48">
        <f t="shared" si="10"/>
        <v>1073</v>
      </c>
      <c r="W111" s="49">
        <f t="shared" si="11"/>
        <v>0.3838383838</v>
      </c>
      <c r="X111" s="49">
        <f t="shared" si="12"/>
        <v>0.3353535354</v>
      </c>
      <c r="Y111" s="49">
        <f t="shared" si="13"/>
        <v>0.2808080808</v>
      </c>
      <c r="Z111" s="32" t="str">
        <f t="shared" si="14"/>
        <v>Jango</v>
      </c>
      <c r="AA111" s="50" t="s">
        <v>77</v>
      </c>
      <c r="AB111" s="38">
        <v>1109.0</v>
      </c>
      <c r="AC111" s="48">
        <f t="shared" si="17"/>
        <v>36</v>
      </c>
      <c r="AD111" s="51">
        <f t="shared" si="18"/>
        <v>0.9675383228</v>
      </c>
    </row>
    <row r="112">
      <c r="A112" s="23"/>
      <c r="B112" s="46" t="s">
        <v>1727</v>
      </c>
      <c r="C112" s="47"/>
      <c r="D112" s="38">
        <v>772.0</v>
      </c>
      <c r="E112" s="38">
        <v>316.0</v>
      </c>
      <c r="F112" s="38">
        <v>204.0</v>
      </c>
      <c r="G112" s="38">
        <v>80.0</v>
      </c>
      <c r="H112" s="38">
        <v>50.0</v>
      </c>
      <c r="I112" s="48">
        <f t="shared" si="3"/>
        <v>1292</v>
      </c>
      <c r="J112" s="48">
        <f t="shared" si="4"/>
        <v>1422</v>
      </c>
      <c r="K112" s="49">
        <f t="shared" si="5"/>
        <v>0.5975232198</v>
      </c>
      <c r="L112" s="49">
        <f t="shared" si="6"/>
        <v>0.2445820433</v>
      </c>
      <c r="M112" s="49">
        <f t="shared" si="7"/>
        <v>0.1578947368</v>
      </c>
      <c r="N112" s="32" t="str">
        <f t="shared" si="8"/>
        <v>Jânio</v>
      </c>
      <c r="O112" s="50" t="s">
        <v>77</v>
      </c>
      <c r="P112" s="38">
        <v>471.0</v>
      </c>
      <c r="Q112" s="38">
        <v>316.0</v>
      </c>
      <c r="R112" s="38">
        <v>449.0</v>
      </c>
      <c r="S112" s="38">
        <v>148.0</v>
      </c>
      <c r="T112" s="38">
        <v>38.0</v>
      </c>
      <c r="U112" s="48">
        <f t="shared" si="9"/>
        <v>1236</v>
      </c>
      <c r="V112" s="48">
        <f t="shared" si="10"/>
        <v>1422</v>
      </c>
      <c r="W112" s="49">
        <f t="shared" si="11"/>
        <v>0.3810679612</v>
      </c>
      <c r="X112" s="49">
        <f t="shared" si="12"/>
        <v>0.2556634304</v>
      </c>
      <c r="Y112" s="49">
        <f t="shared" si="13"/>
        <v>0.3632686084</v>
      </c>
      <c r="Z112" s="32" t="str">
        <f t="shared" si="14"/>
        <v>Jango</v>
      </c>
      <c r="AA112" s="50" t="s">
        <v>77</v>
      </c>
      <c r="AB112" s="38">
        <v>1779.0</v>
      </c>
      <c r="AC112" s="48">
        <f t="shared" si="17"/>
        <v>357</v>
      </c>
      <c r="AD112" s="51">
        <f t="shared" si="18"/>
        <v>0.7993254637</v>
      </c>
    </row>
    <row r="113">
      <c r="A113" s="24"/>
      <c r="B113" s="46" t="s">
        <v>1728</v>
      </c>
      <c r="C113" s="47"/>
      <c r="D113" s="38">
        <v>503.0</v>
      </c>
      <c r="E113" s="38">
        <v>313.0</v>
      </c>
      <c r="F113" s="38">
        <v>129.0</v>
      </c>
      <c r="G113" s="38">
        <v>41.0</v>
      </c>
      <c r="H113" s="38">
        <v>26.0</v>
      </c>
      <c r="I113" s="48">
        <f t="shared" si="3"/>
        <v>945</v>
      </c>
      <c r="J113" s="48">
        <f t="shared" si="4"/>
        <v>1012</v>
      </c>
      <c r="K113" s="49">
        <f t="shared" si="5"/>
        <v>0.5322751323</v>
      </c>
      <c r="L113" s="49">
        <f t="shared" si="6"/>
        <v>0.3312169312</v>
      </c>
      <c r="M113" s="49">
        <f t="shared" si="7"/>
        <v>0.1365079365</v>
      </c>
      <c r="N113" s="32" t="str">
        <f t="shared" si="8"/>
        <v>Jânio</v>
      </c>
      <c r="O113" s="50" t="s">
        <v>77</v>
      </c>
      <c r="P113" s="38">
        <v>358.0</v>
      </c>
      <c r="Q113" s="38">
        <v>151.0</v>
      </c>
      <c r="R113" s="38">
        <v>398.0</v>
      </c>
      <c r="S113" s="38">
        <v>81.0</v>
      </c>
      <c r="T113" s="38">
        <v>24.0</v>
      </c>
      <c r="U113" s="48">
        <f t="shared" si="9"/>
        <v>907</v>
      </c>
      <c r="V113" s="48">
        <f t="shared" si="10"/>
        <v>1012</v>
      </c>
      <c r="W113" s="49">
        <f t="shared" si="11"/>
        <v>0.394707828</v>
      </c>
      <c r="X113" s="49">
        <f t="shared" si="12"/>
        <v>0.1664829107</v>
      </c>
      <c r="Y113" s="49">
        <f t="shared" si="13"/>
        <v>0.4388092613</v>
      </c>
      <c r="Z113" s="32" t="str">
        <f t="shared" si="14"/>
        <v>Ferrari</v>
      </c>
      <c r="AA113" s="50" t="s">
        <v>77</v>
      </c>
      <c r="AB113" s="38">
        <v>1138.0</v>
      </c>
      <c r="AC113" s="48">
        <f t="shared" si="17"/>
        <v>126</v>
      </c>
      <c r="AD113" s="51">
        <f t="shared" si="18"/>
        <v>0.8892794376</v>
      </c>
    </row>
    <row r="114">
      <c r="A114" s="110" t="s">
        <v>258</v>
      </c>
      <c r="B114" s="46" t="s">
        <v>1729</v>
      </c>
      <c r="C114" s="47"/>
      <c r="D114" s="38">
        <v>2765.0</v>
      </c>
      <c r="E114" s="38">
        <v>2499.0</v>
      </c>
      <c r="F114" s="38">
        <v>254.0</v>
      </c>
      <c r="G114" s="38">
        <v>105.0</v>
      </c>
      <c r="H114" s="38">
        <v>149.0</v>
      </c>
      <c r="I114" s="48">
        <f t="shared" si="3"/>
        <v>5518</v>
      </c>
      <c r="J114" s="48">
        <f t="shared" si="4"/>
        <v>5772</v>
      </c>
      <c r="K114" s="49">
        <f t="shared" si="5"/>
        <v>0.5010873505</v>
      </c>
      <c r="L114" s="49">
        <f t="shared" si="6"/>
        <v>0.4528814788</v>
      </c>
      <c r="M114" s="49">
        <f t="shared" si="7"/>
        <v>0.04603117071</v>
      </c>
      <c r="N114" s="32" t="str">
        <f t="shared" si="8"/>
        <v>Jânio</v>
      </c>
      <c r="O114" s="50" t="s">
        <v>77</v>
      </c>
      <c r="P114" s="38">
        <v>2588.0</v>
      </c>
      <c r="Q114" s="38">
        <v>2425.0</v>
      </c>
      <c r="R114" s="38">
        <v>316.0</v>
      </c>
      <c r="S114" s="38">
        <v>303.0</v>
      </c>
      <c r="T114" s="38">
        <v>140.0</v>
      </c>
      <c r="U114" s="48">
        <f t="shared" si="9"/>
        <v>5329</v>
      </c>
      <c r="V114" s="48">
        <f t="shared" si="10"/>
        <v>5772</v>
      </c>
      <c r="W114" s="49">
        <f t="shared" si="11"/>
        <v>0.4856445862</v>
      </c>
      <c r="X114" s="49">
        <f t="shared" si="12"/>
        <v>0.455057234</v>
      </c>
      <c r="Y114" s="49">
        <f t="shared" si="13"/>
        <v>0.05929817977</v>
      </c>
      <c r="Z114" s="32" t="str">
        <f t="shared" si="14"/>
        <v>Jango</v>
      </c>
      <c r="AA114" s="50" t="s">
        <v>77</v>
      </c>
      <c r="AB114" s="38">
        <v>6318.0</v>
      </c>
      <c r="AC114" s="48">
        <f t="shared" si="17"/>
        <v>546</v>
      </c>
      <c r="AD114" s="51">
        <f t="shared" si="18"/>
        <v>0.9135802469</v>
      </c>
    </row>
    <row r="115">
      <c r="A115" s="110" t="s">
        <v>319</v>
      </c>
      <c r="B115" s="46" t="s">
        <v>618</v>
      </c>
      <c r="C115" s="47"/>
      <c r="D115" s="38">
        <v>2031.0</v>
      </c>
      <c r="E115" s="38">
        <v>1476.0</v>
      </c>
      <c r="F115" s="38">
        <v>327.0</v>
      </c>
      <c r="G115" s="38">
        <v>84.0</v>
      </c>
      <c r="H115" s="38">
        <v>62.0</v>
      </c>
      <c r="I115" s="48">
        <f t="shared" si="3"/>
        <v>3834</v>
      </c>
      <c r="J115" s="48">
        <f t="shared" si="4"/>
        <v>3980</v>
      </c>
      <c r="K115" s="49">
        <f t="shared" si="5"/>
        <v>0.5297339593</v>
      </c>
      <c r="L115" s="49">
        <f t="shared" si="6"/>
        <v>0.3849765258</v>
      </c>
      <c r="M115" s="49">
        <f t="shared" si="7"/>
        <v>0.08528951487</v>
      </c>
      <c r="N115" s="32" t="str">
        <f t="shared" si="8"/>
        <v>Jânio</v>
      </c>
      <c r="O115" s="50" t="s">
        <v>77</v>
      </c>
      <c r="P115" s="38">
        <v>1452.0</v>
      </c>
      <c r="Q115" s="38">
        <v>1683.0</v>
      </c>
      <c r="R115" s="38">
        <v>560.0</v>
      </c>
      <c r="S115" s="38">
        <v>242.0</v>
      </c>
      <c r="T115" s="38">
        <v>43.0</v>
      </c>
      <c r="U115" s="48">
        <f t="shared" si="9"/>
        <v>3695</v>
      </c>
      <c r="V115" s="48">
        <f t="shared" si="10"/>
        <v>3980</v>
      </c>
      <c r="W115" s="49">
        <f t="shared" si="11"/>
        <v>0.3929634641</v>
      </c>
      <c r="X115" s="49">
        <f t="shared" si="12"/>
        <v>0.4554803789</v>
      </c>
      <c r="Y115" s="49">
        <f t="shared" si="13"/>
        <v>0.151556157</v>
      </c>
      <c r="Z115" s="32" t="str">
        <f t="shared" si="14"/>
        <v>Milton</v>
      </c>
      <c r="AA115" s="50" t="s">
        <v>77</v>
      </c>
      <c r="AB115" s="38">
        <v>4308.0</v>
      </c>
      <c r="AC115" s="48">
        <f t="shared" si="17"/>
        <v>328</v>
      </c>
      <c r="AD115" s="51">
        <f t="shared" si="18"/>
        <v>0.9238625812</v>
      </c>
    </row>
    <row r="116">
      <c r="A116" s="69" t="s">
        <v>54</v>
      </c>
      <c r="B116" s="13"/>
      <c r="C116" s="47"/>
      <c r="D116" s="38">
        <f t="shared" ref="D116:H116" si="19">SUM(D12:D34,D37:D115)</f>
        <v>226370</v>
      </c>
      <c r="E116" s="38">
        <f t="shared" si="19"/>
        <v>221813</v>
      </c>
      <c r="F116" s="38">
        <f t="shared" si="19"/>
        <v>41706</v>
      </c>
      <c r="G116" s="38">
        <f t="shared" si="19"/>
        <v>23241</v>
      </c>
      <c r="H116" s="38">
        <f t="shared" si="19"/>
        <v>10917</v>
      </c>
      <c r="I116" s="48">
        <f t="shared" si="3"/>
        <v>489889</v>
      </c>
      <c r="J116" s="48">
        <f t="shared" si="4"/>
        <v>524047</v>
      </c>
      <c r="K116" s="49">
        <f t="shared" si="5"/>
        <v>0.4620842681</v>
      </c>
      <c r="L116" s="49">
        <f t="shared" si="6"/>
        <v>0.4527821609</v>
      </c>
      <c r="M116" s="49">
        <f t="shared" si="7"/>
        <v>0.08513357107</v>
      </c>
      <c r="N116" s="32" t="str">
        <f t="shared" si="8"/>
        <v>Jânio</v>
      </c>
      <c r="O116" s="50"/>
      <c r="P116" s="38">
        <f t="shared" ref="P116:T116" si="20">SUM(P12:P34,P37:P115)</f>
        <v>235557</v>
      </c>
      <c r="Q116" s="38">
        <f t="shared" si="20"/>
        <v>174509</v>
      </c>
      <c r="R116" s="38">
        <f t="shared" si="20"/>
        <v>58873</v>
      </c>
      <c r="S116" s="38">
        <f t="shared" si="20"/>
        <v>46316</v>
      </c>
      <c r="T116" s="38">
        <f t="shared" si="20"/>
        <v>8792</v>
      </c>
      <c r="U116" s="48">
        <f t="shared" si="9"/>
        <v>468939</v>
      </c>
      <c r="V116" s="48">
        <f t="shared" si="10"/>
        <v>524047</v>
      </c>
      <c r="W116" s="49">
        <f t="shared" si="11"/>
        <v>0.502319065</v>
      </c>
      <c r="X116" s="49">
        <f t="shared" si="12"/>
        <v>0.3721358215</v>
      </c>
      <c r="Y116" s="49">
        <f t="shared" si="13"/>
        <v>0.1255451135</v>
      </c>
      <c r="Z116" s="32" t="str">
        <f t="shared" si="14"/>
        <v>Jango</v>
      </c>
      <c r="AA116" s="44"/>
      <c r="AB116" s="55">
        <v>573599.0</v>
      </c>
      <c r="AC116" s="48">
        <f t="shared" si="17"/>
        <v>49552</v>
      </c>
      <c r="AD116" s="51">
        <f t="shared" si="18"/>
        <v>0.9136121228</v>
      </c>
    </row>
    <row r="117">
      <c r="O117" s="73"/>
    </row>
    <row r="118">
      <c r="B118" s="74" t="s">
        <v>138</v>
      </c>
      <c r="D118" s="75"/>
      <c r="E118" s="75"/>
      <c r="F118" s="75"/>
      <c r="G118" s="75"/>
    </row>
    <row r="119">
      <c r="B119" s="76" t="s">
        <v>139</v>
      </c>
      <c r="C119" s="33"/>
      <c r="D119" s="29"/>
      <c r="E119" s="29"/>
      <c r="F119" s="77"/>
      <c r="G119" s="77"/>
    </row>
    <row r="120">
      <c r="B120" s="76" t="s">
        <v>139</v>
      </c>
      <c r="D120" s="29"/>
      <c r="E120" s="29"/>
      <c r="F120" s="77"/>
      <c r="G120" s="77"/>
    </row>
    <row r="121">
      <c r="B121" s="76" t="s">
        <v>139</v>
      </c>
      <c r="D121" s="29"/>
      <c r="E121" s="29"/>
      <c r="F121" s="77"/>
      <c r="G121" s="77"/>
    </row>
    <row r="122">
      <c r="D122" s="29"/>
      <c r="E122" s="29"/>
      <c r="F122" s="77"/>
      <c r="G122" s="77"/>
    </row>
  </sheetData>
  <mergeCells count="37">
    <mergeCell ref="D2:G2"/>
    <mergeCell ref="A10:C10"/>
    <mergeCell ref="D10:N10"/>
    <mergeCell ref="P10:Z10"/>
    <mergeCell ref="AA10:AD10"/>
    <mergeCell ref="A12:A13"/>
    <mergeCell ref="A15:A17"/>
    <mergeCell ref="A18:A19"/>
    <mergeCell ref="A20:A22"/>
    <mergeCell ref="A23:A24"/>
    <mergeCell ref="A27:A29"/>
    <mergeCell ref="A30:A31"/>
    <mergeCell ref="A32:A34"/>
    <mergeCell ref="A38:A39"/>
    <mergeCell ref="A40:A41"/>
    <mergeCell ref="A42:A46"/>
    <mergeCell ref="A47:A49"/>
    <mergeCell ref="A50:A53"/>
    <mergeCell ref="A55:A57"/>
    <mergeCell ref="A60:A61"/>
    <mergeCell ref="A62:A63"/>
    <mergeCell ref="A65:A68"/>
    <mergeCell ref="A69:A70"/>
    <mergeCell ref="A73:A75"/>
    <mergeCell ref="A76:A78"/>
    <mergeCell ref="A80:A82"/>
    <mergeCell ref="A83:A84"/>
    <mergeCell ref="A85:A87"/>
    <mergeCell ref="A110:A113"/>
    <mergeCell ref="A116:B116"/>
    <mergeCell ref="A89:A90"/>
    <mergeCell ref="A91:A92"/>
    <mergeCell ref="A94:A95"/>
    <mergeCell ref="A96:A99"/>
    <mergeCell ref="A100:A102"/>
    <mergeCell ref="A103:A106"/>
    <mergeCell ref="A107:A109"/>
  </mergeCells>
  <conditionalFormatting sqref="K12:M116 N12:N117 Z12:Z116">
    <cfRule type="colorScale" priority="1">
      <colorScale>
        <cfvo type="percent" val="0"/>
        <cfvo type="percent" val="50"/>
        <cfvo type="percent" val="100"/>
        <color rgb="FFFFFFFF"/>
        <color rgb="FFABDDC5"/>
        <color rgb="FF57BB8A"/>
      </colorScale>
    </cfRule>
  </conditionalFormatting>
  <conditionalFormatting sqref="W12:Y116">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32">
        <f t="shared" ref="E3:E6" si="1">IF(SUM(COUNTIF($N$16:$N$33,D3),COUNTIF($N$36:$N$79,D3),COUNTIF($N$82,D3),COUNTIF($N$85:$N$183,D3))=0,"-",SUM(COUNTIF($N$16:$N$33,D3),COUNTIF($N$36:$N$79,D3),COUNTIF($N$82,D3),COUNTIF($N$85:$N$183,D3)))</f>
        <v>154</v>
      </c>
      <c r="F3" s="32" t="s">
        <v>47</v>
      </c>
      <c r="G3" s="32">
        <f t="shared" ref="G3:G6" si="2">IF(SUM(COUNTIF($Z$16:$Z$33,F3),COUNTIF($Z$36:$Z$79,F3),COUNTIF($Z$82,F3),COUNTIF($Z$85:$Z$183,F3))=0,"-",SUM(COUNTIF($Z$16:$Z$33,F3),COUNTIF($Z$36:$Z$79,F3),COUNTIF($Z$82,F3),COUNTIF($Z$85:$Z$183,F3)))</f>
        <v>103</v>
      </c>
    </row>
    <row r="4">
      <c r="D4" s="32" t="s">
        <v>48</v>
      </c>
      <c r="E4" s="32" t="str">
        <f t="shared" si="1"/>
        <v>-</v>
      </c>
      <c r="F4" s="32" t="s">
        <v>49</v>
      </c>
      <c r="G4" s="32">
        <f t="shared" si="2"/>
        <v>50</v>
      </c>
    </row>
    <row r="5">
      <c r="D5" s="32" t="s">
        <v>50</v>
      </c>
      <c r="E5" s="32">
        <f t="shared" si="1"/>
        <v>8</v>
      </c>
      <c r="F5" s="32" t="s">
        <v>51</v>
      </c>
      <c r="G5" s="32">
        <f t="shared" si="2"/>
        <v>9</v>
      </c>
    </row>
    <row r="6">
      <c r="D6" s="32" t="s">
        <v>52</v>
      </c>
      <c r="E6" s="32" t="str">
        <f t="shared" si="1"/>
        <v>-</v>
      </c>
      <c r="F6" s="32" t="s">
        <v>52</v>
      </c>
      <c r="G6" s="32" t="str">
        <f t="shared" si="2"/>
        <v>-</v>
      </c>
    </row>
    <row r="7">
      <c r="D7" s="32" t="s">
        <v>54</v>
      </c>
      <c r="E7" s="32">
        <f>SUM(E3:E6)</f>
        <v>162</v>
      </c>
      <c r="F7" s="32" t="s">
        <v>54</v>
      </c>
      <c r="G7" s="32">
        <f>SUM(G3:G6)</f>
        <v>162</v>
      </c>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2"/>
      <c r="AB11" s="41" t="s">
        <v>70</v>
      </c>
      <c r="AC11" s="41" t="s">
        <v>71</v>
      </c>
      <c r="AD11" s="41" t="s">
        <v>72</v>
      </c>
    </row>
    <row r="12">
      <c r="A12" s="110" t="s">
        <v>73</v>
      </c>
      <c r="B12" s="46" t="s">
        <v>1730</v>
      </c>
      <c r="C12" s="47"/>
      <c r="D12" s="38">
        <v>14010.0</v>
      </c>
      <c r="E12" s="38">
        <v>4199.0</v>
      </c>
      <c r="F12" s="38">
        <v>5060.0</v>
      </c>
      <c r="G12" s="38">
        <v>494.0</v>
      </c>
      <c r="H12" s="38">
        <v>406.0</v>
      </c>
      <c r="I12" s="48">
        <f t="shared" ref="I12:I184" si="3">SUM(D12:F12)</f>
        <v>23269</v>
      </c>
      <c r="J12" s="48">
        <f t="shared" ref="J12:J184" si="4">SUM(G12:I12)</f>
        <v>24169</v>
      </c>
      <c r="K12" s="49">
        <f t="shared" ref="K12:K184" si="5">D12/I12</f>
        <v>0.6020886158</v>
      </c>
      <c r="L12" s="49">
        <f t="shared" ref="L12:L184" si="6">E12/I12</f>
        <v>0.1804546822</v>
      </c>
      <c r="M12" s="49">
        <f t="shared" ref="M12:M184" si="7">F12/I12</f>
        <v>0.217456702</v>
      </c>
      <c r="N12" s="32" t="str">
        <f t="shared" ref="N12:N184" si="8">IF(LARGE(D12:F12,1)=0,#REF!,IF(LARGE(D12:F12,1)=LARGE(D12:F12,2),$D$6,IF(LARGE(D12:F12,1)=D12,$D$3,IF(LARGE(D12:F12,1)=E12,$D$4,IF(LARGE(D12:F12,1)=F12,$D$5)))))</f>
        <v>Jânio</v>
      </c>
      <c r="O12" s="50"/>
      <c r="P12" s="38">
        <v>5697.0</v>
      </c>
      <c r="Q12" s="38">
        <v>9090.0</v>
      </c>
      <c r="R12" s="38">
        <v>7267.0</v>
      </c>
      <c r="S12" s="38">
        <v>1761.0</v>
      </c>
      <c r="T12" s="38">
        <v>354.0</v>
      </c>
      <c r="U12" s="48">
        <f t="shared" ref="U12:U184" si="9">SUM(P12:R12)</f>
        <v>22054</v>
      </c>
      <c r="V12" s="48">
        <f t="shared" ref="V12:V184" si="10">SUM(S12:U12)</f>
        <v>24169</v>
      </c>
      <c r="W12" s="49">
        <f t="shared" ref="W12:W184" si="11">P12/U12</f>
        <v>0.2583204861</v>
      </c>
      <c r="X12" s="49">
        <f t="shared" ref="X12:X184" si="12">Q12/U12</f>
        <v>0.4121701279</v>
      </c>
      <c r="Y12" s="49">
        <f t="shared" ref="Y12:Y184" si="13">R12/U12</f>
        <v>0.3295093861</v>
      </c>
      <c r="Z12" s="32" t="str">
        <f t="shared" ref="Z12:Z184" si="14">IF(LARGE(P12:R12,1)=0,#REF!,IF(LARGE(P12:R12,1)=LARGE(P12:R12,2),$F$6,IF(LARGE(P12:R12,1)=P12,$F$3,IF(LARGE(P12:R12,1)=Q12,$F$4,IF(LARGE(P12:R12,1)=R12,$F$5)))))</f>
        <v>Milton</v>
      </c>
      <c r="AA12" s="50"/>
      <c r="AB12" s="38">
        <v>26823.0</v>
      </c>
      <c r="AC12" s="48">
        <f t="shared" ref="AC12:AC184" si="15">AB12-V12</f>
        <v>2654</v>
      </c>
      <c r="AD12" s="51">
        <f t="shared" ref="AD12:AD184" si="16">V12/AB12</f>
        <v>0.9010550647</v>
      </c>
    </row>
    <row r="13">
      <c r="A13" s="110" t="s">
        <v>75</v>
      </c>
      <c r="B13" s="46" t="s">
        <v>1731</v>
      </c>
      <c r="C13" s="47"/>
      <c r="D13" s="38">
        <v>14035.0</v>
      </c>
      <c r="E13" s="38">
        <v>5075.0</v>
      </c>
      <c r="F13" s="38">
        <v>5989.0</v>
      </c>
      <c r="G13" s="38">
        <v>711.0</v>
      </c>
      <c r="H13" s="38">
        <v>522.0</v>
      </c>
      <c r="I13" s="48">
        <f t="shared" si="3"/>
        <v>25099</v>
      </c>
      <c r="J13" s="48">
        <f t="shared" si="4"/>
        <v>26332</v>
      </c>
      <c r="K13" s="49">
        <f t="shared" si="5"/>
        <v>0.5591856249</v>
      </c>
      <c r="L13" s="49">
        <f t="shared" si="6"/>
        <v>0.2021992908</v>
      </c>
      <c r="M13" s="49">
        <f t="shared" si="7"/>
        <v>0.2386150843</v>
      </c>
      <c r="N13" s="32" t="str">
        <f t="shared" si="8"/>
        <v>Jânio</v>
      </c>
      <c r="O13" s="50"/>
      <c r="P13" s="38">
        <v>7600.0</v>
      </c>
      <c r="Q13" s="38">
        <v>8545.0</v>
      </c>
      <c r="R13" s="38">
        <v>7656.0</v>
      </c>
      <c r="S13" s="38">
        <v>2050.0</v>
      </c>
      <c r="T13" s="38">
        <v>481.0</v>
      </c>
      <c r="U13" s="48">
        <f t="shared" si="9"/>
        <v>23801</v>
      </c>
      <c r="V13" s="48">
        <f t="shared" si="10"/>
        <v>26332</v>
      </c>
      <c r="W13" s="49">
        <f t="shared" si="11"/>
        <v>0.3193143145</v>
      </c>
      <c r="X13" s="49">
        <f t="shared" si="12"/>
        <v>0.3590185286</v>
      </c>
      <c r="Y13" s="49">
        <f t="shared" si="13"/>
        <v>0.3216671568</v>
      </c>
      <c r="Z13" s="32" t="str">
        <f t="shared" si="14"/>
        <v>Milton</v>
      </c>
      <c r="AA13" s="50"/>
      <c r="AB13" s="38">
        <v>29890.0</v>
      </c>
      <c r="AC13" s="48">
        <f t="shared" si="15"/>
        <v>3558</v>
      </c>
      <c r="AD13" s="51">
        <f t="shared" si="16"/>
        <v>0.880963533</v>
      </c>
    </row>
    <row r="14">
      <c r="A14" s="110" t="s">
        <v>79</v>
      </c>
      <c r="B14" s="46" t="s">
        <v>1732</v>
      </c>
      <c r="C14" s="47"/>
      <c r="D14" s="38">
        <v>14920.0</v>
      </c>
      <c r="E14" s="38">
        <v>5674.0</v>
      </c>
      <c r="F14" s="38">
        <v>6932.0</v>
      </c>
      <c r="G14" s="38">
        <v>960.0</v>
      </c>
      <c r="H14" s="38">
        <v>686.0</v>
      </c>
      <c r="I14" s="48">
        <f t="shared" si="3"/>
        <v>27526</v>
      </c>
      <c r="J14" s="48">
        <f t="shared" si="4"/>
        <v>29172</v>
      </c>
      <c r="K14" s="49">
        <f t="shared" si="5"/>
        <v>0.542032987</v>
      </c>
      <c r="L14" s="49">
        <f t="shared" si="6"/>
        <v>0.2061323839</v>
      </c>
      <c r="M14" s="49">
        <f t="shared" si="7"/>
        <v>0.2518346291</v>
      </c>
      <c r="N14" s="32" t="str">
        <f t="shared" si="8"/>
        <v>Jânio</v>
      </c>
      <c r="O14" s="50"/>
      <c r="P14" s="38">
        <v>10129.0</v>
      </c>
      <c r="Q14" s="38">
        <v>7737.0</v>
      </c>
      <c r="R14" s="38">
        <v>8335.0</v>
      </c>
      <c r="S14" s="38">
        <v>2433.0</v>
      </c>
      <c r="T14" s="38">
        <v>538.0</v>
      </c>
      <c r="U14" s="48">
        <f t="shared" si="9"/>
        <v>26201</v>
      </c>
      <c r="V14" s="48">
        <f t="shared" si="10"/>
        <v>29172</v>
      </c>
      <c r="W14" s="49">
        <f t="shared" si="11"/>
        <v>0.3865882982</v>
      </c>
      <c r="X14" s="49">
        <f t="shared" si="12"/>
        <v>0.2952940727</v>
      </c>
      <c r="Y14" s="49">
        <f t="shared" si="13"/>
        <v>0.3181176291</v>
      </c>
      <c r="Z14" s="32" t="str">
        <f t="shared" si="14"/>
        <v>Jango</v>
      </c>
      <c r="AA14" s="50"/>
      <c r="AB14" s="38">
        <v>33194.0</v>
      </c>
      <c r="AC14" s="48">
        <f t="shared" si="15"/>
        <v>4022</v>
      </c>
      <c r="AD14" s="51">
        <f t="shared" si="16"/>
        <v>0.8788335241</v>
      </c>
    </row>
    <row r="15">
      <c r="A15" s="110" t="s">
        <v>85</v>
      </c>
      <c r="B15" s="46" t="s">
        <v>1733</v>
      </c>
      <c r="C15" s="47"/>
      <c r="D15" s="38">
        <v>16617.0</v>
      </c>
      <c r="E15" s="38">
        <v>6202.0</v>
      </c>
      <c r="F15" s="38">
        <v>6789.0</v>
      </c>
      <c r="G15" s="38">
        <v>779.0</v>
      </c>
      <c r="H15" s="38">
        <v>669.0</v>
      </c>
      <c r="I15" s="48">
        <f t="shared" si="3"/>
        <v>29608</v>
      </c>
      <c r="J15" s="48">
        <f t="shared" si="4"/>
        <v>31056</v>
      </c>
      <c r="K15" s="49">
        <f t="shared" si="5"/>
        <v>0.5612334504</v>
      </c>
      <c r="L15" s="49">
        <f t="shared" si="6"/>
        <v>0.2094704134</v>
      </c>
      <c r="M15" s="49">
        <f t="shared" si="7"/>
        <v>0.2292961362</v>
      </c>
      <c r="N15" s="32" t="str">
        <f t="shared" si="8"/>
        <v>Jânio</v>
      </c>
      <c r="O15" s="50"/>
      <c r="P15" s="38">
        <v>8880.0</v>
      </c>
      <c r="Q15" s="38">
        <v>10499.0</v>
      </c>
      <c r="R15" s="38">
        <v>8818.0</v>
      </c>
      <c r="S15" s="38">
        <v>2165.0</v>
      </c>
      <c r="T15" s="38">
        <v>694.0</v>
      </c>
      <c r="U15" s="48">
        <f t="shared" si="9"/>
        <v>28197</v>
      </c>
      <c r="V15" s="48">
        <f t="shared" si="10"/>
        <v>31056</v>
      </c>
      <c r="W15" s="49">
        <f t="shared" si="11"/>
        <v>0.3149271199</v>
      </c>
      <c r="X15" s="49">
        <f t="shared" si="12"/>
        <v>0.3723445757</v>
      </c>
      <c r="Y15" s="49">
        <f t="shared" si="13"/>
        <v>0.3127283044</v>
      </c>
      <c r="Z15" s="32" t="str">
        <f t="shared" si="14"/>
        <v>Milton</v>
      </c>
      <c r="AA15" s="50"/>
      <c r="AB15" s="38">
        <v>34911.0</v>
      </c>
      <c r="AC15" s="48">
        <f t="shared" si="15"/>
        <v>3855</v>
      </c>
      <c r="AD15" s="51">
        <f t="shared" si="16"/>
        <v>0.8895763513</v>
      </c>
    </row>
    <row r="16">
      <c r="A16" s="110" t="s">
        <v>77</v>
      </c>
      <c r="B16" s="46" t="s">
        <v>1734</v>
      </c>
      <c r="C16" s="47"/>
      <c r="D16" s="38">
        <v>59582.0</v>
      </c>
      <c r="E16" s="38">
        <v>21150.0</v>
      </c>
      <c r="F16" s="38">
        <v>24770.0</v>
      </c>
      <c r="G16" s="38">
        <v>2944.0</v>
      </c>
      <c r="H16" s="38">
        <v>2283.0</v>
      </c>
      <c r="I16" s="48">
        <f t="shared" si="3"/>
        <v>105502</v>
      </c>
      <c r="J16" s="48">
        <f t="shared" si="4"/>
        <v>110729</v>
      </c>
      <c r="K16" s="49">
        <f t="shared" si="5"/>
        <v>0.5647475877</v>
      </c>
      <c r="L16" s="49">
        <f t="shared" si="6"/>
        <v>0.2004701333</v>
      </c>
      <c r="M16" s="49">
        <f t="shared" si="7"/>
        <v>0.234782279</v>
      </c>
      <c r="N16" s="32" t="str">
        <f t="shared" si="8"/>
        <v>Jânio</v>
      </c>
      <c r="O16" s="50" t="s">
        <v>77</v>
      </c>
      <c r="P16" s="38">
        <v>32306.0</v>
      </c>
      <c r="Q16" s="38">
        <v>35871.0</v>
      </c>
      <c r="R16" s="38">
        <v>32076.0</v>
      </c>
      <c r="S16" s="38">
        <v>8409.0</v>
      </c>
      <c r="T16" s="38">
        <v>2067.0</v>
      </c>
      <c r="U16" s="48">
        <f t="shared" si="9"/>
        <v>100253</v>
      </c>
      <c r="V16" s="48">
        <f t="shared" si="10"/>
        <v>110729</v>
      </c>
      <c r="W16" s="49">
        <f t="shared" si="11"/>
        <v>0.3222447209</v>
      </c>
      <c r="X16" s="49">
        <f t="shared" si="12"/>
        <v>0.357804754</v>
      </c>
      <c r="Y16" s="49">
        <f t="shared" si="13"/>
        <v>0.3199505252</v>
      </c>
      <c r="Z16" s="32" t="str">
        <f t="shared" si="14"/>
        <v>Milton</v>
      </c>
      <c r="AA16" s="50" t="s">
        <v>77</v>
      </c>
      <c r="AB16" s="38">
        <v>124818.0</v>
      </c>
      <c r="AC16" s="48">
        <f t="shared" si="15"/>
        <v>14089</v>
      </c>
      <c r="AD16" s="51">
        <f t="shared" si="16"/>
        <v>0.887123652</v>
      </c>
    </row>
    <row r="17">
      <c r="A17" s="110" t="s">
        <v>75</v>
      </c>
      <c r="B17" s="46" t="s">
        <v>1735</v>
      </c>
      <c r="C17" s="47"/>
      <c r="D17" s="38">
        <v>1322.0</v>
      </c>
      <c r="E17" s="38">
        <v>546.0</v>
      </c>
      <c r="F17" s="38">
        <v>517.0</v>
      </c>
      <c r="G17" s="38">
        <v>428.0</v>
      </c>
      <c r="H17" s="38">
        <v>107.0</v>
      </c>
      <c r="I17" s="48">
        <f t="shared" si="3"/>
        <v>2385</v>
      </c>
      <c r="J17" s="48">
        <f t="shared" si="4"/>
        <v>2920</v>
      </c>
      <c r="K17" s="49">
        <f t="shared" si="5"/>
        <v>0.5542976939</v>
      </c>
      <c r="L17" s="49">
        <f t="shared" si="6"/>
        <v>0.2289308176</v>
      </c>
      <c r="M17" s="49">
        <f t="shared" si="7"/>
        <v>0.2167714885</v>
      </c>
      <c r="N17" s="32" t="str">
        <f t="shared" si="8"/>
        <v>Jânio</v>
      </c>
      <c r="O17" s="50" t="s">
        <v>77</v>
      </c>
      <c r="P17" s="38">
        <v>1297.0</v>
      </c>
      <c r="Q17" s="38">
        <v>429.0</v>
      </c>
      <c r="R17" s="38">
        <v>392.0</v>
      </c>
      <c r="S17" s="38">
        <v>668.0</v>
      </c>
      <c r="T17" s="38">
        <v>134.0</v>
      </c>
      <c r="U17" s="48">
        <f t="shared" si="9"/>
        <v>2118</v>
      </c>
      <c r="V17" s="48">
        <f t="shared" si="10"/>
        <v>2920</v>
      </c>
      <c r="W17" s="49">
        <f t="shared" si="11"/>
        <v>0.6123701605</v>
      </c>
      <c r="X17" s="49">
        <f t="shared" si="12"/>
        <v>0.2025495751</v>
      </c>
      <c r="Y17" s="49">
        <f t="shared" si="13"/>
        <v>0.1850802644</v>
      </c>
      <c r="Z17" s="32" t="str">
        <f t="shared" si="14"/>
        <v>Jango</v>
      </c>
      <c r="AA17" s="50" t="s">
        <v>77</v>
      </c>
      <c r="AB17" s="38">
        <v>3478.0</v>
      </c>
      <c r="AC17" s="48">
        <f t="shared" si="15"/>
        <v>558</v>
      </c>
      <c r="AD17" s="51">
        <f t="shared" si="16"/>
        <v>0.8395629672</v>
      </c>
    </row>
    <row r="18">
      <c r="A18" s="110" t="s">
        <v>79</v>
      </c>
      <c r="B18" s="46" t="s">
        <v>1736</v>
      </c>
      <c r="C18" s="47"/>
      <c r="D18" s="38">
        <v>1511.0</v>
      </c>
      <c r="E18" s="38">
        <v>578.0</v>
      </c>
      <c r="F18" s="38">
        <v>466.0</v>
      </c>
      <c r="G18" s="38">
        <v>165.0</v>
      </c>
      <c r="H18" s="38">
        <v>68.0</v>
      </c>
      <c r="I18" s="48">
        <f t="shared" si="3"/>
        <v>2555</v>
      </c>
      <c r="J18" s="48">
        <f t="shared" si="4"/>
        <v>2788</v>
      </c>
      <c r="K18" s="49">
        <f t="shared" si="5"/>
        <v>0.5913894325</v>
      </c>
      <c r="L18" s="49">
        <f t="shared" si="6"/>
        <v>0.226223092</v>
      </c>
      <c r="M18" s="49">
        <f t="shared" si="7"/>
        <v>0.1823874755</v>
      </c>
      <c r="N18" s="32" t="str">
        <f t="shared" si="8"/>
        <v>Jânio</v>
      </c>
      <c r="O18" s="50" t="s">
        <v>77</v>
      </c>
      <c r="P18" s="38">
        <v>1081.0</v>
      </c>
      <c r="Q18" s="38">
        <v>819.0</v>
      </c>
      <c r="R18" s="38">
        <v>511.0</v>
      </c>
      <c r="S18" s="38">
        <v>330.0</v>
      </c>
      <c r="T18" s="38">
        <v>47.0</v>
      </c>
      <c r="U18" s="48">
        <f t="shared" si="9"/>
        <v>2411</v>
      </c>
      <c r="V18" s="48">
        <f t="shared" si="10"/>
        <v>2788</v>
      </c>
      <c r="W18" s="49">
        <f t="shared" si="11"/>
        <v>0.4483616757</v>
      </c>
      <c r="X18" s="49">
        <f t="shared" si="12"/>
        <v>0.3396930734</v>
      </c>
      <c r="Y18" s="49">
        <f t="shared" si="13"/>
        <v>0.2119452509</v>
      </c>
      <c r="Z18" s="32" t="str">
        <f t="shared" si="14"/>
        <v>Jango</v>
      </c>
      <c r="AA18" s="50" t="s">
        <v>77</v>
      </c>
      <c r="AB18" s="38">
        <v>3133.0</v>
      </c>
      <c r="AC18" s="48">
        <f t="shared" si="15"/>
        <v>345</v>
      </c>
      <c r="AD18" s="51">
        <f t="shared" si="16"/>
        <v>0.8898819023</v>
      </c>
    </row>
    <row r="19">
      <c r="A19" s="110" t="s">
        <v>85</v>
      </c>
      <c r="B19" s="46" t="s">
        <v>1737</v>
      </c>
      <c r="C19" s="47"/>
      <c r="D19" s="38">
        <v>815.0</v>
      </c>
      <c r="E19" s="38">
        <v>280.0</v>
      </c>
      <c r="F19" s="38">
        <v>286.0</v>
      </c>
      <c r="G19" s="38">
        <v>289.0</v>
      </c>
      <c r="H19" s="38">
        <v>50.0</v>
      </c>
      <c r="I19" s="48">
        <f t="shared" si="3"/>
        <v>1381</v>
      </c>
      <c r="J19" s="48">
        <f t="shared" si="4"/>
        <v>1720</v>
      </c>
      <c r="K19" s="49">
        <f t="shared" si="5"/>
        <v>0.5901520637</v>
      </c>
      <c r="L19" s="49">
        <f t="shared" si="6"/>
        <v>0.2027516293</v>
      </c>
      <c r="M19" s="49">
        <f t="shared" si="7"/>
        <v>0.207096307</v>
      </c>
      <c r="N19" s="32" t="str">
        <f t="shared" si="8"/>
        <v>Jânio</v>
      </c>
      <c r="O19" s="50" t="s">
        <v>77</v>
      </c>
      <c r="P19" s="38">
        <v>554.0</v>
      </c>
      <c r="Q19" s="38">
        <v>351.0</v>
      </c>
      <c r="R19" s="38">
        <v>177.0</v>
      </c>
      <c r="S19" s="38">
        <v>606.0</v>
      </c>
      <c r="T19" s="38">
        <v>32.0</v>
      </c>
      <c r="U19" s="48">
        <f t="shared" si="9"/>
        <v>1082</v>
      </c>
      <c r="V19" s="48">
        <f t="shared" si="10"/>
        <v>1720</v>
      </c>
      <c r="W19" s="49">
        <f t="shared" si="11"/>
        <v>0.5120147874</v>
      </c>
      <c r="X19" s="49">
        <f t="shared" si="12"/>
        <v>0.3243992606</v>
      </c>
      <c r="Y19" s="49">
        <f t="shared" si="13"/>
        <v>0.1635859519</v>
      </c>
      <c r="Z19" s="32" t="str">
        <f t="shared" si="14"/>
        <v>Jango</v>
      </c>
      <c r="AA19" s="50" t="s">
        <v>77</v>
      </c>
      <c r="AB19" s="38">
        <v>2333.0</v>
      </c>
      <c r="AC19" s="48">
        <f t="shared" si="15"/>
        <v>613</v>
      </c>
      <c r="AD19" s="51">
        <f t="shared" si="16"/>
        <v>0.7372481783</v>
      </c>
    </row>
    <row r="20">
      <c r="A20" s="61" t="s">
        <v>90</v>
      </c>
      <c r="B20" s="46" t="s">
        <v>1738</v>
      </c>
      <c r="C20" s="47"/>
      <c r="D20" s="38">
        <v>3925.0</v>
      </c>
      <c r="E20" s="38">
        <v>2177.0</v>
      </c>
      <c r="F20" s="38">
        <v>1786.0</v>
      </c>
      <c r="G20" s="38">
        <v>373.0</v>
      </c>
      <c r="H20" s="38">
        <v>347.0</v>
      </c>
      <c r="I20" s="48">
        <f t="shared" si="3"/>
        <v>7888</v>
      </c>
      <c r="J20" s="48">
        <f t="shared" si="4"/>
        <v>8608</v>
      </c>
      <c r="K20" s="49">
        <f t="shared" si="5"/>
        <v>0.4975912779</v>
      </c>
      <c r="L20" s="49">
        <f t="shared" si="6"/>
        <v>0.2759888438</v>
      </c>
      <c r="M20" s="49">
        <f t="shared" si="7"/>
        <v>0.2264198783</v>
      </c>
      <c r="N20" s="32" t="str">
        <f t="shared" si="8"/>
        <v>Jânio</v>
      </c>
      <c r="O20" s="50" t="s">
        <v>77</v>
      </c>
      <c r="P20" s="38">
        <v>3132.0</v>
      </c>
      <c r="Q20" s="38">
        <v>1647.0</v>
      </c>
      <c r="R20" s="38">
        <v>2482.0</v>
      </c>
      <c r="S20" s="38">
        <v>1067.0</v>
      </c>
      <c r="T20" s="38">
        <v>280.0</v>
      </c>
      <c r="U20" s="48">
        <f t="shared" si="9"/>
        <v>7261</v>
      </c>
      <c r="V20" s="48">
        <f t="shared" si="10"/>
        <v>8608</v>
      </c>
      <c r="W20" s="49">
        <f t="shared" si="11"/>
        <v>0.4313455447</v>
      </c>
      <c r="X20" s="49">
        <f t="shared" si="12"/>
        <v>0.2268282606</v>
      </c>
      <c r="Y20" s="49">
        <f t="shared" si="13"/>
        <v>0.3418261947</v>
      </c>
      <c r="Z20" s="32" t="str">
        <f t="shared" si="14"/>
        <v>Jango</v>
      </c>
      <c r="AA20" s="50" t="s">
        <v>77</v>
      </c>
      <c r="AB20" s="38">
        <v>9715.0</v>
      </c>
      <c r="AC20" s="48">
        <f t="shared" si="15"/>
        <v>1107</v>
      </c>
      <c r="AD20" s="51">
        <f t="shared" si="16"/>
        <v>0.8860524961</v>
      </c>
    </row>
    <row r="21">
      <c r="A21" s="24"/>
      <c r="B21" s="46" t="s">
        <v>1739</v>
      </c>
      <c r="C21" s="47"/>
      <c r="D21" s="38">
        <v>418.0</v>
      </c>
      <c r="E21" s="38">
        <v>244.0</v>
      </c>
      <c r="F21" s="38">
        <v>61.0</v>
      </c>
      <c r="G21" s="38">
        <v>41.0</v>
      </c>
      <c r="H21" s="38">
        <v>37.0</v>
      </c>
      <c r="I21" s="48">
        <f t="shared" si="3"/>
        <v>723</v>
      </c>
      <c r="J21" s="48">
        <f t="shared" si="4"/>
        <v>801</v>
      </c>
      <c r="K21" s="49">
        <f t="shared" si="5"/>
        <v>0.5781466113</v>
      </c>
      <c r="L21" s="49">
        <f t="shared" si="6"/>
        <v>0.3374827109</v>
      </c>
      <c r="M21" s="49">
        <f t="shared" si="7"/>
        <v>0.08437067773</v>
      </c>
      <c r="N21" s="32" t="str">
        <f t="shared" si="8"/>
        <v>Jânio</v>
      </c>
      <c r="O21" s="50" t="s">
        <v>77</v>
      </c>
      <c r="P21" s="38">
        <v>365.0</v>
      </c>
      <c r="Q21" s="38">
        <v>174.0</v>
      </c>
      <c r="R21" s="38">
        <v>117.0</v>
      </c>
      <c r="S21" s="38">
        <v>128.0</v>
      </c>
      <c r="T21" s="38">
        <v>17.0</v>
      </c>
      <c r="U21" s="48">
        <f t="shared" si="9"/>
        <v>656</v>
      </c>
      <c r="V21" s="48">
        <f t="shared" si="10"/>
        <v>801</v>
      </c>
      <c r="W21" s="49">
        <f t="shared" si="11"/>
        <v>0.556402439</v>
      </c>
      <c r="X21" s="49">
        <f t="shared" si="12"/>
        <v>0.2652439024</v>
      </c>
      <c r="Y21" s="49">
        <f t="shared" si="13"/>
        <v>0.1783536585</v>
      </c>
      <c r="Z21" s="32" t="str">
        <f t="shared" si="14"/>
        <v>Jango</v>
      </c>
      <c r="AA21" s="50" t="s">
        <v>77</v>
      </c>
      <c r="AB21" s="38">
        <v>862.0</v>
      </c>
      <c r="AC21" s="48">
        <f t="shared" si="15"/>
        <v>61</v>
      </c>
      <c r="AD21" s="51">
        <f t="shared" si="16"/>
        <v>0.9292343387</v>
      </c>
    </row>
    <row r="22">
      <c r="A22" s="110" t="s">
        <v>92</v>
      </c>
      <c r="B22" s="46" t="s">
        <v>1740</v>
      </c>
      <c r="C22" s="47"/>
      <c r="D22" s="38">
        <v>858.0</v>
      </c>
      <c r="E22" s="38">
        <v>825.0</v>
      </c>
      <c r="F22" s="38">
        <v>886.0</v>
      </c>
      <c r="G22" s="38">
        <v>176.0</v>
      </c>
      <c r="H22" s="38">
        <v>74.0</v>
      </c>
      <c r="I22" s="48">
        <f t="shared" si="3"/>
        <v>2569</v>
      </c>
      <c r="J22" s="48">
        <f t="shared" si="4"/>
        <v>2819</v>
      </c>
      <c r="K22" s="49">
        <f t="shared" si="5"/>
        <v>0.3339820942</v>
      </c>
      <c r="L22" s="49">
        <f t="shared" si="6"/>
        <v>0.321136629</v>
      </c>
      <c r="M22" s="49">
        <f t="shared" si="7"/>
        <v>0.3448812768</v>
      </c>
      <c r="N22" s="32" t="str">
        <f t="shared" si="8"/>
        <v>Adhemar</v>
      </c>
      <c r="O22" s="50" t="s">
        <v>77</v>
      </c>
      <c r="P22" s="38">
        <v>1521.0</v>
      </c>
      <c r="Q22" s="38">
        <v>376.0</v>
      </c>
      <c r="R22" s="38">
        <v>528.0</v>
      </c>
      <c r="S22" s="38">
        <v>332.0</v>
      </c>
      <c r="T22" s="38">
        <v>62.0</v>
      </c>
      <c r="U22" s="48">
        <f t="shared" si="9"/>
        <v>2425</v>
      </c>
      <c r="V22" s="48">
        <f t="shared" si="10"/>
        <v>2819</v>
      </c>
      <c r="W22" s="49">
        <f t="shared" si="11"/>
        <v>0.6272164948</v>
      </c>
      <c r="X22" s="49">
        <f t="shared" si="12"/>
        <v>0.1550515464</v>
      </c>
      <c r="Y22" s="49">
        <f t="shared" si="13"/>
        <v>0.2177319588</v>
      </c>
      <c r="Z22" s="32" t="str">
        <f t="shared" si="14"/>
        <v>Jango</v>
      </c>
      <c r="AA22" s="50" t="s">
        <v>77</v>
      </c>
      <c r="AB22" s="38">
        <v>3168.0</v>
      </c>
      <c r="AC22" s="48">
        <f t="shared" si="15"/>
        <v>349</v>
      </c>
      <c r="AD22" s="51">
        <f t="shared" si="16"/>
        <v>0.8898358586</v>
      </c>
    </row>
    <row r="23">
      <c r="A23" s="110" t="s">
        <v>94</v>
      </c>
      <c r="B23" s="46" t="s">
        <v>1741</v>
      </c>
      <c r="C23" s="47"/>
      <c r="D23" s="38">
        <v>545.0</v>
      </c>
      <c r="E23" s="38">
        <v>389.0</v>
      </c>
      <c r="F23" s="38">
        <v>264.0</v>
      </c>
      <c r="G23" s="38">
        <v>139.0</v>
      </c>
      <c r="H23" s="38">
        <v>78.0</v>
      </c>
      <c r="I23" s="48">
        <f t="shared" si="3"/>
        <v>1198</v>
      </c>
      <c r="J23" s="48">
        <f t="shared" si="4"/>
        <v>1415</v>
      </c>
      <c r="K23" s="49">
        <f t="shared" si="5"/>
        <v>0.4549248748</v>
      </c>
      <c r="L23" s="49">
        <f t="shared" si="6"/>
        <v>0.3247078464</v>
      </c>
      <c r="M23" s="49">
        <f t="shared" si="7"/>
        <v>0.2203672788</v>
      </c>
      <c r="N23" s="32" t="str">
        <f t="shared" si="8"/>
        <v>Jânio</v>
      </c>
      <c r="O23" s="50" t="s">
        <v>77</v>
      </c>
      <c r="P23" s="38">
        <v>557.0</v>
      </c>
      <c r="Q23" s="38">
        <v>217.0</v>
      </c>
      <c r="R23" s="38">
        <v>151.0</v>
      </c>
      <c r="S23" s="38">
        <v>450.0</v>
      </c>
      <c r="T23" s="38">
        <v>40.0</v>
      </c>
      <c r="U23" s="48">
        <f t="shared" si="9"/>
        <v>925</v>
      </c>
      <c r="V23" s="48">
        <f t="shared" si="10"/>
        <v>1415</v>
      </c>
      <c r="W23" s="49">
        <f t="shared" si="11"/>
        <v>0.6021621622</v>
      </c>
      <c r="X23" s="49">
        <f t="shared" si="12"/>
        <v>0.2345945946</v>
      </c>
      <c r="Y23" s="49">
        <f t="shared" si="13"/>
        <v>0.1632432432</v>
      </c>
      <c r="Z23" s="32" t="str">
        <f t="shared" si="14"/>
        <v>Jango</v>
      </c>
      <c r="AA23" s="50" t="s">
        <v>77</v>
      </c>
      <c r="AB23" s="38">
        <v>1520.0</v>
      </c>
      <c r="AC23" s="48">
        <f t="shared" si="15"/>
        <v>105</v>
      </c>
      <c r="AD23" s="51">
        <f t="shared" si="16"/>
        <v>0.9309210526</v>
      </c>
    </row>
    <row r="24">
      <c r="A24" s="61" t="s">
        <v>97</v>
      </c>
      <c r="B24" s="46" t="s">
        <v>1742</v>
      </c>
      <c r="C24" s="47"/>
      <c r="D24" s="38">
        <v>3382.0</v>
      </c>
      <c r="E24" s="38">
        <v>1147.0</v>
      </c>
      <c r="F24" s="38">
        <v>887.0</v>
      </c>
      <c r="G24" s="38">
        <v>288.0</v>
      </c>
      <c r="H24" s="38">
        <v>174.0</v>
      </c>
      <c r="I24" s="48">
        <f t="shared" si="3"/>
        <v>5416</v>
      </c>
      <c r="J24" s="48">
        <f t="shared" si="4"/>
        <v>5878</v>
      </c>
      <c r="K24" s="49">
        <f t="shared" si="5"/>
        <v>0.6244460857</v>
      </c>
      <c r="L24" s="49">
        <f t="shared" si="6"/>
        <v>0.2117799114</v>
      </c>
      <c r="M24" s="49">
        <f t="shared" si="7"/>
        <v>0.163774003</v>
      </c>
      <c r="N24" s="32" t="str">
        <f t="shared" si="8"/>
        <v>Jânio</v>
      </c>
      <c r="O24" s="50" t="s">
        <v>77</v>
      </c>
      <c r="P24" s="38">
        <v>2010.0</v>
      </c>
      <c r="Q24" s="38">
        <v>1958.0</v>
      </c>
      <c r="R24" s="38">
        <v>975.0</v>
      </c>
      <c r="S24" s="38">
        <v>800.0</v>
      </c>
      <c r="T24" s="38">
        <v>135.0</v>
      </c>
      <c r="U24" s="48">
        <f t="shared" si="9"/>
        <v>4943</v>
      </c>
      <c r="V24" s="48">
        <f t="shared" si="10"/>
        <v>5878</v>
      </c>
      <c r="W24" s="49">
        <f t="shared" si="11"/>
        <v>0.4066356464</v>
      </c>
      <c r="X24" s="49">
        <f t="shared" si="12"/>
        <v>0.3961157192</v>
      </c>
      <c r="Y24" s="49">
        <f t="shared" si="13"/>
        <v>0.1972486344</v>
      </c>
      <c r="Z24" s="32" t="str">
        <f t="shared" si="14"/>
        <v>Jango</v>
      </c>
      <c r="AA24" s="50" t="s">
        <v>77</v>
      </c>
      <c r="AB24" s="38">
        <v>6210.0</v>
      </c>
      <c r="AC24" s="48">
        <f t="shared" si="15"/>
        <v>332</v>
      </c>
      <c r="AD24" s="51">
        <f t="shared" si="16"/>
        <v>0.9465378422</v>
      </c>
    </row>
    <row r="25">
      <c r="A25" s="23"/>
      <c r="B25" s="46" t="s">
        <v>1743</v>
      </c>
      <c r="C25" s="47"/>
      <c r="D25" s="38">
        <v>1371.0</v>
      </c>
      <c r="E25" s="38">
        <v>551.0</v>
      </c>
      <c r="F25" s="38">
        <v>252.0</v>
      </c>
      <c r="G25" s="38">
        <v>365.0</v>
      </c>
      <c r="H25" s="38">
        <v>89.0</v>
      </c>
      <c r="I25" s="48">
        <f t="shared" si="3"/>
        <v>2174</v>
      </c>
      <c r="J25" s="48">
        <f t="shared" si="4"/>
        <v>2628</v>
      </c>
      <c r="K25" s="49">
        <f t="shared" si="5"/>
        <v>0.6306347746</v>
      </c>
      <c r="L25" s="49">
        <f t="shared" si="6"/>
        <v>0.253449862</v>
      </c>
      <c r="M25" s="49">
        <f t="shared" si="7"/>
        <v>0.1159153634</v>
      </c>
      <c r="N25" s="32" t="str">
        <f t="shared" si="8"/>
        <v>Jânio</v>
      </c>
      <c r="O25" s="50" t="s">
        <v>77</v>
      </c>
      <c r="P25" s="38">
        <v>717.0</v>
      </c>
      <c r="Q25" s="38">
        <v>945.0</v>
      </c>
      <c r="R25" s="38">
        <v>170.0</v>
      </c>
      <c r="S25" s="38">
        <v>744.0</v>
      </c>
      <c r="T25" s="38">
        <v>52.0</v>
      </c>
      <c r="U25" s="48">
        <f t="shared" si="9"/>
        <v>1832</v>
      </c>
      <c r="V25" s="48">
        <f t="shared" si="10"/>
        <v>2628</v>
      </c>
      <c r="W25" s="49">
        <f t="shared" si="11"/>
        <v>0.3913755459</v>
      </c>
      <c r="X25" s="49">
        <f t="shared" si="12"/>
        <v>0.5158296943</v>
      </c>
      <c r="Y25" s="49">
        <f t="shared" si="13"/>
        <v>0.09279475983</v>
      </c>
      <c r="Z25" s="32" t="str">
        <f t="shared" si="14"/>
        <v>Milton</v>
      </c>
      <c r="AA25" s="50" t="s">
        <v>77</v>
      </c>
      <c r="AB25" s="38">
        <v>2799.0</v>
      </c>
      <c r="AC25" s="48">
        <f t="shared" si="15"/>
        <v>171</v>
      </c>
      <c r="AD25" s="51">
        <f t="shared" si="16"/>
        <v>0.9389067524</v>
      </c>
    </row>
    <row r="26">
      <c r="A26" s="24"/>
      <c r="B26" s="46" t="s">
        <v>1744</v>
      </c>
      <c r="C26" s="47"/>
      <c r="D26" s="38">
        <v>700.0</v>
      </c>
      <c r="E26" s="38">
        <v>387.0</v>
      </c>
      <c r="F26" s="38">
        <v>268.0</v>
      </c>
      <c r="G26" s="38">
        <v>121.0</v>
      </c>
      <c r="H26" s="38">
        <v>56.0</v>
      </c>
      <c r="I26" s="48">
        <f t="shared" si="3"/>
        <v>1355</v>
      </c>
      <c r="J26" s="48">
        <f t="shared" si="4"/>
        <v>1532</v>
      </c>
      <c r="K26" s="49">
        <f t="shared" si="5"/>
        <v>0.5166051661</v>
      </c>
      <c r="L26" s="49">
        <f t="shared" si="6"/>
        <v>0.2856088561</v>
      </c>
      <c r="M26" s="49">
        <f t="shared" si="7"/>
        <v>0.1977859779</v>
      </c>
      <c r="N26" s="32" t="str">
        <f t="shared" si="8"/>
        <v>Jânio</v>
      </c>
      <c r="O26" s="50" t="s">
        <v>77</v>
      </c>
      <c r="P26" s="38">
        <v>497.0</v>
      </c>
      <c r="Q26" s="38">
        <v>285.0</v>
      </c>
      <c r="R26" s="38">
        <v>413.0</v>
      </c>
      <c r="S26" s="38">
        <v>296.0</v>
      </c>
      <c r="T26" s="38">
        <v>41.0</v>
      </c>
      <c r="U26" s="48">
        <f t="shared" si="9"/>
        <v>1195</v>
      </c>
      <c r="V26" s="48">
        <f t="shared" si="10"/>
        <v>1532</v>
      </c>
      <c r="W26" s="49">
        <f t="shared" si="11"/>
        <v>0.4158995816</v>
      </c>
      <c r="X26" s="49">
        <f t="shared" si="12"/>
        <v>0.2384937238</v>
      </c>
      <c r="Y26" s="49">
        <f t="shared" si="13"/>
        <v>0.3456066946</v>
      </c>
      <c r="Z26" s="32" t="str">
        <f t="shared" si="14"/>
        <v>Jango</v>
      </c>
      <c r="AA26" s="50" t="s">
        <v>77</v>
      </c>
      <c r="AB26" s="38">
        <v>1712.0</v>
      </c>
      <c r="AC26" s="48">
        <f t="shared" si="15"/>
        <v>180</v>
      </c>
      <c r="AD26" s="51">
        <f t="shared" si="16"/>
        <v>0.8948598131</v>
      </c>
    </row>
    <row r="27">
      <c r="A27" s="110" t="s">
        <v>99</v>
      </c>
      <c r="B27" s="46" t="s">
        <v>1745</v>
      </c>
      <c r="C27" s="47"/>
      <c r="D27" s="38">
        <v>3129.0</v>
      </c>
      <c r="E27" s="38">
        <v>1255.0</v>
      </c>
      <c r="F27" s="38">
        <v>1121.0</v>
      </c>
      <c r="G27" s="38">
        <v>419.0</v>
      </c>
      <c r="H27" s="38">
        <v>174.0</v>
      </c>
      <c r="I27" s="48">
        <f t="shared" si="3"/>
        <v>5505</v>
      </c>
      <c r="J27" s="48">
        <f t="shared" si="4"/>
        <v>6098</v>
      </c>
      <c r="K27" s="49">
        <f t="shared" si="5"/>
        <v>0.5683923706</v>
      </c>
      <c r="L27" s="49">
        <f t="shared" si="6"/>
        <v>0.2279745686</v>
      </c>
      <c r="M27" s="49">
        <f t="shared" si="7"/>
        <v>0.2036330609</v>
      </c>
      <c r="N27" s="32" t="str">
        <f t="shared" si="8"/>
        <v>Jânio</v>
      </c>
      <c r="O27" s="50" t="s">
        <v>77</v>
      </c>
      <c r="P27" s="38">
        <v>1943.0</v>
      </c>
      <c r="Q27" s="38">
        <v>1453.0</v>
      </c>
      <c r="R27" s="38">
        <v>1206.0</v>
      </c>
      <c r="S27" s="38">
        <v>1375.0</v>
      </c>
      <c r="T27" s="38">
        <v>121.0</v>
      </c>
      <c r="U27" s="48">
        <f t="shared" si="9"/>
        <v>4602</v>
      </c>
      <c r="V27" s="48">
        <f t="shared" si="10"/>
        <v>6098</v>
      </c>
      <c r="W27" s="49">
        <f t="shared" si="11"/>
        <v>0.4222077358</v>
      </c>
      <c r="X27" s="49">
        <f t="shared" si="12"/>
        <v>0.3157322903</v>
      </c>
      <c r="Y27" s="49">
        <f t="shared" si="13"/>
        <v>0.2620599739</v>
      </c>
      <c r="Z27" s="32" t="str">
        <f t="shared" si="14"/>
        <v>Jango</v>
      </c>
      <c r="AA27" s="50" t="s">
        <v>77</v>
      </c>
      <c r="AB27" s="38">
        <v>6396.0</v>
      </c>
      <c r="AC27" s="48">
        <f t="shared" si="15"/>
        <v>298</v>
      </c>
      <c r="AD27" s="51">
        <f t="shared" si="16"/>
        <v>0.9534083802</v>
      </c>
    </row>
    <row r="28">
      <c r="A28" s="61" t="s">
        <v>104</v>
      </c>
      <c r="B28" s="46" t="s">
        <v>1746</v>
      </c>
      <c r="C28" s="47"/>
      <c r="D28" s="38">
        <v>3064.0</v>
      </c>
      <c r="E28" s="38">
        <v>1192.0</v>
      </c>
      <c r="F28" s="38">
        <v>568.0</v>
      </c>
      <c r="G28" s="38">
        <v>274.0</v>
      </c>
      <c r="H28" s="38">
        <v>240.0</v>
      </c>
      <c r="I28" s="48">
        <f t="shared" si="3"/>
        <v>4824</v>
      </c>
      <c r="J28" s="48">
        <f t="shared" si="4"/>
        <v>5338</v>
      </c>
      <c r="K28" s="49">
        <f t="shared" si="5"/>
        <v>0.6351575456</v>
      </c>
      <c r="L28" s="49">
        <f t="shared" si="6"/>
        <v>0.2470978441</v>
      </c>
      <c r="M28" s="49">
        <f t="shared" si="7"/>
        <v>0.1177446103</v>
      </c>
      <c r="N28" s="32" t="str">
        <f t="shared" si="8"/>
        <v>Jânio</v>
      </c>
      <c r="O28" s="50" t="s">
        <v>77</v>
      </c>
      <c r="P28" s="38">
        <v>1515.0</v>
      </c>
      <c r="Q28" s="38">
        <v>2036.0</v>
      </c>
      <c r="R28" s="38">
        <v>586.0</v>
      </c>
      <c r="S28" s="38">
        <v>961.0</v>
      </c>
      <c r="T28" s="38">
        <v>240.0</v>
      </c>
      <c r="U28" s="48">
        <f t="shared" si="9"/>
        <v>4137</v>
      </c>
      <c r="V28" s="48">
        <f t="shared" si="10"/>
        <v>5338</v>
      </c>
      <c r="W28" s="49">
        <f t="shared" si="11"/>
        <v>0.3662073967</v>
      </c>
      <c r="X28" s="49">
        <f t="shared" si="12"/>
        <v>0.4921440657</v>
      </c>
      <c r="Y28" s="49">
        <f t="shared" si="13"/>
        <v>0.1416485376</v>
      </c>
      <c r="Z28" s="32" t="str">
        <f t="shared" si="14"/>
        <v>Milton</v>
      </c>
      <c r="AA28" s="50" t="s">
        <v>77</v>
      </c>
      <c r="AB28" s="38">
        <v>5674.0</v>
      </c>
      <c r="AC28" s="48">
        <f t="shared" si="15"/>
        <v>336</v>
      </c>
      <c r="AD28" s="51">
        <f t="shared" si="16"/>
        <v>0.9407825167</v>
      </c>
    </row>
    <row r="29">
      <c r="A29" s="24"/>
      <c r="B29" s="46" t="s">
        <v>1747</v>
      </c>
      <c r="C29" s="47"/>
      <c r="D29" s="38">
        <v>1537.0</v>
      </c>
      <c r="E29" s="38">
        <v>497.0</v>
      </c>
      <c r="F29" s="48">
        <v>182.0</v>
      </c>
      <c r="G29" s="38">
        <v>309.0</v>
      </c>
      <c r="H29" s="38">
        <v>102.0</v>
      </c>
      <c r="I29" s="48">
        <f t="shared" si="3"/>
        <v>2216</v>
      </c>
      <c r="J29" s="48">
        <f t="shared" si="4"/>
        <v>2627</v>
      </c>
      <c r="K29" s="49">
        <f t="shared" si="5"/>
        <v>0.6935920578</v>
      </c>
      <c r="L29" s="49">
        <f t="shared" si="6"/>
        <v>0.2242779783</v>
      </c>
      <c r="M29" s="49">
        <f t="shared" si="7"/>
        <v>0.0821299639</v>
      </c>
      <c r="N29" s="32" t="str">
        <f t="shared" si="8"/>
        <v>Jânio</v>
      </c>
      <c r="O29" s="50" t="s">
        <v>77</v>
      </c>
      <c r="P29" s="38">
        <v>654.0</v>
      </c>
      <c r="Q29" s="38">
        <v>1153.0</v>
      </c>
      <c r="R29" s="38">
        <v>188.0</v>
      </c>
      <c r="S29" s="38">
        <v>530.0</v>
      </c>
      <c r="T29" s="38">
        <v>102.0</v>
      </c>
      <c r="U29" s="48">
        <f t="shared" si="9"/>
        <v>1995</v>
      </c>
      <c r="V29" s="48">
        <f t="shared" si="10"/>
        <v>2627</v>
      </c>
      <c r="W29" s="49">
        <f t="shared" si="11"/>
        <v>0.3278195489</v>
      </c>
      <c r="X29" s="49">
        <f t="shared" si="12"/>
        <v>0.5779448622</v>
      </c>
      <c r="Y29" s="49">
        <f t="shared" si="13"/>
        <v>0.09423558897</v>
      </c>
      <c r="Z29" s="32" t="str">
        <f t="shared" si="14"/>
        <v>Milton</v>
      </c>
      <c r="AA29" s="50" t="s">
        <v>77</v>
      </c>
      <c r="AB29" s="38">
        <v>2760.0</v>
      </c>
      <c r="AC29" s="48">
        <f t="shared" si="15"/>
        <v>133</v>
      </c>
      <c r="AD29" s="51">
        <f t="shared" si="16"/>
        <v>0.9518115942</v>
      </c>
    </row>
    <row r="30">
      <c r="A30" s="110" t="s">
        <v>107</v>
      </c>
      <c r="B30" s="46" t="s">
        <v>1748</v>
      </c>
      <c r="C30" s="47"/>
      <c r="D30" s="38">
        <v>2730.0</v>
      </c>
      <c r="E30" s="38">
        <v>1201.0</v>
      </c>
      <c r="F30" s="48">
        <v>1018.0</v>
      </c>
      <c r="G30" s="38">
        <v>242.0</v>
      </c>
      <c r="H30" s="38">
        <v>126.0</v>
      </c>
      <c r="I30" s="48">
        <f t="shared" si="3"/>
        <v>4949</v>
      </c>
      <c r="J30" s="48">
        <f t="shared" si="4"/>
        <v>5317</v>
      </c>
      <c r="K30" s="49">
        <f t="shared" si="5"/>
        <v>0.5516265912</v>
      </c>
      <c r="L30" s="49">
        <f t="shared" si="6"/>
        <v>0.2426752879</v>
      </c>
      <c r="M30" s="49">
        <f t="shared" si="7"/>
        <v>0.2056981208</v>
      </c>
      <c r="N30" s="32" t="str">
        <f t="shared" si="8"/>
        <v>Jânio</v>
      </c>
      <c r="O30" s="50" t="s">
        <v>77</v>
      </c>
      <c r="P30" s="38">
        <v>1871.0</v>
      </c>
      <c r="Q30" s="38">
        <v>1458.0</v>
      </c>
      <c r="R30" s="38">
        <v>1086.0</v>
      </c>
      <c r="S30" s="38">
        <v>809.0</v>
      </c>
      <c r="T30" s="38">
        <v>93.0</v>
      </c>
      <c r="U30" s="48">
        <f t="shared" si="9"/>
        <v>4415</v>
      </c>
      <c r="V30" s="48">
        <f t="shared" si="10"/>
        <v>5317</v>
      </c>
      <c r="W30" s="49">
        <f t="shared" si="11"/>
        <v>0.4237825595</v>
      </c>
      <c r="X30" s="49">
        <f t="shared" si="12"/>
        <v>0.3302378256</v>
      </c>
      <c r="Y30" s="49">
        <f t="shared" si="13"/>
        <v>0.2459796149</v>
      </c>
      <c r="Z30" s="32" t="str">
        <f t="shared" si="14"/>
        <v>Jango</v>
      </c>
      <c r="AA30" s="50" t="s">
        <v>77</v>
      </c>
      <c r="AB30" s="38">
        <v>5769.0</v>
      </c>
      <c r="AC30" s="48">
        <f t="shared" si="15"/>
        <v>452</v>
      </c>
      <c r="AD30" s="51">
        <f t="shared" si="16"/>
        <v>0.9216501993</v>
      </c>
    </row>
    <row r="31">
      <c r="A31" s="110" t="s">
        <v>111</v>
      </c>
      <c r="B31" s="46" t="s">
        <v>1749</v>
      </c>
      <c r="C31" s="47"/>
      <c r="D31" s="38">
        <v>2139.0</v>
      </c>
      <c r="E31" s="38">
        <v>593.0</v>
      </c>
      <c r="F31" s="48">
        <v>368.0</v>
      </c>
      <c r="G31" s="38">
        <v>189.0</v>
      </c>
      <c r="H31" s="38">
        <v>84.0</v>
      </c>
      <c r="I31" s="48">
        <f t="shared" si="3"/>
        <v>3100</v>
      </c>
      <c r="J31" s="48">
        <f t="shared" si="4"/>
        <v>3373</v>
      </c>
      <c r="K31" s="49">
        <f t="shared" si="5"/>
        <v>0.69</v>
      </c>
      <c r="L31" s="49">
        <f t="shared" si="6"/>
        <v>0.1912903226</v>
      </c>
      <c r="M31" s="49">
        <f t="shared" si="7"/>
        <v>0.1187096774</v>
      </c>
      <c r="N31" s="32" t="str">
        <f t="shared" si="8"/>
        <v>Jânio</v>
      </c>
      <c r="O31" s="50" t="s">
        <v>77</v>
      </c>
      <c r="P31" s="38">
        <v>976.0</v>
      </c>
      <c r="Q31" s="38">
        <v>1088.0</v>
      </c>
      <c r="R31" s="38">
        <v>656.0</v>
      </c>
      <c r="S31" s="38">
        <v>615.0</v>
      </c>
      <c r="T31" s="38">
        <v>38.0</v>
      </c>
      <c r="U31" s="48">
        <f t="shared" si="9"/>
        <v>2720</v>
      </c>
      <c r="V31" s="48">
        <f t="shared" si="10"/>
        <v>3373</v>
      </c>
      <c r="W31" s="49">
        <f t="shared" si="11"/>
        <v>0.3588235294</v>
      </c>
      <c r="X31" s="49">
        <f t="shared" si="12"/>
        <v>0.4</v>
      </c>
      <c r="Y31" s="49">
        <f t="shared" si="13"/>
        <v>0.2411764706</v>
      </c>
      <c r="Z31" s="32" t="str">
        <f t="shared" si="14"/>
        <v>Milton</v>
      </c>
      <c r="AA31" s="50" t="s">
        <v>77</v>
      </c>
      <c r="AB31" s="38">
        <v>3605.0</v>
      </c>
      <c r="AC31" s="48">
        <f t="shared" si="15"/>
        <v>232</v>
      </c>
      <c r="AD31" s="51">
        <f t="shared" si="16"/>
        <v>0.9356449376</v>
      </c>
    </row>
    <row r="32">
      <c r="A32" s="61" t="s">
        <v>114</v>
      </c>
      <c r="B32" s="46" t="s">
        <v>1750</v>
      </c>
      <c r="C32" s="47"/>
      <c r="D32" s="38">
        <v>2196.0</v>
      </c>
      <c r="E32" s="38">
        <v>626.0</v>
      </c>
      <c r="F32" s="48">
        <v>685.0</v>
      </c>
      <c r="G32" s="38">
        <v>237.0</v>
      </c>
      <c r="H32" s="38">
        <v>143.0</v>
      </c>
      <c r="I32" s="48">
        <f t="shared" si="3"/>
        <v>3507</v>
      </c>
      <c r="J32" s="48">
        <f t="shared" si="4"/>
        <v>3887</v>
      </c>
      <c r="K32" s="49">
        <f t="shared" si="5"/>
        <v>0.626176219</v>
      </c>
      <c r="L32" s="49">
        <f t="shared" si="6"/>
        <v>0.1785001426</v>
      </c>
      <c r="M32" s="49">
        <f t="shared" si="7"/>
        <v>0.1953236384</v>
      </c>
      <c r="N32" s="32" t="str">
        <f t="shared" si="8"/>
        <v>Jânio</v>
      </c>
      <c r="O32" s="50" t="s">
        <v>77</v>
      </c>
      <c r="P32" s="38">
        <v>1275.0</v>
      </c>
      <c r="Q32" s="38">
        <v>796.0</v>
      </c>
      <c r="R32" s="38">
        <v>700.0</v>
      </c>
      <c r="S32" s="38">
        <v>995.0</v>
      </c>
      <c r="T32" s="38">
        <v>121.0</v>
      </c>
      <c r="U32" s="48">
        <f t="shared" si="9"/>
        <v>2771</v>
      </c>
      <c r="V32" s="48">
        <f t="shared" si="10"/>
        <v>3887</v>
      </c>
      <c r="W32" s="49">
        <f t="shared" si="11"/>
        <v>0.4601226994</v>
      </c>
      <c r="X32" s="49">
        <f t="shared" si="12"/>
        <v>0.2872609166</v>
      </c>
      <c r="Y32" s="49">
        <f t="shared" si="13"/>
        <v>0.252616384</v>
      </c>
      <c r="Z32" s="32" t="str">
        <f t="shared" si="14"/>
        <v>Jango</v>
      </c>
      <c r="AA32" s="50" t="s">
        <v>77</v>
      </c>
      <c r="AB32" s="38">
        <v>4301.0</v>
      </c>
      <c r="AC32" s="48">
        <f t="shared" si="15"/>
        <v>414</v>
      </c>
      <c r="AD32" s="51">
        <f t="shared" si="16"/>
        <v>0.9037433155</v>
      </c>
    </row>
    <row r="33">
      <c r="A33" s="24"/>
      <c r="B33" s="46" t="s">
        <v>1751</v>
      </c>
      <c r="C33" s="47"/>
      <c r="D33" s="38">
        <v>659.0</v>
      </c>
      <c r="E33" s="38">
        <v>467.0</v>
      </c>
      <c r="F33" s="48">
        <v>219.0</v>
      </c>
      <c r="G33" s="38">
        <v>82.0</v>
      </c>
      <c r="H33" s="38">
        <v>39.0</v>
      </c>
      <c r="I33" s="48">
        <f t="shared" si="3"/>
        <v>1345</v>
      </c>
      <c r="J33" s="48">
        <f t="shared" si="4"/>
        <v>1466</v>
      </c>
      <c r="K33" s="49">
        <f t="shared" si="5"/>
        <v>0.4899628253</v>
      </c>
      <c r="L33" s="49">
        <f t="shared" si="6"/>
        <v>0.3472118959</v>
      </c>
      <c r="M33" s="49">
        <f t="shared" si="7"/>
        <v>0.1628252788</v>
      </c>
      <c r="N33" s="32" t="str">
        <f t="shared" si="8"/>
        <v>Jânio</v>
      </c>
      <c r="O33" s="50" t="s">
        <v>77</v>
      </c>
      <c r="P33" s="38">
        <v>427.0</v>
      </c>
      <c r="Q33" s="38">
        <v>246.0</v>
      </c>
      <c r="R33" s="38">
        <v>424.0</v>
      </c>
      <c r="S33" s="38">
        <v>343.0</v>
      </c>
      <c r="T33" s="38">
        <v>26.0</v>
      </c>
      <c r="U33" s="48">
        <f t="shared" si="9"/>
        <v>1097</v>
      </c>
      <c r="V33" s="48">
        <f t="shared" si="10"/>
        <v>1466</v>
      </c>
      <c r="W33" s="49">
        <f t="shared" si="11"/>
        <v>0.3892433911</v>
      </c>
      <c r="X33" s="49">
        <f t="shared" si="12"/>
        <v>0.224247949</v>
      </c>
      <c r="Y33" s="49">
        <f t="shared" si="13"/>
        <v>0.38650866</v>
      </c>
      <c r="Z33" s="32" t="str">
        <f t="shared" si="14"/>
        <v>Jango</v>
      </c>
      <c r="AA33" s="50" t="s">
        <v>77</v>
      </c>
      <c r="AB33" s="38">
        <v>1741.0</v>
      </c>
      <c r="AC33" s="48">
        <f t="shared" si="15"/>
        <v>275</v>
      </c>
      <c r="AD33" s="51">
        <f t="shared" si="16"/>
        <v>0.8420448018</v>
      </c>
    </row>
    <row r="34">
      <c r="A34" s="110" t="s">
        <v>117</v>
      </c>
      <c r="B34" s="46" t="s">
        <v>1752</v>
      </c>
      <c r="C34" s="47"/>
      <c r="D34" s="38">
        <v>5205.0</v>
      </c>
      <c r="E34" s="38">
        <v>2063.0</v>
      </c>
      <c r="F34" s="38">
        <v>2751.0</v>
      </c>
      <c r="G34" s="38">
        <v>420.0</v>
      </c>
      <c r="H34" s="38">
        <v>356.0</v>
      </c>
      <c r="I34" s="48">
        <f t="shared" si="3"/>
        <v>10019</v>
      </c>
      <c r="J34" s="48">
        <f t="shared" si="4"/>
        <v>10795</v>
      </c>
      <c r="K34" s="49">
        <f t="shared" si="5"/>
        <v>0.5195129254</v>
      </c>
      <c r="L34" s="49">
        <f t="shared" si="6"/>
        <v>0.2059087733</v>
      </c>
      <c r="M34" s="49">
        <f t="shared" si="7"/>
        <v>0.2745783012</v>
      </c>
      <c r="N34" s="32" t="str">
        <f t="shared" si="8"/>
        <v>Jânio</v>
      </c>
      <c r="O34" s="50"/>
      <c r="P34" s="38">
        <v>3011.0</v>
      </c>
      <c r="Q34" s="38">
        <v>3764.0</v>
      </c>
      <c r="R34" s="38">
        <v>2356.0</v>
      </c>
      <c r="S34" s="38">
        <v>1453.0</v>
      </c>
      <c r="T34" s="38">
        <v>211.0</v>
      </c>
      <c r="U34" s="48">
        <f t="shared" si="9"/>
        <v>9131</v>
      </c>
      <c r="V34" s="48">
        <f t="shared" si="10"/>
        <v>10795</v>
      </c>
      <c r="W34" s="49">
        <f t="shared" si="11"/>
        <v>0.329755777</v>
      </c>
      <c r="X34" s="49">
        <f t="shared" si="12"/>
        <v>0.4122221005</v>
      </c>
      <c r="Y34" s="49">
        <f t="shared" si="13"/>
        <v>0.2580221224</v>
      </c>
      <c r="Z34" s="32" t="str">
        <f t="shared" si="14"/>
        <v>Milton</v>
      </c>
      <c r="AA34" s="50"/>
      <c r="AB34" s="38">
        <v>12128.0</v>
      </c>
      <c r="AC34" s="48">
        <f t="shared" si="15"/>
        <v>1333</v>
      </c>
      <c r="AD34" s="51">
        <f t="shared" si="16"/>
        <v>0.8900890501</v>
      </c>
    </row>
    <row r="35">
      <c r="A35" s="110" t="s">
        <v>119</v>
      </c>
      <c r="B35" s="46" t="s">
        <v>1753</v>
      </c>
      <c r="C35" s="47"/>
      <c r="D35" s="38">
        <v>5065.0</v>
      </c>
      <c r="E35" s="38">
        <v>1500.0</v>
      </c>
      <c r="F35" s="38">
        <v>2499.0</v>
      </c>
      <c r="G35" s="38">
        <v>293.0</v>
      </c>
      <c r="H35" s="38">
        <v>253.0</v>
      </c>
      <c r="I35" s="48">
        <f t="shared" si="3"/>
        <v>9064</v>
      </c>
      <c r="J35" s="48">
        <f t="shared" si="4"/>
        <v>9610</v>
      </c>
      <c r="K35" s="49">
        <f t="shared" si="5"/>
        <v>0.55880406</v>
      </c>
      <c r="L35" s="49">
        <f t="shared" si="6"/>
        <v>0.16548985</v>
      </c>
      <c r="M35" s="49">
        <f t="shared" si="7"/>
        <v>0.27570609</v>
      </c>
      <c r="N35" s="32" t="str">
        <f t="shared" si="8"/>
        <v>Jânio</v>
      </c>
      <c r="O35" s="50"/>
      <c r="P35" s="38">
        <v>2311.0</v>
      </c>
      <c r="Q35" s="38">
        <v>3944.0</v>
      </c>
      <c r="R35" s="38">
        <v>2044.0</v>
      </c>
      <c r="S35" s="38">
        <v>1139.0</v>
      </c>
      <c r="T35" s="38">
        <v>172.0</v>
      </c>
      <c r="U35" s="48">
        <f t="shared" si="9"/>
        <v>8299</v>
      </c>
      <c r="V35" s="48">
        <f t="shared" si="10"/>
        <v>9610</v>
      </c>
      <c r="W35" s="49">
        <f t="shared" si="11"/>
        <v>0.2784672852</v>
      </c>
      <c r="X35" s="49">
        <f t="shared" si="12"/>
        <v>0.4752379805</v>
      </c>
      <c r="Y35" s="49">
        <f t="shared" si="13"/>
        <v>0.2462947343</v>
      </c>
      <c r="Z35" s="32" t="str">
        <f t="shared" si="14"/>
        <v>Milton</v>
      </c>
      <c r="AA35" s="50"/>
      <c r="AB35" s="38">
        <v>10855.0</v>
      </c>
      <c r="AC35" s="48">
        <f t="shared" si="15"/>
        <v>1245</v>
      </c>
      <c r="AD35" s="51">
        <f t="shared" si="16"/>
        <v>0.8853063105</v>
      </c>
    </row>
    <row r="36">
      <c r="A36" s="110" t="s">
        <v>77</v>
      </c>
      <c r="B36" s="46" t="s">
        <v>1754</v>
      </c>
      <c r="C36" s="47"/>
      <c r="D36" s="38">
        <v>10270.0</v>
      </c>
      <c r="E36" s="38">
        <v>3563.0</v>
      </c>
      <c r="F36" s="38">
        <v>5250.0</v>
      </c>
      <c r="G36" s="38">
        <v>713.0</v>
      </c>
      <c r="H36" s="38">
        <v>609.0</v>
      </c>
      <c r="I36" s="48">
        <f t="shared" si="3"/>
        <v>19083</v>
      </c>
      <c r="J36" s="48">
        <f t="shared" si="4"/>
        <v>20405</v>
      </c>
      <c r="K36" s="49">
        <f t="shared" si="5"/>
        <v>0.5381753393</v>
      </c>
      <c r="L36" s="49">
        <f t="shared" si="6"/>
        <v>0.1867106849</v>
      </c>
      <c r="M36" s="49">
        <f t="shared" si="7"/>
        <v>0.2751139758</v>
      </c>
      <c r="N36" s="32" t="str">
        <f t="shared" si="8"/>
        <v>Jânio</v>
      </c>
      <c r="O36" s="50" t="s">
        <v>77</v>
      </c>
      <c r="P36" s="38">
        <v>5322.0</v>
      </c>
      <c r="Q36" s="38">
        <v>7708.0</v>
      </c>
      <c r="R36" s="38">
        <v>4400.0</v>
      </c>
      <c r="S36" s="38">
        <v>2592.0</v>
      </c>
      <c r="T36" s="38">
        <v>383.0</v>
      </c>
      <c r="U36" s="48">
        <f t="shared" si="9"/>
        <v>17430</v>
      </c>
      <c r="V36" s="48">
        <f t="shared" si="10"/>
        <v>20405</v>
      </c>
      <c r="W36" s="49">
        <f t="shared" si="11"/>
        <v>0.3053356282</v>
      </c>
      <c r="X36" s="49">
        <f t="shared" si="12"/>
        <v>0.442226047</v>
      </c>
      <c r="Y36" s="49">
        <f t="shared" si="13"/>
        <v>0.2524383247</v>
      </c>
      <c r="Z36" s="32" t="str">
        <f t="shared" si="14"/>
        <v>Milton</v>
      </c>
      <c r="AA36" s="50" t="s">
        <v>77</v>
      </c>
      <c r="AB36" s="38">
        <v>22983.0</v>
      </c>
      <c r="AC36" s="48">
        <f t="shared" si="15"/>
        <v>2578</v>
      </c>
      <c r="AD36" s="51">
        <f t="shared" si="16"/>
        <v>0.8878301353</v>
      </c>
    </row>
    <row r="37">
      <c r="A37" s="110" t="s">
        <v>123</v>
      </c>
      <c r="B37" s="46" t="s">
        <v>1755</v>
      </c>
      <c r="C37" s="47"/>
      <c r="D37" s="38">
        <v>2843.0</v>
      </c>
      <c r="E37" s="38">
        <v>1070.0</v>
      </c>
      <c r="F37" s="38">
        <v>1010.0</v>
      </c>
      <c r="G37" s="38">
        <v>311.0</v>
      </c>
      <c r="H37" s="38">
        <v>232.0</v>
      </c>
      <c r="I37" s="48">
        <f t="shared" si="3"/>
        <v>4923</v>
      </c>
      <c r="J37" s="48">
        <f t="shared" si="4"/>
        <v>5466</v>
      </c>
      <c r="K37" s="49">
        <f t="shared" si="5"/>
        <v>0.5774933983</v>
      </c>
      <c r="L37" s="49">
        <f t="shared" si="6"/>
        <v>0.217347146</v>
      </c>
      <c r="M37" s="49">
        <f t="shared" si="7"/>
        <v>0.2051594556</v>
      </c>
      <c r="N37" s="32" t="str">
        <f t="shared" si="8"/>
        <v>Jânio</v>
      </c>
      <c r="O37" s="50" t="s">
        <v>77</v>
      </c>
      <c r="P37" s="38">
        <v>1575.0</v>
      </c>
      <c r="Q37" s="38">
        <v>1730.0</v>
      </c>
      <c r="R37" s="38">
        <v>746.0</v>
      </c>
      <c r="S37" s="38">
        <v>1306.0</v>
      </c>
      <c r="T37" s="38">
        <v>109.0</v>
      </c>
      <c r="U37" s="48">
        <f t="shared" si="9"/>
        <v>4051</v>
      </c>
      <c r="V37" s="48">
        <f t="shared" si="10"/>
        <v>5466</v>
      </c>
      <c r="W37" s="49">
        <f t="shared" si="11"/>
        <v>0.3887928906</v>
      </c>
      <c r="X37" s="49">
        <f t="shared" si="12"/>
        <v>0.4270550481</v>
      </c>
      <c r="Y37" s="49">
        <f t="shared" si="13"/>
        <v>0.1841520612</v>
      </c>
      <c r="Z37" s="32" t="str">
        <f t="shared" si="14"/>
        <v>Milton</v>
      </c>
      <c r="AA37" s="50" t="s">
        <v>77</v>
      </c>
      <c r="AB37" s="38">
        <v>6045.0</v>
      </c>
      <c r="AC37" s="48">
        <f t="shared" si="15"/>
        <v>579</v>
      </c>
      <c r="AD37" s="51">
        <f t="shared" si="16"/>
        <v>0.9042183623</v>
      </c>
    </row>
    <row r="38">
      <c r="A38" s="61" t="s">
        <v>125</v>
      </c>
      <c r="B38" s="46" t="s">
        <v>1756</v>
      </c>
      <c r="C38" s="47"/>
      <c r="D38" s="38">
        <v>2664.0</v>
      </c>
      <c r="E38" s="38">
        <v>1507.0</v>
      </c>
      <c r="F38" s="38">
        <v>1199.0</v>
      </c>
      <c r="G38" s="38">
        <v>557.0</v>
      </c>
      <c r="H38" s="38">
        <v>223.0</v>
      </c>
      <c r="I38" s="48">
        <f t="shared" si="3"/>
        <v>5370</v>
      </c>
      <c r="J38" s="48">
        <f t="shared" si="4"/>
        <v>6150</v>
      </c>
      <c r="K38" s="49">
        <f t="shared" si="5"/>
        <v>0.4960893855</v>
      </c>
      <c r="L38" s="49">
        <f t="shared" si="6"/>
        <v>0.2806331471</v>
      </c>
      <c r="M38" s="49">
        <f t="shared" si="7"/>
        <v>0.2232774674</v>
      </c>
      <c r="N38" s="32" t="str">
        <f t="shared" si="8"/>
        <v>Jânio</v>
      </c>
      <c r="O38" s="50" t="s">
        <v>77</v>
      </c>
      <c r="P38" s="38">
        <v>2422.0</v>
      </c>
      <c r="Q38" s="38">
        <v>1133.0</v>
      </c>
      <c r="R38" s="38">
        <v>1051.0</v>
      </c>
      <c r="S38" s="38">
        <v>1395.0</v>
      </c>
      <c r="T38" s="38">
        <v>149.0</v>
      </c>
      <c r="U38" s="48">
        <f t="shared" si="9"/>
        <v>4606</v>
      </c>
      <c r="V38" s="48">
        <f t="shared" si="10"/>
        <v>6150</v>
      </c>
      <c r="W38" s="49">
        <f t="shared" si="11"/>
        <v>0.5258358663</v>
      </c>
      <c r="X38" s="49">
        <f t="shared" si="12"/>
        <v>0.2459834998</v>
      </c>
      <c r="Y38" s="49">
        <f t="shared" si="13"/>
        <v>0.228180634</v>
      </c>
      <c r="Z38" s="32" t="str">
        <f t="shared" si="14"/>
        <v>Jango</v>
      </c>
      <c r="AA38" s="50" t="s">
        <v>77</v>
      </c>
      <c r="AB38" s="38">
        <v>7212.0</v>
      </c>
      <c r="AC38" s="48">
        <f t="shared" si="15"/>
        <v>1062</v>
      </c>
      <c r="AD38" s="51">
        <f t="shared" si="16"/>
        <v>0.8527454243</v>
      </c>
    </row>
    <row r="39">
      <c r="A39" s="24"/>
      <c r="B39" s="46" t="s">
        <v>1757</v>
      </c>
      <c r="C39" s="47"/>
      <c r="D39" s="38">
        <v>861.0</v>
      </c>
      <c r="E39" s="38">
        <v>298.0</v>
      </c>
      <c r="F39" s="38">
        <v>327.0</v>
      </c>
      <c r="G39" s="38">
        <v>219.0</v>
      </c>
      <c r="H39" s="38">
        <v>60.0</v>
      </c>
      <c r="I39" s="48">
        <f t="shared" si="3"/>
        <v>1486</v>
      </c>
      <c r="J39" s="48">
        <f t="shared" si="4"/>
        <v>1765</v>
      </c>
      <c r="K39" s="49">
        <f t="shared" si="5"/>
        <v>0.5794078062</v>
      </c>
      <c r="L39" s="49">
        <f t="shared" si="6"/>
        <v>0.200538358</v>
      </c>
      <c r="M39" s="49">
        <f t="shared" si="7"/>
        <v>0.2200538358</v>
      </c>
      <c r="N39" s="32" t="str">
        <f t="shared" si="8"/>
        <v>Jânio</v>
      </c>
      <c r="O39" s="50" t="s">
        <v>77</v>
      </c>
      <c r="P39" s="38">
        <v>667.0</v>
      </c>
      <c r="Q39" s="38">
        <v>257.0</v>
      </c>
      <c r="R39" s="38">
        <v>236.0</v>
      </c>
      <c r="S39" s="38">
        <v>577.0</v>
      </c>
      <c r="T39" s="38">
        <v>28.0</v>
      </c>
      <c r="U39" s="48">
        <f t="shared" si="9"/>
        <v>1160</v>
      </c>
      <c r="V39" s="48">
        <f t="shared" si="10"/>
        <v>1765</v>
      </c>
      <c r="W39" s="49">
        <f t="shared" si="11"/>
        <v>0.575</v>
      </c>
      <c r="X39" s="49">
        <f t="shared" si="12"/>
        <v>0.2215517241</v>
      </c>
      <c r="Y39" s="49">
        <f t="shared" si="13"/>
        <v>0.2034482759</v>
      </c>
      <c r="Z39" s="32" t="str">
        <f t="shared" si="14"/>
        <v>Jango</v>
      </c>
      <c r="AA39" s="50" t="s">
        <v>77</v>
      </c>
      <c r="AB39" s="38">
        <v>2060.0</v>
      </c>
      <c r="AC39" s="48">
        <f t="shared" si="15"/>
        <v>295</v>
      </c>
      <c r="AD39" s="51">
        <f t="shared" si="16"/>
        <v>0.8567961165</v>
      </c>
    </row>
    <row r="40">
      <c r="A40" s="61" t="s">
        <v>127</v>
      </c>
      <c r="B40" s="46" t="s">
        <v>1758</v>
      </c>
      <c r="C40" s="47"/>
      <c r="D40" s="38">
        <v>1203.0</v>
      </c>
      <c r="E40" s="38">
        <v>598.0</v>
      </c>
      <c r="F40" s="38">
        <v>560.0</v>
      </c>
      <c r="G40" s="38">
        <v>187.0</v>
      </c>
      <c r="H40" s="38">
        <v>70.0</v>
      </c>
      <c r="I40" s="48">
        <f t="shared" si="3"/>
        <v>2361</v>
      </c>
      <c r="J40" s="48">
        <f t="shared" si="4"/>
        <v>2618</v>
      </c>
      <c r="K40" s="49">
        <f t="shared" si="5"/>
        <v>0.5095298602</v>
      </c>
      <c r="L40" s="49">
        <f t="shared" si="6"/>
        <v>0.2532825074</v>
      </c>
      <c r="M40" s="49">
        <f t="shared" si="7"/>
        <v>0.2371876324</v>
      </c>
      <c r="N40" s="32" t="str">
        <f t="shared" si="8"/>
        <v>Jânio</v>
      </c>
      <c r="O40" s="50" t="s">
        <v>77</v>
      </c>
      <c r="P40" s="38">
        <v>915.0</v>
      </c>
      <c r="Q40" s="38">
        <v>650.0</v>
      </c>
      <c r="R40" s="38">
        <v>457.0</v>
      </c>
      <c r="S40" s="38">
        <v>546.0</v>
      </c>
      <c r="T40" s="38">
        <v>50.0</v>
      </c>
      <c r="U40" s="48">
        <f t="shared" si="9"/>
        <v>2022</v>
      </c>
      <c r="V40" s="48">
        <f t="shared" si="10"/>
        <v>2618</v>
      </c>
      <c r="W40" s="49">
        <f t="shared" si="11"/>
        <v>0.4525222552</v>
      </c>
      <c r="X40" s="49">
        <f t="shared" si="12"/>
        <v>0.3214638971</v>
      </c>
      <c r="Y40" s="49">
        <f t="shared" si="13"/>
        <v>0.2260138477</v>
      </c>
      <c r="Z40" s="32" t="str">
        <f t="shared" si="14"/>
        <v>Jango</v>
      </c>
      <c r="AA40" s="50" t="s">
        <v>77</v>
      </c>
      <c r="AB40" s="38">
        <v>3086.0</v>
      </c>
      <c r="AC40" s="48">
        <f t="shared" si="15"/>
        <v>468</v>
      </c>
      <c r="AD40" s="51">
        <f t="shared" si="16"/>
        <v>0.8483473752</v>
      </c>
    </row>
    <row r="41">
      <c r="A41" s="24"/>
      <c r="B41" s="46" t="s">
        <v>1759</v>
      </c>
      <c r="C41" s="47"/>
      <c r="D41" s="38">
        <v>635.0</v>
      </c>
      <c r="E41" s="38">
        <v>454.0</v>
      </c>
      <c r="F41" s="38">
        <v>214.0</v>
      </c>
      <c r="G41" s="38">
        <v>114.0</v>
      </c>
      <c r="H41" s="38">
        <v>53.0</v>
      </c>
      <c r="I41" s="48">
        <f t="shared" si="3"/>
        <v>1303</v>
      </c>
      <c r="J41" s="48">
        <f t="shared" si="4"/>
        <v>1470</v>
      </c>
      <c r="K41" s="49">
        <f t="shared" si="5"/>
        <v>0.4873369148</v>
      </c>
      <c r="L41" s="49">
        <f t="shared" si="6"/>
        <v>0.3484267076</v>
      </c>
      <c r="M41" s="49">
        <f t="shared" si="7"/>
        <v>0.1642363776</v>
      </c>
      <c r="N41" s="32" t="str">
        <f t="shared" si="8"/>
        <v>Jânio</v>
      </c>
      <c r="O41" s="50" t="s">
        <v>77</v>
      </c>
      <c r="P41" s="38">
        <v>662.0</v>
      </c>
      <c r="Q41" s="38">
        <v>261.0</v>
      </c>
      <c r="R41" s="38">
        <v>189.0</v>
      </c>
      <c r="S41" s="38">
        <v>336.0</v>
      </c>
      <c r="T41" s="38">
        <v>22.0</v>
      </c>
      <c r="U41" s="48">
        <f t="shared" si="9"/>
        <v>1112</v>
      </c>
      <c r="V41" s="48">
        <f t="shared" si="10"/>
        <v>1470</v>
      </c>
      <c r="W41" s="49">
        <f t="shared" si="11"/>
        <v>0.595323741</v>
      </c>
      <c r="X41" s="49">
        <f t="shared" si="12"/>
        <v>0.2347122302</v>
      </c>
      <c r="Y41" s="49">
        <f t="shared" si="13"/>
        <v>0.1699640288</v>
      </c>
      <c r="Z41" s="32" t="str">
        <f t="shared" si="14"/>
        <v>Jango</v>
      </c>
      <c r="AA41" s="50" t="s">
        <v>77</v>
      </c>
      <c r="AB41" s="38">
        <v>1636.0</v>
      </c>
      <c r="AC41" s="48">
        <f t="shared" si="15"/>
        <v>166</v>
      </c>
      <c r="AD41" s="51">
        <f t="shared" si="16"/>
        <v>0.8985330073</v>
      </c>
    </row>
    <row r="42">
      <c r="A42" s="61" t="s">
        <v>129</v>
      </c>
      <c r="B42" s="46" t="s">
        <v>1760</v>
      </c>
      <c r="C42" s="47"/>
      <c r="D42" s="38">
        <v>1330.0</v>
      </c>
      <c r="E42" s="38">
        <v>606.0</v>
      </c>
      <c r="F42" s="38">
        <v>367.0</v>
      </c>
      <c r="G42" s="38">
        <v>159.0</v>
      </c>
      <c r="H42" s="38">
        <v>55.0</v>
      </c>
      <c r="I42" s="48">
        <f t="shared" si="3"/>
        <v>2303</v>
      </c>
      <c r="J42" s="48">
        <f t="shared" si="4"/>
        <v>2517</v>
      </c>
      <c r="K42" s="49">
        <f t="shared" si="5"/>
        <v>0.5775075988</v>
      </c>
      <c r="L42" s="49">
        <f t="shared" si="6"/>
        <v>0.2631350413</v>
      </c>
      <c r="M42" s="49">
        <f t="shared" si="7"/>
        <v>0.15935736</v>
      </c>
      <c r="N42" s="32" t="str">
        <f t="shared" si="8"/>
        <v>Jânio</v>
      </c>
      <c r="O42" s="50" t="s">
        <v>77</v>
      </c>
      <c r="P42" s="38">
        <v>513.0</v>
      </c>
      <c r="Q42" s="38">
        <v>769.0</v>
      </c>
      <c r="R42" s="38">
        <v>442.0</v>
      </c>
      <c r="S42" s="38">
        <v>749.0</v>
      </c>
      <c r="T42" s="38">
        <v>44.0</v>
      </c>
      <c r="U42" s="48">
        <f t="shared" si="9"/>
        <v>1724</v>
      </c>
      <c r="V42" s="48">
        <f t="shared" si="10"/>
        <v>2517</v>
      </c>
      <c r="W42" s="49">
        <f t="shared" si="11"/>
        <v>0.2975638051</v>
      </c>
      <c r="X42" s="49">
        <f t="shared" si="12"/>
        <v>0.4460556845</v>
      </c>
      <c r="Y42" s="49">
        <f t="shared" si="13"/>
        <v>0.2563805104</v>
      </c>
      <c r="Z42" s="32" t="str">
        <f t="shared" si="14"/>
        <v>Milton</v>
      </c>
      <c r="AA42" s="50" t="s">
        <v>77</v>
      </c>
      <c r="AB42" s="38">
        <v>2984.0</v>
      </c>
      <c r="AC42" s="48">
        <f t="shared" si="15"/>
        <v>467</v>
      </c>
      <c r="AD42" s="51">
        <f t="shared" si="16"/>
        <v>0.8434986595</v>
      </c>
    </row>
    <row r="43">
      <c r="A43" s="23"/>
      <c r="B43" s="46" t="s">
        <v>1761</v>
      </c>
      <c r="C43" s="47"/>
      <c r="D43" s="38">
        <v>482.0</v>
      </c>
      <c r="E43" s="38">
        <v>193.0</v>
      </c>
      <c r="F43" s="38">
        <v>241.0</v>
      </c>
      <c r="G43" s="38">
        <v>137.0</v>
      </c>
      <c r="H43" s="38">
        <v>38.0</v>
      </c>
      <c r="I43" s="48">
        <f t="shared" si="3"/>
        <v>916</v>
      </c>
      <c r="J43" s="48">
        <f t="shared" si="4"/>
        <v>1091</v>
      </c>
      <c r="K43" s="49">
        <f t="shared" si="5"/>
        <v>0.5262008734</v>
      </c>
      <c r="L43" s="49">
        <f t="shared" si="6"/>
        <v>0.21069869</v>
      </c>
      <c r="M43" s="49">
        <f t="shared" si="7"/>
        <v>0.2631004367</v>
      </c>
      <c r="N43" s="32" t="str">
        <f t="shared" si="8"/>
        <v>Jânio</v>
      </c>
      <c r="O43" s="50" t="s">
        <v>77</v>
      </c>
      <c r="P43" s="38">
        <v>334.0</v>
      </c>
      <c r="Q43" s="38">
        <v>269.0</v>
      </c>
      <c r="R43" s="38">
        <v>92.0</v>
      </c>
      <c r="S43" s="38">
        <v>359.0</v>
      </c>
      <c r="T43" s="38">
        <v>37.0</v>
      </c>
      <c r="U43" s="48">
        <f t="shared" si="9"/>
        <v>695</v>
      </c>
      <c r="V43" s="48">
        <f t="shared" si="10"/>
        <v>1091</v>
      </c>
      <c r="W43" s="49">
        <f t="shared" si="11"/>
        <v>0.4805755396</v>
      </c>
      <c r="X43" s="49">
        <f t="shared" si="12"/>
        <v>0.3870503597</v>
      </c>
      <c r="Y43" s="49">
        <f t="shared" si="13"/>
        <v>0.1323741007</v>
      </c>
      <c r="Z43" s="32" t="str">
        <f t="shared" si="14"/>
        <v>Jango</v>
      </c>
      <c r="AA43" s="50" t="s">
        <v>77</v>
      </c>
      <c r="AB43" s="38">
        <v>1315.0</v>
      </c>
      <c r="AC43" s="48">
        <f t="shared" si="15"/>
        <v>224</v>
      </c>
      <c r="AD43" s="51">
        <f t="shared" si="16"/>
        <v>0.8296577947</v>
      </c>
    </row>
    <row r="44">
      <c r="A44" s="23"/>
      <c r="B44" s="46" t="s">
        <v>1762</v>
      </c>
      <c r="C44" s="47"/>
      <c r="D44" s="38">
        <v>595.0</v>
      </c>
      <c r="E44" s="38">
        <v>177.0</v>
      </c>
      <c r="F44" s="38">
        <v>427.0</v>
      </c>
      <c r="G44" s="38">
        <v>126.0</v>
      </c>
      <c r="H44" s="38">
        <v>43.0</v>
      </c>
      <c r="I44" s="48">
        <f t="shared" si="3"/>
        <v>1199</v>
      </c>
      <c r="J44" s="48">
        <f t="shared" si="4"/>
        <v>1368</v>
      </c>
      <c r="K44" s="49">
        <f t="shared" si="5"/>
        <v>0.4962468724</v>
      </c>
      <c r="L44" s="49">
        <f t="shared" si="6"/>
        <v>0.1476230192</v>
      </c>
      <c r="M44" s="49">
        <f t="shared" si="7"/>
        <v>0.3561301084</v>
      </c>
      <c r="N44" s="32" t="str">
        <f t="shared" si="8"/>
        <v>Jânio</v>
      </c>
      <c r="O44" s="50" t="s">
        <v>77</v>
      </c>
      <c r="P44" s="38">
        <v>382.0</v>
      </c>
      <c r="Q44" s="38">
        <v>335.0</v>
      </c>
      <c r="R44" s="38">
        <v>181.0</v>
      </c>
      <c r="S44" s="38">
        <v>384.0</v>
      </c>
      <c r="T44" s="38">
        <v>86.0</v>
      </c>
      <c r="U44" s="48">
        <f t="shared" si="9"/>
        <v>898</v>
      </c>
      <c r="V44" s="48">
        <f t="shared" si="10"/>
        <v>1368</v>
      </c>
      <c r="W44" s="49">
        <f t="shared" si="11"/>
        <v>0.425389755</v>
      </c>
      <c r="X44" s="49">
        <f t="shared" si="12"/>
        <v>0.3730512249</v>
      </c>
      <c r="Y44" s="49">
        <f t="shared" si="13"/>
        <v>0.20155902</v>
      </c>
      <c r="Z44" s="32" t="str">
        <f t="shared" si="14"/>
        <v>Jango</v>
      </c>
      <c r="AA44" s="50" t="s">
        <v>77</v>
      </c>
      <c r="AB44" s="38">
        <v>1573.0</v>
      </c>
      <c r="AC44" s="48">
        <f t="shared" si="15"/>
        <v>205</v>
      </c>
      <c r="AD44" s="51">
        <f t="shared" si="16"/>
        <v>0.8696757788</v>
      </c>
    </row>
    <row r="45">
      <c r="A45" s="24"/>
      <c r="B45" s="46" t="s">
        <v>1763</v>
      </c>
      <c r="C45" s="47"/>
      <c r="D45" s="38">
        <v>518.0</v>
      </c>
      <c r="E45" s="38">
        <v>268.0</v>
      </c>
      <c r="F45" s="38">
        <v>249.0</v>
      </c>
      <c r="G45" s="38">
        <v>161.0</v>
      </c>
      <c r="H45" s="38">
        <v>39.0</v>
      </c>
      <c r="I45" s="48">
        <f t="shared" si="3"/>
        <v>1035</v>
      </c>
      <c r="J45" s="48">
        <f t="shared" si="4"/>
        <v>1235</v>
      </c>
      <c r="K45" s="49">
        <f t="shared" si="5"/>
        <v>0.5004830918</v>
      </c>
      <c r="L45" s="49">
        <f t="shared" si="6"/>
        <v>0.2589371981</v>
      </c>
      <c r="M45" s="49">
        <f t="shared" si="7"/>
        <v>0.2405797101</v>
      </c>
      <c r="N45" s="32" t="str">
        <f t="shared" si="8"/>
        <v>Jânio</v>
      </c>
      <c r="O45" s="50" t="s">
        <v>77</v>
      </c>
      <c r="P45" s="38">
        <v>449.0</v>
      </c>
      <c r="Q45" s="38">
        <v>229.0</v>
      </c>
      <c r="R45" s="38">
        <v>144.0</v>
      </c>
      <c r="S45" s="38">
        <v>324.0</v>
      </c>
      <c r="T45" s="38">
        <v>89.0</v>
      </c>
      <c r="U45" s="48">
        <f t="shared" si="9"/>
        <v>822</v>
      </c>
      <c r="V45" s="48">
        <f t="shared" si="10"/>
        <v>1235</v>
      </c>
      <c r="W45" s="49">
        <f t="shared" si="11"/>
        <v>0.5462287105</v>
      </c>
      <c r="X45" s="49">
        <f t="shared" si="12"/>
        <v>0.2785888078</v>
      </c>
      <c r="Y45" s="49">
        <f t="shared" si="13"/>
        <v>0.1751824818</v>
      </c>
      <c r="Z45" s="32" t="str">
        <f t="shared" si="14"/>
        <v>Jango</v>
      </c>
      <c r="AA45" s="50" t="s">
        <v>77</v>
      </c>
      <c r="AB45" s="38">
        <v>1457.0</v>
      </c>
      <c r="AC45" s="48">
        <f t="shared" si="15"/>
        <v>222</v>
      </c>
      <c r="AD45" s="51">
        <f t="shared" si="16"/>
        <v>0.8476321208</v>
      </c>
    </row>
    <row r="46">
      <c r="A46" s="110" t="s">
        <v>131</v>
      </c>
      <c r="B46" s="46" t="s">
        <v>1764</v>
      </c>
      <c r="C46" s="47"/>
      <c r="D46" s="38">
        <v>1192.0</v>
      </c>
      <c r="E46" s="38">
        <v>600.0</v>
      </c>
      <c r="F46" s="38">
        <v>642.0</v>
      </c>
      <c r="G46" s="38">
        <v>131.0</v>
      </c>
      <c r="H46" s="38">
        <v>58.0</v>
      </c>
      <c r="I46" s="48">
        <f t="shared" si="3"/>
        <v>2434</v>
      </c>
      <c r="J46" s="48">
        <f t="shared" si="4"/>
        <v>2623</v>
      </c>
      <c r="K46" s="49">
        <f t="shared" si="5"/>
        <v>0.4897288414</v>
      </c>
      <c r="L46" s="49">
        <f t="shared" si="6"/>
        <v>0.2465078061</v>
      </c>
      <c r="M46" s="49">
        <f t="shared" si="7"/>
        <v>0.2637633525</v>
      </c>
      <c r="N46" s="32" t="str">
        <f t="shared" si="8"/>
        <v>Jânio</v>
      </c>
      <c r="O46" s="50" t="s">
        <v>77</v>
      </c>
      <c r="P46" s="38">
        <v>962.0</v>
      </c>
      <c r="Q46" s="38">
        <v>583.0</v>
      </c>
      <c r="R46" s="38">
        <v>596.0</v>
      </c>
      <c r="S46" s="38">
        <v>440.0</v>
      </c>
      <c r="T46" s="38">
        <v>42.0</v>
      </c>
      <c r="U46" s="48">
        <f t="shared" si="9"/>
        <v>2141</v>
      </c>
      <c r="V46" s="48">
        <f t="shared" si="10"/>
        <v>2623</v>
      </c>
      <c r="W46" s="49">
        <f t="shared" si="11"/>
        <v>0.4493227464</v>
      </c>
      <c r="X46" s="49">
        <f t="shared" si="12"/>
        <v>0.2723026623</v>
      </c>
      <c r="Y46" s="49">
        <f t="shared" si="13"/>
        <v>0.2783745913</v>
      </c>
      <c r="Z46" s="32" t="str">
        <f t="shared" si="14"/>
        <v>Jango</v>
      </c>
      <c r="AA46" s="50" t="s">
        <v>77</v>
      </c>
      <c r="AB46" s="38">
        <v>2939.0</v>
      </c>
      <c r="AC46" s="48">
        <f t="shared" si="15"/>
        <v>316</v>
      </c>
      <c r="AD46" s="51">
        <f t="shared" si="16"/>
        <v>0.8924804355</v>
      </c>
    </row>
    <row r="47">
      <c r="A47" s="110" t="s">
        <v>133</v>
      </c>
      <c r="B47" s="46" t="s">
        <v>1765</v>
      </c>
      <c r="C47" s="47"/>
      <c r="D47" s="38">
        <v>1452.0</v>
      </c>
      <c r="E47" s="38">
        <v>550.0</v>
      </c>
      <c r="F47" s="38">
        <v>1456.0</v>
      </c>
      <c r="G47" s="38">
        <v>194.0</v>
      </c>
      <c r="H47" s="38">
        <v>129.0</v>
      </c>
      <c r="I47" s="48">
        <f t="shared" si="3"/>
        <v>3458</v>
      </c>
      <c r="J47" s="48">
        <f t="shared" si="4"/>
        <v>3781</v>
      </c>
      <c r="K47" s="49">
        <f t="shared" si="5"/>
        <v>0.4198958936</v>
      </c>
      <c r="L47" s="49">
        <f t="shared" si="6"/>
        <v>0.1590514748</v>
      </c>
      <c r="M47" s="49">
        <f t="shared" si="7"/>
        <v>0.4210526316</v>
      </c>
      <c r="N47" s="32" t="str">
        <f t="shared" si="8"/>
        <v>Adhemar</v>
      </c>
      <c r="O47" s="50" t="s">
        <v>77</v>
      </c>
      <c r="P47" s="38">
        <v>1168.0</v>
      </c>
      <c r="Q47" s="38">
        <v>882.0</v>
      </c>
      <c r="R47" s="38">
        <v>643.0</v>
      </c>
      <c r="S47" s="38">
        <v>1033.0</v>
      </c>
      <c r="T47" s="38">
        <v>55.0</v>
      </c>
      <c r="U47" s="48">
        <f t="shared" si="9"/>
        <v>2693</v>
      </c>
      <c r="V47" s="48">
        <f t="shared" si="10"/>
        <v>3781</v>
      </c>
      <c r="W47" s="49">
        <f t="shared" si="11"/>
        <v>0.4337170442</v>
      </c>
      <c r="X47" s="49">
        <f t="shared" si="12"/>
        <v>0.3275157817</v>
      </c>
      <c r="Y47" s="49">
        <f t="shared" si="13"/>
        <v>0.2387671742</v>
      </c>
      <c r="Z47" s="32" t="str">
        <f t="shared" si="14"/>
        <v>Jango</v>
      </c>
      <c r="AA47" s="50" t="s">
        <v>77</v>
      </c>
      <c r="AB47" s="38">
        <v>4135.0</v>
      </c>
      <c r="AC47" s="48">
        <f t="shared" si="15"/>
        <v>354</v>
      </c>
      <c r="AD47" s="51">
        <f t="shared" si="16"/>
        <v>0.9143893591</v>
      </c>
    </row>
    <row r="48">
      <c r="A48" s="110" t="s">
        <v>135</v>
      </c>
      <c r="B48" s="46" t="s">
        <v>1766</v>
      </c>
      <c r="C48" s="47"/>
      <c r="D48" s="38">
        <v>1710.0</v>
      </c>
      <c r="E48" s="38">
        <v>552.0</v>
      </c>
      <c r="F48" s="38">
        <v>1927.0</v>
      </c>
      <c r="G48" s="38">
        <v>225.0</v>
      </c>
      <c r="H48" s="38">
        <v>131.0</v>
      </c>
      <c r="I48" s="48">
        <f t="shared" si="3"/>
        <v>4189</v>
      </c>
      <c r="J48" s="48">
        <f t="shared" si="4"/>
        <v>4545</v>
      </c>
      <c r="K48" s="49">
        <f t="shared" si="5"/>
        <v>0.4082119838</v>
      </c>
      <c r="L48" s="49">
        <f t="shared" si="6"/>
        <v>0.131773693</v>
      </c>
      <c r="M48" s="49">
        <f t="shared" si="7"/>
        <v>0.4600143232</v>
      </c>
      <c r="N48" s="32" t="str">
        <f t="shared" si="8"/>
        <v>Adhemar</v>
      </c>
      <c r="O48" s="50" t="s">
        <v>77</v>
      </c>
      <c r="P48" s="38">
        <v>1511.0</v>
      </c>
      <c r="Q48" s="38">
        <v>1252.0</v>
      </c>
      <c r="R48" s="38">
        <v>636.0</v>
      </c>
      <c r="S48" s="38">
        <v>1082.0</v>
      </c>
      <c r="T48" s="38">
        <v>64.0</v>
      </c>
      <c r="U48" s="48">
        <f t="shared" si="9"/>
        <v>3399</v>
      </c>
      <c r="V48" s="48">
        <f t="shared" si="10"/>
        <v>4545</v>
      </c>
      <c r="W48" s="49">
        <f t="shared" si="11"/>
        <v>0.4445425125</v>
      </c>
      <c r="X48" s="49">
        <f t="shared" si="12"/>
        <v>0.3683436305</v>
      </c>
      <c r="Y48" s="49">
        <f t="shared" si="13"/>
        <v>0.187113857</v>
      </c>
      <c r="Z48" s="32" t="str">
        <f t="shared" si="14"/>
        <v>Jango</v>
      </c>
      <c r="AA48" s="50" t="s">
        <v>77</v>
      </c>
      <c r="AB48" s="38">
        <v>5387.0</v>
      </c>
      <c r="AC48" s="48">
        <f t="shared" si="15"/>
        <v>842</v>
      </c>
      <c r="AD48" s="51">
        <f t="shared" si="16"/>
        <v>0.843697791</v>
      </c>
    </row>
    <row r="49">
      <c r="A49" s="110" t="s">
        <v>193</v>
      </c>
      <c r="B49" s="46" t="s">
        <v>1767</v>
      </c>
      <c r="C49" s="47"/>
      <c r="D49" s="38">
        <v>1598.0</v>
      </c>
      <c r="E49" s="38">
        <v>1096.0</v>
      </c>
      <c r="F49" s="38">
        <v>812.0</v>
      </c>
      <c r="G49" s="38">
        <v>247.0</v>
      </c>
      <c r="H49" s="38">
        <v>120.0</v>
      </c>
      <c r="I49" s="48">
        <f t="shared" si="3"/>
        <v>3506</v>
      </c>
      <c r="J49" s="48">
        <f t="shared" si="4"/>
        <v>3873</v>
      </c>
      <c r="K49" s="49">
        <f t="shared" si="5"/>
        <v>0.4557900742</v>
      </c>
      <c r="L49" s="49">
        <f t="shared" si="6"/>
        <v>0.3126069595</v>
      </c>
      <c r="M49" s="49">
        <f t="shared" si="7"/>
        <v>0.2316029663</v>
      </c>
      <c r="N49" s="32" t="str">
        <f t="shared" si="8"/>
        <v>Jânio</v>
      </c>
      <c r="O49" s="50" t="s">
        <v>77</v>
      </c>
      <c r="P49" s="38">
        <v>1545.0</v>
      </c>
      <c r="Q49" s="38">
        <v>718.0</v>
      </c>
      <c r="R49" s="38">
        <v>343.0</v>
      </c>
      <c r="S49" s="38">
        <v>1201.0</v>
      </c>
      <c r="T49" s="38">
        <v>66.0</v>
      </c>
      <c r="U49" s="48">
        <f t="shared" si="9"/>
        <v>2606</v>
      </c>
      <c r="V49" s="48">
        <f t="shared" si="10"/>
        <v>3873</v>
      </c>
      <c r="W49" s="49">
        <f t="shared" si="11"/>
        <v>0.5928626247</v>
      </c>
      <c r="X49" s="49">
        <f t="shared" si="12"/>
        <v>0.2755180353</v>
      </c>
      <c r="Y49" s="49">
        <f t="shared" si="13"/>
        <v>0.13161934</v>
      </c>
      <c r="Z49" s="32" t="str">
        <f t="shared" si="14"/>
        <v>Jango</v>
      </c>
      <c r="AA49" s="50" t="s">
        <v>77</v>
      </c>
      <c r="AB49" s="38">
        <v>4464.0</v>
      </c>
      <c r="AC49" s="48">
        <f t="shared" si="15"/>
        <v>591</v>
      </c>
      <c r="AD49" s="51">
        <f t="shared" si="16"/>
        <v>0.8676075269</v>
      </c>
    </row>
    <row r="50">
      <c r="A50" s="110" t="s">
        <v>196</v>
      </c>
      <c r="B50" s="46" t="s">
        <v>1768</v>
      </c>
      <c r="C50" s="47"/>
      <c r="D50" s="38">
        <v>2901.0</v>
      </c>
      <c r="E50" s="38">
        <v>825.0</v>
      </c>
      <c r="F50" s="38">
        <v>2786.0</v>
      </c>
      <c r="G50" s="38">
        <v>289.0</v>
      </c>
      <c r="H50" s="38">
        <v>202.0</v>
      </c>
      <c r="I50" s="48">
        <f t="shared" si="3"/>
        <v>6512</v>
      </c>
      <c r="J50" s="48">
        <f t="shared" si="4"/>
        <v>7003</v>
      </c>
      <c r="K50" s="49">
        <f t="shared" si="5"/>
        <v>0.445485258</v>
      </c>
      <c r="L50" s="49">
        <f t="shared" si="6"/>
        <v>0.1266891892</v>
      </c>
      <c r="M50" s="49">
        <f t="shared" si="7"/>
        <v>0.4278255528</v>
      </c>
      <c r="N50" s="32" t="str">
        <f t="shared" si="8"/>
        <v>Jânio</v>
      </c>
      <c r="O50" s="50" t="s">
        <v>77</v>
      </c>
      <c r="P50" s="38">
        <v>2252.0</v>
      </c>
      <c r="Q50" s="38">
        <v>2276.0</v>
      </c>
      <c r="R50" s="38">
        <v>837.0</v>
      </c>
      <c r="S50" s="38">
        <v>1534.0</v>
      </c>
      <c r="T50" s="38">
        <v>104.0</v>
      </c>
      <c r="U50" s="48">
        <f t="shared" si="9"/>
        <v>5365</v>
      </c>
      <c r="V50" s="48">
        <f t="shared" si="10"/>
        <v>7003</v>
      </c>
      <c r="W50" s="49">
        <f t="shared" si="11"/>
        <v>0.4197576887</v>
      </c>
      <c r="X50" s="49">
        <f t="shared" si="12"/>
        <v>0.4242311277</v>
      </c>
      <c r="Y50" s="49">
        <f t="shared" si="13"/>
        <v>0.1560111836</v>
      </c>
      <c r="Z50" s="32" t="str">
        <f t="shared" si="14"/>
        <v>Milton</v>
      </c>
      <c r="AA50" s="50" t="s">
        <v>77</v>
      </c>
      <c r="AB50" s="38">
        <v>8435.0</v>
      </c>
      <c r="AC50" s="48">
        <f t="shared" si="15"/>
        <v>1432</v>
      </c>
      <c r="AD50" s="51">
        <f t="shared" si="16"/>
        <v>0.8302311796</v>
      </c>
    </row>
    <row r="51">
      <c r="A51" s="110" t="s">
        <v>198</v>
      </c>
      <c r="B51" s="46" t="s">
        <v>1769</v>
      </c>
      <c r="C51" s="47"/>
      <c r="D51" s="38">
        <v>2365.0</v>
      </c>
      <c r="E51" s="38">
        <v>825.0</v>
      </c>
      <c r="F51" s="38">
        <v>2220.0</v>
      </c>
      <c r="G51" s="38">
        <v>273.0</v>
      </c>
      <c r="H51" s="38">
        <v>116.0</v>
      </c>
      <c r="I51" s="48">
        <f t="shared" si="3"/>
        <v>5410</v>
      </c>
      <c r="J51" s="48">
        <f t="shared" si="4"/>
        <v>5799</v>
      </c>
      <c r="K51" s="49">
        <f t="shared" si="5"/>
        <v>0.4371534196</v>
      </c>
      <c r="L51" s="49">
        <f t="shared" si="6"/>
        <v>0.1524953789</v>
      </c>
      <c r="M51" s="49">
        <f t="shared" si="7"/>
        <v>0.4103512015</v>
      </c>
      <c r="N51" s="32" t="str">
        <f t="shared" si="8"/>
        <v>Jânio</v>
      </c>
      <c r="O51" s="50" t="s">
        <v>77</v>
      </c>
      <c r="P51" s="38">
        <v>2439.0</v>
      </c>
      <c r="Q51" s="38">
        <v>1509.0</v>
      </c>
      <c r="R51" s="38">
        <v>579.0</v>
      </c>
      <c r="S51" s="38">
        <v>1233.0</v>
      </c>
      <c r="T51" s="38">
        <v>39.0</v>
      </c>
      <c r="U51" s="48">
        <f t="shared" si="9"/>
        <v>4527</v>
      </c>
      <c r="V51" s="48">
        <f t="shared" si="10"/>
        <v>5799</v>
      </c>
      <c r="W51" s="49">
        <f t="shared" si="11"/>
        <v>0.5387673956</v>
      </c>
      <c r="X51" s="49">
        <f t="shared" si="12"/>
        <v>0.3333333333</v>
      </c>
      <c r="Y51" s="49">
        <f t="shared" si="13"/>
        <v>0.127899271</v>
      </c>
      <c r="Z51" s="32" t="str">
        <f t="shared" si="14"/>
        <v>Jango</v>
      </c>
      <c r="AA51" s="50" t="s">
        <v>77</v>
      </c>
      <c r="AB51" s="38">
        <v>7021.0</v>
      </c>
      <c r="AC51" s="48">
        <f t="shared" si="15"/>
        <v>1222</v>
      </c>
      <c r="AD51" s="51">
        <f t="shared" si="16"/>
        <v>0.8259507193</v>
      </c>
    </row>
    <row r="52">
      <c r="A52" s="61" t="s">
        <v>202</v>
      </c>
      <c r="B52" s="46" t="s">
        <v>1770</v>
      </c>
      <c r="C52" s="47"/>
      <c r="D52" s="38">
        <v>3743.0</v>
      </c>
      <c r="E52" s="38">
        <v>1553.0</v>
      </c>
      <c r="F52" s="38">
        <v>2039.0</v>
      </c>
      <c r="G52" s="38">
        <v>340.0</v>
      </c>
      <c r="H52" s="38">
        <v>197.0</v>
      </c>
      <c r="I52" s="48">
        <f t="shared" si="3"/>
        <v>7335</v>
      </c>
      <c r="J52" s="48">
        <f t="shared" si="4"/>
        <v>7872</v>
      </c>
      <c r="K52" s="49">
        <f t="shared" si="5"/>
        <v>0.5102931152</v>
      </c>
      <c r="L52" s="49">
        <f t="shared" si="6"/>
        <v>0.211724608</v>
      </c>
      <c r="M52" s="49">
        <f t="shared" si="7"/>
        <v>0.2779822768</v>
      </c>
      <c r="N52" s="32" t="str">
        <f t="shared" si="8"/>
        <v>Jânio</v>
      </c>
      <c r="O52" s="50" t="s">
        <v>77</v>
      </c>
      <c r="P52" s="38">
        <v>2455.0</v>
      </c>
      <c r="Q52" s="38">
        <v>2918.0</v>
      </c>
      <c r="R52" s="38">
        <v>677.0</v>
      </c>
      <c r="S52" s="38">
        <v>1710.0</v>
      </c>
      <c r="T52" s="38">
        <v>112.0</v>
      </c>
      <c r="U52" s="48">
        <f t="shared" si="9"/>
        <v>6050</v>
      </c>
      <c r="V52" s="48">
        <f t="shared" si="10"/>
        <v>7872</v>
      </c>
      <c r="W52" s="49">
        <f t="shared" si="11"/>
        <v>0.405785124</v>
      </c>
      <c r="X52" s="49">
        <f t="shared" si="12"/>
        <v>0.4823140496</v>
      </c>
      <c r="Y52" s="49">
        <f t="shared" si="13"/>
        <v>0.1119008264</v>
      </c>
      <c r="Z52" s="32" t="str">
        <f t="shared" si="14"/>
        <v>Milton</v>
      </c>
      <c r="AA52" s="50" t="s">
        <v>77</v>
      </c>
      <c r="AB52" s="38">
        <v>10837.0</v>
      </c>
      <c r="AC52" s="48">
        <f t="shared" si="15"/>
        <v>2965</v>
      </c>
      <c r="AD52" s="51">
        <f t="shared" si="16"/>
        <v>0.7264002953</v>
      </c>
    </row>
    <row r="53">
      <c r="A53" s="23"/>
      <c r="B53" s="46" t="s">
        <v>1771</v>
      </c>
      <c r="C53" s="47"/>
      <c r="D53" s="38">
        <v>1171.0</v>
      </c>
      <c r="E53" s="38">
        <v>243.0</v>
      </c>
      <c r="F53" s="38">
        <v>458.0</v>
      </c>
      <c r="G53" s="38">
        <v>172.0</v>
      </c>
      <c r="H53" s="38">
        <v>69.0</v>
      </c>
      <c r="I53" s="48">
        <f t="shared" si="3"/>
        <v>1872</v>
      </c>
      <c r="J53" s="48">
        <f t="shared" si="4"/>
        <v>2113</v>
      </c>
      <c r="K53" s="49">
        <f t="shared" si="5"/>
        <v>0.625534188</v>
      </c>
      <c r="L53" s="49">
        <f t="shared" si="6"/>
        <v>0.1298076923</v>
      </c>
      <c r="M53" s="49">
        <f t="shared" si="7"/>
        <v>0.2446581197</v>
      </c>
      <c r="N53" s="32" t="str">
        <f t="shared" si="8"/>
        <v>Jânio</v>
      </c>
      <c r="O53" s="50" t="s">
        <v>77</v>
      </c>
      <c r="P53" s="38">
        <v>408.0</v>
      </c>
      <c r="Q53" s="38">
        <v>812.0</v>
      </c>
      <c r="R53" s="38">
        <v>129.0</v>
      </c>
      <c r="S53" s="38">
        <v>735.0</v>
      </c>
      <c r="T53" s="38">
        <v>29.0</v>
      </c>
      <c r="U53" s="48">
        <f t="shared" si="9"/>
        <v>1349</v>
      </c>
      <c r="V53" s="48">
        <f t="shared" si="10"/>
        <v>2113</v>
      </c>
      <c r="W53" s="49">
        <f t="shared" si="11"/>
        <v>0.3024462565</v>
      </c>
      <c r="X53" s="49">
        <f t="shared" si="12"/>
        <v>0.6019273536</v>
      </c>
      <c r="Y53" s="49">
        <f t="shared" si="13"/>
        <v>0.09562638992</v>
      </c>
      <c r="Z53" s="32" t="str">
        <f t="shared" si="14"/>
        <v>Milton</v>
      </c>
      <c r="AA53" s="50" t="s">
        <v>77</v>
      </c>
      <c r="AB53" s="38">
        <v>2953.0</v>
      </c>
      <c r="AC53" s="48">
        <f t="shared" si="15"/>
        <v>840</v>
      </c>
      <c r="AD53" s="51">
        <f t="shared" si="16"/>
        <v>0.7155435151</v>
      </c>
    </row>
    <row r="54">
      <c r="A54" s="24"/>
      <c r="B54" s="46" t="s">
        <v>1772</v>
      </c>
      <c r="C54" s="47"/>
      <c r="D54" s="38">
        <v>1481.0</v>
      </c>
      <c r="E54" s="38">
        <v>324.0</v>
      </c>
      <c r="F54" s="38">
        <v>649.0</v>
      </c>
      <c r="G54" s="38">
        <v>143.0</v>
      </c>
      <c r="H54" s="38">
        <v>106.0</v>
      </c>
      <c r="I54" s="48">
        <f t="shared" si="3"/>
        <v>2454</v>
      </c>
      <c r="J54" s="48">
        <f t="shared" si="4"/>
        <v>2703</v>
      </c>
      <c r="K54" s="49">
        <f t="shared" si="5"/>
        <v>0.6035044825</v>
      </c>
      <c r="L54" s="49">
        <f t="shared" si="6"/>
        <v>0.1320293399</v>
      </c>
      <c r="M54" s="49">
        <f t="shared" si="7"/>
        <v>0.2644661777</v>
      </c>
      <c r="N54" s="32" t="str">
        <f t="shared" si="8"/>
        <v>Jânio</v>
      </c>
      <c r="O54" s="50" t="s">
        <v>77</v>
      </c>
      <c r="P54" s="38">
        <v>599.0</v>
      </c>
      <c r="Q54" s="38">
        <v>1064.0</v>
      </c>
      <c r="R54" s="38">
        <v>211.0</v>
      </c>
      <c r="S54" s="38">
        <v>780.0</v>
      </c>
      <c r="T54" s="38">
        <v>49.0</v>
      </c>
      <c r="U54" s="48">
        <f t="shared" si="9"/>
        <v>1874</v>
      </c>
      <c r="V54" s="48">
        <f t="shared" si="10"/>
        <v>2703</v>
      </c>
      <c r="W54" s="49">
        <f t="shared" si="11"/>
        <v>0.3196371398</v>
      </c>
      <c r="X54" s="49">
        <f t="shared" si="12"/>
        <v>0.5677694771</v>
      </c>
      <c r="Y54" s="49">
        <f t="shared" si="13"/>
        <v>0.1125933831</v>
      </c>
      <c r="Z54" s="32" t="str">
        <f t="shared" si="14"/>
        <v>Milton</v>
      </c>
      <c r="AA54" s="50" t="s">
        <v>77</v>
      </c>
      <c r="AB54" s="38">
        <v>3696.0</v>
      </c>
      <c r="AC54" s="48">
        <f t="shared" si="15"/>
        <v>993</v>
      </c>
      <c r="AD54" s="51">
        <f t="shared" si="16"/>
        <v>0.7313311688</v>
      </c>
    </row>
    <row r="55">
      <c r="A55" s="110" t="s">
        <v>205</v>
      </c>
      <c r="B55" s="46" t="s">
        <v>1773</v>
      </c>
      <c r="C55" s="47"/>
      <c r="D55" s="38">
        <v>1342.0</v>
      </c>
      <c r="E55" s="38">
        <v>955.0</v>
      </c>
      <c r="F55" s="38">
        <v>607.0</v>
      </c>
      <c r="G55" s="38">
        <v>181.0</v>
      </c>
      <c r="H55" s="38">
        <v>97.0</v>
      </c>
      <c r="I55" s="48">
        <f t="shared" si="3"/>
        <v>2904</v>
      </c>
      <c r="J55" s="48">
        <f t="shared" si="4"/>
        <v>3182</v>
      </c>
      <c r="K55" s="49">
        <f t="shared" si="5"/>
        <v>0.4621212121</v>
      </c>
      <c r="L55" s="49">
        <f t="shared" si="6"/>
        <v>0.3288567493</v>
      </c>
      <c r="M55" s="49">
        <f t="shared" si="7"/>
        <v>0.2090220386</v>
      </c>
      <c r="N55" s="32" t="str">
        <f t="shared" si="8"/>
        <v>Jânio</v>
      </c>
      <c r="O55" s="50" t="s">
        <v>77</v>
      </c>
      <c r="P55" s="38">
        <v>1450.0</v>
      </c>
      <c r="Q55" s="38">
        <v>614.0</v>
      </c>
      <c r="R55" s="38">
        <v>439.0</v>
      </c>
      <c r="S55" s="38">
        <v>627.0</v>
      </c>
      <c r="T55" s="38">
        <v>52.0</v>
      </c>
      <c r="U55" s="48">
        <f t="shared" si="9"/>
        <v>2503</v>
      </c>
      <c r="V55" s="48">
        <f t="shared" si="10"/>
        <v>3182</v>
      </c>
      <c r="W55" s="49">
        <f t="shared" si="11"/>
        <v>0.5793048342</v>
      </c>
      <c r="X55" s="49">
        <f t="shared" si="12"/>
        <v>0.2453056332</v>
      </c>
      <c r="Y55" s="49">
        <f t="shared" si="13"/>
        <v>0.1753895326</v>
      </c>
      <c r="Z55" s="32" t="str">
        <f t="shared" si="14"/>
        <v>Jango</v>
      </c>
      <c r="AA55" s="50" t="s">
        <v>77</v>
      </c>
      <c r="AB55" s="38">
        <v>3415.0</v>
      </c>
      <c r="AC55" s="48">
        <f t="shared" si="15"/>
        <v>233</v>
      </c>
      <c r="AD55" s="51">
        <f t="shared" si="16"/>
        <v>0.9317715959</v>
      </c>
    </row>
    <row r="56">
      <c r="A56" s="61" t="s">
        <v>141</v>
      </c>
      <c r="B56" s="46" t="s">
        <v>1774</v>
      </c>
      <c r="C56" s="47"/>
      <c r="D56" s="38">
        <v>5324.0</v>
      </c>
      <c r="E56" s="38">
        <v>1220.0</v>
      </c>
      <c r="F56" s="38">
        <v>2565.0</v>
      </c>
      <c r="G56" s="38">
        <v>499.0</v>
      </c>
      <c r="H56" s="38">
        <v>246.0</v>
      </c>
      <c r="I56" s="48">
        <f t="shared" si="3"/>
        <v>9109</v>
      </c>
      <c r="J56" s="48">
        <f t="shared" si="4"/>
        <v>9854</v>
      </c>
      <c r="K56" s="49">
        <f t="shared" si="5"/>
        <v>0.584476891</v>
      </c>
      <c r="L56" s="49">
        <f t="shared" si="6"/>
        <v>0.1339334724</v>
      </c>
      <c r="M56" s="49">
        <f t="shared" si="7"/>
        <v>0.2815896366</v>
      </c>
      <c r="N56" s="32" t="str">
        <f t="shared" si="8"/>
        <v>Jânio</v>
      </c>
      <c r="O56" s="50" t="s">
        <v>77</v>
      </c>
      <c r="P56" s="38">
        <v>2544.0</v>
      </c>
      <c r="Q56" s="38">
        <v>3322.0</v>
      </c>
      <c r="R56" s="38">
        <v>1629.0</v>
      </c>
      <c r="S56" s="38">
        <v>2229.0</v>
      </c>
      <c r="T56" s="38">
        <v>130.0</v>
      </c>
      <c r="U56" s="48">
        <f t="shared" si="9"/>
        <v>7495</v>
      </c>
      <c r="V56" s="48">
        <f t="shared" si="10"/>
        <v>9854</v>
      </c>
      <c r="W56" s="49">
        <f t="shared" si="11"/>
        <v>0.3394262842</v>
      </c>
      <c r="X56" s="49">
        <f t="shared" si="12"/>
        <v>0.4432288192</v>
      </c>
      <c r="Y56" s="49">
        <f t="shared" si="13"/>
        <v>0.2173448966</v>
      </c>
      <c r="Z56" s="32" t="str">
        <f t="shared" si="14"/>
        <v>Milton</v>
      </c>
      <c r="AA56" s="50" t="s">
        <v>77</v>
      </c>
      <c r="AB56" s="38">
        <v>13149.0</v>
      </c>
      <c r="AC56" s="48">
        <f t="shared" si="15"/>
        <v>3295</v>
      </c>
      <c r="AD56" s="51">
        <f t="shared" si="16"/>
        <v>0.7494106016</v>
      </c>
    </row>
    <row r="57">
      <c r="A57" s="24"/>
      <c r="B57" s="46" t="s">
        <v>1775</v>
      </c>
      <c r="C57" s="47"/>
      <c r="D57" s="38">
        <v>1342.0</v>
      </c>
      <c r="E57" s="38">
        <v>159.0</v>
      </c>
      <c r="F57" s="38">
        <v>582.0</v>
      </c>
      <c r="G57" s="38">
        <v>325.0</v>
      </c>
      <c r="H57" s="38">
        <v>49.0</v>
      </c>
      <c r="I57" s="48">
        <f t="shared" si="3"/>
        <v>2083</v>
      </c>
      <c r="J57" s="48">
        <f t="shared" si="4"/>
        <v>2457</v>
      </c>
      <c r="K57" s="49">
        <f t="shared" si="5"/>
        <v>0.6442630821</v>
      </c>
      <c r="L57" s="49">
        <f t="shared" si="6"/>
        <v>0.07633221315</v>
      </c>
      <c r="M57" s="49">
        <f t="shared" si="7"/>
        <v>0.2794047048</v>
      </c>
      <c r="N57" s="32" t="str">
        <f t="shared" si="8"/>
        <v>Jânio</v>
      </c>
      <c r="O57" s="50" t="s">
        <v>77</v>
      </c>
      <c r="P57" s="38">
        <v>470.0</v>
      </c>
      <c r="Q57" s="38">
        <v>693.0</v>
      </c>
      <c r="R57" s="38">
        <v>288.0</v>
      </c>
      <c r="S57" s="38">
        <v>967.0</v>
      </c>
      <c r="T57" s="38">
        <v>39.0</v>
      </c>
      <c r="U57" s="48">
        <f t="shared" si="9"/>
        <v>1451</v>
      </c>
      <c r="V57" s="48">
        <f t="shared" si="10"/>
        <v>2457</v>
      </c>
      <c r="W57" s="49">
        <f t="shared" si="11"/>
        <v>0.3239145417</v>
      </c>
      <c r="X57" s="49">
        <f t="shared" si="12"/>
        <v>0.477601654</v>
      </c>
      <c r="Y57" s="49">
        <f t="shared" si="13"/>
        <v>0.1984838043</v>
      </c>
      <c r="Z57" s="32" t="str">
        <f t="shared" si="14"/>
        <v>Milton</v>
      </c>
      <c r="AA57" s="50" t="s">
        <v>77</v>
      </c>
      <c r="AB57" s="38">
        <v>3050.0</v>
      </c>
      <c r="AC57" s="48">
        <f t="shared" si="15"/>
        <v>593</v>
      </c>
      <c r="AD57" s="51">
        <f t="shared" si="16"/>
        <v>0.8055737705</v>
      </c>
    </row>
    <row r="58">
      <c r="A58" s="110" t="s">
        <v>143</v>
      </c>
      <c r="B58" s="46" t="s">
        <v>1776</v>
      </c>
      <c r="C58" s="47"/>
      <c r="D58" s="38">
        <v>1922.0</v>
      </c>
      <c r="E58" s="38">
        <v>756.0</v>
      </c>
      <c r="F58" s="38">
        <v>371.0</v>
      </c>
      <c r="G58" s="38">
        <v>267.0</v>
      </c>
      <c r="H58" s="38">
        <v>138.0</v>
      </c>
      <c r="I58" s="48">
        <f t="shared" si="3"/>
        <v>3049</v>
      </c>
      <c r="J58" s="48">
        <f t="shared" si="4"/>
        <v>3454</v>
      </c>
      <c r="K58" s="49">
        <f t="shared" si="5"/>
        <v>0.6303706133</v>
      </c>
      <c r="L58" s="49">
        <f t="shared" si="6"/>
        <v>0.2479501476</v>
      </c>
      <c r="M58" s="49">
        <f t="shared" si="7"/>
        <v>0.1216792391</v>
      </c>
      <c r="N58" s="32" t="str">
        <f t="shared" si="8"/>
        <v>Jânio</v>
      </c>
      <c r="O58" s="50" t="s">
        <v>77</v>
      </c>
      <c r="P58" s="38">
        <v>894.0</v>
      </c>
      <c r="Q58" s="38">
        <v>708.0</v>
      </c>
      <c r="R58" s="38">
        <v>885.0</v>
      </c>
      <c r="S58" s="38">
        <v>901.0</v>
      </c>
      <c r="T58" s="38">
        <v>66.0</v>
      </c>
      <c r="U58" s="48">
        <f t="shared" si="9"/>
        <v>2487</v>
      </c>
      <c r="V58" s="48">
        <f t="shared" si="10"/>
        <v>3454</v>
      </c>
      <c r="W58" s="49">
        <f t="shared" si="11"/>
        <v>0.35946924</v>
      </c>
      <c r="X58" s="49">
        <f t="shared" si="12"/>
        <v>0.2846803378</v>
      </c>
      <c r="Y58" s="49">
        <f t="shared" si="13"/>
        <v>0.3558504222</v>
      </c>
      <c r="Z58" s="32" t="str">
        <f t="shared" si="14"/>
        <v>Jango</v>
      </c>
      <c r="AA58" s="50" t="s">
        <v>77</v>
      </c>
      <c r="AB58" s="38">
        <v>3627.0</v>
      </c>
      <c r="AC58" s="48">
        <f t="shared" si="15"/>
        <v>173</v>
      </c>
      <c r="AD58" s="51">
        <f t="shared" si="16"/>
        <v>0.9523021781</v>
      </c>
    </row>
    <row r="59">
      <c r="A59" s="110" t="s">
        <v>145</v>
      </c>
      <c r="B59" s="46" t="s">
        <v>1777</v>
      </c>
      <c r="C59" s="47"/>
      <c r="D59" s="38">
        <v>2764.0</v>
      </c>
      <c r="E59" s="38">
        <v>1059.0</v>
      </c>
      <c r="F59" s="38">
        <v>475.0</v>
      </c>
      <c r="G59" s="38">
        <v>407.0</v>
      </c>
      <c r="H59" s="38">
        <v>230.0</v>
      </c>
      <c r="I59" s="48">
        <f t="shared" si="3"/>
        <v>4298</v>
      </c>
      <c r="J59" s="48">
        <f t="shared" si="4"/>
        <v>4935</v>
      </c>
      <c r="K59" s="49">
        <f t="shared" si="5"/>
        <v>0.6430898092</v>
      </c>
      <c r="L59" s="49">
        <f t="shared" si="6"/>
        <v>0.2463936715</v>
      </c>
      <c r="M59" s="49">
        <f t="shared" si="7"/>
        <v>0.1105165193</v>
      </c>
      <c r="N59" s="32" t="str">
        <f t="shared" si="8"/>
        <v>Jânio</v>
      </c>
      <c r="O59" s="50" t="s">
        <v>77</v>
      </c>
      <c r="P59" s="38">
        <v>1378.0</v>
      </c>
      <c r="Q59" s="38">
        <v>1507.0</v>
      </c>
      <c r="R59" s="38">
        <v>652.0</v>
      </c>
      <c r="S59" s="38">
        <v>1301.0</v>
      </c>
      <c r="T59" s="38">
        <v>97.0</v>
      </c>
      <c r="U59" s="48">
        <f t="shared" si="9"/>
        <v>3537</v>
      </c>
      <c r="V59" s="48">
        <f t="shared" si="10"/>
        <v>4935</v>
      </c>
      <c r="W59" s="49">
        <f t="shared" si="11"/>
        <v>0.3895957026</v>
      </c>
      <c r="X59" s="49">
        <f t="shared" si="12"/>
        <v>0.4260672887</v>
      </c>
      <c r="Y59" s="49">
        <f t="shared" si="13"/>
        <v>0.1843370088</v>
      </c>
      <c r="Z59" s="32" t="str">
        <f t="shared" si="14"/>
        <v>Milton</v>
      </c>
      <c r="AA59" s="50" t="s">
        <v>77</v>
      </c>
      <c r="AB59" s="38">
        <v>5238.0</v>
      </c>
      <c r="AC59" s="48">
        <f t="shared" si="15"/>
        <v>303</v>
      </c>
      <c r="AD59" s="51">
        <f t="shared" si="16"/>
        <v>0.9421534937</v>
      </c>
    </row>
    <row r="60">
      <c r="A60" s="61" t="s">
        <v>207</v>
      </c>
      <c r="B60" s="46" t="s">
        <v>1778</v>
      </c>
      <c r="C60" s="47"/>
      <c r="D60" s="38">
        <v>6966.0</v>
      </c>
      <c r="E60" s="38">
        <v>2563.0</v>
      </c>
      <c r="F60" s="38">
        <v>2230.0</v>
      </c>
      <c r="G60" s="38">
        <v>971.0</v>
      </c>
      <c r="H60" s="38">
        <v>465.0</v>
      </c>
      <c r="I60" s="48">
        <f t="shared" si="3"/>
        <v>11759</v>
      </c>
      <c r="J60" s="48">
        <f t="shared" si="4"/>
        <v>13195</v>
      </c>
      <c r="K60" s="49">
        <f t="shared" si="5"/>
        <v>0.5923973127</v>
      </c>
      <c r="L60" s="49">
        <f t="shared" si="6"/>
        <v>0.2179607109</v>
      </c>
      <c r="M60" s="49">
        <f t="shared" si="7"/>
        <v>0.1896419764</v>
      </c>
      <c r="N60" s="32" t="str">
        <f t="shared" si="8"/>
        <v>Jânio</v>
      </c>
      <c r="O60" s="50" t="s">
        <v>77</v>
      </c>
      <c r="P60" s="38">
        <v>4366.0</v>
      </c>
      <c r="Q60" s="38">
        <v>2592.0</v>
      </c>
      <c r="R60" s="38">
        <v>2596.0</v>
      </c>
      <c r="S60" s="38">
        <v>3279.0</v>
      </c>
      <c r="T60" s="38">
        <v>362.0</v>
      </c>
      <c r="U60" s="48">
        <f t="shared" si="9"/>
        <v>9554</v>
      </c>
      <c r="V60" s="48">
        <f t="shared" si="10"/>
        <v>13195</v>
      </c>
      <c r="W60" s="49">
        <f t="shared" si="11"/>
        <v>0.4569813691</v>
      </c>
      <c r="X60" s="49">
        <f t="shared" si="12"/>
        <v>0.2712999791</v>
      </c>
      <c r="Y60" s="49">
        <f t="shared" si="13"/>
        <v>0.2717186519</v>
      </c>
      <c r="Z60" s="32" t="str">
        <f t="shared" si="14"/>
        <v>Jango</v>
      </c>
      <c r="AA60" s="50" t="s">
        <v>77</v>
      </c>
      <c r="AB60" s="38">
        <v>17000.0</v>
      </c>
      <c r="AC60" s="48">
        <f t="shared" si="15"/>
        <v>3805</v>
      </c>
      <c r="AD60" s="51">
        <f t="shared" si="16"/>
        <v>0.7761764706</v>
      </c>
    </row>
    <row r="61">
      <c r="A61" s="24"/>
      <c r="B61" s="46" t="s">
        <v>1779</v>
      </c>
      <c r="C61" s="47"/>
      <c r="D61" s="38">
        <v>2193.0</v>
      </c>
      <c r="E61" s="38">
        <v>663.0</v>
      </c>
      <c r="F61" s="38">
        <v>911.0</v>
      </c>
      <c r="G61" s="38">
        <v>341.0</v>
      </c>
      <c r="H61" s="38">
        <v>280.0</v>
      </c>
      <c r="I61" s="48">
        <f t="shared" si="3"/>
        <v>3767</v>
      </c>
      <c r="J61" s="48">
        <f t="shared" si="4"/>
        <v>4388</v>
      </c>
      <c r="K61" s="49">
        <f t="shared" si="5"/>
        <v>0.5821608707</v>
      </c>
      <c r="L61" s="49">
        <f t="shared" si="6"/>
        <v>0.1760021237</v>
      </c>
      <c r="M61" s="49">
        <f t="shared" si="7"/>
        <v>0.2418370056</v>
      </c>
      <c r="N61" s="32" t="str">
        <f t="shared" si="8"/>
        <v>Jânio</v>
      </c>
      <c r="O61" s="50" t="s">
        <v>77</v>
      </c>
      <c r="P61" s="38">
        <v>1302.0</v>
      </c>
      <c r="Q61" s="38">
        <v>681.0</v>
      </c>
      <c r="R61" s="38">
        <v>801.0</v>
      </c>
      <c r="S61" s="38">
        <v>1098.0</v>
      </c>
      <c r="T61" s="38">
        <v>506.0</v>
      </c>
      <c r="U61" s="48">
        <f t="shared" si="9"/>
        <v>2784</v>
      </c>
      <c r="V61" s="48">
        <f t="shared" si="10"/>
        <v>4388</v>
      </c>
      <c r="W61" s="49">
        <f t="shared" si="11"/>
        <v>0.4676724138</v>
      </c>
      <c r="X61" s="49">
        <f t="shared" si="12"/>
        <v>0.244612069</v>
      </c>
      <c r="Y61" s="49">
        <f t="shared" si="13"/>
        <v>0.2877155172</v>
      </c>
      <c r="Z61" s="32" t="str">
        <f t="shared" si="14"/>
        <v>Jango</v>
      </c>
      <c r="AA61" s="50" t="s">
        <v>77</v>
      </c>
      <c r="AB61" s="38">
        <v>6000.0</v>
      </c>
      <c r="AC61" s="48">
        <f t="shared" si="15"/>
        <v>1612</v>
      </c>
      <c r="AD61" s="51">
        <f t="shared" si="16"/>
        <v>0.7313333333</v>
      </c>
    </row>
    <row r="62">
      <c r="A62" s="61" t="s">
        <v>209</v>
      </c>
      <c r="B62" s="46" t="s">
        <v>1780</v>
      </c>
      <c r="C62" s="47"/>
      <c r="D62" s="38">
        <v>1112.0</v>
      </c>
      <c r="E62" s="38">
        <v>989.0</v>
      </c>
      <c r="F62" s="38">
        <v>1364.0</v>
      </c>
      <c r="G62" s="38">
        <v>474.0</v>
      </c>
      <c r="H62" s="38">
        <v>156.0</v>
      </c>
      <c r="I62" s="48">
        <f t="shared" si="3"/>
        <v>3465</v>
      </c>
      <c r="J62" s="48">
        <f t="shared" si="4"/>
        <v>4095</v>
      </c>
      <c r="K62" s="49">
        <f t="shared" si="5"/>
        <v>0.3209235209</v>
      </c>
      <c r="L62" s="49">
        <f t="shared" si="6"/>
        <v>0.2854256854</v>
      </c>
      <c r="M62" s="49">
        <f t="shared" si="7"/>
        <v>0.3936507937</v>
      </c>
      <c r="N62" s="32" t="str">
        <f t="shared" si="8"/>
        <v>Adhemar</v>
      </c>
      <c r="O62" s="50" t="s">
        <v>77</v>
      </c>
      <c r="P62" s="38">
        <v>1655.0</v>
      </c>
      <c r="Q62" s="38">
        <v>654.0</v>
      </c>
      <c r="R62" s="38">
        <v>762.0</v>
      </c>
      <c r="S62" s="38">
        <v>932.0</v>
      </c>
      <c r="T62" s="38">
        <v>92.0</v>
      </c>
      <c r="U62" s="48">
        <f t="shared" si="9"/>
        <v>3071</v>
      </c>
      <c r="V62" s="48">
        <f t="shared" si="10"/>
        <v>4095</v>
      </c>
      <c r="W62" s="49">
        <f t="shared" si="11"/>
        <v>0.5389124064</v>
      </c>
      <c r="X62" s="49">
        <f t="shared" si="12"/>
        <v>0.2129599479</v>
      </c>
      <c r="Y62" s="49">
        <f t="shared" si="13"/>
        <v>0.2481276457</v>
      </c>
      <c r="Z62" s="32" t="str">
        <f t="shared" si="14"/>
        <v>Jango</v>
      </c>
      <c r="AA62" s="50" t="s">
        <v>77</v>
      </c>
      <c r="AB62" s="38">
        <v>5012.0</v>
      </c>
      <c r="AC62" s="48">
        <f t="shared" si="15"/>
        <v>917</v>
      </c>
      <c r="AD62" s="51">
        <f t="shared" si="16"/>
        <v>0.8170391061</v>
      </c>
    </row>
    <row r="63">
      <c r="A63" s="23"/>
      <c r="B63" s="46" t="s">
        <v>1781</v>
      </c>
      <c r="C63" s="47"/>
      <c r="D63" s="38">
        <v>1054.0</v>
      </c>
      <c r="E63" s="38">
        <v>468.0</v>
      </c>
      <c r="F63" s="38">
        <v>384.0</v>
      </c>
      <c r="G63" s="38">
        <v>230.0</v>
      </c>
      <c r="H63" s="38">
        <v>99.0</v>
      </c>
      <c r="I63" s="48">
        <f t="shared" si="3"/>
        <v>1906</v>
      </c>
      <c r="J63" s="48">
        <f t="shared" si="4"/>
        <v>2235</v>
      </c>
      <c r="K63" s="49">
        <f t="shared" si="5"/>
        <v>0.5529905561</v>
      </c>
      <c r="L63" s="49">
        <f t="shared" si="6"/>
        <v>0.2455403987</v>
      </c>
      <c r="M63" s="49">
        <f t="shared" si="7"/>
        <v>0.2014690451</v>
      </c>
      <c r="N63" s="32" t="str">
        <f t="shared" si="8"/>
        <v>Jânio</v>
      </c>
      <c r="O63" s="50" t="s">
        <v>77</v>
      </c>
      <c r="P63" s="38">
        <v>798.0</v>
      </c>
      <c r="Q63" s="38">
        <v>258.0</v>
      </c>
      <c r="R63" s="38">
        <v>563.0</v>
      </c>
      <c r="S63" s="38">
        <v>560.0</v>
      </c>
      <c r="T63" s="38">
        <v>56.0</v>
      </c>
      <c r="U63" s="48">
        <f t="shared" si="9"/>
        <v>1619</v>
      </c>
      <c r="V63" s="48">
        <f t="shared" si="10"/>
        <v>2235</v>
      </c>
      <c r="W63" s="49">
        <f t="shared" si="11"/>
        <v>0.4928968499</v>
      </c>
      <c r="X63" s="49">
        <f t="shared" si="12"/>
        <v>0.1593576282</v>
      </c>
      <c r="Y63" s="49">
        <f t="shared" si="13"/>
        <v>0.3477455219</v>
      </c>
      <c r="Z63" s="32" t="str">
        <f t="shared" si="14"/>
        <v>Jango</v>
      </c>
      <c r="AA63" s="50" t="s">
        <v>77</v>
      </c>
      <c r="AB63" s="38">
        <v>2717.0</v>
      </c>
      <c r="AC63" s="48">
        <f t="shared" si="15"/>
        <v>482</v>
      </c>
      <c r="AD63" s="51">
        <f t="shared" si="16"/>
        <v>0.8225984542</v>
      </c>
    </row>
    <row r="64">
      <c r="A64" s="24"/>
      <c r="B64" s="46" t="s">
        <v>1782</v>
      </c>
      <c r="C64" s="47"/>
      <c r="D64" s="38">
        <v>801.0</v>
      </c>
      <c r="E64" s="38">
        <v>244.0</v>
      </c>
      <c r="F64" s="38">
        <v>248.0</v>
      </c>
      <c r="G64" s="38">
        <v>203.0</v>
      </c>
      <c r="H64" s="38">
        <v>86.0</v>
      </c>
      <c r="I64" s="48">
        <f t="shared" si="3"/>
        <v>1293</v>
      </c>
      <c r="J64" s="48">
        <f t="shared" si="4"/>
        <v>1582</v>
      </c>
      <c r="K64" s="49">
        <f t="shared" si="5"/>
        <v>0.6194895592</v>
      </c>
      <c r="L64" s="49">
        <f t="shared" si="6"/>
        <v>0.18870843</v>
      </c>
      <c r="M64" s="49">
        <f t="shared" si="7"/>
        <v>0.1918020108</v>
      </c>
      <c r="N64" s="32" t="str">
        <f t="shared" si="8"/>
        <v>Jânio</v>
      </c>
      <c r="O64" s="50" t="s">
        <v>77</v>
      </c>
      <c r="P64" s="38">
        <v>537.0</v>
      </c>
      <c r="Q64" s="38">
        <v>194.0</v>
      </c>
      <c r="R64" s="38">
        <v>362.0</v>
      </c>
      <c r="S64" s="38">
        <v>428.0</v>
      </c>
      <c r="T64" s="38">
        <v>61.0</v>
      </c>
      <c r="U64" s="48">
        <f t="shared" si="9"/>
        <v>1093</v>
      </c>
      <c r="V64" s="48">
        <f t="shared" si="10"/>
        <v>1582</v>
      </c>
      <c r="W64" s="49">
        <f t="shared" si="11"/>
        <v>0.4913083257</v>
      </c>
      <c r="X64" s="49">
        <f t="shared" si="12"/>
        <v>0.1774931382</v>
      </c>
      <c r="Y64" s="49">
        <f t="shared" si="13"/>
        <v>0.3311985361</v>
      </c>
      <c r="Z64" s="32" t="str">
        <f t="shared" si="14"/>
        <v>Jango</v>
      </c>
      <c r="AA64" s="50" t="s">
        <v>77</v>
      </c>
      <c r="AB64" s="38">
        <v>1844.0</v>
      </c>
      <c r="AC64" s="48">
        <f t="shared" si="15"/>
        <v>262</v>
      </c>
      <c r="AD64" s="51">
        <f t="shared" si="16"/>
        <v>0.8579175705</v>
      </c>
    </row>
    <row r="65">
      <c r="A65" s="61" t="s">
        <v>211</v>
      </c>
      <c r="B65" s="46" t="s">
        <v>1783</v>
      </c>
      <c r="C65" s="47"/>
      <c r="D65" s="38">
        <v>3244.0</v>
      </c>
      <c r="E65" s="38">
        <v>2029.0</v>
      </c>
      <c r="F65" s="38">
        <v>1877.0</v>
      </c>
      <c r="G65" s="38">
        <v>281.0</v>
      </c>
      <c r="H65" s="38">
        <v>145.0</v>
      </c>
      <c r="I65" s="48">
        <f t="shared" si="3"/>
        <v>7150</v>
      </c>
      <c r="J65" s="48">
        <f t="shared" si="4"/>
        <v>7576</v>
      </c>
      <c r="K65" s="49">
        <f t="shared" si="5"/>
        <v>0.4537062937</v>
      </c>
      <c r="L65" s="49">
        <f t="shared" si="6"/>
        <v>0.2837762238</v>
      </c>
      <c r="M65" s="49">
        <f t="shared" si="7"/>
        <v>0.2625174825</v>
      </c>
      <c r="N65" s="32" t="str">
        <f t="shared" si="8"/>
        <v>Jânio</v>
      </c>
      <c r="O65" s="50" t="s">
        <v>77</v>
      </c>
      <c r="P65" s="38">
        <v>2981.0</v>
      </c>
      <c r="Q65" s="38">
        <v>1895.0</v>
      </c>
      <c r="R65" s="38">
        <v>1599.0</v>
      </c>
      <c r="S65" s="38">
        <v>1007.0</v>
      </c>
      <c r="T65" s="38">
        <v>94.0</v>
      </c>
      <c r="U65" s="48">
        <f t="shared" si="9"/>
        <v>6475</v>
      </c>
      <c r="V65" s="48">
        <f t="shared" si="10"/>
        <v>7576</v>
      </c>
      <c r="W65" s="49">
        <f t="shared" si="11"/>
        <v>0.4603861004</v>
      </c>
      <c r="X65" s="49">
        <f t="shared" si="12"/>
        <v>0.2926640927</v>
      </c>
      <c r="Y65" s="49">
        <f t="shared" si="13"/>
        <v>0.2469498069</v>
      </c>
      <c r="Z65" s="32" t="str">
        <f t="shared" si="14"/>
        <v>Jango</v>
      </c>
      <c r="AA65" s="50" t="s">
        <v>77</v>
      </c>
      <c r="AB65" s="38">
        <v>8775.0</v>
      </c>
      <c r="AC65" s="48">
        <f t="shared" si="15"/>
        <v>1199</v>
      </c>
      <c r="AD65" s="51">
        <f t="shared" si="16"/>
        <v>0.8633618234</v>
      </c>
    </row>
    <row r="66">
      <c r="A66" s="23"/>
      <c r="B66" s="46" t="s">
        <v>1784</v>
      </c>
      <c r="C66" s="47"/>
      <c r="D66" s="38">
        <v>998.0</v>
      </c>
      <c r="E66" s="38">
        <v>407.0</v>
      </c>
      <c r="F66" s="38">
        <v>319.0</v>
      </c>
      <c r="G66" s="38">
        <v>182.0</v>
      </c>
      <c r="H66" s="38">
        <v>62.0</v>
      </c>
      <c r="I66" s="48">
        <f t="shared" si="3"/>
        <v>1724</v>
      </c>
      <c r="J66" s="48">
        <f t="shared" si="4"/>
        <v>1968</v>
      </c>
      <c r="K66" s="49">
        <f t="shared" si="5"/>
        <v>0.5788863109</v>
      </c>
      <c r="L66" s="49">
        <f t="shared" si="6"/>
        <v>0.2360788863</v>
      </c>
      <c r="M66" s="49">
        <f t="shared" si="7"/>
        <v>0.1850348028</v>
      </c>
      <c r="N66" s="32" t="str">
        <f t="shared" si="8"/>
        <v>Jânio</v>
      </c>
      <c r="O66" s="50" t="s">
        <v>77</v>
      </c>
      <c r="P66" s="38">
        <v>701.0</v>
      </c>
      <c r="Q66" s="38">
        <v>308.0</v>
      </c>
      <c r="R66" s="38">
        <v>332.0</v>
      </c>
      <c r="S66" s="38">
        <v>604.0</v>
      </c>
      <c r="T66" s="38">
        <v>23.0</v>
      </c>
      <c r="U66" s="48">
        <f t="shared" si="9"/>
        <v>1341</v>
      </c>
      <c r="V66" s="48">
        <f t="shared" si="10"/>
        <v>1968</v>
      </c>
      <c r="W66" s="49">
        <f t="shared" si="11"/>
        <v>0.5227442207</v>
      </c>
      <c r="X66" s="49">
        <f t="shared" si="12"/>
        <v>0.2296793438</v>
      </c>
      <c r="Y66" s="49">
        <f t="shared" si="13"/>
        <v>0.2475764355</v>
      </c>
      <c r="Z66" s="32" t="str">
        <f t="shared" si="14"/>
        <v>Jango</v>
      </c>
      <c r="AA66" s="50" t="s">
        <v>77</v>
      </c>
      <c r="AB66" s="38">
        <v>2233.0</v>
      </c>
      <c r="AC66" s="48">
        <f t="shared" si="15"/>
        <v>265</v>
      </c>
      <c r="AD66" s="51">
        <f t="shared" si="16"/>
        <v>0.881325571</v>
      </c>
    </row>
    <row r="67">
      <c r="A67" s="24"/>
      <c r="B67" s="46" t="s">
        <v>1785</v>
      </c>
      <c r="C67" s="47"/>
      <c r="D67" s="38">
        <v>788.0</v>
      </c>
      <c r="E67" s="38">
        <v>334.0</v>
      </c>
      <c r="F67" s="38">
        <v>211.0</v>
      </c>
      <c r="G67" s="38">
        <v>110.0</v>
      </c>
      <c r="H67" s="38">
        <v>43.0</v>
      </c>
      <c r="I67" s="48">
        <f t="shared" si="3"/>
        <v>1333</v>
      </c>
      <c r="J67" s="48">
        <f t="shared" si="4"/>
        <v>1486</v>
      </c>
      <c r="K67" s="49">
        <f t="shared" si="5"/>
        <v>0.5911477869</v>
      </c>
      <c r="L67" s="49">
        <f t="shared" si="6"/>
        <v>0.2505626407</v>
      </c>
      <c r="M67" s="49">
        <f t="shared" si="7"/>
        <v>0.1582895724</v>
      </c>
      <c r="N67" s="32" t="str">
        <f t="shared" si="8"/>
        <v>Jânio</v>
      </c>
      <c r="O67" s="50" t="s">
        <v>77</v>
      </c>
      <c r="P67" s="38">
        <v>553.0</v>
      </c>
      <c r="Q67" s="38">
        <v>374.0</v>
      </c>
      <c r="R67" s="38">
        <v>329.0</v>
      </c>
      <c r="S67" s="38">
        <v>205.0</v>
      </c>
      <c r="T67" s="38">
        <v>25.0</v>
      </c>
      <c r="U67" s="48">
        <f t="shared" si="9"/>
        <v>1256</v>
      </c>
      <c r="V67" s="48">
        <f t="shared" si="10"/>
        <v>1486</v>
      </c>
      <c r="W67" s="49">
        <f t="shared" si="11"/>
        <v>0.4402866242</v>
      </c>
      <c r="X67" s="49">
        <f t="shared" si="12"/>
        <v>0.2977707006</v>
      </c>
      <c r="Y67" s="49">
        <f t="shared" si="13"/>
        <v>0.2619426752</v>
      </c>
      <c r="Z67" s="32" t="str">
        <f t="shared" si="14"/>
        <v>Jango</v>
      </c>
      <c r="AA67" s="50" t="s">
        <v>77</v>
      </c>
      <c r="AB67" s="38">
        <v>1874.0</v>
      </c>
      <c r="AC67" s="48">
        <f t="shared" si="15"/>
        <v>388</v>
      </c>
      <c r="AD67" s="51">
        <f t="shared" si="16"/>
        <v>0.7929562433</v>
      </c>
    </row>
    <row r="68">
      <c r="A68" s="110" t="s">
        <v>213</v>
      </c>
      <c r="B68" s="46" t="s">
        <v>1786</v>
      </c>
      <c r="C68" s="47"/>
      <c r="D68" s="38">
        <v>3641.0</v>
      </c>
      <c r="E68" s="38">
        <v>1182.0</v>
      </c>
      <c r="F68" s="38">
        <v>1049.0</v>
      </c>
      <c r="G68" s="38">
        <v>372.0</v>
      </c>
      <c r="H68" s="38">
        <v>175.0</v>
      </c>
      <c r="I68" s="48">
        <f t="shared" si="3"/>
        <v>5872</v>
      </c>
      <c r="J68" s="48">
        <f t="shared" si="4"/>
        <v>6419</v>
      </c>
      <c r="K68" s="49">
        <f t="shared" si="5"/>
        <v>0.6200613079</v>
      </c>
      <c r="L68" s="49">
        <f t="shared" si="6"/>
        <v>0.2012942779</v>
      </c>
      <c r="M68" s="49">
        <f t="shared" si="7"/>
        <v>0.1786444142</v>
      </c>
      <c r="N68" s="32" t="str">
        <f t="shared" si="8"/>
        <v>Jânio</v>
      </c>
      <c r="O68" s="50" t="s">
        <v>77</v>
      </c>
      <c r="P68" s="38">
        <v>1951.0</v>
      </c>
      <c r="Q68" s="38">
        <v>1910.0</v>
      </c>
      <c r="R68" s="38">
        <v>1270.0</v>
      </c>
      <c r="S68" s="38">
        <v>1188.0</v>
      </c>
      <c r="T68" s="38">
        <v>100.0</v>
      </c>
      <c r="U68" s="48">
        <f t="shared" si="9"/>
        <v>5131</v>
      </c>
      <c r="V68" s="48">
        <f t="shared" si="10"/>
        <v>6419</v>
      </c>
      <c r="W68" s="49">
        <f t="shared" si="11"/>
        <v>0.3802377704</v>
      </c>
      <c r="X68" s="49">
        <f t="shared" si="12"/>
        <v>0.3722471253</v>
      </c>
      <c r="Y68" s="49">
        <f t="shared" si="13"/>
        <v>0.2475151043</v>
      </c>
      <c r="Z68" s="32" t="str">
        <f t="shared" si="14"/>
        <v>Jango</v>
      </c>
      <c r="AA68" s="50" t="s">
        <v>77</v>
      </c>
      <c r="AB68" s="38">
        <v>7003.0</v>
      </c>
      <c r="AC68" s="48">
        <f t="shared" si="15"/>
        <v>584</v>
      </c>
      <c r="AD68" s="51">
        <f t="shared" si="16"/>
        <v>0.9166071684</v>
      </c>
    </row>
    <row r="69">
      <c r="A69" s="61" t="s">
        <v>215</v>
      </c>
      <c r="B69" s="46" t="s">
        <v>1787</v>
      </c>
      <c r="C69" s="47"/>
      <c r="D69" s="38">
        <v>1552.0</v>
      </c>
      <c r="E69" s="38">
        <v>821.0</v>
      </c>
      <c r="F69" s="38">
        <v>881.0</v>
      </c>
      <c r="G69" s="38">
        <v>257.0</v>
      </c>
      <c r="H69" s="38">
        <v>107.0</v>
      </c>
      <c r="I69" s="48">
        <f t="shared" si="3"/>
        <v>3254</v>
      </c>
      <c r="J69" s="48">
        <f t="shared" si="4"/>
        <v>3618</v>
      </c>
      <c r="K69" s="49">
        <f t="shared" si="5"/>
        <v>0.4769514444</v>
      </c>
      <c r="L69" s="49">
        <f t="shared" si="6"/>
        <v>0.2523048556</v>
      </c>
      <c r="M69" s="49">
        <f t="shared" si="7"/>
        <v>0.2707437001</v>
      </c>
      <c r="N69" s="32" t="str">
        <f t="shared" si="8"/>
        <v>Jânio</v>
      </c>
      <c r="O69" s="50" t="s">
        <v>77</v>
      </c>
      <c r="P69" s="38">
        <v>1366.0</v>
      </c>
      <c r="Q69" s="38">
        <v>855.0</v>
      </c>
      <c r="R69" s="38">
        <v>394.0</v>
      </c>
      <c r="S69" s="38">
        <v>937.0</v>
      </c>
      <c r="T69" s="38">
        <v>66.0</v>
      </c>
      <c r="U69" s="48">
        <f t="shared" si="9"/>
        <v>2615</v>
      </c>
      <c r="V69" s="48">
        <f t="shared" si="10"/>
        <v>3618</v>
      </c>
      <c r="W69" s="49">
        <f t="shared" si="11"/>
        <v>0.5223709369</v>
      </c>
      <c r="X69" s="49">
        <f t="shared" si="12"/>
        <v>0.326959847</v>
      </c>
      <c r="Y69" s="49">
        <f t="shared" si="13"/>
        <v>0.1506692161</v>
      </c>
      <c r="Z69" s="32" t="str">
        <f t="shared" si="14"/>
        <v>Jango</v>
      </c>
      <c r="AA69" s="50" t="s">
        <v>77</v>
      </c>
      <c r="AB69" s="38">
        <v>4498.0</v>
      </c>
      <c r="AC69" s="48">
        <f t="shared" si="15"/>
        <v>880</v>
      </c>
      <c r="AD69" s="51">
        <f t="shared" si="16"/>
        <v>0.8043574922</v>
      </c>
    </row>
    <row r="70">
      <c r="A70" s="24"/>
      <c r="B70" s="46" t="s">
        <v>1788</v>
      </c>
      <c r="C70" s="47"/>
      <c r="D70" s="38">
        <v>1198.0</v>
      </c>
      <c r="E70" s="38">
        <v>463.0</v>
      </c>
      <c r="F70" s="38">
        <v>647.0</v>
      </c>
      <c r="G70" s="38">
        <v>287.0</v>
      </c>
      <c r="H70" s="38">
        <v>159.0</v>
      </c>
      <c r="I70" s="48">
        <f t="shared" si="3"/>
        <v>2308</v>
      </c>
      <c r="J70" s="48">
        <f t="shared" si="4"/>
        <v>2754</v>
      </c>
      <c r="K70" s="49">
        <f t="shared" si="5"/>
        <v>0.5190641248</v>
      </c>
      <c r="L70" s="49">
        <f t="shared" si="6"/>
        <v>0.2006065858</v>
      </c>
      <c r="M70" s="49">
        <f t="shared" si="7"/>
        <v>0.2803292894</v>
      </c>
      <c r="N70" s="32" t="str">
        <f t="shared" si="8"/>
        <v>Jânio</v>
      </c>
      <c r="O70" s="50" t="s">
        <v>77</v>
      </c>
      <c r="P70" s="38">
        <v>941.0</v>
      </c>
      <c r="Q70" s="38">
        <v>492.0</v>
      </c>
      <c r="R70" s="38">
        <v>167.0</v>
      </c>
      <c r="S70" s="38">
        <v>1096.0</v>
      </c>
      <c r="T70" s="38">
        <v>58.0</v>
      </c>
      <c r="U70" s="48">
        <f t="shared" si="9"/>
        <v>1600</v>
      </c>
      <c r="V70" s="48">
        <f t="shared" si="10"/>
        <v>2754</v>
      </c>
      <c r="W70" s="49">
        <f t="shared" si="11"/>
        <v>0.588125</v>
      </c>
      <c r="X70" s="49">
        <f t="shared" si="12"/>
        <v>0.3075</v>
      </c>
      <c r="Y70" s="49">
        <f t="shared" si="13"/>
        <v>0.104375</v>
      </c>
      <c r="Z70" s="32" t="str">
        <f t="shared" si="14"/>
        <v>Jango</v>
      </c>
      <c r="AA70" s="50" t="s">
        <v>77</v>
      </c>
      <c r="AB70" s="38">
        <v>3655.0</v>
      </c>
      <c r="AC70" s="48">
        <f t="shared" si="15"/>
        <v>901</v>
      </c>
      <c r="AD70" s="51">
        <f t="shared" si="16"/>
        <v>0.7534883721</v>
      </c>
    </row>
    <row r="71">
      <c r="A71" s="110" t="s">
        <v>218</v>
      </c>
      <c r="B71" s="46" t="s">
        <v>1789</v>
      </c>
      <c r="C71" s="47"/>
      <c r="D71" s="38">
        <v>1438.0</v>
      </c>
      <c r="E71" s="38">
        <v>790.0</v>
      </c>
      <c r="F71" s="38">
        <v>434.0</v>
      </c>
      <c r="G71" s="38">
        <v>389.0</v>
      </c>
      <c r="H71" s="38">
        <v>113.0</v>
      </c>
      <c r="I71" s="48">
        <f t="shared" si="3"/>
        <v>2662</v>
      </c>
      <c r="J71" s="48">
        <f t="shared" si="4"/>
        <v>3164</v>
      </c>
      <c r="K71" s="49">
        <f t="shared" si="5"/>
        <v>0.5401953418</v>
      </c>
      <c r="L71" s="49">
        <f t="shared" si="6"/>
        <v>0.2967693464</v>
      </c>
      <c r="M71" s="49">
        <f t="shared" si="7"/>
        <v>0.1630353118</v>
      </c>
      <c r="N71" s="32" t="str">
        <f t="shared" si="8"/>
        <v>Jânio</v>
      </c>
      <c r="O71" s="50" t="s">
        <v>77</v>
      </c>
      <c r="P71" s="38">
        <v>1072.0</v>
      </c>
      <c r="Q71" s="38">
        <v>714.0</v>
      </c>
      <c r="R71" s="38">
        <v>360.0</v>
      </c>
      <c r="S71" s="38">
        <v>952.0</v>
      </c>
      <c r="T71" s="38">
        <v>66.0</v>
      </c>
      <c r="U71" s="48">
        <f t="shared" si="9"/>
        <v>2146</v>
      </c>
      <c r="V71" s="48">
        <f t="shared" si="10"/>
        <v>3164</v>
      </c>
      <c r="W71" s="49">
        <f t="shared" si="11"/>
        <v>0.4995340168</v>
      </c>
      <c r="X71" s="49">
        <f t="shared" si="12"/>
        <v>0.3327120224</v>
      </c>
      <c r="Y71" s="49">
        <f t="shared" si="13"/>
        <v>0.1677539609</v>
      </c>
      <c r="Z71" s="32" t="str">
        <f t="shared" si="14"/>
        <v>Jango</v>
      </c>
      <c r="AA71" s="50" t="s">
        <v>77</v>
      </c>
      <c r="AB71" s="38">
        <v>3352.0</v>
      </c>
      <c r="AC71" s="48">
        <f t="shared" si="15"/>
        <v>188</v>
      </c>
      <c r="AD71" s="51">
        <f t="shared" si="16"/>
        <v>0.9439140811</v>
      </c>
    </row>
    <row r="72">
      <c r="A72" s="61" t="s">
        <v>220</v>
      </c>
      <c r="B72" s="46" t="s">
        <v>1790</v>
      </c>
      <c r="C72" s="47"/>
      <c r="D72" s="38">
        <v>1484.0</v>
      </c>
      <c r="E72" s="38">
        <v>269.0</v>
      </c>
      <c r="F72" s="38">
        <v>250.0</v>
      </c>
      <c r="G72" s="38">
        <v>77.0</v>
      </c>
      <c r="H72" s="38">
        <v>87.0</v>
      </c>
      <c r="I72" s="48">
        <f t="shared" si="3"/>
        <v>2003</v>
      </c>
      <c r="J72" s="48">
        <f t="shared" si="4"/>
        <v>2167</v>
      </c>
      <c r="K72" s="49">
        <f t="shared" si="5"/>
        <v>0.740888667</v>
      </c>
      <c r="L72" s="49">
        <f t="shared" si="6"/>
        <v>0.1342985522</v>
      </c>
      <c r="M72" s="49">
        <f t="shared" si="7"/>
        <v>0.1248127808</v>
      </c>
      <c r="N72" s="32" t="str">
        <f t="shared" si="8"/>
        <v>Jânio</v>
      </c>
      <c r="O72" s="50" t="s">
        <v>77</v>
      </c>
      <c r="P72" s="38">
        <v>539.0</v>
      </c>
      <c r="Q72" s="38">
        <v>501.0</v>
      </c>
      <c r="R72" s="38">
        <v>684.0</v>
      </c>
      <c r="S72" s="38">
        <v>410.0</v>
      </c>
      <c r="T72" s="38">
        <v>33.0</v>
      </c>
      <c r="U72" s="48">
        <f t="shared" si="9"/>
        <v>1724</v>
      </c>
      <c r="V72" s="48">
        <f t="shared" si="10"/>
        <v>2167</v>
      </c>
      <c r="W72" s="49">
        <f t="shared" si="11"/>
        <v>0.3126450116</v>
      </c>
      <c r="X72" s="49">
        <f t="shared" si="12"/>
        <v>0.2906032483</v>
      </c>
      <c r="Y72" s="49">
        <f t="shared" si="13"/>
        <v>0.3967517401</v>
      </c>
      <c r="Z72" s="32" t="str">
        <f t="shared" si="14"/>
        <v>Ferrari</v>
      </c>
      <c r="AA72" s="50" t="s">
        <v>77</v>
      </c>
      <c r="AB72" s="38">
        <v>2326.0</v>
      </c>
      <c r="AC72" s="48">
        <f t="shared" si="15"/>
        <v>159</v>
      </c>
      <c r="AD72" s="51">
        <f t="shared" si="16"/>
        <v>0.9316423044</v>
      </c>
    </row>
    <row r="73">
      <c r="A73" s="24"/>
      <c r="B73" s="46" t="s">
        <v>1791</v>
      </c>
      <c r="C73" s="47"/>
      <c r="D73" s="38">
        <v>641.0</v>
      </c>
      <c r="E73" s="38">
        <v>158.0</v>
      </c>
      <c r="F73" s="38">
        <v>128.0</v>
      </c>
      <c r="G73" s="38">
        <v>67.0</v>
      </c>
      <c r="H73" s="38">
        <v>23.0</v>
      </c>
      <c r="I73" s="48">
        <f t="shared" si="3"/>
        <v>927</v>
      </c>
      <c r="J73" s="48">
        <f t="shared" si="4"/>
        <v>1017</v>
      </c>
      <c r="K73" s="49">
        <f t="shared" si="5"/>
        <v>0.6914778857</v>
      </c>
      <c r="L73" s="49">
        <f t="shared" si="6"/>
        <v>0.1704422869</v>
      </c>
      <c r="M73" s="49">
        <f t="shared" si="7"/>
        <v>0.1380798274</v>
      </c>
      <c r="N73" s="32" t="str">
        <f t="shared" si="8"/>
        <v>Jânio</v>
      </c>
      <c r="O73" s="50" t="s">
        <v>77</v>
      </c>
      <c r="P73" s="38">
        <v>266.0</v>
      </c>
      <c r="Q73" s="38">
        <v>130.0</v>
      </c>
      <c r="R73" s="38">
        <v>318.0</v>
      </c>
      <c r="S73" s="38">
        <v>296.0</v>
      </c>
      <c r="T73" s="38">
        <v>7.0</v>
      </c>
      <c r="U73" s="48">
        <f t="shared" si="9"/>
        <v>714</v>
      </c>
      <c r="V73" s="48">
        <f t="shared" si="10"/>
        <v>1017</v>
      </c>
      <c r="W73" s="49">
        <f t="shared" si="11"/>
        <v>0.3725490196</v>
      </c>
      <c r="X73" s="49">
        <f t="shared" si="12"/>
        <v>0.1820728291</v>
      </c>
      <c r="Y73" s="49">
        <f t="shared" si="13"/>
        <v>0.4453781513</v>
      </c>
      <c r="Z73" s="32" t="str">
        <f t="shared" si="14"/>
        <v>Ferrari</v>
      </c>
      <c r="AA73" s="50" t="s">
        <v>77</v>
      </c>
      <c r="AB73" s="38">
        <v>1093.0</v>
      </c>
      <c r="AC73" s="48">
        <f t="shared" si="15"/>
        <v>76</v>
      </c>
      <c r="AD73" s="51">
        <f t="shared" si="16"/>
        <v>0.9304666057</v>
      </c>
    </row>
    <row r="74">
      <c r="A74" s="61" t="s">
        <v>295</v>
      </c>
      <c r="B74" s="46" t="s">
        <v>1792</v>
      </c>
      <c r="C74" s="47"/>
      <c r="D74" s="38">
        <v>3059.0</v>
      </c>
      <c r="E74" s="38">
        <v>930.0</v>
      </c>
      <c r="F74" s="38">
        <v>359.0</v>
      </c>
      <c r="G74" s="38">
        <v>338.0</v>
      </c>
      <c r="H74" s="38">
        <v>158.0</v>
      </c>
      <c r="I74" s="48">
        <f t="shared" si="3"/>
        <v>4348</v>
      </c>
      <c r="J74" s="48">
        <f t="shared" si="4"/>
        <v>4844</v>
      </c>
      <c r="K74" s="49">
        <f t="shared" si="5"/>
        <v>0.7035418583</v>
      </c>
      <c r="L74" s="49">
        <f t="shared" si="6"/>
        <v>0.2138914443</v>
      </c>
      <c r="M74" s="49">
        <f t="shared" si="7"/>
        <v>0.08256669733</v>
      </c>
      <c r="N74" s="32" t="str">
        <f t="shared" si="8"/>
        <v>Jânio</v>
      </c>
      <c r="O74" s="50" t="s">
        <v>77</v>
      </c>
      <c r="P74" s="38">
        <v>1338.0</v>
      </c>
      <c r="Q74" s="38">
        <v>1500.0</v>
      </c>
      <c r="R74" s="38">
        <v>897.0</v>
      </c>
      <c r="S74" s="38">
        <v>1011.0</v>
      </c>
      <c r="T74" s="38">
        <v>98.0</v>
      </c>
      <c r="U74" s="48">
        <f t="shared" si="9"/>
        <v>3735</v>
      </c>
      <c r="V74" s="48">
        <f t="shared" si="10"/>
        <v>4844</v>
      </c>
      <c r="W74" s="49">
        <f t="shared" si="11"/>
        <v>0.3582329317</v>
      </c>
      <c r="X74" s="49">
        <f t="shared" si="12"/>
        <v>0.4016064257</v>
      </c>
      <c r="Y74" s="49">
        <f t="shared" si="13"/>
        <v>0.2401606426</v>
      </c>
      <c r="Z74" s="32" t="str">
        <f t="shared" si="14"/>
        <v>Milton</v>
      </c>
      <c r="AA74" s="50" t="s">
        <v>77</v>
      </c>
      <c r="AB74" s="38">
        <v>5262.0</v>
      </c>
      <c r="AC74" s="48">
        <f t="shared" si="15"/>
        <v>418</v>
      </c>
      <c r="AD74" s="51">
        <f t="shared" si="16"/>
        <v>0.9205625238</v>
      </c>
    </row>
    <row r="75">
      <c r="A75" s="24"/>
      <c r="B75" s="46" t="s">
        <v>1793</v>
      </c>
      <c r="C75" s="47"/>
      <c r="D75" s="38">
        <v>2830.0</v>
      </c>
      <c r="E75" s="38">
        <v>1121.0</v>
      </c>
      <c r="F75" s="38">
        <v>1347.0</v>
      </c>
      <c r="G75" s="38">
        <v>447.0</v>
      </c>
      <c r="H75" s="38">
        <v>268.0</v>
      </c>
      <c r="I75" s="48">
        <f t="shared" si="3"/>
        <v>5298</v>
      </c>
      <c r="J75" s="48">
        <f t="shared" si="4"/>
        <v>6013</v>
      </c>
      <c r="K75" s="49">
        <f t="shared" si="5"/>
        <v>0.5341638354</v>
      </c>
      <c r="L75" s="49">
        <f t="shared" si="6"/>
        <v>0.211589279</v>
      </c>
      <c r="M75" s="49">
        <f t="shared" si="7"/>
        <v>0.2542468856</v>
      </c>
      <c r="N75" s="32" t="str">
        <f t="shared" si="8"/>
        <v>Jânio</v>
      </c>
      <c r="O75" s="50" t="s">
        <v>77</v>
      </c>
      <c r="P75" s="38">
        <v>2302.0</v>
      </c>
      <c r="Q75" s="38">
        <v>969.0</v>
      </c>
      <c r="R75" s="38">
        <v>1056.0</v>
      </c>
      <c r="S75" s="38">
        <v>1570.0</v>
      </c>
      <c r="T75" s="38">
        <v>116.0</v>
      </c>
      <c r="U75" s="48">
        <f t="shared" si="9"/>
        <v>4327</v>
      </c>
      <c r="V75" s="48">
        <f t="shared" si="10"/>
        <v>6013</v>
      </c>
      <c r="W75" s="49">
        <f t="shared" si="11"/>
        <v>0.5320083199</v>
      </c>
      <c r="X75" s="49">
        <f t="shared" si="12"/>
        <v>0.2239426855</v>
      </c>
      <c r="Y75" s="49">
        <f t="shared" si="13"/>
        <v>0.2440489947</v>
      </c>
      <c r="Z75" s="32" t="str">
        <f t="shared" si="14"/>
        <v>Jango</v>
      </c>
      <c r="AA75" s="50" t="s">
        <v>77</v>
      </c>
      <c r="AB75" s="38">
        <v>7046.0</v>
      </c>
      <c r="AC75" s="48">
        <f t="shared" si="15"/>
        <v>1033</v>
      </c>
      <c r="AD75" s="51">
        <f t="shared" si="16"/>
        <v>0.8533919955</v>
      </c>
    </row>
    <row r="76">
      <c r="A76" s="61" t="s">
        <v>299</v>
      </c>
      <c r="B76" s="46" t="s">
        <v>1794</v>
      </c>
      <c r="C76" s="47"/>
      <c r="D76" s="38">
        <v>938.0</v>
      </c>
      <c r="E76" s="38">
        <v>614.0</v>
      </c>
      <c r="F76" s="38">
        <v>275.0</v>
      </c>
      <c r="G76" s="38">
        <v>182.0</v>
      </c>
      <c r="H76" s="38">
        <v>85.0</v>
      </c>
      <c r="I76" s="48">
        <f t="shared" si="3"/>
        <v>1827</v>
      </c>
      <c r="J76" s="48">
        <f t="shared" si="4"/>
        <v>2094</v>
      </c>
      <c r="K76" s="49">
        <f t="shared" si="5"/>
        <v>0.5134099617</v>
      </c>
      <c r="L76" s="49">
        <f t="shared" si="6"/>
        <v>0.3360700602</v>
      </c>
      <c r="M76" s="49">
        <f t="shared" si="7"/>
        <v>0.1505199781</v>
      </c>
      <c r="N76" s="32" t="str">
        <f t="shared" si="8"/>
        <v>Jânio</v>
      </c>
      <c r="O76" s="50" t="s">
        <v>77</v>
      </c>
      <c r="P76" s="38">
        <v>807.0</v>
      </c>
      <c r="Q76" s="38">
        <v>274.0</v>
      </c>
      <c r="R76" s="38">
        <v>363.0</v>
      </c>
      <c r="S76" s="38">
        <v>610.0</v>
      </c>
      <c r="T76" s="38">
        <v>40.0</v>
      </c>
      <c r="U76" s="48">
        <f t="shared" si="9"/>
        <v>1444</v>
      </c>
      <c r="V76" s="48">
        <f t="shared" si="10"/>
        <v>2094</v>
      </c>
      <c r="W76" s="49">
        <f t="shared" si="11"/>
        <v>0.5588642659</v>
      </c>
      <c r="X76" s="49">
        <f t="shared" si="12"/>
        <v>0.1897506925</v>
      </c>
      <c r="Y76" s="49">
        <f t="shared" si="13"/>
        <v>0.2513850416</v>
      </c>
      <c r="Z76" s="32" t="str">
        <f t="shared" si="14"/>
        <v>Jango</v>
      </c>
      <c r="AA76" s="50" t="s">
        <v>77</v>
      </c>
      <c r="AB76" s="38">
        <v>2498.0</v>
      </c>
      <c r="AC76" s="48">
        <f t="shared" si="15"/>
        <v>404</v>
      </c>
      <c r="AD76" s="51">
        <f t="shared" si="16"/>
        <v>0.8382706165</v>
      </c>
    </row>
    <row r="77">
      <c r="A77" s="24"/>
      <c r="B77" s="46" t="s">
        <v>1795</v>
      </c>
      <c r="C77" s="47"/>
      <c r="D77" s="38">
        <v>604.0</v>
      </c>
      <c r="E77" s="38">
        <v>513.0</v>
      </c>
      <c r="F77" s="38">
        <v>159.0</v>
      </c>
      <c r="G77" s="38">
        <v>133.0</v>
      </c>
      <c r="H77" s="38">
        <v>34.0</v>
      </c>
      <c r="I77" s="48">
        <f t="shared" si="3"/>
        <v>1276</v>
      </c>
      <c r="J77" s="48">
        <f t="shared" si="4"/>
        <v>1443</v>
      </c>
      <c r="K77" s="49">
        <f t="shared" si="5"/>
        <v>0.473354232</v>
      </c>
      <c r="L77" s="49">
        <f t="shared" si="6"/>
        <v>0.4020376176</v>
      </c>
      <c r="M77" s="49">
        <f t="shared" si="7"/>
        <v>0.1246081505</v>
      </c>
      <c r="N77" s="32" t="str">
        <f t="shared" si="8"/>
        <v>Jânio</v>
      </c>
      <c r="O77" s="50" t="s">
        <v>77</v>
      </c>
      <c r="P77" s="38">
        <v>665.0</v>
      </c>
      <c r="Q77" s="38">
        <v>362.0</v>
      </c>
      <c r="R77" s="38">
        <v>129.0</v>
      </c>
      <c r="S77" s="38">
        <v>254.0</v>
      </c>
      <c r="T77" s="38">
        <v>33.0</v>
      </c>
      <c r="U77" s="48">
        <f t="shared" si="9"/>
        <v>1156</v>
      </c>
      <c r="V77" s="48">
        <f t="shared" si="10"/>
        <v>1443</v>
      </c>
      <c r="W77" s="49">
        <f t="shared" si="11"/>
        <v>0.5752595156</v>
      </c>
      <c r="X77" s="49">
        <f t="shared" si="12"/>
        <v>0.3131487889</v>
      </c>
      <c r="Y77" s="49">
        <f t="shared" si="13"/>
        <v>0.1115916955</v>
      </c>
      <c r="Z77" s="32" t="str">
        <f t="shared" si="14"/>
        <v>Jango</v>
      </c>
      <c r="AA77" s="50" t="s">
        <v>77</v>
      </c>
      <c r="AB77" s="38">
        <v>1554.0</v>
      </c>
      <c r="AC77" s="48">
        <f t="shared" si="15"/>
        <v>111</v>
      </c>
      <c r="AD77" s="51">
        <f t="shared" si="16"/>
        <v>0.9285714286</v>
      </c>
    </row>
    <row r="78">
      <c r="A78" s="61" t="s">
        <v>302</v>
      </c>
      <c r="B78" s="46" t="s">
        <v>1796</v>
      </c>
      <c r="C78" s="47"/>
      <c r="D78" s="38">
        <v>1983.0</v>
      </c>
      <c r="E78" s="38">
        <v>579.0</v>
      </c>
      <c r="F78" s="38">
        <v>740.0</v>
      </c>
      <c r="G78" s="38">
        <v>165.0</v>
      </c>
      <c r="H78" s="38">
        <v>96.0</v>
      </c>
      <c r="I78" s="48">
        <f t="shared" si="3"/>
        <v>3302</v>
      </c>
      <c r="J78" s="48">
        <f t="shared" si="4"/>
        <v>3563</v>
      </c>
      <c r="K78" s="49">
        <f t="shared" si="5"/>
        <v>0.6005451242</v>
      </c>
      <c r="L78" s="49">
        <f t="shared" si="6"/>
        <v>0.1753482738</v>
      </c>
      <c r="M78" s="49">
        <f t="shared" si="7"/>
        <v>0.2241066021</v>
      </c>
      <c r="N78" s="32" t="str">
        <f t="shared" si="8"/>
        <v>Jânio</v>
      </c>
      <c r="O78" s="50" t="s">
        <v>77</v>
      </c>
      <c r="P78" s="38">
        <v>846.0</v>
      </c>
      <c r="Q78" s="38">
        <v>1447.0</v>
      </c>
      <c r="R78" s="38">
        <v>394.0</v>
      </c>
      <c r="S78" s="38">
        <v>819.0</v>
      </c>
      <c r="T78" s="38">
        <v>57.0</v>
      </c>
      <c r="U78" s="48">
        <f t="shared" si="9"/>
        <v>2687</v>
      </c>
      <c r="V78" s="48">
        <f t="shared" si="10"/>
        <v>3563</v>
      </c>
      <c r="W78" s="49">
        <f t="shared" si="11"/>
        <v>0.3148492743</v>
      </c>
      <c r="X78" s="49">
        <f t="shared" si="12"/>
        <v>0.5385187942</v>
      </c>
      <c r="Y78" s="49">
        <f t="shared" si="13"/>
        <v>0.1466319315</v>
      </c>
      <c r="Z78" s="32" t="str">
        <f t="shared" si="14"/>
        <v>Milton</v>
      </c>
      <c r="AA78" s="50" t="s">
        <v>77</v>
      </c>
      <c r="AB78" s="38">
        <v>5306.0</v>
      </c>
      <c r="AC78" s="48">
        <f t="shared" si="15"/>
        <v>1743</v>
      </c>
      <c r="AD78" s="51">
        <f t="shared" si="16"/>
        <v>0.6715039578</v>
      </c>
    </row>
    <row r="79">
      <c r="A79" s="24"/>
      <c r="B79" s="46" t="s">
        <v>1797</v>
      </c>
      <c r="C79" s="47"/>
      <c r="D79" s="38">
        <v>2672.0</v>
      </c>
      <c r="E79" s="38">
        <v>366.0</v>
      </c>
      <c r="F79" s="38">
        <v>1123.0</v>
      </c>
      <c r="G79" s="38">
        <v>424.0</v>
      </c>
      <c r="H79" s="38">
        <v>149.0</v>
      </c>
      <c r="I79" s="48">
        <f t="shared" si="3"/>
        <v>4161</v>
      </c>
      <c r="J79" s="48">
        <f t="shared" si="4"/>
        <v>4734</v>
      </c>
      <c r="K79" s="49">
        <f t="shared" si="5"/>
        <v>0.6421533285</v>
      </c>
      <c r="L79" s="49">
        <f t="shared" si="6"/>
        <v>0.08795962509</v>
      </c>
      <c r="M79" s="49">
        <f t="shared" si="7"/>
        <v>0.2698870464</v>
      </c>
      <c r="N79" s="32" t="str">
        <f t="shared" si="8"/>
        <v>Jânio</v>
      </c>
      <c r="O79" s="50" t="s">
        <v>77</v>
      </c>
      <c r="P79" s="38">
        <v>880.0</v>
      </c>
      <c r="Q79" s="38">
        <v>1390.0</v>
      </c>
      <c r="R79" s="38">
        <v>717.0</v>
      </c>
      <c r="S79" s="38">
        <v>1670.0</v>
      </c>
      <c r="T79" s="38">
        <v>77.0</v>
      </c>
      <c r="U79" s="48">
        <f t="shared" si="9"/>
        <v>2987</v>
      </c>
      <c r="V79" s="48">
        <f t="shared" si="10"/>
        <v>4734</v>
      </c>
      <c r="W79" s="49">
        <f t="shared" si="11"/>
        <v>0.2946099766</v>
      </c>
      <c r="X79" s="49">
        <f t="shared" si="12"/>
        <v>0.4653498493</v>
      </c>
      <c r="Y79" s="49">
        <f t="shared" si="13"/>
        <v>0.2400401741</v>
      </c>
      <c r="Z79" s="32" t="str">
        <f t="shared" si="14"/>
        <v>Milton</v>
      </c>
      <c r="AA79" s="50" t="s">
        <v>77</v>
      </c>
      <c r="AB79" s="38">
        <v>6841.0</v>
      </c>
      <c r="AC79" s="48">
        <f t="shared" si="15"/>
        <v>2107</v>
      </c>
      <c r="AD79" s="51">
        <f t="shared" si="16"/>
        <v>0.692004093</v>
      </c>
    </row>
    <row r="80">
      <c r="A80" s="110" t="s">
        <v>304</v>
      </c>
      <c r="B80" s="46" t="s">
        <v>1798</v>
      </c>
      <c r="C80" s="47"/>
      <c r="D80" s="38">
        <v>5568.0</v>
      </c>
      <c r="E80" s="38">
        <v>2169.0</v>
      </c>
      <c r="F80" s="38">
        <v>4112.0</v>
      </c>
      <c r="G80" s="38">
        <v>249.0</v>
      </c>
      <c r="H80" s="38">
        <v>267.0</v>
      </c>
      <c r="I80" s="48">
        <f t="shared" si="3"/>
        <v>11849</v>
      </c>
      <c r="J80" s="48">
        <f t="shared" si="4"/>
        <v>12365</v>
      </c>
      <c r="K80" s="49">
        <f t="shared" si="5"/>
        <v>0.4699130728</v>
      </c>
      <c r="L80" s="49">
        <f t="shared" si="6"/>
        <v>0.1830534222</v>
      </c>
      <c r="M80" s="49">
        <f t="shared" si="7"/>
        <v>0.3470335049</v>
      </c>
      <c r="N80" s="32" t="str">
        <f t="shared" si="8"/>
        <v>Jânio</v>
      </c>
      <c r="O80" s="50"/>
      <c r="P80" s="38">
        <v>3812.0</v>
      </c>
      <c r="Q80" s="38">
        <v>5212.0</v>
      </c>
      <c r="R80" s="38">
        <v>1634.0</v>
      </c>
      <c r="S80" s="38">
        <v>1467.0</v>
      </c>
      <c r="T80" s="38">
        <v>240.0</v>
      </c>
      <c r="U80" s="48">
        <f t="shared" si="9"/>
        <v>10658</v>
      </c>
      <c r="V80" s="48">
        <f t="shared" si="10"/>
        <v>12365</v>
      </c>
      <c r="W80" s="49">
        <f t="shared" si="11"/>
        <v>0.3576656033</v>
      </c>
      <c r="X80" s="49">
        <f t="shared" si="12"/>
        <v>0.4890223306</v>
      </c>
      <c r="Y80" s="49">
        <f t="shared" si="13"/>
        <v>0.1533120661</v>
      </c>
      <c r="Z80" s="32" t="str">
        <f t="shared" si="14"/>
        <v>Milton</v>
      </c>
      <c r="AA80" s="50"/>
      <c r="AB80" s="38">
        <v>15337.0</v>
      </c>
      <c r="AC80" s="48">
        <f t="shared" si="15"/>
        <v>2972</v>
      </c>
      <c r="AD80" s="51">
        <f t="shared" si="16"/>
        <v>0.8062202517</v>
      </c>
    </row>
    <row r="81">
      <c r="A81" s="110" t="s">
        <v>308</v>
      </c>
      <c r="B81" s="46" t="s">
        <v>1799</v>
      </c>
      <c r="C81" s="47"/>
      <c r="D81" s="38">
        <v>7283.0</v>
      </c>
      <c r="E81" s="38">
        <v>2494.0</v>
      </c>
      <c r="F81" s="38">
        <v>3170.0</v>
      </c>
      <c r="G81" s="38">
        <v>507.0</v>
      </c>
      <c r="H81" s="38">
        <v>304.0</v>
      </c>
      <c r="I81" s="48">
        <f t="shared" si="3"/>
        <v>12947</v>
      </c>
      <c r="J81" s="48">
        <f t="shared" si="4"/>
        <v>13758</v>
      </c>
      <c r="K81" s="49">
        <f t="shared" si="5"/>
        <v>0.5625241369</v>
      </c>
      <c r="L81" s="49">
        <f t="shared" si="6"/>
        <v>0.1926314976</v>
      </c>
      <c r="M81" s="49">
        <f t="shared" si="7"/>
        <v>0.2448443655</v>
      </c>
      <c r="N81" s="32" t="str">
        <f t="shared" si="8"/>
        <v>Jânio</v>
      </c>
      <c r="O81" s="50"/>
      <c r="P81" s="38">
        <v>3769.0</v>
      </c>
      <c r="Q81" s="38">
        <v>5959.0</v>
      </c>
      <c r="R81" s="38">
        <v>1770.0</v>
      </c>
      <c r="S81" s="38">
        <v>2044.0</v>
      </c>
      <c r="T81" s="38">
        <v>216.0</v>
      </c>
      <c r="U81" s="48">
        <f t="shared" si="9"/>
        <v>11498</v>
      </c>
      <c r="V81" s="48">
        <f t="shared" si="10"/>
        <v>13758</v>
      </c>
      <c r="W81" s="49">
        <f t="shared" si="11"/>
        <v>0.3277961385</v>
      </c>
      <c r="X81" s="49">
        <f t="shared" si="12"/>
        <v>0.5182640459</v>
      </c>
      <c r="Y81" s="49">
        <f t="shared" si="13"/>
        <v>0.1539398156</v>
      </c>
      <c r="Z81" s="32" t="str">
        <f t="shared" si="14"/>
        <v>Milton</v>
      </c>
      <c r="AA81" s="50"/>
      <c r="AB81" s="38">
        <v>17211.0</v>
      </c>
      <c r="AC81" s="48">
        <f t="shared" si="15"/>
        <v>3453</v>
      </c>
      <c r="AD81" s="51">
        <f t="shared" si="16"/>
        <v>0.7993724943</v>
      </c>
    </row>
    <row r="82">
      <c r="A82" s="110" t="s">
        <v>77</v>
      </c>
      <c r="B82" s="46" t="s">
        <v>1800</v>
      </c>
      <c r="C82" s="47"/>
      <c r="D82" s="38">
        <v>12851.0</v>
      </c>
      <c r="E82" s="38">
        <v>4663.0</v>
      </c>
      <c r="F82" s="38">
        <v>7282.0</v>
      </c>
      <c r="G82" s="38">
        <v>756.0</v>
      </c>
      <c r="H82" s="38">
        <v>571.0</v>
      </c>
      <c r="I82" s="48">
        <f t="shared" si="3"/>
        <v>24796</v>
      </c>
      <c r="J82" s="48">
        <f t="shared" si="4"/>
        <v>26123</v>
      </c>
      <c r="K82" s="49">
        <f t="shared" si="5"/>
        <v>0.5182690757</v>
      </c>
      <c r="L82" s="49">
        <f t="shared" si="6"/>
        <v>0.1880545249</v>
      </c>
      <c r="M82" s="49">
        <f t="shared" si="7"/>
        <v>0.2936763994</v>
      </c>
      <c r="N82" s="32" t="str">
        <f t="shared" si="8"/>
        <v>Jânio</v>
      </c>
      <c r="O82" s="50" t="s">
        <v>77</v>
      </c>
      <c r="P82" s="38">
        <v>7581.0</v>
      </c>
      <c r="Q82" s="38">
        <v>11171.0</v>
      </c>
      <c r="R82" s="38">
        <v>3404.0</v>
      </c>
      <c r="S82" s="38">
        <v>3511.0</v>
      </c>
      <c r="T82" s="38">
        <v>456.0</v>
      </c>
      <c r="U82" s="48">
        <f t="shared" si="9"/>
        <v>22156</v>
      </c>
      <c r="V82" s="48">
        <f t="shared" si="10"/>
        <v>26123</v>
      </c>
      <c r="W82" s="49">
        <f t="shared" si="11"/>
        <v>0.3421646507</v>
      </c>
      <c r="X82" s="49">
        <f t="shared" si="12"/>
        <v>0.5041975086</v>
      </c>
      <c r="Y82" s="49">
        <f t="shared" si="13"/>
        <v>0.1536378408</v>
      </c>
      <c r="Z82" s="32" t="str">
        <f t="shared" si="14"/>
        <v>Milton</v>
      </c>
      <c r="AA82" s="50" t="s">
        <v>77</v>
      </c>
      <c r="AB82" s="38">
        <v>32548.0</v>
      </c>
      <c r="AC82" s="48">
        <f t="shared" si="15"/>
        <v>6425</v>
      </c>
      <c r="AD82" s="51">
        <f t="shared" si="16"/>
        <v>0.802599238</v>
      </c>
    </row>
    <row r="83">
      <c r="A83" s="131" t="s">
        <v>312</v>
      </c>
      <c r="B83" s="46" t="s">
        <v>1801</v>
      </c>
      <c r="C83" s="47"/>
      <c r="D83" s="38">
        <v>4505.0</v>
      </c>
      <c r="E83" s="38">
        <v>2348.0</v>
      </c>
      <c r="F83" s="38">
        <v>1322.0</v>
      </c>
      <c r="G83" s="38">
        <v>589.0</v>
      </c>
      <c r="H83" s="38">
        <v>522.0</v>
      </c>
      <c r="I83" s="48">
        <f t="shared" si="3"/>
        <v>8175</v>
      </c>
      <c r="J83" s="48">
        <f t="shared" si="4"/>
        <v>9286</v>
      </c>
      <c r="K83" s="49">
        <f t="shared" si="5"/>
        <v>0.5510703364</v>
      </c>
      <c r="L83" s="49">
        <f t="shared" si="6"/>
        <v>0.2872171254</v>
      </c>
      <c r="M83" s="49">
        <f t="shared" si="7"/>
        <v>0.1617125382</v>
      </c>
      <c r="N83" s="32" t="str">
        <f t="shared" si="8"/>
        <v>Jânio</v>
      </c>
      <c r="O83" s="50"/>
      <c r="P83" s="38">
        <v>3719.0</v>
      </c>
      <c r="Q83" s="38">
        <v>2042.0</v>
      </c>
      <c r="R83" s="38">
        <v>1489.0</v>
      </c>
      <c r="S83" s="38">
        <v>1511.0</v>
      </c>
      <c r="T83" s="38">
        <v>525.0</v>
      </c>
      <c r="U83" s="48">
        <f t="shared" si="9"/>
        <v>7250</v>
      </c>
      <c r="V83" s="48">
        <f t="shared" si="10"/>
        <v>9286</v>
      </c>
      <c r="W83" s="49">
        <f t="shared" si="11"/>
        <v>0.5129655172</v>
      </c>
      <c r="X83" s="49">
        <f t="shared" si="12"/>
        <v>0.2816551724</v>
      </c>
      <c r="Y83" s="49">
        <f t="shared" si="13"/>
        <v>0.2053793103</v>
      </c>
      <c r="Z83" s="32" t="str">
        <f t="shared" si="14"/>
        <v>Jango</v>
      </c>
      <c r="AA83" s="50"/>
      <c r="AB83" s="38">
        <v>10301.0</v>
      </c>
      <c r="AC83" s="48">
        <f t="shared" si="15"/>
        <v>1015</v>
      </c>
      <c r="AD83" s="51">
        <f t="shared" si="16"/>
        <v>0.9014658771</v>
      </c>
    </row>
    <row r="84">
      <c r="A84" s="110" t="s">
        <v>314</v>
      </c>
      <c r="B84" s="46" t="s">
        <v>1802</v>
      </c>
      <c r="C84" s="47"/>
      <c r="D84" s="38">
        <v>1924.0</v>
      </c>
      <c r="E84" s="38">
        <v>1094.0</v>
      </c>
      <c r="F84" s="38">
        <v>290.0</v>
      </c>
      <c r="G84" s="38">
        <v>278.0</v>
      </c>
      <c r="H84" s="38">
        <v>158.0</v>
      </c>
      <c r="I84" s="48">
        <f t="shared" si="3"/>
        <v>3308</v>
      </c>
      <c r="J84" s="48">
        <f t="shared" si="4"/>
        <v>3744</v>
      </c>
      <c r="K84" s="49">
        <f t="shared" si="5"/>
        <v>0.5816203144</v>
      </c>
      <c r="L84" s="49">
        <f t="shared" si="6"/>
        <v>0.330713422</v>
      </c>
      <c r="M84" s="49">
        <f t="shared" si="7"/>
        <v>0.0876662636</v>
      </c>
      <c r="N84" s="32" t="str">
        <f t="shared" si="8"/>
        <v>Jânio</v>
      </c>
      <c r="O84" s="50"/>
      <c r="P84" s="38">
        <v>1323.0</v>
      </c>
      <c r="Q84" s="38">
        <v>1008.0</v>
      </c>
      <c r="R84" s="38">
        <v>356.0</v>
      </c>
      <c r="S84" s="38">
        <v>981.0</v>
      </c>
      <c r="T84" s="38">
        <v>76.0</v>
      </c>
      <c r="U84" s="48">
        <f t="shared" si="9"/>
        <v>2687</v>
      </c>
      <c r="V84" s="48">
        <f t="shared" si="10"/>
        <v>3744</v>
      </c>
      <c r="W84" s="49">
        <f t="shared" si="11"/>
        <v>0.4923706736</v>
      </c>
      <c r="X84" s="49">
        <f t="shared" si="12"/>
        <v>0.3751395608</v>
      </c>
      <c r="Y84" s="49">
        <f t="shared" si="13"/>
        <v>0.1324897655</v>
      </c>
      <c r="Z84" s="32" t="str">
        <f t="shared" si="14"/>
        <v>Jango</v>
      </c>
      <c r="AA84" s="50"/>
      <c r="AB84" s="38">
        <v>4271.0</v>
      </c>
      <c r="AC84" s="48">
        <f t="shared" si="15"/>
        <v>527</v>
      </c>
      <c r="AD84" s="51">
        <f t="shared" si="16"/>
        <v>0.8766096933</v>
      </c>
    </row>
    <row r="85">
      <c r="A85" s="110" t="s">
        <v>77</v>
      </c>
      <c r="B85" s="46" t="s">
        <v>1803</v>
      </c>
      <c r="C85" s="47"/>
      <c r="D85" s="38">
        <v>6429.0</v>
      </c>
      <c r="E85" s="38">
        <v>3442.0</v>
      </c>
      <c r="F85" s="38">
        <v>1612.0</v>
      </c>
      <c r="G85" s="38">
        <v>867.0</v>
      </c>
      <c r="H85" s="38">
        <v>680.0</v>
      </c>
      <c r="I85" s="48">
        <f t="shared" si="3"/>
        <v>11483</v>
      </c>
      <c r="J85" s="48">
        <f t="shared" si="4"/>
        <v>13030</v>
      </c>
      <c r="K85" s="49">
        <f t="shared" si="5"/>
        <v>0.5598711138</v>
      </c>
      <c r="L85" s="49">
        <f t="shared" si="6"/>
        <v>0.2997474528</v>
      </c>
      <c r="M85" s="49">
        <f t="shared" si="7"/>
        <v>0.1403814334</v>
      </c>
      <c r="N85" s="32" t="str">
        <f t="shared" si="8"/>
        <v>Jânio</v>
      </c>
      <c r="O85" s="50" t="s">
        <v>77</v>
      </c>
      <c r="P85" s="38">
        <v>5042.0</v>
      </c>
      <c r="Q85" s="38">
        <v>3050.0</v>
      </c>
      <c r="R85" s="38">
        <v>1845.0</v>
      </c>
      <c r="S85" s="38">
        <v>2492.0</v>
      </c>
      <c r="T85" s="38">
        <v>601.0</v>
      </c>
      <c r="U85" s="48">
        <f t="shared" si="9"/>
        <v>9937</v>
      </c>
      <c r="V85" s="48">
        <f t="shared" si="10"/>
        <v>13030</v>
      </c>
      <c r="W85" s="49">
        <f t="shared" si="11"/>
        <v>0.5073965986</v>
      </c>
      <c r="X85" s="49">
        <f t="shared" si="12"/>
        <v>0.3069336822</v>
      </c>
      <c r="Y85" s="49">
        <f t="shared" si="13"/>
        <v>0.1856697192</v>
      </c>
      <c r="Z85" s="32" t="str">
        <f t="shared" si="14"/>
        <v>Jango</v>
      </c>
      <c r="AA85" s="50" t="s">
        <v>77</v>
      </c>
      <c r="AB85" s="38">
        <v>14572.0</v>
      </c>
      <c r="AC85" s="48">
        <f t="shared" si="15"/>
        <v>1542</v>
      </c>
      <c r="AD85" s="51">
        <f t="shared" si="16"/>
        <v>0.8941806204</v>
      </c>
    </row>
    <row r="86">
      <c r="A86" s="61" t="s">
        <v>254</v>
      </c>
      <c r="B86" s="46" t="s">
        <v>1804</v>
      </c>
      <c r="C86" s="47"/>
      <c r="D86" s="38">
        <v>2199.0</v>
      </c>
      <c r="E86" s="38">
        <v>1231.0</v>
      </c>
      <c r="F86" s="48">
        <v>440.0</v>
      </c>
      <c r="G86" s="38">
        <v>366.0</v>
      </c>
      <c r="H86" s="38">
        <v>146.0</v>
      </c>
      <c r="I86" s="48">
        <f t="shared" si="3"/>
        <v>3870</v>
      </c>
      <c r="J86" s="48">
        <f t="shared" si="4"/>
        <v>4382</v>
      </c>
      <c r="K86" s="49">
        <f t="shared" si="5"/>
        <v>0.5682170543</v>
      </c>
      <c r="L86" s="49">
        <f t="shared" si="6"/>
        <v>0.3180878553</v>
      </c>
      <c r="M86" s="49">
        <f t="shared" si="7"/>
        <v>0.1136950904</v>
      </c>
      <c r="N86" s="32" t="str">
        <f t="shared" si="8"/>
        <v>Jânio</v>
      </c>
      <c r="O86" s="50" t="s">
        <v>77</v>
      </c>
      <c r="P86" s="38">
        <v>1551.0</v>
      </c>
      <c r="Q86" s="38">
        <v>469.0</v>
      </c>
      <c r="R86" s="38">
        <v>1266.0</v>
      </c>
      <c r="S86" s="38">
        <v>1027.0</v>
      </c>
      <c r="T86" s="38">
        <v>69.0</v>
      </c>
      <c r="U86" s="48">
        <f t="shared" si="9"/>
        <v>3286</v>
      </c>
      <c r="V86" s="48">
        <f t="shared" si="10"/>
        <v>4382</v>
      </c>
      <c r="W86" s="49">
        <f t="shared" si="11"/>
        <v>0.4720024346</v>
      </c>
      <c r="X86" s="49">
        <f t="shared" si="12"/>
        <v>0.1427267194</v>
      </c>
      <c r="Y86" s="49">
        <f t="shared" si="13"/>
        <v>0.385270846</v>
      </c>
      <c r="Z86" s="32" t="str">
        <f t="shared" si="14"/>
        <v>Jango</v>
      </c>
      <c r="AA86" s="50" t="s">
        <v>77</v>
      </c>
      <c r="AB86" s="38">
        <v>4977.0</v>
      </c>
      <c r="AC86" s="48">
        <f t="shared" si="15"/>
        <v>595</v>
      </c>
      <c r="AD86" s="51">
        <f t="shared" si="16"/>
        <v>0.8804500703</v>
      </c>
    </row>
    <row r="87">
      <c r="A87" s="24"/>
      <c r="B87" s="46" t="s">
        <v>1805</v>
      </c>
      <c r="C87" s="47"/>
      <c r="D87" s="38">
        <v>895.0</v>
      </c>
      <c r="E87" s="38">
        <v>460.0</v>
      </c>
      <c r="F87" s="48">
        <v>195.0</v>
      </c>
      <c r="G87" s="38">
        <v>301.0</v>
      </c>
      <c r="H87" s="38">
        <v>98.0</v>
      </c>
      <c r="I87" s="48">
        <f t="shared" si="3"/>
        <v>1550</v>
      </c>
      <c r="J87" s="48">
        <f t="shared" si="4"/>
        <v>1949</v>
      </c>
      <c r="K87" s="49">
        <f t="shared" si="5"/>
        <v>0.5774193548</v>
      </c>
      <c r="L87" s="49">
        <f t="shared" si="6"/>
        <v>0.2967741935</v>
      </c>
      <c r="M87" s="49">
        <f t="shared" si="7"/>
        <v>0.1258064516</v>
      </c>
      <c r="N87" s="32" t="str">
        <f t="shared" si="8"/>
        <v>Jânio</v>
      </c>
      <c r="O87" s="50" t="s">
        <v>77</v>
      </c>
      <c r="P87" s="38">
        <v>628.0</v>
      </c>
      <c r="Q87" s="38">
        <v>205.0</v>
      </c>
      <c r="R87" s="38">
        <v>492.0</v>
      </c>
      <c r="S87" s="38">
        <v>586.0</v>
      </c>
      <c r="T87" s="38">
        <v>38.0</v>
      </c>
      <c r="U87" s="48">
        <f t="shared" si="9"/>
        <v>1325</v>
      </c>
      <c r="V87" s="48">
        <f t="shared" si="10"/>
        <v>1949</v>
      </c>
      <c r="W87" s="49">
        <f t="shared" si="11"/>
        <v>0.4739622642</v>
      </c>
      <c r="X87" s="49">
        <f t="shared" si="12"/>
        <v>0.1547169811</v>
      </c>
      <c r="Y87" s="49">
        <f t="shared" si="13"/>
        <v>0.3713207547</v>
      </c>
      <c r="Z87" s="32" t="str">
        <f t="shared" si="14"/>
        <v>Jango</v>
      </c>
      <c r="AA87" s="50" t="s">
        <v>77</v>
      </c>
      <c r="AB87" s="38">
        <v>2471.0</v>
      </c>
      <c r="AC87" s="48">
        <f t="shared" si="15"/>
        <v>522</v>
      </c>
      <c r="AD87" s="51">
        <f t="shared" si="16"/>
        <v>0.7887494941</v>
      </c>
    </row>
    <row r="88">
      <c r="A88" s="110" t="s">
        <v>258</v>
      </c>
      <c r="B88" s="46" t="s">
        <v>1806</v>
      </c>
      <c r="C88" s="47"/>
      <c r="D88" s="38">
        <v>2679.0</v>
      </c>
      <c r="E88" s="38">
        <v>701.0</v>
      </c>
      <c r="F88" s="48">
        <v>499.0</v>
      </c>
      <c r="G88" s="38">
        <v>207.0</v>
      </c>
      <c r="H88" s="38">
        <v>82.0</v>
      </c>
      <c r="I88" s="48">
        <f t="shared" si="3"/>
        <v>3879</v>
      </c>
      <c r="J88" s="48">
        <f t="shared" si="4"/>
        <v>4168</v>
      </c>
      <c r="K88" s="49">
        <f t="shared" si="5"/>
        <v>0.690641918</v>
      </c>
      <c r="L88" s="49">
        <f t="shared" si="6"/>
        <v>0.1807166796</v>
      </c>
      <c r="M88" s="49">
        <f t="shared" si="7"/>
        <v>0.1286414024</v>
      </c>
      <c r="N88" s="32" t="str">
        <f t="shared" si="8"/>
        <v>Jânio</v>
      </c>
      <c r="O88" s="50" t="s">
        <v>77</v>
      </c>
      <c r="P88" s="38">
        <v>1020.0</v>
      </c>
      <c r="Q88" s="38">
        <v>758.0</v>
      </c>
      <c r="R88" s="38">
        <v>1621.0</v>
      </c>
      <c r="S88" s="38">
        <v>721.0</v>
      </c>
      <c r="T88" s="38">
        <v>48.0</v>
      </c>
      <c r="U88" s="48">
        <f t="shared" si="9"/>
        <v>3399</v>
      </c>
      <c r="V88" s="48">
        <f t="shared" si="10"/>
        <v>4168</v>
      </c>
      <c r="W88" s="49">
        <f t="shared" si="11"/>
        <v>0.3000882613</v>
      </c>
      <c r="X88" s="49">
        <f t="shared" si="12"/>
        <v>0.2230067667</v>
      </c>
      <c r="Y88" s="49">
        <f t="shared" si="13"/>
        <v>0.4769049721</v>
      </c>
      <c r="Z88" s="32" t="str">
        <f t="shared" si="14"/>
        <v>Ferrari</v>
      </c>
      <c r="AA88" s="50" t="s">
        <v>77</v>
      </c>
      <c r="AB88" s="38">
        <v>4736.0</v>
      </c>
      <c r="AC88" s="48">
        <f t="shared" si="15"/>
        <v>568</v>
      </c>
      <c r="AD88" s="51">
        <f t="shared" si="16"/>
        <v>0.8800675676</v>
      </c>
    </row>
    <row r="89">
      <c r="A89" s="110" t="s">
        <v>319</v>
      </c>
      <c r="B89" s="46" t="s">
        <v>1807</v>
      </c>
      <c r="C89" s="47"/>
      <c r="D89" s="38">
        <v>1715.0</v>
      </c>
      <c r="E89" s="38">
        <v>1203.0</v>
      </c>
      <c r="F89" s="48">
        <v>1038.0</v>
      </c>
      <c r="G89" s="38">
        <v>545.0</v>
      </c>
      <c r="H89" s="38">
        <v>130.0</v>
      </c>
      <c r="I89" s="48">
        <f t="shared" si="3"/>
        <v>3956</v>
      </c>
      <c r="J89" s="48">
        <f t="shared" si="4"/>
        <v>4631</v>
      </c>
      <c r="K89" s="49">
        <f t="shared" si="5"/>
        <v>0.4335187058</v>
      </c>
      <c r="L89" s="49">
        <f t="shared" si="6"/>
        <v>0.3040950455</v>
      </c>
      <c r="M89" s="49">
        <f t="shared" si="7"/>
        <v>0.2623862487</v>
      </c>
      <c r="N89" s="32" t="str">
        <f t="shared" si="8"/>
        <v>Jânio</v>
      </c>
      <c r="O89" s="50" t="s">
        <v>77</v>
      </c>
      <c r="P89" s="38">
        <v>1792.0</v>
      </c>
      <c r="Q89" s="38">
        <v>369.0</v>
      </c>
      <c r="R89" s="38">
        <v>1246.0</v>
      </c>
      <c r="S89" s="38">
        <v>1129.0</v>
      </c>
      <c r="T89" s="38">
        <v>95.0</v>
      </c>
      <c r="U89" s="48">
        <f t="shared" si="9"/>
        <v>3407</v>
      </c>
      <c r="V89" s="48">
        <f t="shared" si="10"/>
        <v>4631</v>
      </c>
      <c r="W89" s="49">
        <f t="shared" si="11"/>
        <v>0.5259759319</v>
      </c>
      <c r="X89" s="49">
        <f t="shared" si="12"/>
        <v>0.1083064279</v>
      </c>
      <c r="Y89" s="49">
        <f t="shared" si="13"/>
        <v>0.3657176402</v>
      </c>
      <c r="Z89" s="32" t="str">
        <f t="shared" si="14"/>
        <v>Jango</v>
      </c>
      <c r="AA89" s="50" t="s">
        <v>77</v>
      </c>
      <c r="AB89" s="38">
        <v>5667.0</v>
      </c>
      <c r="AC89" s="48">
        <f t="shared" si="15"/>
        <v>1036</v>
      </c>
      <c r="AD89" s="51">
        <f t="shared" si="16"/>
        <v>0.8171872243</v>
      </c>
    </row>
    <row r="90">
      <c r="A90" s="110" t="s">
        <v>321</v>
      </c>
      <c r="B90" s="46" t="s">
        <v>1808</v>
      </c>
      <c r="C90" s="47"/>
      <c r="D90" s="38">
        <v>1405.0</v>
      </c>
      <c r="E90" s="38">
        <v>564.0</v>
      </c>
      <c r="F90" s="48">
        <v>1224.0</v>
      </c>
      <c r="G90" s="38">
        <v>330.0</v>
      </c>
      <c r="H90" s="38">
        <v>146.0</v>
      </c>
      <c r="I90" s="48">
        <f t="shared" si="3"/>
        <v>3193</v>
      </c>
      <c r="J90" s="48">
        <f t="shared" si="4"/>
        <v>3669</v>
      </c>
      <c r="K90" s="49">
        <f t="shared" si="5"/>
        <v>0.4400250548</v>
      </c>
      <c r="L90" s="49">
        <f t="shared" si="6"/>
        <v>0.1766363921</v>
      </c>
      <c r="M90" s="49">
        <f t="shared" si="7"/>
        <v>0.3833385531</v>
      </c>
      <c r="N90" s="32" t="str">
        <f t="shared" si="8"/>
        <v>Jânio</v>
      </c>
      <c r="O90" s="50" t="s">
        <v>77</v>
      </c>
      <c r="P90" s="38">
        <v>1692.0</v>
      </c>
      <c r="Q90" s="38">
        <v>475.0</v>
      </c>
      <c r="R90" s="38">
        <v>548.0</v>
      </c>
      <c r="S90" s="38">
        <v>868.0</v>
      </c>
      <c r="T90" s="38">
        <v>86.0</v>
      </c>
      <c r="U90" s="48">
        <f t="shared" si="9"/>
        <v>2715</v>
      </c>
      <c r="V90" s="48">
        <f t="shared" si="10"/>
        <v>3669</v>
      </c>
      <c r="W90" s="49">
        <f t="shared" si="11"/>
        <v>0.6232044199</v>
      </c>
      <c r="X90" s="49">
        <f t="shared" si="12"/>
        <v>0.1749539595</v>
      </c>
      <c r="Y90" s="49">
        <f t="shared" si="13"/>
        <v>0.2018416206</v>
      </c>
      <c r="Z90" s="32" t="str">
        <f t="shared" si="14"/>
        <v>Jango</v>
      </c>
      <c r="AA90" s="50" t="s">
        <v>77</v>
      </c>
      <c r="AB90" s="38">
        <v>4169.0</v>
      </c>
      <c r="AC90" s="48">
        <f t="shared" si="15"/>
        <v>500</v>
      </c>
      <c r="AD90" s="51">
        <f t="shared" si="16"/>
        <v>0.8800671624</v>
      </c>
    </row>
    <row r="91">
      <c r="A91" s="61" t="s">
        <v>324</v>
      </c>
      <c r="B91" s="46" t="s">
        <v>1809</v>
      </c>
      <c r="C91" s="47"/>
      <c r="D91" s="38">
        <v>1393.0</v>
      </c>
      <c r="E91" s="38">
        <v>431.0</v>
      </c>
      <c r="F91" s="48">
        <v>478.0</v>
      </c>
      <c r="G91" s="38">
        <v>210.0</v>
      </c>
      <c r="H91" s="38">
        <v>98.0</v>
      </c>
      <c r="I91" s="48">
        <f t="shared" si="3"/>
        <v>2302</v>
      </c>
      <c r="J91" s="48">
        <f t="shared" si="4"/>
        <v>2610</v>
      </c>
      <c r="K91" s="49">
        <f t="shared" si="5"/>
        <v>0.6051259774</v>
      </c>
      <c r="L91" s="49">
        <f t="shared" si="6"/>
        <v>0.187228497</v>
      </c>
      <c r="M91" s="49">
        <f t="shared" si="7"/>
        <v>0.2076455256</v>
      </c>
      <c r="N91" s="32" t="str">
        <f t="shared" si="8"/>
        <v>Jânio</v>
      </c>
      <c r="O91" s="50" t="s">
        <v>77</v>
      </c>
      <c r="P91" s="38">
        <v>748.0</v>
      </c>
      <c r="Q91" s="38">
        <v>650.0</v>
      </c>
      <c r="R91" s="38">
        <v>538.0</v>
      </c>
      <c r="S91" s="38">
        <v>605.0</v>
      </c>
      <c r="T91" s="38">
        <v>69.0</v>
      </c>
      <c r="U91" s="48">
        <f t="shared" si="9"/>
        <v>1936</v>
      </c>
      <c r="V91" s="48">
        <f t="shared" si="10"/>
        <v>2610</v>
      </c>
      <c r="W91" s="49">
        <f t="shared" si="11"/>
        <v>0.3863636364</v>
      </c>
      <c r="X91" s="49">
        <f t="shared" si="12"/>
        <v>0.3357438017</v>
      </c>
      <c r="Y91" s="49">
        <f t="shared" si="13"/>
        <v>0.277892562</v>
      </c>
      <c r="Z91" s="32" t="str">
        <f t="shared" si="14"/>
        <v>Jango</v>
      </c>
      <c r="AA91" s="50" t="s">
        <v>77</v>
      </c>
      <c r="AB91" s="38">
        <v>2752.0</v>
      </c>
      <c r="AC91" s="48">
        <f t="shared" si="15"/>
        <v>142</v>
      </c>
      <c r="AD91" s="51">
        <f t="shared" si="16"/>
        <v>0.9484011628</v>
      </c>
    </row>
    <row r="92">
      <c r="A92" s="24"/>
      <c r="B92" s="46" t="s">
        <v>1810</v>
      </c>
      <c r="C92" s="47"/>
      <c r="D92" s="38">
        <v>1334.0</v>
      </c>
      <c r="E92" s="38">
        <v>441.0</v>
      </c>
      <c r="F92" s="48">
        <v>506.0</v>
      </c>
      <c r="G92" s="38">
        <v>214.0</v>
      </c>
      <c r="H92" s="38">
        <v>90.0</v>
      </c>
      <c r="I92" s="48">
        <f t="shared" si="3"/>
        <v>2281</v>
      </c>
      <c r="J92" s="48">
        <f t="shared" si="4"/>
        <v>2585</v>
      </c>
      <c r="K92" s="49">
        <f t="shared" si="5"/>
        <v>0.5848312144</v>
      </c>
      <c r="L92" s="49">
        <f t="shared" si="6"/>
        <v>0.193336256</v>
      </c>
      <c r="M92" s="49">
        <f t="shared" si="7"/>
        <v>0.2218325296</v>
      </c>
      <c r="N92" s="32" t="str">
        <f t="shared" si="8"/>
        <v>Jânio</v>
      </c>
      <c r="O92" s="50" t="s">
        <v>77</v>
      </c>
      <c r="P92" s="38">
        <v>820.0</v>
      </c>
      <c r="Q92" s="38">
        <v>487.0</v>
      </c>
      <c r="R92" s="38">
        <v>689.0</v>
      </c>
      <c r="S92" s="38">
        <v>528.0</v>
      </c>
      <c r="T92" s="38">
        <v>61.0</v>
      </c>
      <c r="U92" s="48">
        <f t="shared" si="9"/>
        <v>1996</v>
      </c>
      <c r="V92" s="48">
        <f t="shared" si="10"/>
        <v>2585</v>
      </c>
      <c r="W92" s="49">
        <f t="shared" si="11"/>
        <v>0.4108216433</v>
      </c>
      <c r="X92" s="49">
        <f t="shared" si="12"/>
        <v>0.243987976</v>
      </c>
      <c r="Y92" s="49">
        <f t="shared" si="13"/>
        <v>0.3451903808</v>
      </c>
      <c r="Z92" s="32" t="str">
        <f t="shared" si="14"/>
        <v>Jango</v>
      </c>
      <c r="AA92" s="50" t="s">
        <v>77</v>
      </c>
      <c r="AB92" s="38">
        <v>2901.0</v>
      </c>
      <c r="AC92" s="48">
        <f t="shared" si="15"/>
        <v>316</v>
      </c>
      <c r="AD92" s="51">
        <f t="shared" si="16"/>
        <v>0.8910720441</v>
      </c>
    </row>
    <row r="93">
      <c r="A93" s="110" t="s">
        <v>327</v>
      </c>
      <c r="B93" s="46" t="s">
        <v>1811</v>
      </c>
      <c r="C93" s="47"/>
      <c r="D93" s="38">
        <v>1640.0</v>
      </c>
      <c r="E93" s="38">
        <v>476.0</v>
      </c>
      <c r="F93" s="48">
        <v>656.0</v>
      </c>
      <c r="G93" s="38">
        <v>211.0</v>
      </c>
      <c r="H93" s="38">
        <v>91.0</v>
      </c>
      <c r="I93" s="48">
        <f t="shared" si="3"/>
        <v>2772</v>
      </c>
      <c r="J93" s="48">
        <f t="shared" si="4"/>
        <v>3074</v>
      </c>
      <c r="K93" s="49">
        <f t="shared" si="5"/>
        <v>0.5916305916</v>
      </c>
      <c r="L93" s="49">
        <f t="shared" si="6"/>
        <v>0.1717171717</v>
      </c>
      <c r="M93" s="49">
        <f t="shared" si="7"/>
        <v>0.2366522367</v>
      </c>
      <c r="N93" s="32" t="str">
        <f t="shared" si="8"/>
        <v>Jânio</v>
      </c>
      <c r="O93" s="50" t="s">
        <v>77</v>
      </c>
      <c r="P93" s="38">
        <v>1020.0</v>
      </c>
      <c r="Q93" s="38">
        <v>778.0</v>
      </c>
      <c r="R93" s="38">
        <v>687.0</v>
      </c>
      <c r="S93" s="38">
        <v>528.0</v>
      </c>
      <c r="T93" s="38">
        <v>61.0</v>
      </c>
      <c r="U93" s="48">
        <f t="shared" si="9"/>
        <v>2485</v>
      </c>
      <c r="V93" s="48">
        <f t="shared" si="10"/>
        <v>3074</v>
      </c>
      <c r="W93" s="49">
        <f t="shared" si="11"/>
        <v>0.4104627767</v>
      </c>
      <c r="X93" s="49">
        <f t="shared" si="12"/>
        <v>0.3130784708</v>
      </c>
      <c r="Y93" s="49">
        <f t="shared" si="13"/>
        <v>0.2764587525</v>
      </c>
      <c r="Z93" s="32" t="str">
        <f t="shared" si="14"/>
        <v>Jango</v>
      </c>
      <c r="AA93" s="50" t="s">
        <v>77</v>
      </c>
      <c r="AB93" s="38">
        <v>3229.0</v>
      </c>
      <c r="AC93" s="48">
        <f t="shared" si="15"/>
        <v>155</v>
      </c>
      <c r="AD93" s="51">
        <f t="shared" si="16"/>
        <v>0.9519975225</v>
      </c>
    </row>
    <row r="94">
      <c r="A94" s="110" t="s">
        <v>501</v>
      </c>
      <c r="B94" s="46" t="s">
        <v>1812</v>
      </c>
      <c r="C94" s="47"/>
      <c r="D94" s="38">
        <v>1375.0</v>
      </c>
      <c r="E94" s="38">
        <v>763.0</v>
      </c>
      <c r="F94" s="48">
        <v>798.0</v>
      </c>
      <c r="G94" s="38">
        <v>323.0</v>
      </c>
      <c r="H94" s="38">
        <v>127.0</v>
      </c>
      <c r="I94" s="48">
        <f t="shared" si="3"/>
        <v>2936</v>
      </c>
      <c r="J94" s="48">
        <f t="shared" si="4"/>
        <v>3386</v>
      </c>
      <c r="K94" s="49">
        <f t="shared" si="5"/>
        <v>0.4683242507</v>
      </c>
      <c r="L94" s="49">
        <f t="shared" si="6"/>
        <v>0.2598773842</v>
      </c>
      <c r="M94" s="49">
        <f t="shared" si="7"/>
        <v>0.2717983651</v>
      </c>
      <c r="N94" s="32" t="str">
        <f t="shared" si="8"/>
        <v>Jânio</v>
      </c>
      <c r="O94" s="50" t="s">
        <v>77</v>
      </c>
      <c r="P94" s="38">
        <v>1414.0</v>
      </c>
      <c r="Q94" s="38">
        <v>554.0</v>
      </c>
      <c r="R94" s="38">
        <v>762.0</v>
      </c>
      <c r="S94" s="38">
        <v>555.0</v>
      </c>
      <c r="T94" s="38">
        <v>101.0</v>
      </c>
      <c r="U94" s="48">
        <f t="shared" si="9"/>
        <v>2730</v>
      </c>
      <c r="V94" s="48">
        <f t="shared" si="10"/>
        <v>3386</v>
      </c>
      <c r="W94" s="49">
        <f t="shared" si="11"/>
        <v>0.5179487179</v>
      </c>
      <c r="X94" s="49">
        <f t="shared" si="12"/>
        <v>0.2029304029</v>
      </c>
      <c r="Y94" s="49">
        <f t="shared" si="13"/>
        <v>0.2791208791</v>
      </c>
      <c r="Z94" s="32" t="str">
        <f t="shared" si="14"/>
        <v>Jango</v>
      </c>
      <c r="AA94" s="50" t="s">
        <v>77</v>
      </c>
      <c r="AB94" s="38">
        <v>3627.0</v>
      </c>
      <c r="AC94" s="48">
        <f t="shared" si="15"/>
        <v>241</v>
      </c>
      <c r="AD94" s="51">
        <f t="shared" si="16"/>
        <v>0.9335539013</v>
      </c>
    </row>
    <row r="95">
      <c r="A95" s="110" t="s">
        <v>504</v>
      </c>
      <c r="B95" s="46" t="s">
        <v>1813</v>
      </c>
      <c r="C95" s="47"/>
      <c r="D95" s="38">
        <v>877.0</v>
      </c>
      <c r="E95" s="38">
        <v>351.0</v>
      </c>
      <c r="F95" s="48">
        <v>231.0</v>
      </c>
      <c r="G95" s="38">
        <v>113.0</v>
      </c>
      <c r="H95" s="38">
        <v>68.0</v>
      </c>
      <c r="I95" s="48">
        <f t="shared" si="3"/>
        <v>1459</v>
      </c>
      <c r="J95" s="48">
        <f t="shared" si="4"/>
        <v>1640</v>
      </c>
      <c r="K95" s="49">
        <f t="shared" si="5"/>
        <v>0.6010966415</v>
      </c>
      <c r="L95" s="49">
        <f t="shared" si="6"/>
        <v>0.2405757368</v>
      </c>
      <c r="M95" s="49">
        <f t="shared" si="7"/>
        <v>0.1583276217</v>
      </c>
      <c r="N95" s="32" t="str">
        <f t="shared" si="8"/>
        <v>Jânio</v>
      </c>
      <c r="O95" s="50" t="s">
        <v>77</v>
      </c>
      <c r="P95" s="38">
        <v>665.0</v>
      </c>
      <c r="Q95" s="38">
        <v>273.0</v>
      </c>
      <c r="R95" s="38">
        <v>246.0</v>
      </c>
      <c r="S95" s="38">
        <v>422.0</v>
      </c>
      <c r="T95" s="38">
        <v>34.0</v>
      </c>
      <c r="U95" s="48">
        <f t="shared" si="9"/>
        <v>1184</v>
      </c>
      <c r="V95" s="48">
        <f t="shared" si="10"/>
        <v>1640</v>
      </c>
      <c r="W95" s="49">
        <f t="shared" si="11"/>
        <v>0.5616554054</v>
      </c>
      <c r="X95" s="49">
        <f t="shared" si="12"/>
        <v>0.2305743243</v>
      </c>
      <c r="Y95" s="49">
        <f t="shared" si="13"/>
        <v>0.2077702703</v>
      </c>
      <c r="Z95" s="32" t="str">
        <f t="shared" si="14"/>
        <v>Jango</v>
      </c>
      <c r="AA95" s="50" t="s">
        <v>77</v>
      </c>
      <c r="AB95" s="38">
        <v>1808.0</v>
      </c>
      <c r="AC95" s="48">
        <f t="shared" si="15"/>
        <v>168</v>
      </c>
      <c r="AD95" s="51">
        <f t="shared" si="16"/>
        <v>0.907079646</v>
      </c>
    </row>
    <row r="96">
      <c r="A96" s="110" t="s">
        <v>506</v>
      </c>
      <c r="B96" s="46" t="s">
        <v>1814</v>
      </c>
      <c r="C96" s="47"/>
      <c r="D96" s="38">
        <v>791.0</v>
      </c>
      <c r="E96" s="38">
        <v>375.0</v>
      </c>
      <c r="F96" s="48">
        <v>320.0</v>
      </c>
      <c r="G96" s="38">
        <v>161.0</v>
      </c>
      <c r="H96" s="38">
        <v>67.0</v>
      </c>
      <c r="I96" s="48">
        <f t="shared" si="3"/>
        <v>1486</v>
      </c>
      <c r="J96" s="48">
        <f t="shared" si="4"/>
        <v>1714</v>
      </c>
      <c r="K96" s="49">
        <f t="shared" si="5"/>
        <v>0.5323014805</v>
      </c>
      <c r="L96" s="49">
        <f t="shared" si="6"/>
        <v>0.2523553163</v>
      </c>
      <c r="M96" s="49">
        <f t="shared" si="7"/>
        <v>0.2153432032</v>
      </c>
      <c r="N96" s="32" t="str">
        <f t="shared" si="8"/>
        <v>Jânio</v>
      </c>
      <c r="O96" s="50" t="s">
        <v>77</v>
      </c>
      <c r="P96" s="38">
        <v>629.0</v>
      </c>
      <c r="Q96" s="38">
        <v>301.0</v>
      </c>
      <c r="R96" s="38">
        <v>331.0</v>
      </c>
      <c r="S96" s="38">
        <v>414.0</v>
      </c>
      <c r="T96" s="38">
        <v>39.0</v>
      </c>
      <c r="U96" s="48">
        <f t="shared" si="9"/>
        <v>1261</v>
      </c>
      <c r="V96" s="48">
        <f t="shared" si="10"/>
        <v>1714</v>
      </c>
      <c r="W96" s="49">
        <f t="shared" si="11"/>
        <v>0.4988104679</v>
      </c>
      <c r="X96" s="49">
        <f t="shared" si="12"/>
        <v>0.2386994449</v>
      </c>
      <c r="Y96" s="49">
        <f t="shared" si="13"/>
        <v>0.2624900872</v>
      </c>
      <c r="Z96" s="32" t="str">
        <f t="shared" si="14"/>
        <v>Jango</v>
      </c>
      <c r="AA96" s="50" t="s">
        <v>77</v>
      </c>
      <c r="AB96" s="38">
        <v>1829.0</v>
      </c>
      <c r="AC96" s="48">
        <f t="shared" si="15"/>
        <v>115</v>
      </c>
      <c r="AD96" s="51">
        <f t="shared" si="16"/>
        <v>0.9371241115</v>
      </c>
    </row>
    <row r="97">
      <c r="A97" s="110" t="s">
        <v>509</v>
      </c>
      <c r="B97" s="46" t="s">
        <v>1815</v>
      </c>
      <c r="C97" s="47"/>
      <c r="D97" s="38">
        <v>667.0</v>
      </c>
      <c r="E97" s="38">
        <v>419.0</v>
      </c>
      <c r="F97" s="48">
        <v>411.0</v>
      </c>
      <c r="G97" s="38">
        <v>100.0</v>
      </c>
      <c r="H97" s="38">
        <v>50.0</v>
      </c>
      <c r="I97" s="48">
        <f t="shared" si="3"/>
        <v>1497</v>
      </c>
      <c r="J97" s="48">
        <f t="shared" si="4"/>
        <v>1647</v>
      </c>
      <c r="K97" s="49">
        <f t="shared" si="5"/>
        <v>0.4455577822</v>
      </c>
      <c r="L97" s="49">
        <f t="shared" si="6"/>
        <v>0.2798931196</v>
      </c>
      <c r="M97" s="49">
        <f t="shared" si="7"/>
        <v>0.2745490982</v>
      </c>
      <c r="N97" s="32" t="str">
        <f t="shared" si="8"/>
        <v>Jânio</v>
      </c>
      <c r="O97" s="50" t="s">
        <v>77</v>
      </c>
      <c r="P97" s="38">
        <v>737.0</v>
      </c>
      <c r="Q97" s="38">
        <v>358.0</v>
      </c>
      <c r="R97" s="38">
        <v>167.0</v>
      </c>
      <c r="S97" s="38">
        <v>350.0</v>
      </c>
      <c r="T97" s="38">
        <v>35.0</v>
      </c>
      <c r="U97" s="48">
        <f t="shared" si="9"/>
        <v>1262</v>
      </c>
      <c r="V97" s="48">
        <f t="shared" si="10"/>
        <v>1647</v>
      </c>
      <c r="W97" s="49">
        <f t="shared" si="11"/>
        <v>0.5839936609</v>
      </c>
      <c r="X97" s="49">
        <f t="shared" si="12"/>
        <v>0.2836767036</v>
      </c>
      <c r="Y97" s="49">
        <f t="shared" si="13"/>
        <v>0.1323296355</v>
      </c>
      <c r="Z97" s="32" t="str">
        <f t="shared" si="14"/>
        <v>Jango</v>
      </c>
      <c r="AA97" s="50" t="s">
        <v>77</v>
      </c>
      <c r="AB97" s="38">
        <v>1960.0</v>
      </c>
      <c r="AC97" s="48">
        <f t="shared" si="15"/>
        <v>313</v>
      </c>
      <c r="AD97" s="51">
        <f t="shared" si="16"/>
        <v>0.8403061224</v>
      </c>
    </row>
    <row r="98">
      <c r="A98" s="61" t="s">
        <v>512</v>
      </c>
      <c r="B98" s="46" t="s">
        <v>1816</v>
      </c>
      <c r="C98" s="47"/>
      <c r="D98" s="38">
        <v>1091.0</v>
      </c>
      <c r="E98" s="38">
        <v>323.0</v>
      </c>
      <c r="F98" s="38">
        <v>1150.0</v>
      </c>
      <c r="G98" s="38">
        <v>135.0</v>
      </c>
      <c r="H98" s="38">
        <v>52.0</v>
      </c>
      <c r="I98" s="48">
        <f t="shared" si="3"/>
        <v>2564</v>
      </c>
      <c r="J98" s="48">
        <f t="shared" si="4"/>
        <v>2751</v>
      </c>
      <c r="K98" s="49">
        <f t="shared" si="5"/>
        <v>0.4255070203</v>
      </c>
      <c r="L98" s="49">
        <f t="shared" si="6"/>
        <v>0.125975039</v>
      </c>
      <c r="M98" s="49">
        <f t="shared" si="7"/>
        <v>0.4485179407</v>
      </c>
      <c r="N98" s="32" t="str">
        <f t="shared" si="8"/>
        <v>Adhemar</v>
      </c>
      <c r="O98" s="50" t="s">
        <v>77</v>
      </c>
      <c r="P98" s="38">
        <v>1020.0</v>
      </c>
      <c r="Q98" s="38">
        <v>660.0</v>
      </c>
      <c r="R98" s="38">
        <v>381.0</v>
      </c>
      <c r="S98" s="38">
        <v>653.0</v>
      </c>
      <c r="T98" s="38">
        <v>37.0</v>
      </c>
      <c r="U98" s="48">
        <f t="shared" si="9"/>
        <v>2061</v>
      </c>
      <c r="V98" s="48">
        <f t="shared" si="10"/>
        <v>2751</v>
      </c>
      <c r="W98" s="49">
        <f t="shared" si="11"/>
        <v>0.4949053857</v>
      </c>
      <c r="X98" s="49">
        <f t="shared" si="12"/>
        <v>0.3202328967</v>
      </c>
      <c r="Y98" s="49">
        <f t="shared" si="13"/>
        <v>0.1848617176</v>
      </c>
      <c r="Z98" s="32" t="str">
        <f t="shared" si="14"/>
        <v>Jango</v>
      </c>
      <c r="AA98" s="50" t="s">
        <v>77</v>
      </c>
      <c r="AB98" s="38">
        <v>3403.0</v>
      </c>
      <c r="AC98" s="48">
        <f t="shared" si="15"/>
        <v>652</v>
      </c>
      <c r="AD98" s="51">
        <f t="shared" si="16"/>
        <v>0.8084043491</v>
      </c>
    </row>
    <row r="99">
      <c r="A99" s="24"/>
      <c r="B99" s="46" t="s">
        <v>1817</v>
      </c>
      <c r="C99" s="47"/>
      <c r="D99" s="38">
        <v>600.0</v>
      </c>
      <c r="E99" s="38">
        <v>197.0</v>
      </c>
      <c r="F99" s="38">
        <v>384.0</v>
      </c>
      <c r="G99" s="38">
        <v>82.0</v>
      </c>
      <c r="H99" s="38">
        <v>42.0</v>
      </c>
      <c r="I99" s="48">
        <f t="shared" si="3"/>
        <v>1181</v>
      </c>
      <c r="J99" s="48">
        <f t="shared" si="4"/>
        <v>1305</v>
      </c>
      <c r="K99" s="49">
        <f t="shared" si="5"/>
        <v>0.5080440305</v>
      </c>
      <c r="L99" s="49">
        <f t="shared" si="6"/>
        <v>0.16680779</v>
      </c>
      <c r="M99" s="49">
        <f t="shared" si="7"/>
        <v>0.3251481795</v>
      </c>
      <c r="N99" s="32" t="str">
        <f t="shared" si="8"/>
        <v>Jânio</v>
      </c>
      <c r="O99" s="50" t="s">
        <v>77</v>
      </c>
      <c r="P99" s="38">
        <v>492.0</v>
      </c>
      <c r="Q99" s="38">
        <v>315.0</v>
      </c>
      <c r="R99" s="38">
        <v>207.0</v>
      </c>
      <c r="S99" s="38">
        <v>254.0</v>
      </c>
      <c r="T99" s="38">
        <v>37.0</v>
      </c>
      <c r="U99" s="48">
        <f t="shared" si="9"/>
        <v>1014</v>
      </c>
      <c r="V99" s="48">
        <f t="shared" si="10"/>
        <v>1305</v>
      </c>
      <c r="W99" s="49">
        <f t="shared" si="11"/>
        <v>0.4852071006</v>
      </c>
      <c r="X99" s="49">
        <f t="shared" si="12"/>
        <v>0.3106508876</v>
      </c>
      <c r="Y99" s="49">
        <f t="shared" si="13"/>
        <v>0.2041420118</v>
      </c>
      <c r="Z99" s="32" t="str">
        <f t="shared" si="14"/>
        <v>Jango</v>
      </c>
      <c r="AA99" s="50" t="s">
        <v>77</v>
      </c>
      <c r="AB99" s="38">
        <v>1523.0</v>
      </c>
      <c r="AC99" s="48">
        <f t="shared" si="15"/>
        <v>218</v>
      </c>
      <c r="AD99" s="51">
        <f t="shared" si="16"/>
        <v>0.8568614576</v>
      </c>
    </row>
    <row r="100">
      <c r="A100" s="110" t="s">
        <v>514</v>
      </c>
      <c r="B100" s="46" t="s">
        <v>1818</v>
      </c>
      <c r="C100" s="47"/>
      <c r="D100" s="38">
        <v>1202.0</v>
      </c>
      <c r="E100" s="38">
        <v>674.0</v>
      </c>
      <c r="F100" s="38">
        <v>398.0</v>
      </c>
      <c r="G100" s="38">
        <v>183.0</v>
      </c>
      <c r="H100" s="38">
        <v>114.0</v>
      </c>
      <c r="I100" s="48">
        <f t="shared" si="3"/>
        <v>2274</v>
      </c>
      <c r="J100" s="48">
        <f t="shared" si="4"/>
        <v>2571</v>
      </c>
      <c r="K100" s="49">
        <f t="shared" si="5"/>
        <v>0.528583993</v>
      </c>
      <c r="L100" s="49">
        <f t="shared" si="6"/>
        <v>0.2963940193</v>
      </c>
      <c r="M100" s="49">
        <f t="shared" si="7"/>
        <v>0.1750219877</v>
      </c>
      <c r="N100" s="32" t="str">
        <f t="shared" si="8"/>
        <v>Jânio</v>
      </c>
      <c r="O100" s="50" t="s">
        <v>77</v>
      </c>
      <c r="P100" s="38">
        <v>875.0</v>
      </c>
      <c r="Q100" s="38">
        <v>595.0</v>
      </c>
      <c r="R100" s="38">
        <v>199.0</v>
      </c>
      <c r="S100" s="38">
        <v>847.0</v>
      </c>
      <c r="T100" s="38">
        <v>55.0</v>
      </c>
      <c r="U100" s="48">
        <f t="shared" si="9"/>
        <v>1669</v>
      </c>
      <c r="V100" s="48">
        <f t="shared" si="10"/>
        <v>2571</v>
      </c>
      <c r="W100" s="49">
        <f t="shared" si="11"/>
        <v>0.5242660276</v>
      </c>
      <c r="X100" s="49">
        <f t="shared" si="12"/>
        <v>0.3565008987</v>
      </c>
      <c r="Y100" s="49">
        <f t="shared" si="13"/>
        <v>0.1192330737</v>
      </c>
      <c r="Z100" s="32" t="str">
        <f t="shared" si="14"/>
        <v>Jango</v>
      </c>
      <c r="AA100" s="50" t="s">
        <v>77</v>
      </c>
      <c r="AB100" s="38">
        <v>2938.0</v>
      </c>
      <c r="AC100" s="48">
        <f t="shared" si="15"/>
        <v>367</v>
      </c>
      <c r="AD100" s="51">
        <f t="shared" si="16"/>
        <v>0.8750850919</v>
      </c>
    </row>
    <row r="101">
      <c r="A101" s="61" t="s">
        <v>516</v>
      </c>
      <c r="B101" s="46" t="s">
        <v>1819</v>
      </c>
      <c r="C101" s="47"/>
      <c r="D101" s="38">
        <v>1380.0</v>
      </c>
      <c r="E101" s="38">
        <v>461.0</v>
      </c>
      <c r="F101" s="38">
        <v>959.0</v>
      </c>
      <c r="G101" s="38">
        <v>194.0</v>
      </c>
      <c r="H101" s="38">
        <v>98.0</v>
      </c>
      <c r="I101" s="48">
        <f t="shared" si="3"/>
        <v>2800</v>
      </c>
      <c r="J101" s="48">
        <f t="shared" si="4"/>
        <v>3092</v>
      </c>
      <c r="K101" s="49">
        <f t="shared" si="5"/>
        <v>0.4928571429</v>
      </c>
      <c r="L101" s="49">
        <f t="shared" si="6"/>
        <v>0.1646428571</v>
      </c>
      <c r="M101" s="49">
        <f t="shared" si="7"/>
        <v>0.3425</v>
      </c>
      <c r="N101" s="32" t="str">
        <f t="shared" si="8"/>
        <v>Jânio</v>
      </c>
      <c r="O101" s="50" t="s">
        <v>77</v>
      </c>
      <c r="P101" s="38">
        <v>991.0</v>
      </c>
      <c r="Q101" s="38">
        <v>939.0</v>
      </c>
      <c r="R101" s="38">
        <v>226.0</v>
      </c>
      <c r="S101" s="38">
        <v>876.0</v>
      </c>
      <c r="T101" s="38">
        <v>60.0</v>
      </c>
      <c r="U101" s="48">
        <f t="shared" si="9"/>
        <v>2156</v>
      </c>
      <c r="V101" s="48">
        <f t="shared" si="10"/>
        <v>3092</v>
      </c>
      <c r="W101" s="49">
        <f t="shared" si="11"/>
        <v>0.4596474954</v>
      </c>
      <c r="X101" s="49">
        <f t="shared" si="12"/>
        <v>0.435528757</v>
      </c>
      <c r="Y101" s="49">
        <f t="shared" si="13"/>
        <v>0.1048237477</v>
      </c>
      <c r="Z101" s="32" t="str">
        <f t="shared" si="14"/>
        <v>Jango</v>
      </c>
      <c r="AA101" s="50" t="s">
        <v>77</v>
      </c>
      <c r="AB101" s="38">
        <v>3738.0</v>
      </c>
      <c r="AC101" s="48">
        <f t="shared" si="15"/>
        <v>646</v>
      </c>
      <c r="AD101" s="51">
        <f t="shared" si="16"/>
        <v>0.8271803103</v>
      </c>
    </row>
    <row r="102">
      <c r="A102" s="24"/>
      <c r="B102" s="46" t="s">
        <v>1820</v>
      </c>
      <c r="C102" s="47"/>
      <c r="D102" s="38">
        <v>777.0</v>
      </c>
      <c r="E102" s="38">
        <v>240.0</v>
      </c>
      <c r="F102" s="38">
        <v>582.0</v>
      </c>
      <c r="G102" s="38">
        <v>171.0</v>
      </c>
      <c r="H102" s="38">
        <v>82.0</v>
      </c>
      <c r="I102" s="48">
        <f t="shared" si="3"/>
        <v>1599</v>
      </c>
      <c r="J102" s="48">
        <f t="shared" si="4"/>
        <v>1852</v>
      </c>
      <c r="K102" s="49">
        <f t="shared" si="5"/>
        <v>0.4859287054</v>
      </c>
      <c r="L102" s="49">
        <f t="shared" si="6"/>
        <v>0.1500938086</v>
      </c>
      <c r="M102" s="49">
        <f t="shared" si="7"/>
        <v>0.3639774859</v>
      </c>
      <c r="N102" s="32" t="str">
        <f t="shared" si="8"/>
        <v>Jânio</v>
      </c>
      <c r="O102" s="50" t="s">
        <v>77</v>
      </c>
      <c r="P102" s="38">
        <v>537.0</v>
      </c>
      <c r="Q102" s="38">
        <v>364.0</v>
      </c>
      <c r="R102" s="38">
        <v>226.0</v>
      </c>
      <c r="S102" s="38">
        <v>684.0</v>
      </c>
      <c r="T102" s="38">
        <v>41.0</v>
      </c>
      <c r="U102" s="48">
        <f t="shared" si="9"/>
        <v>1127</v>
      </c>
      <c r="V102" s="48">
        <f t="shared" si="10"/>
        <v>1852</v>
      </c>
      <c r="W102" s="49">
        <f t="shared" si="11"/>
        <v>0.4764862467</v>
      </c>
      <c r="X102" s="49">
        <f t="shared" si="12"/>
        <v>0.3229813665</v>
      </c>
      <c r="Y102" s="49">
        <f t="shared" si="13"/>
        <v>0.2005323869</v>
      </c>
      <c r="Z102" s="32" t="str">
        <f t="shared" si="14"/>
        <v>Jango</v>
      </c>
      <c r="AA102" s="50" t="s">
        <v>77</v>
      </c>
      <c r="AB102" s="38">
        <v>2404.0</v>
      </c>
      <c r="AC102" s="48">
        <f t="shared" si="15"/>
        <v>552</v>
      </c>
      <c r="AD102" s="51">
        <f t="shared" si="16"/>
        <v>0.7703826955</v>
      </c>
    </row>
    <row r="103">
      <c r="A103" s="61" t="s">
        <v>518</v>
      </c>
      <c r="B103" s="46" t="s">
        <v>1821</v>
      </c>
      <c r="C103" s="47"/>
      <c r="D103" s="38">
        <v>1975.0</v>
      </c>
      <c r="E103" s="38">
        <v>857.0</v>
      </c>
      <c r="F103" s="38">
        <v>1199.0</v>
      </c>
      <c r="G103" s="38">
        <v>199.0</v>
      </c>
      <c r="H103" s="38">
        <v>133.0</v>
      </c>
      <c r="I103" s="48">
        <f t="shared" si="3"/>
        <v>4031</v>
      </c>
      <c r="J103" s="48">
        <f t="shared" si="4"/>
        <v>4363</v>
      </c>
      <c r="K103" s="49">
        <f t="shared" si="5"/>
        <v>0.4899528653</v>
      </c>
      <c r="L103" s="49">
        <f t="shared" si="6"/>
        <v>0.2126023319</v>
      </c>
      <c r="M103" s="49">
        <f t="shared" si="7"/>
        <v>0.2974448028</v>
      </c>
      <c r="N103" s="32" t="str">
        <f t="shared" si="8"/>
        <v>Jânio</v>
      </c>
      <c r="O103" s="50" t="s">
        <v>77</v>
      </c>
      <c r="P103" s="38">
        <v>1432.0</v>
      </c>
      <c r="Q103" s="38">
        <v>1651.0</v>
      </c>
      <c r="R103" s="38">
        <v>283.0</v>
      </c>
      <c r="S103" s="38">
        <v>908.0</v>
      </c>
      <c r="T103" s="38">
        <v>89.0</v>
      </c>
      <c r="U103" s="48">
        <f t="shared" si="9"/>
        <v>3366</v>
      </c>
      <c r="V103" s="48">
        <f t="shared" si="10"/>
        <v>4363</v>
      </c>
      <c r="W103" s="49">
        <f t="shared" si="11"/>
        <v>0.4254307784</v>
      </c>
      <c r="X103" s="49">
        <f t="shared" si="12"/>
        <v>0.490493167</v>
      </c>
      <c r="Y103" s="49">
        <f t="shared" si="13"/>
        <v>0.08407605466</v>
      </c>
      <c r="Z103" s="32" t="str">
        <f t="shared" si="14"/>
        <v>Milton</v>
      </c>
      <c r="AA103" s="50" t="s">
        <v>77</v>
      </c>
      <c r="AB103" s="38">
        <v>5337.0</v>
      </c>
      <c r="AC103" s="48">
        <f t="shared" si="15"/>
        <v>974</v>
      </c>
      <c r="AD103" s="51">
        <f t="shared" si="16"/>
        <v>0.8175004684</v>
      </c>
    </row>
    <row r="104">
      <c r="A104" s="23"/>
      <c r="B104" s="46" t="s">
        <v>1822</v>
      </c>
      <c r="C104" s="47"/>
      <c r="D104" s="38">
        <v>563.0</v>
      </c>
      <c r="E104" s="38">
        <v>241.0</v>
      </c>
      <c r="F104" s="38">
        <v>596.0</v>
      </c>
      <c r="G104" s="38">
        <v>143.0</v>
      </c>
      <c r="H104" s="38">
        <v>55.0</v>
      </c>
      <c r="I104" s="48">
        <f t="shared" si="3"/>
        <v>1400</v>
      </c>
      <c r="J104" s="48">
        <f t="shared" si="4"/>
        <v>1598</v>
      </c>
      <c r="K104" s="49">
        <f t="shared" si="5"/>
        <v>0.4021428571</v>
      </c>
      <c r="L104" s="49">
        <f t="shared" si="6"/>
        <v>0.1721428571</v>
      </c>
      <c r="M104" s="49">
        <f t="shared" si="7"/>
        <v>0.4257142857</v>
      </c>
      <c r="N104" s="32" t="str">
        <f t="shared" si="8"/>
        <v>Adhemar</v>
      </c>
      <c r="O104" s="50" t="s">
        <v>77</v>
      </c>
      <c r="P104" s="38">
        <v>671.0</v>
      </c>
      <c r="Q104" s="38">
        <v>305.0</v>
      </c>
      <c r="R104" s="38">
        <v>110.0</v>
      </c>
      <c r="S104" s="38">
        <v>495.0</v>
      </c>
      <c r="T104" s="38">
        <v>17.0</v>
      </c>
      <c r="U104" s="48">
        <f t="shared" si="9"/>
        <v>1086</v>
      </c>
      <c r="V104" s="48">
        <f t="shared" si="10"/>
        <v>1598</v>
      </c>
      <c r="W104" s="49">
        <f t="shared" si="11"/>
        <v>0.6178637201</v>
      </c>
      <c r="X104" s="49">
        <f t="shared" si="12"/>
        <v>0.2808471455</v>
      </c>
      <c r="Y104" s="49">
        <f t="shared" si="13"/>
        <v>0.1012891344</v>
      </c>
      <c r="Z104" s="32" t="str">
        <f t="shared" si="14"/>
        <v>Jango</v>
      </c>
      <c r="AA104" s="50" t="s">
        <v>77</v>
      </c>
      <c r="AB104" s="38">
        <v>4493.0</v>
      </c>
      <c r="AC104" s="48">
        <f t="shared" si="15"/>
        <v>2895</v>
      </c>
      <c r="AD104" s="51">
        <f t="shared" si="16"/>
        <v>0.3556643668</v>
      </c>
    </row>
    <row r="105">
      <c r="A105" s="24"/>
      <c r="B105" s="46" t="s">
        <v>1823</v>
      </c>
      <c r="C105" s="47"/>
      <c r="D105" s="38">
        <v>1338.0</v>
      </c>
      <c r="E105" s="38">
        <v>411.0</v>
      </c>
      <c r="F105" s="38">
        <v>1405.0</v>
      </c>
      <c r="G105" s="38">
        <v>263.0</v>
      </c>
      <c r="H105" s="38">
        <v>127.0</v>
      </c>
      <c r="I105" s="48">
        <f t="shared" si="3"/>
        <v>3154</v>
      </c>
      <c r="J105" s="48">
        <f t="shared" si="4"/>
        <v>3544</v>
      </c>
      <c r="K105" s="49">
        <f t="shared" si="5"/>
        <v>0.4242232086</v>
      </c>
      <c r="L105" s="49">
        <f t="shared" si="6"/>
        <v>0.1303107166</v>
      </c>
      <c r="M105" s="49">
        <f t="shared" si="7"/>
        <v>0.4454660748</v>
      </c>
      <c r="N105" s="32" t="str">
        <f t="shared" si="8"/>
        <v>Adhemar</v>
      </c>
      <c r="O105" s="50" t="s">
        <v>77</v>
      </c>
      <c r="P105" s="38">
        <v>1379.0</v>
      </c>
      <c r="Q105" s="38">
        <v>845.0</v>
      </c>
      <c r="R105" s="38">
        <v>361.0</v>
      </c>
      <c r="S105" s="38">
        <v>897.0</v>
      </c>
      <c r="T105" s="38">
        <v>62.0</v>
      </c>
      <c r="U105" s="48">
        <f t="shared" si="9"/>
        <v>2585</v>
      </c>
      <c r="V105" s="48">
        <f t="shared" si="10"/>
        <v>3544</v>
      </c>
      <c r="W105" s="49">
        <f t="shared" si="11"/>
        <v>0.5334622824</v>
      </c>
      <c r="X105" s="49">
        <f t="shared" si="12"/>
        <v>0.3268858801</v>
      </c>
      <c r="Y105" s="49">
        <f t="shared" si="13"/>
        <v>0.1396518375</v>
      </c>
      <c r="Z105" s="32" t="str">
        <f t="shared" si="14"/>
        <v>Jango</v>
      </c>
      <c r="AA105" s="50" t="s">
        <v>77</v>
      </c>
      <c r="AB105" s="38">
        <v>1837.0</v>
      </c>
      <c r="AC105" s="48">
        <f t="shared" si="15"/>
        <v>-1707</v>
      </c>
      <c r="AD105" s="51">
        <f t="shared" si="16"/>
        <v>1.929232444</v>
      </c>
    </row>
    <row r="106">
      <c r="A106" s="110" t="s">
        <v>522</v>
      </c>
      <c r="B106" s="46" t="s">
        <v>1824</v>
      </c>
      <c r="C106" s="47"/>
      <c r="D106" s="38">
        <v>3434.0</v>
      </c>
      <c r="E106" s="38">
        <v>806.0</v>
      </c>
      <c r="F106" s="38">
        <v>2040.0</v>
      </c>
      <c r="G106" s="38">
        <v>339.0</v>
      </c>
      <c r="H106" s="38">
        <v>189.0</v>
      </c>
      <c r="I106" s="48">
        <f t="shared" si="3"/>
        <v>6280</v>
      </c>
      <c r="J106" s="48">
        <f t="shared" si="4"/>
        <v>6808</v>
      </c>
      <c r="K106" s="49">
        <f t="shared" si="5"/>
        <v>0.5468152866</v>
      </c>
      <c r="L106" s="49">
        <f t="shared" si="6"/>
        <v>0.128343949</v>
      </c>
      <c r="M106" s="49">
        <f t="shared" si="7"/>
        <v>0.3248407643</v>
      </c>
      <c r="N106" s="32" t="str">
        <f t="shared" si="8"/>
        <v>Jânio</v>
      </c>
      <c r="O106" s="50" t="s">
        <v>77</v>
      </c>
      <c r="P106" s="38">
        <v>1799.0</v>
      </c>
      <c r="Q106" s="38">
        <v>2075.0</v>
      </c>
      <c r="R106" s="38">
        <v>1010.0</v>
      </c>
      <c r="S106" s="38">
        <v>1808.0</v>
      </c>
      <c r="T106" s="38">
        <v>116.0</v>
      </c>
      <c r="U106" s="48">
        <f t="shared" si="9"/>
        <v>4884</v>
      </c>
      <c r="V106" s="48">
        <f t="shared" si="10"/>
        <v>6808</v>
      </c>
      <c r="W106" s="49">
        <f t="shared" si="11"/>
        <v>0.3683456183</v>
      </c>
      <c r="X106" s="49">
        <f t="shared" si="12"/>
        <v>0.4248566749</v>
      </c>
      <c r="Y106" s="49">
        <f t="shared" si="13"/>
        <v>0.2067977068</v>
      </c>
      <c r="Z106" s="32" t="str">
        <f t="shared" si="14"/>
        <v>Milton</v>
      </c>
      <c r="AA106" s="50" t="s">
        <v>77</v>
      </c>
      <c r="AB106" s="38">
        <v>9583.0</v>
      </c>
      <c r="AC106" s="48">
        <f t="shared" si="15"/>
        <v>2775</v>
      </c>
      <c r="AD106" s="51">
        <f t="shared" si="16"/>
        <v>0.7104247104</v>
      </c>
    </row>
    <row r="107">
      <c r="A107" s="110" t="s">
        <v>524</v>
      </c>
      <c r="B107" s="46" t="s">
        <v>1825</v>
      </c>
      <c r="C107" s="47"/>
      <c r="D107" s="38">
        <v>2533.0</v>
      </c>
      <c r="E107" s="38">
        <v>471.0</v>
      </c>
      <c r="F107" s="38">
        <v>1266.0</v>
      </c>
      <c r="G107" s="38">
        <v>169.0</v>
      </c>
      <c r="H107" s="38">
        <v>131.0</v>
      </c>
      <c r="I107" s="48">
        <f t="shared" si="3"/>
        <v>4270</v>
      </c>
      <c r="J107" s="48">
        <f t="shared" si="4"/>
        <v>4570</v>
      </c>
      <c r="K107" s="49">
        <f t="shared" si="5"/>
        <v>0.5932084309</v>
      </c>
      <c r="L107" s="49">
        <f t="shared" si="6"/>
        <v>0.1103044496</v>
      </c>
      <c r="M107" s="49">
        <f t="shared" si="7"/>
        <v>0.2964871194</v>
      </c>
      <c r="N107" s="32" t="str">
        <f t="shared" si="8"/>
        <v>Jânio</v>
      </c>
      <c r="O107" s="50" t="s">
        <v>77</v>
      </c>
      <c r="P107" s="38">
        <v>896.0</v>
      </c>
      <c r="Q107" s="38">
        <v>840.0</v>
      </c>
      <c r="R107" s="38">
        <v>1786.0</v>
      </c>
      <c r="S107" s="38">
        <v>934.0</v>
      </c>
      <c r="T107" s="38">
        <v>114.0</v>
      </c>
      <c r="U107" s="48">
        <f t="shared" si="9"/>
        <v>3522</v>
      </c>
      <c r="V107" s="48">
        <f t="shared" si="10"/>
        <v>4570</v>
      </c>
      <c r="W107" s="49">
        <f t="shared" si="11"/>
        <v>0.2544009086</v>
      </c>
      <c r="X107" s="49">
        <f t="shared" si="12"/>
        <v>0.2385008518</v>
      </c>
      <c r="Y107" s="49">
        <f t="shared" si="13"/>
        <v>0.5070982396</v>
      </c>
      <c r="Z107" s="32" t="str">
        <f t="shared" si="14"/>
        <v>Ferrari</v>
      </c>
      <c r="AA107" s="50" t="s">
        <v>77</v>
      </c>
      <c r="AB107" s="38">
        <v>6121.0</v>
      </c>
      <c r="AC107" s="48">
        <f t="shared" si="15"/>
        <v>1551</v>
      </c>
      <c r="AD107" s="51">
        <f t="shared" si="16"/>
        <v>0.746610031</v>
      </c>
    </row>
    <row r="108">
      <c r="A108" s="61" t="s">
        <v>526</v>
      </c>
      <c r="B108" s="46" t="s">
        <v>1826</v>
      </c>
      <c r="C108" s="47"/>
      <c r="D108" s="38">
        <v>4482.0</v>
      </c>
      <c r="E108" s="38">
        <v>967.0</v>
      </c>
      <c r="F108" s="38">
        <v>2494.0</v>
      </c>
      <c r="G108" s="38">
        <v>289.0</v>
      </c>
      <c r="H108" s="38">
        <v>299.0</v>
      </c>
      <c r="I108" s="48">
        <f t="shared" si="3"/>
        <v>7943</v>
      </c>
      <c r="J108" s="48">
        <f t="shared" si="4"/>
        <v>8531</v>
      </c>
      <c r="K108" s="49">
        <f t="shared" si="5"/>
        <v>0.5642704268</v>
      </c>
      <c r="L108" s="49">
        <f t="shared" si="6"/>
        <v>0.1217424147</v>
      </c>
      <c r="M108" s="49">
        <f t="shared" si="7"/>
        <v>0.3139871585</v>
      </c>
      <c r="N108" s="32" t="str">
        <f t="shared" si="8"/>
        <v>Jânio</v>
      </c>
      <c r="O108" s="50" t="s">
        <v>77</v>
      </c>
      <c r="P108" s="38">
        <v>2556.0</v>
      </c>
      <c r="Q108" s="38">
        <v>2338.0</v>
      </c>
      <c r="R108" s="38">
        <v>1779.0</v>
      </c>
      <c r="S108" s="38">
        <v>1622.0</v>
      </c>
      <c r="T108" s="38">
        <v>236.0</v>
      </c>
      <c r="U108" s="48">
        <f t="shared" si="9"/>
        <v>6673</v>
      </c>
      <c r="V108" s="48">
        <f t="shared" si="10"/>
        <v>8531</v>
      </c>
      <c r="W108" s="49">
        <f t="shared" si="11"/>
        <v>0.3830361157</v>
      </c>
      <c r="X108" s="49">
        <f t="shared" si="12"/>
        <v>0.3503671512</v>
      </c>
      <c r="Y108" s="49">
        <f t="shared" si="13"/>
        <v>0.2665967331</v>
      </c>
      <c r="Z108" s="32" t="str">
        <f t="shared" si="14"/>
        <v>Jango</v>
      </c>
      <c r="AA108" s="50" t="s">
        <v>77</v>
      </c>
      <c r="AB108" s="38">
        <v>11667.0</v>
      </c>
      <c r="AC108" s="48">
        <f t="shared" si="15"/>
        <v>3136</v>
      </c>
      <c r="AD108" s="51">
        <f t="shared" si="16"/>
        <v>0.7312076798</v>
      </c>
    </row>
    <row r="109">
      <c r="A109" s="24"/>
      <c r="B109" s="46" t="s">
        <v>1827</v>
      </c>
      <c r="C109" s="47"/>
      <c r="D109" s="38">
        <v>941.0</v>
      </c>
      <c r="E109" s="38">
        <v>206.0</v>
      </c>
      <c r="F109" s="38">
        <v>354.0</v>
      </c>
      <c r="G109" s="38">
        <v>58.0</v>
      </c>
      <c r="H109" s="38">
        <v>65.0</v>
      </c>
      <c r="I109" s="48">
        <f t="shared" si="3"/>
        <v>1501</v>
      </c>
      <c r="J109" s="48">
        <f t="shared" si="4"/>
        <v>1624</v>
      </c>
      <c r="K109" s="49">
        <f t="shared" si="5"/>
        <v>0.6269153897</v>
      </c>
      <c r="L109" s="49">
        <f t="shared" si="6"/>
        <v>0.1372418388</v>
      </c>
      <c r="M109" s="49">
        <f t="shared" si="7"/>
        <v>0.2358427715</v>
      </c>
      <c r="N109" s="32" t="str">
        <f t="shared" si="8"/>
        <v>Jânio</v>
      </c>
      <c r="O109" s="50" t="s">
        <v>77</v>
      </c>
      <c r="P109" s="38">
        <v>477.0</v>
      </c>
      <c r="Q109" s="38">
        <v>450.0</v>
      </c>
      <c r="R109" s="38">
        <v>331.0</v>
      </c>
      <c r="S109" s="38">
        <v>347.0</v>
      </c>
      <c r="T109" s="38">
        <v>19.0</v>
      </c>
      <c r="U109" s="48">
        <f t="shared" si="9"/>
        <v>1258</v>
      </c>
      <c r="V109" s="48">
        <f t="shared" si="10"/>
        <v>1624</v>
      </c>
      <c r="W109" s="49">
        <f t="shared" si="11"/>
        <v>0.3791732909</v>
      </c>
      <c r="X109" s="49">
        <f t="shared" si="12"/>
        <v>0.3577106518</v>
      </c>
      <c r="Y109" s="49">
        <f t="shared" si="13"/>
        <v>0.2631160572</v>
      </c>
      <c r="Z109" s="32" t="str">
        <f t="shared" si="14"/>
        <v>Jango</v>
      </c>
      <c r="AA109" s="50" t="s">
        <v>77</v>
      </c>
      <c r="AB109" s="38">
        <v>2380.0</v>
      </c>
      <c r="AC109" s="48">
        <f t="shared" si="15"/>
        <v>756</v>
      </c>
      <c r="AD109" s="51">
        <f t="shared" si="16"/>
        <v>0.6823529412</v>
      </c>
    </row>
    <row r="110">
      <c r="A110" s="61" t="s">
        <v>529</v>
      </c>
      <c r="B110" s="46" t="s">
        <v>1828</v>
      </c>
      <c r="C110" s="47"/>
      <c r="D110" s="38">
        <v>1255.0</v>
      </c>
      <c r="E110" s="38">
        <v>619.0</v>
      </c>
      <c r="F110" s="38">
        <v>235.0</v>
      </c>
      <c r="G110" s="38">
        <v>199.0</v>
      </c>
      <c r="H110" s="38">
        <v>106.0</v>
      </c>
      <c r="I110" s="48">
        <f t="shared" si="3"/>
        <v>2109</v>
      </c>
      <c r="J110" s="48">
        <f t="shared" si="4"/>
        <v>2414</v>
      </c>
      <c r="K110" s="49">
        <f t="shared" si="5"/>
        <v>0.595068753</v>
      </c>
      <c r="L110" s="49">
        <f t="shared" si="6"/>
        <v>0.2935040303</v>
      </c>
      <c r="M110" s="49">
        <f t="shared" si="7"/>
        <v>0.1114272167</v>
      </c>
      <c r="N110" s="32" t="str">
        <f t="shared" si="8"/>
        <v>Jânio</v>
      </c>
      <c r="O110" s="50" t="s">
        <v>77</v>
      </c>
      <c r="P110" s="38">
        <v>769.0</v>
      </c>
      <c r="Q110" s="38">
        <v>580.0</v>
      </c>
      <c r="R110" s="38">
        <v>267.0</v>
      </c>
      <c r="S110" s="38">
        <v>746.0</v>
      </c>
      <c r="T110" s="38">
        <v>52.0</v>
      </c>
      <c r="U110" s="48">
        <f t="shared" si="9"/>
        <v>1616</v>
      </c>
      <c r="V110" s="48">
        <f t="shared" si="10"/>
        <v>2414</v>
      </c>
      <c r="W110" s="49">
        <f t="shared" si="11"/>
        <v>0.4758663366</v>
      </c>
      <c r="X110" s="49">
        <f t="shared" si="12"/>
        <v>0.3589108911</v>
      </c>
      <c r="Y110" s="49">
        <f t="shared" si="13"/>
        <v>0.1652227723</v>
      </c>
      <c r="Z110" s="32" t="str">
        <f t="shared" si="14"/>
        <v>Jango</v>
      </c>
      <c r="AA110" s="50" t="s">
        <v>77</v>
      </c>
      <c r="AB110" s="38">
        <v>2537.0</v>
      </c>
      <c r="AC110" s="48">
        <f t="shared" si="15"/>
        <v>123</v>
      </c>
      <c r="AD110" s="51">
        <f t="shared" si="16"/>
        <v>0.9515175404</v>
      </c>
    </row>
    <row r="111">
      <c r="A111" s="24"/>
      <c r="B111" s="46" t="s">
        <v>1829</v>
      </c>
      <c r="C111" s="47"/>
      <c r="D111" s="38">
        <v>1154.0</v>
      </c>
      <c r="E111" s="38">
        <v>375.0</v>
      </c>
      <c r="F111" s="38">
        <v>348.0</v>
      </c>
      <c r="G111" s="38">
        <v>119.0</v>
      </c>
      <c r="H111" s="38">
        <v>69.0</v>
      </c>
      <c r="I111" s="48">
        <f t="shared" si="3"/>
        <v>1877</v>
      </c>
      <c r="J111" s="48">
        <f t="shared" si="4"/>
        <v>2065</v>
      </c>
      <c r="K111" s="49">
        <f t="shared" si="5"/>
        <v>0.6148108684</v>
      </c>
      <c r="L111" s="49">
        <f t="shared" si="6"/>
        <v>0.199786894</v>
      </c>
      <c r="M111" s="49">
        <f t="shared" si="7"/>
        <v>0.1854022376</v>
      </c>
      <c r="N111" s="32" t="str">
        <f t="shared" si="8"/>
        <v>Jânio</v>
      </c>
      <c r="O111" s="50" t="s">
        <v>77</v>
      </c>
      <c r="P111" s="38">
        <v>571.0</v>
      </c>
      <c r="Q111" s="38">
        <v>601.0</v>
      </c>
      <c r="R111" s="38">
        <v>408.0</v>
      </c>
      <c r="S111" s="38">
        <v>446.0</v>
      </c>
      <c r="T111" s="38">
        <v>39.0</v>
      </c>
      <c r="U111" s="48">
        <f t="shared" si="9"/>
        <v>1580</v>
      </c>
      <c r="V111" s="48">
        <f t="shared" si="10"/>
        <v>2065</v>
      </c>
      <c r="W111" s="49">
        <f t="shared" si="11"/>
        <v>0.3613924051</v>
      </c>
      <c r="X111" s="49">
        <f t="shared" si="12"/>
        <v>0.3803797468</v>
      </c>
      <c r="Y111" s="49">
        <f t="shared" si="13"/>
        <v>0.2582278481</v>
      </c>
      <c r="Z111" s="32" t="str">
        <f t="shared" si="14"/>
        <v>Milton</v>
      </c>
      <c r="AA111" s="50" t="s">
        <v>77</v>
      </c>
      <c r="AB111" s="38">
        <v>2224.0</v>
      </c>
      <c r="AC111" s="48">
        <f t="shared" si="15"/>
        <v>159</v>
      </c>
      <c r="AD111" s="51">
        <f t="shared" si="16"/>
        <v>0.9285071942</v>
      </c>
    </row>
    <row r="112">
      <c r="A112" s="61" t="s">
        <v>531</v>
      </c>
      <c r="B112" s="46" t="s">
        <v>1830</v>
      </c>
      <c r="C112" s="47"/>
      <c r="D112" s="38">
        <v>1343.0</v>
      </c>
      <c r="E112" s="38">
        <v>409.0</v>
      </c>
      <c r="F112" s="38">
        <v>454.0</v>
      </c>
      <c r="G112" s="38">
        <v>223.0</v>
      </c>
      <c r="H112" s="38">
        <v>91.0</v>
      </c>
      <c r="I112" s="48">
        <f t="shared" si="3"/>
        <v>2206</v>
      </c>
      <c r="J112" s="48">
        <f t="shared" si="4"/>
        <v>2520</v>
      </c>
      <c r="K112" s="49">
        <f t="shared" si="5"/>
        <v>0.6087941976</v>
      </c>
      <c r="L112" s="49">
        <f t="shared" si="6"/>
        <v>0.1854034451</v>
      </c>
      <c r="M112" s="49">
        <f t="shared" si="7"/>
        <v>0.2058023572</v>
      </c>
      <c r="N112" s="32" t="str">
        <f t="shared" si="8"/>
        <v>Jânio</v>
      </c>
      <c r="O112" s="50" t="s">
        <v>77</v>
      </c>
      <c r="P112" s="38">
        <v>1027.0</v>
      </c>
      <c r="Q112" s="38">
        <v>575.0</v>
      </c>
      <c r="R112" s="38">
        <v>255.0</v>
      </c>
      <c r="S112" s="38">
        <v>619.0</v>
      </c>
      <c r="T112" s="38">
        <v>44.0</v>
      </c>
      <c r="U112" s="48">
        <f t="shared" si="9"/>
        <v>1857</v>
      </c>
      <c r="V112" s="48">
        <f t="shared" si="10"/>
        <v>2520</v>
      </c>
      <c r="W112" s="49">
        <f t="shared" si="11"/>
        <v>0.5530425417</v>
      </c>
      <c r="X112" s="49">
        <f t="shared" si="12"/>
        <v>0.309639203</v>
      </c>
      <c r="Y112" s="49">
        <f t="shared" si="13"/>
        <v>0.1373182553</v>
      </c>
      <c r="Z112" s="32" t="str">
        <f t="shared" si="14"/>
        <v>Jango</v>
      </c>
      <c r="AA112" s="50" t="s">
        <v>77</v>
      </c>
      <c r="AB112" s="38">
        <v>3175.0</v>
      </c>
      <c r="AC112" s="48">
        <f t="shared" si="15"/>
        <v>655</v>
      </c>
      <c r="AD112" s="51">
        <f t="shared" si="16"/>
        <v>0.7937007874</v>
      </c>
    </row>
    <row r="113">
      <c r="A113" s="23"/>
      <c r="B113" s="46" t="s">
        <v>1831</v>
      </c>
      <c r="C113" s="47"/>
      <c r="D113" s="38">
        <v>947.0</v>
      </c>
      <c r="E113" s="38">
        <v>503.0</v>
      </c>
      <c r="F113" s="38">
        <v>512.0</v>
      </c>
      <c r="G113" s="38">
        <v>266.0</v>
      </c>
      <c r="H113" s="38">
        <v>100.0</v>
      </c>
      <c r="I113" s="48">
        <f t="shared" si="3"/>
        <v>1962</v>
      </c>
      <c r="J113" s="48">
        <f t="shared" si="4"/>
        <v>2328</v>
      </c>
      <c r="K113" s="49">
        <f t="shared" si="5"/>
        <v>0.4826707441</v>
      </c>
      <c r="L113" s="49">
        <f t="shared" si="6"/>
        <v>0.2563710499</v>
      </c>
      <c r="M113" s="49">
        <f t="shared" si="7"/>
        <v>0.2609582059</v>
      </c>
      <c r="N113" s="32" t="str">
        <f t="shared" si="8"/>
        <v>Jânio</v>
      </c>
      <c r="O113" s="50" t="s">
        <v>77</v>
      </c>
      <c r="P113" s="38">
        <v>852.0</v>
      </c>
      <c r="Q113" s="38">
        <v>403.0</v>
      </c>
      <c r="R113" s="38">
        <v>201.0</v>
      </c>
      <c r="S113" s="38">
        <v>814.0</v>
      </c>
      <c r="T113" s="38">
        <v>58.0</v>
      </c>
      <c r="U113" s="48">
        <f t="shared" si="9"/>
        <v>1456</v>
      </c>
      <c r="V113" s="48">
        <f t="shared" si="10"/>
        <v>2328</v>
      </c>
      <c r="W113" s="49">
        <f t="shared" si="11"/>
        <v>0.5851648352</v>
      </c>
      <c r="X113" s="49">
        <f t="shared" si="12"/>
        <v>0.2767857143</v>
      </c>
      <c r="Y113" s="49">
        <f t="shared" si="13"/>
        <v>0.1380494505</v>
      </c>
      <c r="Z113" s="32" t="str">
        <f t="shared" si="14"/>
        <v>Jango</v>
      </c>
      <c r="AA113" s="50" t="s">
        <v>77</v>
      </c>
      <c r="AB113" s="38">
        <v>2546.0</v>
      </c>
      <c r="AC113" s="48">
        <f t="shared" si="15"/>
        <v>218</v>
      </c>
      <c r="AD113" s="51">
        <f t="shared" si="16"/>
        <v>0.914375491</v>
      </c>
    </row>
    <row r="114">
      <c r="A114" s="24"/>
      <c r="B114" s="46" t="s">
        <v>1832</v>
      </c>
      <c r="C114" s="47"/>
      <c r="D114" s="38">
        <v>680.0</v>
      </c>
      <c r="E114" s="38">
        <v>181.0</v>
      </c>
      <c r="F114" s="38">
        <v>378.0</v>
      </c>
      <c r="G114" s="38">
        <v>126.0</v>
      </c>
      <c r="H114" s="38">
        <v>67.0</v>
      </c>
      <c r="I114" s="48">
        <f t="shared" si="3"/>
        <v>1239</v>
      </c>
      <c r="J114" s="48">
        <f t="shared" si="4"/>
        <v>1432</v>
      </c>
      <c r="K114" s="49">
        <f t="shared" si="5"/>
        <v>0.5488297014</v>
      </c>
      <c r="L114" s="49">
        <f t="shared" si="6"/>
        <v>0.1460855529</v>
      </c>
      <c r="M114" s="49">
        <f t="shared" si="7"/>
        <v>0.3050847458</v>
      </c>
      <c r="N114" s="32" t="str">
        <f t="shared" si="8"/>
        <v>Jânio</v>
      </c>
      <c r="O114" s="50" t="s">
        <v>77</v>
      </c>
      <c r="P114" s="38">
        <v>374.0</v>
      </c>
      <c r="Q114" s="38">
        <v>373.0</v>
      </c>
      <c r="R114" s="38">
        <v>146.0</v>
      </c>
      <c r="S114" s="38">
        <v>510.0</v>
      </c>
      <c r="T114" s="38">
        <v>29.0</v>
      </c>
      <c r="U114" s="48">
        <f t="shared" si="9"/>
        <v>893</v>
      </c>
      <c r="V114" s="48">
        <f t="shared" si="10"/>
        <v>1432</v>
      </c>
      <c r="W114" s="49">
        <f t="shared" si="11"/>
        <v>0.4188129899</v>
      </c>
      <c r="X114" s="49">
        <f t="shared" si="12"/>
        <v>0.4176931691</v>
      </c>
      <c r="Y114" s="49">
        <f t="shared" si="13"/>
        <v>0.163493841</v>
      </c>
      <c r="Z114" s="32" t="str">
        <f t="shared" si="14"/>
        <v>Jango</v>
      </c>
      <c r="AA114" s="50" t="s">
        <v>77</v>
      </c>
      <c r="AB114" s="38">
        <v>1987.0</v>
      </c>
      <c r="AC114" s="48">
        <f t="shared" si="15"/>
        <v>555</v>
      </c>
      <c r="AD114" s="51">
        <f t="shared" si="16"/>
        <v>0.7206844489</v>
      </c>
    </row>
    <row r="115">
      <c r="A115" s="61" t="s">
        <v>533</v>
      </c>
      <c r="B115" s="46" t="s">
        <v>1833</v>
      </c>
      <c r="C115" s="47"/>
      <c r="D115" s="38">
        <v>1517.0</v>
      </c>
      <c r="E115" s="38">
        <v>308.0</v>
      </c>
      <c r="F115" s="38">
        <v>1165.0</v>
      </c>
      <c r="G115" s="38">
        <v>182.0</v>
      </c>
      <c r="H115" s="38">
        <v>123.0</v>
      </c>
      <c r="I115" s="48">
        <f t="shared" si="3"/>
        <v>2990</v>
      </c>
      <c r="J115" s="48">
        <f t="shared" si="4"/>
        <v>3295</v>
      </c>
      <c r="K115" s="49">
        <f t="shared" si="5"/>
        <v>0.5073578595</v>
      </c>
      <c r="L115" s="49">
        <f t="shared" si="6"/>
        <v>0.1030100334</v>
      </c>
      <c r="M115" s="49">
        <f t="shared" si="7"/>
        <v>0.389632107</v>
      </c>
      <c r="N115" s="32" t="str">
        <f t="shared" si="8"/>
        <v>Jânio</v>
      </c>
      <c r="O115" s="50" t="s">
        <v>77</v>
      </c>
      <c r="P115" s="38">
        <v>953.0</v>
      </c>
      <c r="Q115" s="38">
        <v>1144.0</v>
      </c>
      <c r="R115" s="38">
        <v>403.0</v>
      </c>
      <c r="S115" s="38">
        <v>697.0</v>
      </c>
      <c r="T115" s="38">
        <v>98.0</v>
      </c>
      <c r="U115" s="48">
        <f t="shared" si="9"/>
        <v>2500</v>
      </c>
      <c r="V115" s="48">
        <f t="shared" si="10"/>
        <v>3295</v>
      </c>
      <c r="W115" s="49">
        <f t="shared" si="11"/>
        <v>0.3812</v>
      </c>
      <c r="X115" s="49">
        <f t="shared" si="12"/>
        <v>0.4576</v>
      </c>
      <c r="Y115" s="49">
        <f t="shared" si="13"/>
        <v>0.1612</v>
      </c>
      <c r="Z115" s="32" t="str">
        <f t="shared" si="14"/>
        <v>Milton</v>
      </c>
      <c r="AA115" s="50" t="s">
        <v>77</v>
      </c>
      <c r="AB115" s="38">
        <v>4886.0</v>
      </c>
      <c r="AC115" s="48">
        <f t="shared" si="15"/>
        <v>1591</v>
      </c>
      <c r="AD115" s="51">
        <f t="shared" si="16"/>
        <v>0.6743757675</v>
      </c>
    </row>
    <row r="116">
      <c r="A116" s="23"/>
      <c r="B116" s="46" t="s">
        <v>1834</v>
      </c>
      <c r="C116" s="47"/>
      <c r="D116" s="38">
        <v>2023.0</v>
      </c>
      <c r="E116" s="38">
        <v>521.0</v>
      </c>
      <c r="F116" s="38">
        <v>1362.0</v>
      </c>
      <c r="G116" s="38">
        <v>296.0</v>
      </c>
      <c r="H116" s="38">
        <v>158.0</v>
      </c>
      <c r="I116" s="48">
        <f t="shared" si="3"/>
        <v>3906</v>
      </c>
      <c r="J116" s="48">
        <f t="shared" si="4"/>
        <v>4360</v>
      </c>
      <c r="K116" s="49">
        <f t="shared" si="5"/>
        <v>0.517921147</v>
      </c>
      <c r="L116" s="49">
        <f t="shared" si="6"/>
        <v>0.1333845366</v>
      </c>
      <c r="M116" s="49">
        <f t="shared" si="7"/>
        <v>0.3486943164</v>
      </c>
      <c r="N116" s="32" t="str">
        <f t="shared" si="8"/>
        <v>Jânio</v>
      </c>
      <c r="O116" s="50" t="s">
        <v>77</v>
      </c>
      <c r="P116" s="38">
        <v>936.0</v>
      </c>
      <c r="Q116" s="38">
        <v>1546.0</v>
      </c>
      <c r="R116" s="38">
        <v>374.0</v>
      </c>
      <c r="S116" s="38">
        <v>1369.0</v>
      </c>
      <c r="T116" s="38">
        <v>135.0</v>
      </c>
      <c r="U116" s="48">
        <f t="shared" si="9"/>
        <v>2856</v>
      </c>
      <c r="V116" s="48">
        <f t="shared" si="10"/>
        <v>4360</v>
      </c>
      <c r="W116" s="49">
        <f t="shared" si="11"/>
        <v>0.3277310924</v>
      </c>
      <c r="X116" s="49">
        <f t="shared" si="12"/>
        <v>0.5413165266</v>
      </c>
      <c r="Y116" s="49">
        <f t="shared" si="13"/>
        <v>0.130952381</v>
      </c>
      <c r="Z116" s="32" t="str">
        <f t="shared" si="14"/>
        <v>Milton</v>
      </c>
      <c r="AA116" s="50" t="s">
        <v>77</v>
      </c>
      <c r="AB116" s="38">
        <v>5748.0</v>
      </c>
      <c r="AC116" s="48">
        <f t="shared" si="15"/>
        <v>1388</v>
      </c>
      <c r="AD116" s="51">
        <f t="shared" si="16"/>
        <v>0.7585247042</v>
      </c>
    </row>
    <row r="117">
      <c r="A117" s="23"/>
      <c r="B117" s="46" t="s">
        <v>1835</v>
      </c>
      <c r="C117" s="47"/>
      <c r="D117" s="38">
        <v>1129.0</v>
      </c>
      <c r="E117" s="38">
        <v>238.0</v>
      </c>
      <c r="F117" s="38">
        <v>517.0</v>
      </c>
      <c r="G117" s="38">
        <v>158.0</v>
      </c>
      <c r="H117" s="38">
        <v>45.0</v>
      </c>
      <c r="I117" s="48">
        <f t="shared" si="3"/>
        <v>1884</v>
      </c>
      <c r="J117" s="48">
        <f t="shared" si="4"/>
        <v>2087</v>
      </c>
      <c r="K117" s="49">
        <f t="shared" si="5"/>
        <v>0.5992569002</v>
      </c>
      <c r="L117" s="49">
        <f t="shared" si="6"/>
        <v>0.1263269639</v>
      </c>
      <c r="M117" s="49">
        <f t="shared" si="7"/>
        <v>0.2744161359</v>
      </c>
      <c r="N117" s="32" t="str">
        <f t="shared" si="8"/>
        <v>Jânio</v>
      </c>
      <c r="O117" s="50" t="s">
        <v>77</v>
      </c>
      <c r="P117" s="38">
        <v>538.0</v>
      </c>
      <c r="Q117" s="38">
        <v>503.0</v>
      </c>
      <c r="R117" s="38">
        <v>312.0</v>
      </c>
      <c r="S117" s="38">
        <v>707.0</v>
      </c>
      <c r="T117" s="38">
        <v>27.0</v>
      </c>
      <c r="U117" s="48">
        <f t="shared" si="9"/>
        <v>1353</v>
      </c>
      <c r="V117" s="48">
        <f t="shared" si="10"/>
        <v>2087</v>
      </c>
      <c r="W117" s="49">
        <f t="shared" si="11"/>
        <v>0.3976348854</v>
      </c>
      <c r="X117" s="49">
        <f t="shared" si="12"/>
        <v>0.3717664449</v>
      </c>
      <c r="Y117" s="49">
        <f t="shared" si="13"/>
        <v>0.2305986696</v>
      </c>
      <c r="Z117" s="32" t="str">
        <f t="shared" si="14"/>
        <v>Jango</v>
      </c>
      <c r="AA117" s="50" t="s">
        <v>77</v>
      </c>
      <c r="AB117" s="38">
        <v>2816.0</v>
      </c>
      <c r="AC117" s="48">
        <f t="shared" si="15"/>
        <v>729</v>
      </c>
      <c r="AD117" s="51">
        <f t="shared" si="16"/>
        <v>0.7411221591</v>
      </c>
    </row>
    <row r="118">
      <c r="A118" s="23"/>
      <c r="B118" s="46" t="s">
        <v>1836</v>
      </c>
      <c r="C118" s="47"/>
      <c r="D118" s="38">
        <v>1182.0</v>
      </c>
      <c r="E118" s="38">
        <v>131.0</v>
      </c>
      <c r="F118" s="38">
        <v>277.0</v>
      </c>
      <c r="G118" s="38">
        <v>105.0</v>
      </c>
      <c r="H118" s="38">
        <v>54.0</v>
      </c>
      <c r="I118" s="48">
        <f t="shared" si="3"/>
        <v>1590</v>
      </c>
      <c r="J118" s="48">
        <f t="shared" si="4"/>
        <v>1749</v>
      </c>
      <c r="K118" s="49">
        <f t="shared" si="5"/>
        <v>0.7433962264</v>
      </c>
      <c r="L118" s="49">
        <f t="shared" si="6"/>
        <v>0.08238993711</v>
      </c>
      <c r="M118" s="49">
        <f t="shared" si="7"/>
        <v>0.1742138365</v>
      </c>
      <c r="N118" s="32" t="str">
        <f t="shared" si="8"/>
        <v>Jânio</v>
      </c>
      <c r="O118" s="50" t="s">
        <v>77</v>
      </c>
      <c r="P118" s="38">
        <v>302.0</v>
      </c>
      <c r="Q118" s="38">
        <v>649.0</v>
      </c>
      <c r="R118" s="38">
        <v>301.0</v>
      </c>
      <c r="S118" s="38">
        <v>436.0</v>
      </c>
      <c r="T118" s="38">
        <v>61.0</v>
      </c>
      <c r="U118" s="48">
        <f t="shared" si="9"/>
        <v>1252</v>
      </c>
      <c r="V118" s="48">
        <f t="shared" si="10"/>
        <v>1749</v>
      </c>
      <c r="W118" s="49">
        <f t="shared" si="11"/>
        <v>0.2412140575</v>
      </c>
      <c r="X118" s="49">
        <f t="shared" si="12"/>
        <v>0.518370607</v>
      </c>
      <c r="Y118" s="49">
        <f t="shared" si="13"/>
        <v>0.2404153355</v>
      </c>
      <c r="Z118" s="32" t="str">
        <f t="shared" si="14"/>
        <v>Milton</v>
      </c>
      <c r="AA118" s="50" t="s">
        <v>77</v>
      </c>
      <c r="AB118" s="38">
        <v>2353.0</v>
      </c>
      <c r="AC118" s="48">
        <f t="shared" si="15"/>
        <v>604</v>
      </c>
      <c r="AD118" s="51">
        <f t="shared" si="16"/>
        <v>0.7433064173</v>
      </c>
    </row>
    <row r="119">
      <c r="A119" s="23"/>
      <c r="B119" s="46" t="s">
        <v>1837</v>
      </c>
      <c r="C119" s="47"/>
      <c r="D119" s="38">
        <v>1181.0</v>
      </c>
      <c r="E119" s="38">
        <v>189.0</v>
      </c>
      <c r="F119" s="38">
        <v>737.0</v>
      </c>
      <c r="G119" s="38">
        <v>97.0</v>
      </c>
      <c r="H119" s="38">
        <v>123.0</v>
      </c>
      <c r="I119" s="48">
        <f t="shared" si="3"/>
        <v>2107</v>
      </c>
      <c r="J119" s="48">
        <f t="shared" si="4"/>
        <v>2327</v>
      </c>
      <c r="K119" s="49">
        <f t="shared" si="5"/>
        <v>0.5605125771</v>
      </c>
      <c r="L119" s="49">
        <f t="shared" si="6"/>
        <v>0.08970099668</v>
      </c>
      <c r="M119" s="49">
        <f t="shared" si="7"/>
        <v>0.3497864262</v>
      </c>
      <c r="N119" s="32" t="str">
        <f t="shared" si="8"/>
        <v>Jânio</v>
      </c>
      <c r="O119" s="50" t="s">
        <v>77</v>
      </c>
      <c r="P119" s="38">
        <v>732.0</v>
      </c>
      <c r="Q119" s="38">
        <v>499.0</v>
      </c>
      <c r="R119" s="38">
        <v>310.0</v>
      </c>
      <c r="S119" s="38">
        <v>687.0</v>
      </c>
      <c r="T119" s="38">
        <v>99.0</v>
      </c>
      <c r="U119" s="48">
        <f t="shared" si="9"/>
        <v>1541</v>
      </c>
      <c r="V119" s="48">
        <f t="shared" si="10"/>
        <v>2327</v>
      </c>
      <c r="W119" s="49">
        <f t="shared" si="11"/>
        <v>0.4750162232</v>
      </c>
      <c r="X119" s="49">
        <f t="shared" si="12"/>
        <v>0.3238157041</v>
      </c>
      <c r="Y119" s="49">
        <f t="shared" si="13"/>
        <v>0.2011680727</v>
      </c>
      <c r="Z119" s="32" t="str">
        <f t="shared" si="14"/>
        <v>Jango</v>
      </c>
      <c r="AA119" s="50" t="s">
        <v>77</v>
      </c>
      <c r="AB119" s="38">
        <v>3175.0</v>
      </c>
      <c r="AC119" s="48">
        <f t="shared" si="15"/>
        <v>848</v>
      </c>
      <c r="AD119" s="51">
        <f t="shared" si="16"/>
        <v>0.7329133858</v>
      </c>
    </row>
    <row r="120">
      <c r="A120" s="23"/>
      <c r="B120" s="46" t="s">
        <v>1838</v>
      </c>
      <c r="C120" s="47"/>
      <c r="D120" s="38">
        <v>1666.0</v>
      </c>
      <c r="E120" s="38">
        <v>276.0</v>
      </c>
      <c r="F120" s="38">
        <v>1238.0</v>
      </c>
      <c r="G120" s="38">
        <v>139.0</v>
      </c>
      <c r="H120" s="38">
        <v>111.0</v>
      </c>
      <c r="I120" s="48">
        <f t="shared" si="3"/>
        <v>3180</v>
      </c>
      <c r="J120" s="48">
        <f t="shared" si="4"/>
        <v>3430</v>
      </c>
      <c r="K120" s="49">
        <f t="shared" si="5"/>
        <v>0.5238993711</v>
      </c>
      <c r="L120" s="49">
        <f t="shared" si="6"/>
        <v>0.08679245283</v>
      </c>
      <c r="M120" s="49">
        <f t="shared" si="7"/>
        <v>0.3893081761</v>
      </c>
      <c r="N120" s="32" t="str">
        <f t="shared" si="8"/>
        <v>Jânio</v>
      </c>
      <c r="O120" s="50" t="s">
        <v>77</v>
      </c>
      <c r="P120" s="38">
        <v>1330.0</v>
      </c>
      <c r="Q120" s="38">
        <v>1010.0</v>
      </c>
      <c r="R120" s="38">
        <v>318.0</v>
      </c>
      <c r="S120" s="38">
        <v>730.0</v>
      </c>
      <c r="T120" s="38">
        <v>42.0</v>
      </c>
      <c r="U120" s="48">
        <f t="shared" si="9"/>
        <v>2658</v>
      </c>
      <c r="V120" s="48">
        <f t="shared" si="10"/>
        <v>3430</v>
      </c>
      <c r="W120" s="49">
        <f t="shared" si="11"/>
        <v>0.5003762227</v>
      </c>
      <c r="X120" s="49">
        <f t="shared" si="12"/>
        <v>0.3799849511</v>
      </c>
      <c r="Y120" s="49">
        <f t="shared" si="13"/>
        <v>0.1196388262</v>
      </c>
      <c r="Z120" s="32" t="str">
        <f t="shared" si="14"/>
        <v>Jango</v>
      </c>
      <c r="AA120" s="50" t="s">
        <v>77</v>
      </c>
      <c r="AB120" s="38">
        <v>4772.0</v>
      </c>
      <c r="AC120" s="48">
        <f t="shared" si="15"/>
        <v>1342</v>
      </c>
      <c r="AD120" s="51">
        <f t="shared" si="16"/>
        <v>0.7187761945</v>
      </c>
    </row>
    <row r="121">
      <c r="A121" s="23"/>
      <c r="B121" s="46" t="s">
        <v>1839</v>
      </c>
      <c r="C121" s="47"/>
      <c r="D121" s="38">
        <v>466.0</v>
      </c>
      <c r="E121" s="38">
        <v>66.0</v>
      </c>
      <c r="F121" s="38">
        <v>221.0</v>
      </c>
      <c r="G121" s="38">
        <v>39.0</v>
      </c>
      <c r="H121" s="38">
        <v>39.0</v>
      </c>
      <c r="I121" s="48">
        <f t="shared" si="3"/>
        <v>753</v>
      </c>
      <c r="J121" s="48">
        <f t="shared" si="4"/>
        <v>831</v>
      </c>
      <c r="K121" s="49">
        <f t="shared" si="5"/>
        <v>0.6188579017</v>
      </c>
      <c r="L121" s="49">
        <f t="shared" si="6"/>
        <v>0.08764940239</v>
      </c>
      <c r="M121" s="49">
        <f t="shared" si="7"/>
        <v>0.2934926959</v>
      </c>
      <c r="N121" s="32" t="str">
        <f t="shared" si="8"/>
        <v>Jânio</v>
      </c>
      <c r="O121" s="50" t="s">
        <v>77</v>
      </c>
      <c r="P121" s="38">
        <v>253.0</v>
      </c>
      <c r="Q121" s="38">
        <v>201.0</v>
      </c>
      <c r="R121" s="38">
        <v>166.0</v>
      </c>
      <c r="S121" s="38">
        <v>197.0</v>
      </c>
      <c r="T121" s="38">
        <v>14.0</v>
      </c>
      <c r="U121" s="48">
        <f t="shared" si="9"/>
        <v>620</v>
      </c>
      <c r="V121" s="48">
        <f t="shared" si="10"/>
        <v>831</v>
      </c>
      <c r="W121" s="49">
        <f t="shared" si="11"/>
        <v>0.4080645161</v>
      </c>
      <c r="X121" s="49">
        <f t="shared" si="12"/>
        <v>0.3241935484</v>
      </c>
      <c r="Y121" s="49">
        <f t="shared" si="13"/>
        <v>0.2677419355</v>
      </c>
      <c r="Z121" s="32" t="str">
        <f t="shared" si="14"/>
        <v>Jango</v>
      </c>
      <c r="AA121" s="50" t="s">
        <v>77</v>
      </c>
      <c r="AB121" s="38">
        <v>1357.0</v>
      </c>
      <c r="AC121" s="48">
        <f t="shared" si="15"/>
        <v>526</v>
      </c>
      <c r="AD121" s="51">
        <f t="shared" si="16"/>
        <v>0.6123802506</v>
      </c>
    </row>
    <row r="122">
      <c r="A122" s="24"/>
      <c r="B122" s="46" t="s">
        <v>1840</v>
      </c>
      <c r="C122" s="47"/>
      <c r="D122" s="38">
        <v>779.0</v>
      </c>
      <c r="E122" s="38">
        <v>166.0</v>
      </c>
      <c r="F122" s="38">
        <v>432.0</v>
      </c>
      <c r="G122" s="38">
        <v>40.0</v>
      </c>
      <c r="H122" s="38">
        <v>51.0</v>
      </c>
      <c r="I122" s="48">
        <f t="shared" si="3"/>
        <v>1377</v>
      </c>
      <c r="J122" s="48">
        <f t="shared" si="4"/>
        <v>1468</v>
      </c>
      <c r="K122" s="49">
        <f t="shared" si="5"/>
        <v>0.5657225853</v>
      </c>
      <c r="L122" s="49">
        <f t="shared" si="6"/>
        <v>0.1205519245</v>
      </c>
      <c r="M122" s="49">
        <f t="shared" si="7"/>
        <v>0.3137254902</v>
      </c>
      <c r="N122" s="32" t="str">
        <f t="shared" si="8"/>
        <v>Jânio</v>
      </c>
      <c r="O122" s="50" t="s">
        <v>77</v>
      </c>
      <c r="P122" s="38">
        <v>408.0</v>
      </c>
      <c r="Q122" s="38">
        <v>494.0</v>
      </c>
      <c r="R122" s="38">
        <v>208.0</v>
      </c>
      <c r="S122" s="38">
        <v>310.0</v>
      </c>
      <c r="T122" s="38">
        <v>48.0</v>
      </c>
      <c r="U122" s="48">
        <f t="shared" si="9"/>
        <v>1110</v>
      </c>
      <c r="V122" s="48">
        <f t="shared" si="10"/>
        <v>1468</v>
      </c>
      <c r="W122" s="49">
        <f t="shared" si="11"/>
        <v>0.3675675676</v>
      </c>
      <c r="X122" s="49">
        <f t="shared" si="12"/>
        <v>0.445045045</v>
      </c>
      <c r="Y122" s="49">
        <f t="shared" si="13"/>
        <v>0.1873873874</v>
      </c>
      <c r="Z122" s="32" t="str">
        <f t="shared" si="14"/>
        <v>Milton</v>
      </c>
      <c r="AA122" s="50" t="s">
        <v>77</v>
      </c>
      <c r="AB122" s="38">
        <v>2296.0</v>
      </c>
      <c r="AC122" s="48">
        <f t="shared" si="15"/>
        <v>828</v>
      </c>
      <c r="AD122" s="51">
        <f t="shared" si="16"/>
        <v>0.6393728223</v>
      </c>
    </row>
    <row r="123">
      <c r="A123" s="61" t="s">
        <v>537</v>
      </c>
      <c r="B123" s="46" t="s">
        <v>1841</v>
      </c>
      <c r="C123" s="47"/>
      <c r="D123" s="38">
        <v>1052.0</v>
      </c>
      <c r="E123" s="38">
        <v>286.0</v>
      </c>
      <c r="F123" s="38">
        <v>1372.0</v>
      </c>
      <c r="G123" s="38">
        <v>136.0</v>
      </c>
      <c r="H123" s="38">
        <v>106.0</v>
      </c>
      <c r="I123" s="48">
        <f t="shared" si="3"/>
        <v>2710</v>
      </c>
      <c r="J123" s="48">
        <f t="shared" si="4"/>
        <v>2952</v>
      </c>
      <c r="K123" s="49">
        <f t="shared" si="5"/>
        <v>0.3881918819</v>
      </c>
      <c r="L123" s="49">
        <f t="shared" si="6"/>
        <v>0.1055350554</v>
      </c>
      <c r="M123" s="49">
        <f t="shared" si="7"/>
        <v>0.5062730627</v>
      </c>
      <c r="N123" s="32" t="str">
        <f t="shared" si="8"/>
        <v>Adhemar</v>
      </c>
      <c r="O123" s="50" t="s">
        <v>77</v>
      </c>
      <c r="P123" s="38">
        <v>891.0</v>
      </c>
      <c r="Q123" s="38">
        <v>886.0</v>
      </c>
      <c r="R123" s="38">
        <v>326.0</v>
      </c>
      <c r="S123" s="38">
        <v>778.0</v>
      </c>
      <c r="T123" s="38">
        <v>71.0</v>
      </c>
      <c r="U123" s="48">
        <f t="shared" si="9"/>
        <v>2103</v>
      </c>
      <c r="V123" s="48">
        <f t="shared" si="10"/>
        <v>2952</v>
      </c>
      <c r="W123" s="49">
        <f t="shared" si="11"/>
        <v>0.4236804565</v>
      </c>
      <c r="X123" s="49">
        <f t="shared" si="12"/>
        <v>0.4213029006</v>
      </c>
      <c r="Y123" s="49">
        <f t="shared" si="13"/>
        <v>0.1550166429</v>
      </c>
      <c r="Z123" s="32" t="str">
        <f t="shared" si="14"/>
        <v>Jango</v>
      </c>
      <c r="AA123" s="50" t="s">
        <v>77</v>
      </c>
      <c r="AB123" s="38">
        <v>3921.0</v>
      </c>
      <c r="AC123" s="48">
        <f t="shared" si="15"/>
        <v>969</v>
      </c>
      <c r="AD123" s="51">
        <f t="shared" si="16"/>
        <v>0.752869166</v>
      </c>
    </row>
    <row r="124">
      <c r="A124" s="24"/>
      <c r="B124" s="46" t="s">
        <v>1842</v>
      </c>
      <c r="C124" s="47"/>
      <c r="D124" s="38">
        <v>1096.0</v>
      </c>
      <c r="E124" s="38">
        <v>503.0</v>
      </c>
      <c r="F124" s="38">
        <v>841.0</v>
      </c>
      <c r="G124" s="38">
        <v>237.0</v>
      </c>
      <c r="H124" s="38">
        <v>66.0</v>
      </c>
      <c r="I124" s="48">
        <f t="shared" si="3"/>
        <v>2440</v>
      </c>
      <c r="J124" s="48">
        <f t="shared" si="4"/>
        <v>2743</v>
      </c>
      <c r="K124" s="49">
        <f t="shared" si="5"/>
        <v>0.4491803279</v>
      </c>
      <c r="L124" s="49">
        <f t="shared" si="6"/>
        <v>0.206147541</v>
      </c>
      <c r="M124" s="49">
        <f t="shared" si="7"/>
        <v>0.3446721311</v>
      </c>
      <c r="N124" s="32" t="str">
        <f t="shared" si="8"/>
        <v>Jânio</v>
      </c>
      <c r="O124" s="50" t="s">
        <v>77</v>
      </c>
      <c r="P124" s="38">
        <v>763.0</v>
      </c>
      <c r="Q124" s="38">
        <v>624.0</v>
      </c>
      <c r="R124" s="38">
        <v>278.0</v>
      </c>
      <c r="S124" s="38">
        <v>1026.0</v>
      </c>
      <c r="T124" s="38">
        <v>52.0</v>
      </c>
      <c r="U124" s="48">
        <f t="shared" si="9"/>
        <v>1665</v>
      </c>
      <c r="V124" s="48">
        <f t="shared" si="10"/>
        <v>2743</v>
      </c>
      <c r="W124" s="49">
        <f t="shared" si="11"/>
        <v>0.4582582583</v>
      </c>
      <c r="X124" s="49">
        <f t="shared" si="12"/>
        <v>0.3747747748</v>
      </c>
      <c r="Y124" s="49">
        <f t="shared" si="13"/>
        <v>0.166966967</v>
      </c>
      <c r="Z124" s="32" t="str">
        <f t="shared" si="14"/>
        <v>Jango</v>
      </c>
      <c r="AA124" s="50" t="s">
        <v>77</v>
      </c>
      <c r="AB124" s="38">
        <v>3837.0</v>
      </c>
      <c r="AC124" s="48">
        <f t="shared" si="15"/>
        <v>1094</v>
      </c>
      <c r="AD124" s="51">
        <f t="shared" si="16"/>
        <v>0.7148814178</v>
      </c>
    </row>
    <row r="125">
      <c r="A125" s="61" t="s">
        <v>540</v>
      </c>
      <c r="B125" s="46" t="s">
        <v>1843</v>
      </c>
      <c r="C125" s="47"/>
      <c r="D125" s="38">
        <v>7429.0</v>
      </c>
      <c r="E125" s="38">
        <v>1813.0</v>
      </c>
      <c r="F125" s="38">
        <v>4299.0</v>
      </c>
      <c r="G125" s="38">
        <v>992.0</v>
      </c>
      <c r="H125" s="38">
        <v>325.0</v>
      </c>
      <c r="I125" s="48">
        <f t="shared" si="3"/>
        <v>13541</v>
      </c>
      <c r="J125" s="48">
        <f t="shared" si="4"/>
        <v>14858</v>
      </c>
      <c r="K125" s="49">
        <f t="shared" si="5"/>
        <v>0.5486300864</v>
      </c>
      <c r="L125" s="49">
        <f t="shared" si="6"/>
        <v>0.1338896684</v>
      </c>
      <c r="M125" s="49">
        <f t="shared" si="7"/>
        <v>0.3174802452</v>
      </c>
      <c r="N125" s="32" t="str">
        <f t="shared" si="8"/>
        <v>Jânio</v>
      </c>
      <c r="O125" s="50" t="s">
        <v>77</v>
      </c>
      <c r="P125" s="38">
        <v>3553.0</v>
      </c>
      <c r="Q125" s="38">
        <v>3635.0</v>
      </c>
      <c r="R125" s="38">
        <v>2869.0</v>
      </c>
      <c r="S125" s="38">
        <v>4636.0</v>
      </c>
      <c r="T125" s="38">
        <v>165.0</v>
      </c>
      <c r="U125" s="48">
        <f t="shared" si="9"/>
        <v>10057</v>
      </c>
      <c r="V125" s="48">
        <f t="shared" si="10"/>
        <v>14858</v>
      </c>
      <c r="W125" s="49">
        <f t="shared" si="11"/>
        <v>0.3532862683</v>
      </c>
      <c r="X125" s="49">
        <f t="shared" si="12"/>
        <v>0.3614397932</v>
      </c>
      <c r="Y125" s="49">
        <f t="shared" si="13"/>
        <v>0.2852739386</v>
      </c>
      <c r="Z125" s="32" t="str">
        <f t="shared" si="14"/>
        <v>Milton</v>
      </c>
      <c r="AA125" s="50" t="s">
        <v>77</v>
      </c>
      <c r="AB125" s="38">
        <v>20278.0</v>
      </c>
      <c r="AC125" s="48">
        <f t="shared" si="15"/>
        <v>5420</v>
      </c>
      <c r="AD125" s="51">
        <f t="shared" si="16"/>
        <v>0.7327152579</v>
      </c>
    </row>
    <row r="126">
      <c r="A126" s="23"/>
      <c r="B126" s="46" t="s">
        <v>1844</v>
      </c>
      <c r="C126" s="47"/>
      <c r="D126" s="38">
        <v>2463.0</v>
      </c>
      <c r="E126" s="38">
        <v>424.0</v>
      </c>
      <c r="F126" s="38">
        <v>1095.0</v>
      </c>
      <c r="G126" s="38">
        <v>348.0</v>
      </c>
      <c r="H126" s="38">
        <v>154.0</v>
      </c>
      <c r="I126" s="48">
        <f t="shared" si="3"/>
        <v>3982</v>
      </c>
      <c r="J126" s="48">
        <f t="shared" si="4"/>
        <v>4484</v>
      </c>
      <c r="K126" s="49">
        <f t="shared" si="5"/>
        <v>0.6185334003</v>
      </c>
      <c r="L126" s="49">
        <f t="shared" si="6"/>
        <v>0.1064791562</v>
      </c>
      <c r="M126" s="49">
        <f t="shared" si="7"/>
        <v>0.2749874435</v>
      </c>
      <c r="N126" s="32" t="str">
        <f t="shared" si="8"/>
        <v>Jânio</v>
      </c>
      <c r="O126" s="50" t="s">
        <v>77</v>
      </c>
      <c r="P126" s="38">
        <v>1094.0</v>
      </c>
      <c r="Q126" s="38">
        <v>970.0</v>
      </c>
      <c r="R126" s="38">
        <v>785.0</v>
      </c>
      <c r="S126" s="38">
        <v>1544.0</v>
      </c>
      <c r="T126" s="38">
        <v>91.0</v>
      </c>
      <c r="U126" s="48">
        <f t="shared" si="9"/>
        <v>2849</v>
      </c>
      <c r="V126" s="48">
        <f t="shared" si="10"/>
        <v>4484</v>
      </c>
      <c r="W126" s="49">
        <f t="shared" si="11"/>
        <v>0.383994384</v>
      </c>
      <c r="X126" s="49">
        <f t="shared" si="12"/>
        <v>0.3404703405</v>
      </c>
      <c r="Y126" s="49">
        <f t="shared" si="13"/>
        <v>0.2755352755</v>
      </c>
      <c r="Z126" s="32" t="str">
        <f t="shared" si="14"/>
        <v>Jango</v>
      </c>
      <c r="AA126" s="50" t="s">
        <v>77</v>
      </c>
      <c r="AB126" s="38">
        <v>5904.0</v>
      </c>
      <c r="AC126" s="48">
        <f t="shared" si="15"/>
        <v>1420</v>
      </c>
      <c r="AD126" s="51">
        <f t="shared" si="16"/>
        <v>0.7594850949</v>
      </c>
    </row>
    <row r="127">
      <c r="A127" s="24"/>
      <c r="B127" s="46" t="s">
        <v>1845</v>
      </c>
      <c r="C127" s="47"/>
      <c r="D127" s="38">
        <v>694.0</v>
      </c>
      <c r="E127" s="38">
        <v>106.0</v>
      </c>
      <c r="F127" s="38">
        <v>421.0</v>
      </c>
      <c r="G127" s="38">
        <v>70.0</v>
      </c>
      <c r="H127" s="38">
        <v>45.0</v>
      </c>
      <c r="I127" s="48">
        <f t="shared" si="3"/>
        <v>1221</v>
      </c>
      <c r="J127" s="48">
        <f t="shared" si="4"/>
        <v>1336</v>
      </c>
      <c r="K127" s="49">
        <f t="shared" si="5"/>
        <v>0.5683865684</v>
      </c>
      <c r="L127" s="49">
        <f t="shared" si="6"/>
        <v>0.08681408681</v>
      </c>
      <c r="M127" s="49">
        <f t="shared" si="7"/>
        <v>0.3447993448</v>
      </c>
      <c r="N127" s="32" t="str">
        <f t="shared" si="8"/>
        <v>Jânio</v>
      </c>
      <c r="O127" s="50" t="s">
        <v>77</v>
      </c>
      <c r="P127" s="38">
        <v>430.0</v>
      </c>
      <c r="Q127" s="38">
        <v>292.0</v>
      </c>
      <c r="R127" s="38">
        <v>208.0</v>
      </c>
      <c r="S127" s="38">
        <v>390.0</v>
      </c>
      <c r="T127" s="38">
        <v>16.0</v>
      </c>
      <c r="U127" s="48">
        <f t="shared" si="9"/>
        <v>930</v>
      </c>
      <c r="V127" s="48">
        <f t="shared" si="10"/>
        <v>1336</v>
      </c>
      <c r="W127" s="49">
        <f t="shared" si="11"/>
        <v>0.4623655914</v>
      </c>
      <c r="X127" s="49">
        <f t="shared" si="12"/>
        <v>0.3139784946</v>
      </c>
      <c r="Y127" s="49">
        <f t="shared" si="13"/>
        <v>0.223655914</v>
      </c>
      <c r="Z127" s="32" t="str">
        <f t="shared" si="14"/>
        <v>Jango</v>
      </c>
      <c r="AA127" s="50" t="s">
        <v>77</v>
      </c>
      <c r="AB127" s="38">
        <v>2103.0</v>
      </c>
      <c r="AC127" s="48">
        <f t="shared" si="15"/>
        <v>767</v>
      </c>
      <c r="AD127" s="51">
        <f t="shared" si="16"/>
        <v>0.6352829291</v>
      </c>
    </row>
    <row r="128">
      <c r="A128" s="61" t="s">
        <v>542</v>
      </c>
      <c r="B128" s="46" t="s">
        <v>1846</v>
      </c>
      <c r="C128" s="47"/>
      <c r="D128" s="38">
        <v>2702.0</v>
      </c>
      <c r="E128" s="38">
        <v>510.0</v>
      </c>
      <c r="F128" s="38">
        <v>1591.0</v>
      </c>
      <c r="G128" s="38">
        <v>383.0</v>
      </c>
      <c r="H128" s="38">
        <v>139.0</v>
      </c>
      <c r="I128" s="48">
        <f t="shared" si="3"/>
        <v>4803</v>
      </c>
      <c r="J128" s="48">
        <f t="shared" si="4"/>
        <v>5325</v>
      </c>
      <c r="K128" s="49">
        <f t="shared" si="5"/>
        <v>0.5625650635</v>
      </c>
      <c r="L128" s="49">
        <f t="shared" si="6"/>
        <v>0.1061836352</v>
      </c>
      <c r="M128" s="49">
        <f t="shared" si="7"/>
        <v>0.3312513013</v>
      </c>
      <c r="N128" s="32" t="str">
        <f t="shared" si="8"/>
        <v>Jânio</v>
      </c>
      <c r="O128" s="50" t="s">
        <v>77</v>
      </c>
      <c r="P128" s="38">
        <v>1169.0</v>
      </c>
      <c r="Q128" s="38">
        <v>1771.0</v>
      </c>
      <c r="R128" s="38">
        <v>652.0</v>
      </c>
      <c r="S128" s="38">
        <v>1660.0</v>
      </c>
      <c r="T128" s="38">
        <v>73.0</v>
      </c>
      <c r="U128" s="48">
        <f t="shared" si="9"/>
        <v>3592</v>
      </c>
      <c r="V128" s="48">
        <f t="shared" si="10"/>
        <v>5325</v>
      </c>
      <c r="W128" s="49">
        <f t="shared" si="11"/>
        <v>0.3254454343</v>
      </c>
      <c r="X128" s="49">
        <f t="shared" si="12"/>
        <v>0.4930400891</v>
      </c>
      <c r="Y128" s="49">
        <f t="shared" si="13"/>
        <v>0.1815144766</v>
      </c>
      <c r="Z128" s="32" t="str">
        <f t="shared" si="14"/>
        <v>Milton</v>
      </c>
      <c r="AA128" s="50" t="s">
        <v>77</v>
      </c>
      <c r="AB128" s="38">
        <v>7194.0</v>
      </c>
      <c r="AC128" s="48">
        <f t="shared" si="15"/>
        <v>1869</v>
      </c>
      <c r="AD128" s="51">
        <f t="shared" si="16"/>
        <v>0.7402001668</v>
      </c>
    </row>
    <row r="129">
      <c r="A129" s="23"/>
      <c r="B129" s="46" t="s">
        <v>1847</v>
      </c>
      <c r="C129" s="47"/>
      <c r="D129" s="38">
        <v>797.0</v>
      </c>
      <c r="E129" s="38">
        <v>301.0</v>
      </c>
      <c r="F129" s="38">
        <v>283.0</v>
      </c>
      <c r="G129" s="38">
        <v>156.0</v>
      </c>
      <c r="H129" s="38">
        <v>54.0</v>
      </c>
      <c r="I129" s="48">
        <f t="shared" si="3"/>
        <v>1381</v>
      </c>
      <c r="J129" s="48">
        <f t="shared" si="4"/>
        <v>1591</v>
      </c>
      <c r="K129" s="49">
        <f t="shared" si="5"/>
        <v>0.5771180304</v>
      </c>
      <c r="L129" s="49">
        <f t="shared" si="6"/>
        <v>0.2179580014</v>
      </c>
      <c r="M129" s="49">
        <f t="shared" si="7"/>
        <v>0.2049239681</v>
      </c>
      <c r="N129" s="32" t="str">
        <f t="shared" si="8"/>
        <v>Jânio</v>
      </c>
      <c r="O129" s="50" t="s">
        <v>77</v>
      </c>
      <c r="P129" s="38">
        <v>472.0</v>
      </c>
      <c r="Q129" s="38">
        <v>381.0</v>
      </c>
      <c r="R129" s="38">
        <v>254.0</v>
      </c>
      <c r="S129" s="38">
        <v>457.0</v>
      </c>
      <c r="T129" s="38">
        <v>27.0</v>
      </c>
      <c r="U129" s="48">
        <f t="shared" si="9"/>
        <v>1107</v>
      </c>
      <c r="V129" s="48">
        <f t="shared" si="10"/>
        <v>1591</v>
      </c>
      <c r="W129" s="49">
        <f t="shared" si="11"/>
        <v>0.4263775971</v>
      </c>
      <c r="X129" s="49">
        <f t="shared" si="12"/>
        <v>0.3441734417</v>
      </c>
      <c r="Y129" s="49">
        <f t="shared" si="13"/>
        <v>0.2294489612</v>
      </c>
      <c r="Z129" s="32" t="str">
        <f t="shared" si="14"/>
        <v>Jango</v>
      </c>
      <c r="AA129" s="50" t="s">
        <v>77</v>
      </c>
      <c r="AB129" s="38">
        <v>2079.0</v>
      </c>
      <c r="AC129" s="48">
        <f t="shared" si="15"/>
        <v>488</v>
      </c>
      <c r="AD129" s="51">
        <f t="shared" si="16"/>
        <v>0.7652717653</v>
      </c>
    </row>
    <row r="130">
      <c r="A130" s="23"/>
      <c r="B130" s="46" t="s">
        <v>1848</v>
      </c>
      <c r="C130" s="47"/>
      <c r="D130" s="38">
        <v>935.0</v>
      </c>
      <c r="E130" s="38">
        <v>92.0</v>
      </c>
      <c r="F130" s="38">
        <v>332.0</v>
      </c>
      <c r="G130" s="38">
        <v>127.0</v>
      </c>
      <c r="H130" s="38">
        <v>38.0</v>
      </c>
      <c r="I130" s="48">
        <f t="shared" si="3"/>
        <v>1359</v>
      </c>
      <c r="J130" s="48">
        <f t="shared" si="4"/>
        <v>1524</v>
      </c>
      <c r="K130" s="49">
        <f t="shared" si="5"/>
        <v>0.6880058867</v>
      </c>
      <c r="L130" s="49">
        <f t="shared" si="6"/>
        <v>0.06769683591</v>
      </c>
      <c r="M130" s="49">
        <f t="shared" si="7"/>
        <v>0.2442972774</v>
      </c>
      <c r="N130" s="32" t="str">
        <f t="shared" si="8"/>
        <v>Jânio</v>
      </c>
      <c r="O130" s="50" t="s">
        <v>77</v>
      </c>
      <c r="P130" s="38">
        <v>307.0</v>
      </c>
      <c r="Q130" s="38">
        <v>308.0</v>
      </c>
      <c r="R130" s="38">
        <v>281.0</v>
      </c>
      <c r="S130" s="38">
        <v>619.0</v>
      </c>
      <c r="T130" s="38">
        <v>9.0</v>
      </c>
      <c r="U130" s="48">
        <f t="shared" si="9"/>
        <v>896</v>
      </c>
      <c r="V130" s="48">
        <f t="shared" si="10"/>
        <v>1524</v>
      </c>
      <c r="W130" s="49">
        <f t="shared" si="11"/>
        <v>0.3426339286</v>
      </c>
      <c r="X130" s="49">
        <f t="shared" si="12"/>
        <v>0.34375</v>
      </c>
      <c r="Y130" s="49">
        <f t="shared" si="13"/>
        <v>0.3136160714</v>
      </c>
      <c r="Z130" s="32" t="str">
        <f t="shared" si="14"/>
        <v>Milton</v>
      </c>
      <c r="AA130" s="50" t="s">
        <v>77</v>
      </c>
      <c r="AB130" s="38">
        <v>1837.0</v>
      </c>
      <c r="AC130" s="48">
        <f t="shared" si="15"/>
        <v>313</v>
      </c>
      <c r="AD130" s="51">
        <f t="shared" si="16"/>
        <v>0.8296135003</v>
      </c>
    </row>
    <row r="131">
      <c r="A131" s="23"/>
      <c r="B131" s="46" t="s">
        <v>1849</v>
      </c>
      <c r="C131" s="47"/>
      <c r="D131" s="38">
        <v>562.0</v>
      </c>
      <c r="E131" s="38">
        <v>114.0</v>
      </c>
      <c r="F131" s="38">
        <v>343.0</v>
      </c>
      <c r="G131" s="38">
        <v>113.0</v>
      </c>
      <c r="H131" s="38">
        <v>25.0</v>
      </c>
      <c r="I131" s="48">
        <f t="shared" si="3"/>
        <v>1019</v>
      </c>
      <c r="J131" s="48">
        <f t="shared" si="4"/>
        <v>1157</v>
      </c>
      <c r="K131" s="49">
        <f t="shared" si="5"/>
        <v>0.5515210991</v>
      </c>
      <c r="L131" s="49">
        <f t="shared" si="6"/>
        <v>0.1118743867</v>
      </c>
      <c r="M131" s="49">
        <f t="shared" si="7"/>
        <v>0.3366045142</v>
      </c>
      <c r="N131" s="32" t="str">
        <f t="shared" si="8"/>
        <v>Jânio</v>
      </c>
      <c r="O131" s="50" t="s">
        <v>77</v>
      </c>
      <c r="P131" s="38">
        <v>491.0</v>
      </c>
      <c r="Q131" s="38">
        <v>140.0</v>
      </c>
      <c r="R131" s="38">
        <v>116.0</v>
      </c>
      <c r="S131" s="38">
        <v>386.0</v>
      </c>
      <c r="T131" s="38">
        <v>24.0</v>
      </c>
      <c r="U131" s="48">
        <f t="shared" si="9"/>
        <v>747</v>
      </c>
      <c r="V131" s="48">
        <f t="shared" si="10"/>
        <v>1157</v>
      </c>
      <c r="W131" s="49">
        <f t="shared" si="11"/>
        <v>0.6572958501</v>
      </c>
      <c r="X131" s="49">
        <f t="shared" si="12"/>
        <v>0.187416332</v>
      </c>
      <c r="Y131" s="49">
        <f t="shared" si="13"/>
        <v>0.1552878179</v>
      </c>
      <c r="Z131" s="32" t="str">
        <f t="shared" si="14"/>
        <v>Jango</v>
      </c>
      <c r="AA131" s="50" t="s">
        <v>77</v>
      </c>
      <c r="AB131" s="38">
        <v>1385.0</v>
      </c>
      <c r="AC131" s="48">
        <f t="shared" si="15"/>
        <v>228</v>
      </c>
      <c r="AD131" s="51">
        <f t="shared" si="16"/>
        <v>0.8353790614</v>
      </c>
    </row>
    <row r="132">
      <c r="A132" s="24"/>
      <c r="B132" s="46" t="s">
        <v>1850</v>
      </c>
      <c r="C132" s="47"/>
      <c r="D132" s="38">
        <v>1252.0</v>
      </c>
      <c r="E132" s="38">
        <v>412.0</v>
      </c>
      <c r="F132" s="38">
        <v>749.0</v>
      </c>
      <c r="G132" s="38">
        <v>275.0</v>
      </c>
      <c r="H132" s="38">
        <v>104.0</v>
      </c>
      <c r="I132" s="48">
        <f t="shared" si="3"/>
        <v>2413</v>
      </c>
      <c r="J132" s="48">
        <f t="shared" si="4"/>
        <v>2792</v>
      </c>
      <c r="K132" s="49">
        <f t="shared" si="5"/>
        <v>0.5188561956</v>
      </c>
      <c r="L132" s="49">
        <f t="shared" si="6"/>
        <v>0.1707418152</v>
      </c>
      <c r="M132" s="49">
        <f t="shared" si="7"/>
        <v>0.3104019892</v>
      </c>
      <c r="N132" s="32" t="str">
        <f t="shared" si="8"/>
        <v>Jânio</v>
      </c>
      <c r="O132" s="50" t="s">
        <v>77</v>
      </c>
      <c r="P132" s="38">
        <v>882.0</v>
      </c>
      <c r="Q132" s="38">
        <v>545.0</v>
      </c>
      <c r="R132" s="38">
        <v>421.0</v>
      </c>
      <c r="S132" s="38">
        <v>870.0</v>
      </c>
      <c r="T132" s="38">
        <v>74.0</v>
      </c>
      <c r="U132" s="48">
        <f t="shared" si="9"/>
        <v>1848</v>
      </c>
      <c r="V132" s="48">
        <f t="shared" si="10"/>
        <v>2792</v>
      </c>
      <c r="W132" s="49">
        <f t="shared" si="11"/>
        <v>0.4772727273</v>
      </c>
      <c r="X132" s="49">
        <f t="shared" si="12"/>
        <v>0.2949134199</v>
      </c>
      <c r="Y132" s="49">
        <f t="shared" si="13"/>
        <v>0.2278138528</v>
      </c>
      <c r="Z132" s="32" t="str">
        <f t="shared" si="14"/>
        <v>Jango</v>
      </c>
      <c r="AA132" s="50" t="s">
        <v>77</v>
      </c>
      <c r="AB132" s="38">
        <v>3667.0</v>
      </c>
      <c r="AC132" s="48">
        <f t="shared" si="15"/>
        <v>875</v>
      </c>
      <c r="AD132" s="51">
        <f t="shared" si="16"/>
        <v>0.7613853286</v>
      </c>
    </row>
    <row r="133">
      <c r="A133" s="110" t="s">
        <v>544</v>
      </c>
      <c r="B133" s="46" t="s">
        <v>421</v>
      </c>
      <c r="C133" s="47"/>
      <c r="D133" s="38">
        <v>3773.0</v>
      </c>
      <c r="E133" s="38">
        <v>947.0</v>
      </c>
      <c r="F133" s="38">
        <v>684.0</v>
      </c>
      <c r="G133" s="38">
        <v>701.0</v>
      </c>
      <c r="H133" s="38">
        <v>164.0</v>
      </c>
      <c r="I133" s="48">
        <f t="shared" si="3"/>
        <v>5404</v>
      </c>
      <c r="J133" s="48">
        <f t="shared" si="4"/>
        <v>6269</v>
      </c>
      <c r="K133" s="49">
        <f t="shared" si="5"/>
        <v>0.6981865285</v>
      </c>
      <c r="L133" s="49">
        <f t="shared" si="6"/>
        <v>0.1752405625</v>
      </c>
      <c r="M133" s="49">
        <f t="shared" si="7"/>
        <v>0.126572909</v>
      </c>
      <c r="N133" s="32" t="str">
        <f t="shared" si="8"/>
        <v>Jânio</v>
      </c>
      <c r="O133" s="50" t="s">
        <v>77</v>
      </c>
      <c r="P133" s="38">
        <v>1642.0</v>
      </c>
      <c r="Q133" s="38">
        <v>923.0</v>
      </c>
      <c r="R133" s="38">
        <v>1683.0</v>
      </c>
      <c r="S133" s="38">
        <v>1924.0</v>
      </c>
      <c r="T133" s="38">
        <v>97.0</v>
      </c>
      <c r="U133" s="48">
        <f t="shared" si="9"/>
        <v>4248</v>
      </c>
      <c r="V133" s="48">
        <f t="shared" si="10"/>
        <v>6269</v>
      </c>
      <c r="W133" s="49">
        <f t="shared" si="11"/>
        <v>0.3865348399</v>
      </c>
      <c r="X133" s="49">
        <f t="shared" si="12"/>
        <v>0.2172787194</v>
      </c>
      <c r="Y133" s="49">
        <f t="shared" si="13"/>
        <v>0.3961864407</v>
      </c>
      <c r="Z133" s="32" t="str">
        <f t="shared" si="14"/>
        <v>Ferrari</v>
      </c>
      <c r="AA133" s="50" t="s">
        <v>77</v>
      </c>
      <c r="AB133" s="38">
        <v>7488.0</v>
      </c>
      <c r="AC133" s="48">
        <f t="shared" si="15"/>
        <v>1219</v>
      </c>
      <c r="AD133" s="51">
        <f t="shared" si="16"/>
        <v>0.8372061966</v>
      </c>
    </row>
    <row r="134">
      <c r="A134" s="110" t="s">
        <v>547</v>
      </c>
      <c r="B134" s="46" t="s">
        <v>1851</v>
      </c>
      <c r="C134" s="47"/>
      <c r="D134" s="38">
        <v>5125.0</v>
      </c>
      <c r="E134" s="38">
        <v>1381.0</v>
      </c>
      <c r="F134" s="38">
        <v>1026.0</v>
      </c>
      <c r="G134" s="38">
        <v>1254.0</v>
      </c>
      <c r="H134" s="38">
        <v>145.0</v>
      </c>
      <c r="I134" s="48">
        <f t="shared" si="3"/>
        <v>7532</v>
      </c>
      <c r="J134" s="48">
        <f t="shared" si="4"/>
        <v>8931</v>
      </c>
      <c r="K134" s="49">
        <f t="shared" si="5"/>
        <v>0.6804301646</v>
      </c>
      <c r="L134" s="49">
        <f t="shared" si="6"/>
        <v>0.1833510356</v>
      </c>
      <c r="M134" s="49">
        <f t="shared" si="7"/>
        <v>0.1362187998</v>
      </c>
      <c r="N134" s="32" t="str">
        <f t="shared" si="8"/>
        <v>Jânio</v>
      </c>
      <c r="O134" s="50" t="s">
        <v>77</v>
      </c>
      <c r="P134" s="38">
        <v>2700.0</v>
      </c>
      <c r="Q134" s="38">
        <v>1186.0</v>
      </c>
      <c r="R134" s="38">
        <v>2253.0</v>
      </c>
      <c r="S134" s="38">
        <v>2717.0</v>
      </c>
      <c r="T134" s="38">
        <v>75.0</v>
      </c>
      <c r="U134" s="48">
        <f t="shared" si="9"/>
        <v>6139</v>
      </c>
      <c r="V134" s="48">
        <f t="shared" si="10"/>
        <v>8931</v>
      </c>
      <c r="W134" s="49">
        <f t="shared" si="11"/>
        <v>0.4398110441</v>
      </c>
      <c r="X134" s="49">
        <f t="shared" si="12"/>
        <v>0.1931910735</v>
      </c>
      <c r="Y134" s="49">
        <f t="shared" si="13"/>
        <v>0.3669978824</v>
      </c>
      <c r="Z134" s="32" t="str">
        <f t="shared" si="14"/>
        <v>Jango</v>
      </c>
      <c r="AA134" s="50" t="s">
        <v>77</v>
      </c>
      <c r="AB134" s="38">
        <v>10994.0</v>
      </c>
      <c r="AC134" s="48">
        <f t="shared" si="15"/>
        <v>2063</v>
      </c>
      <c r="AD134" s="51">
        <f t="shared" si="16"/>
        <v>0.8123521921</v>
      </c>
    </row>
    <row r="135">
      <c r="A135" s="61" t="s">
        <v>549</v>
      </c>
      <c r="B135" s="46" t="s">
        <v>1852</v>
      </c>
      <c r="C135" s="47"/>
      <c r="D135" s="38">
        <v>3506.0</v>
      </c>
      <c r="E135" s="38">
        <v>521.0</v>
      </c>
      <c r="F135" s="38">
        <v>1424.0</v>
      </c>
      <c r="G135" s="38">
        <v>652.0</v>
      </c>
      <c r="H135" s="38">
        <v>119.0</v>
      </c>
      <c r="I135" s="48">
        <f t="shared" si="3"/>
        <v>5451</v>
      </c>
      <c r="J135" s="48">
        <f t="shared" si="4"/>
        <v>6222</v>
      </c>
      <c r="K135" s="49">
        <f t="shared" si="5"/>
        <v>0.6431847367</v>
      </c>
      <c r="L135" s="49">
        <f t="shared" si="6"/>
        <v>0.09557879288</v>
      </c>
      <c r="M135" s="49">
        <f t="shared" si="7"/>
        <v>0.2612364704</v>
      </c>
      <c r="N135" s="32" t="str">
        <f t="shared" si="8"/>
        <v>Jânio</v>
      </c>
      <c r="O135" s="50" t="s">
        <v>77</v>
      </c>
      <c r="P135" s="38">
        <v>1157.0</v>
      </c>
      <c r="Q135" s="38">
        <v>1440.0</v>
      </c>
      <c r="R135" s="38">
        <v>1198.0</v>
      </c>
      <c r="S135" s="38">
        <v>2290.0</v>
      </c>
      <c r="T135" s="38">
        <v>137.0</v>
      </c>
      <c r="U135" s="48">
        <f t="shared" si="9"/>
        <v>3795</v>
      </c>
      <c r="V135" s="48">
        <f t="shared" si="10"/>
        <v>6222</v>
      </c>
      <c r="W135" s="49">
        <f t="shared" si="11"/>
        <v>0.3048748353</v>
      </c>
      <c r="X135" s="49">
        <f t="shared" si="12"/>
        <v>0.3794466403</v>
      </c>
      <c r="Y135" s="49">
        <f t="shared" si="13"/>
        <v>0.3156785244</v>
      </c>
      <c r="Z135" s="32" t="str">
        <f t="shared" si="14"/>
        <v>Milton</v>
      </c>
      <c r="AA135" s="50" t="s">
        <v>77</v>
      </c>
      <c r="AB135" s="38">
        <v>7536.0</v>
      </c>
      <c r="AC135" s="48">
        <f t="shared" si="15"/>
        <v>1314</v>
      </c>
      <c r="AD135" s="51">
        <f t="shared" si="16"/>
        <v>0.8256369427</v>
      </c>
    </row>
    <row r="136">
      <c r="A136" s="23"/>
      <c r="B136" s="46" t="s">
        <v>1853</v>
      </c>
      <c r="C136" s="47"/>
      <c r="D136" s="38">
        <v>1300.0</v>
      </c>
      <c r="E136" s="38">
        <v>258.0</v>
      </c>
      <c r="F136" s="38">
        <v>452.0</v>
      </c>
      <c r="G136" s="38">
        <v>190.0</v>
      </c>
      <c r="H136" s="38">
        <v>85.0</v>
      </c>
      <c r="I136" s="48">
        <f t="shared" si="3"/>
        <v>2010</v>
      </c>
      <c r="J136" s="48">
        <f t="shared" si="4"/>
        <v>2285</v>
      </c>
      <c r="K136" s="49">
        <f t="shared" si="5"/>
        <v>0.6467661692</v>
      </c>
      <c r="L136" s="49">
        <f t="shared" si="6"/>
        <v>0.128358209</v>
      </c>
      <c r="M136" s="49">
        <f t="shared" si="7"/>
        <v>0.2248756219</v>
      </c>
      <c r="N136" s="32" t="str">
        <f t="shared" si="8"/>
        <v>Jânio</v>
      </c>
      <c r="O136" s="50" t="s">
        <v>77</v>
      </c>
      <c r="P136" s="38">
        <v>547.0</v>
      </c>
      <c r="Q136" s="38">
        <v>679.0</v>
      </c>
      <c r="R136" s="38">
        <v>283.0</v>
      </c>
      <c r="S136" s="38">
        <v>721.0</v>
      </c>
      <c r="T136" s="38">
        <v>55.0</v>
      </c>
      <c r="U136" s="48">
        <f t="shared" si="9"/>
        <v>1509</v>
      </c>
      <c r="V136" s="48">
        <f t="shared" si="10"/>
        <v>2285</v>
      </c>
      <c r="W136" s="49">
        <f t="shared" si="11"/>
        <v>0.3624917164</v>
      </c>
      <c r="X136" s="49">
        <f t="shared" si="12"/>
        <v>0.4499668655</v>
      </c>
      <c r="Y136" s="49">
        <f t="shared" si="13"/>
        <v>0.1875414182</v>
      </c>
      <c r="Z136" s="32" t="str">
        <f t="shared" si="14"/>
        <v>Milton</v>
      </c>
      <c r="AA136" s="50" t="s">
        <v>77</v>
      </c>
      <c r="AB136" s="38">
        <v>3483.0</v>
      </c>
      <c r="AC136" s="48">
        <f t="shared" si="15"/>
        <v>1198</v>
      </c>
      <c r="AD136" s="51">
        <f t="shared" si="16"/>
        <v>0.6560436405</v>
      </c>
    </row>
    <row r="137">
      <c r="A137" s="24"/>
      <c r="B137" s="46" t="s">
        <v>1614</v>
      </c>
      <c r="C137" s="47"/>
      <c r="D137" s="38">
        <v>930.0</v>
      </c>
      <c r="E137" s="38">
        <v>248.0</v>
      </c>
      <c r="F137" s="38">
        <v>301.0</v>
      </c>
      <c r="G137" s="38">
        <v>101.0</v>
      </c>
      <c r="H137" s="38">
        <v>53.0</v>
      </c>
      <c r="I137" s="48">
        <f t="shared" si="3"/>
        <v>1479</v>
      </c>
      <c r="J137" s="48">
        <f t="shared" si="4"/>
        <v>1633</v>
      </c>
      <c r="K137" s="49">
        <f t="shared" si="5"/>
        <v>0.6288032454</v>
      </c>
      <c r="L137" s="49">
        <f t="shared" si="6"/>
        <v>0.1676808654</v>
      </c>
      <c r="M137" s="49">
        <f t="shared" si="7"/>
        <v>0.2035158891</v>
      </c>
      <c r="N137" s="32" t="str">
        <f t="shared" si="8"/>
        <v>Jânio</v>
      </c>
      <c r="O137" s="50" t="s">
        <v>77</v>
      </c>
      <c r="P137" s="38">
        <v>453.0</v>
      </c>
      <c r="Q137" s="38">
        <v>350.0</v>
      </c>
      <c r="R137" s="38">
        <v>328.0</v>
      </c>
      <c r="S137" s="38">
        <v>469.0</v>
      </c>
      <c r="T137" s="38">
        <v>33.0</v>
      </c>
      <c r="U137" s="48">
        <f t="shared" si="9"/>
        <v>1131</v>
      </c>
      <c r="V137" s="48">
        <f t="shared" si="10"/>
        <v>1633</v>
      </c>
      <c r="W137" s="49">
        <f t="shared" si="11"/>
        <v>0.400530504</v>
      </c>
      <c r="X137" s="49">
        <f t="shared" si="12"/>
        <v>0.3094606543</v>
      </c>
      <c r="Y137" s="49">
        <f t="shared" si="13"/>
        <v>0.2900088417</v>
      </c>
      <c r="Z137" s="32" t="str">
        <f t="shared" si="14"/>
        <v>Jango</v>
      </c>
      <c r="AA137" s="50" t="s">
        <v>77</v>
      </c>
      <c r="AB137" s="38">
        <v>2066.0</v>
      </c>
      <c r="AC137" s="48">
        <f t="shared" si="15"/>
        <v>433</v>
      </c>
      <c r="AD137" s="51">
        <f t="shared" si="16"/>
        <v>0.7904162633</v>
      </c>
    </row>
    <row r="138">
      <c r="A138" s="61" t="s">
        <v>554</v>
      </c>
      <c r="B138" s="46" t="s">
        <v>1854</v>
      </c>
      <c r="C138" s="47"/>
      <c r="D138" s="38">
        <v>4839.0</v>
      </c>
      <c r="E138" s="38">
        <v>472.0</v>
      </c>
      <c r="F138" s="38">
        <v>2024.0</v>
      </c>
      <c r="G138" s="38">
        <v>808.0</v>
      </c>
      <c r="H138" s="38">
        <v>278.0</v>
      </c>
      <c r="I138" s="48">
        <f t="shared" si="3"/>
        <v>7335</v>
      </c>
      <c r="J138" s="48">
        <f t="shared" si="4"/>
        <v>8421</v>
      </c>
      <c r="K138" s="49">
        <f t="shared" si="5"/>
        <v>0.6597137014</v>
      </c>
      <c r="L138" s="49">
        <f t="shared" si="6"/>
        <v>0.06434901159</v>
      </c>
      <c r="M138" s="49">
        <f t="shared" si="7"/>
        <v>0.275937287</v>
      </c>
      <c r="N138" s="32" t="str">
        <f t="shared" si="8"/>
        <v>Jânio</v>
      </c>
      <c r="O138" s="50" t="s">
        <v>77</v>
      </c>
      <c r="P138" s="38">
        <v>2455.0</v>
      </c>
      <c r="Q138" s="38">
        <v>1909.0</v>
      </c>
      <c r="R138" s="38">
        <v>757.0</v>
      </c>
      <c r="S138" s="38">
        <v>3157.0</v>
      </c>
      <c r="T138" s="38">
        <v>143.0</v>
      </c>
      <c r="U138" s="48">
        <f t="shared" si="9"/>
        <v>5121</v>
      </c>
      <c r="V138" s="48">
        <f t="shared" si="10"/>
        <v>8421</v>
      </c>
      <c r="W138" s="49">
        <f t="shared" si="11"/>
        <v>0.479398555</v>
      </c>
      <c r="X138" s="49">
        <f t="shared" si="12"/>
        <v>0.3727787541</v>
      </c>
      <c r="Y138" s="49">
        <f t="shared" si="13"/>
        <v>0.1478226909</v>
      </c>
      <c r="Z138" s="32" t="str">
        <f t="shared" si="14"/>
        <v>Jango</v>
      </c>
      <c r="AA138" s="50" t="s">
        <v>77</v>
      </c>
      <c r="AB138" s="38">
        <v>11727.0</v>
      </c>
      <c r="AC138" s="48">
        <f t="shared" si="15"/>
        <v>3306</v>
      </c>
      <c r="AD138" s="51">
        <f t="shared" si="16"/>
        <v>0.7180864671</v>
      </c>
    </row>
    <row r="139">
      <c r="A139" s="23"/>
      <c r="B139" s="46" t="s">
        <v>1855</v>
      </c>
      <c r="C139" s="47"/>
      <c r="D139" s="38">
        <v>2119.0</v>
      </c>
      <c r="E139" s="38">
        <v>195.0</v>
      </c>
      <c r="F139" s="38">
        <v>571.0</v>
      </c>
      <c r="G139" s="38">
        <v>84.0</v>
      </c>
      <c r="H139" s="38">
        <v>86.0</v>
      </c>
      <c r="I139" s="48">
        <f t="shared" si="3"/>
        <v>2885</v>
      </c>
      <c r="J139" s="48">
        <f t="shared" si="4"/>
        <v>3055</v>
      </c>
      <c r="K139" s="49">
        <f t="shared" si="5"/>
        <v>0.7344887348</v>
      </c>
      <c r="L139" s="49">
        <f t="shared" si="6"/>
        <v>0.06759098787</v>
      </c>
      <c r="M139" s="49">
        <f t="shared" si="7"/>
        <v>0.1979202773</v>
      </c>
      <c r="N139" s="32" t="str">
        <f t="shared" si="8"/>
        <v>Jânio</v>
      </c>
      <c r="O139" s="50" t="s">
        <v>77</v>
      </c>
      <c r="P139" s="38">
        <v>510.0</v>
      </c>
      <c r="Q139" s="38">
        <v>1534.0</v>
      </c>
      <c r="R139" s="38">
        <v>391.0</v>
      </c>
      <c r="S139" s="38">
        <v>578.0</v>
      </c>
      <c r="T139" s="38">
        <v>42.0</v>
      </c>
      <c r="U139" s="48">
        <f t="shared" si="9"/>
        <v>2435</v>
      </c>
      <c r="V139" s="48">
        <f t="shared" si="10"/>
        <v>3055</v>
      </c>
      <c r="W139" s="49">
        <f t="shared" si="11"/>
        <v>0.2094455852</v>
      </c>
      <c r="X139" s="49">
        <f t="shared" si="12"/>
        <v>0.6299794661</v>
      </c>
      <c r="Y139" s="49">
        <f t="shared" si="13"/>
        <v>0.1605749487</v>
      </c>
      <c r="Z139" s="32" t="str">
        <f t="shared" si="14"/>
        <v>Milton</v>
      </c>
      <c r="AA139" s="50" t="s">
        <v>77</v>
      </c>
      <c r="AB139" s="38">
        <v>4381.0</v>
      </c>
      <c r="AC139" s="48">
        <f t="shared" si="15"/>
        <v>1326</v>
      </c>
      <c r="AD139" s="51">
        <f t="shared" si="16"/>
        <v>0.6973293769</v>
      </c>
    </row>
    <row r="140">
      <c r="A140" s="23"/>
      <c r="B140" s="46" t="s">
        <v>1856</v>
      </c>
      <c r="C140" s="47"/>
      <c r="D140" s="38">
        <v>1229.0</v>
      </c>
      <c r="E140" s="38">
        <v>141.0</v>
      </c>
      <c r="F140" s="38">
        <v>557.0</v>
      </c>
      <c r="G140" s="38">
        <v>78.0</v>
      </c>
      <c r="H140" s="38">
        <v>89.0</v>
      </c>
      <c r="I140" s="48">
        <f t="shared" si="3"/>
        <v>1927</v>
      </c>
      <c r="J140" s="48">
        <f t="shared" si="4"/>
        <v>2094</v>
      </c>
      <c r="K140" s="49">
        <f t="shared" si="5"/>
        <v>0.637778931</v>
      </c>
      <c r="L140" s="49">
        <f t="shared" si="6"/>
        <v>0.07317073171</v>
      </c>
      <c r="M140" s="49">
        <f t="shared" si="7"/>
        <v>0.2890503373</v>
      </c>
      <c r="N140" s="32" t="str">
        <f t="shared" si="8"/>
        <v>Jânio</v>
      </c>
      <c r="O140" s="50" t="s">
        <v>77</v>
      </c>
      <c r="P140" s="38">
        <v>500.0</v>
      </c>
      <c r="Q140" s="38">
        <v>718.0</v>
      </c>
      <c r="R140" s="38">
        <v>331.0</v>
      </c>
      <c r="S140" s="38">
        <v>472.0</v>
      </c>
      <c r="T140" s="38">
        <v>73.0</v>
      </c>
      <c r="U140" s="48">
        <f t="shared" si="9"/>
        <v>1549</v>
      </c>
      <c r="V140" s="48">
        <f t="shared" si="10"/>
        <v>2094</v>
      </c>
      <c r="W140" s="49">
        <f t="shared" si="11"/>
        <v>0.3227888961</v>
      </c>
      <c r="X140" s="49">
        <f t="shared" si="12"/>
        <v>0.4635248547</v>
      </c>
      <c r="Y140" s="49">
        <f t="shared" si="13"/>
        <v>0.2136862492</v>
      </c>
      <c r="Z140" s="32" t="str">
        <f t="shared" si="14"/>
        <v>Milton</v>
      </c>
      <c r="AA140" s="50" t="s">
        <v>77</v>
      </c>
      <c r="AB140" s="38">
        <v>3011.0</v>
      </c>
      <c r="AC140" s="48">
        <f t="shared" si="15"/>
        <v>917</v>
      </c>
      <c r="AD140" s="51">
        <f t="shared" si="16"/>
        <v>0.6954500166</v>
      </c>
    </row>
    <row r="141">
      <c r="A141" s="23"/>
      <c r="B141" s="46" t="s">
        <v>1857</v>
      </c>
      <c r="C141" s="47"/>
      <c r="D141" s="38">
        <v>1359.0</v>
      </c>
      <c r="E141" s="38">
        <v>249.0</v>
      </c>
      <c r="F141" s="38">
        <v>1032.0</v>
      </c>
      <c r="G141" s="38">
        <v>68.0</v>
      </c>
      <c r="H141" s="38">
        <v>138.0</v>
      </c>
      <c r="I141" s="48">
        <f t="shared" si="3"/>
        <v>2640</v>
      </c>
      <c r="J141" s="48">
        <f t="shared" si="4"/>
        <v>2846</v>
      </c>
      <c r="K141" s="49">
        <f t="shared" si="5"/>
        <v>0.5147727273</v>
      </c>
      <c r="L141" s="49">
        <f t="shared" si="6"/>
        <v>0.09431818182</v>
      </c>
      <c r="M141" s="49">
        <f t="shared" si="7"/>
        <v>0.3909090909</v>
      </c>
      <c r="N141" s="32" t="str">
        <f t="shared" si="8"/>
        <v>Jânio</v>
      </c>
      <c r="O141" s="50" t="s">
        <v>77</v>
      </c>
      <c r="P141" s="38">
        <v>964.0</v>
      </c>
      <c r="Q141" s="38">
        <v>806.0</v>
      </c>
      <c r="R141" s="38">
        <v>454.0</v>
      </c>
      <c r="S141" s="38">
        <v>562.0</v>
      </c>
      <c r="T141" s="38">
        <v>60.0</v>
      </c>
      <c r="U141" s="48">
        <f t="shared" si="9"/>
        <v>2224</v>
      </c>
      <c r="V141" s="48">
        <f t="shared" si="10"/>
        <v>2846</v>
      </c>
      <c r="W141" s="49">
        <f t="shared" si="11"/>
        <v>0.4334532374</v>
      </c>
      <c r="X141" s="49">
        <f t="shared" si="12"/>
        <v>0.3624100719</v>
      </c>
      <c r="Y141" s="49">
        <f t="shared" si="13"/>
        <v>0.2041366906</v>
      </c>
      <c r="Z141" s="32" t="str">
        <f t="shared" si="14"/>
        <v>Jango</v>
      </c>
      <c r="AA141" s="50" t="s">
        <v>77</v>
      </c>
      <c r="AB141" s="38">
        <v>4255.0</v>
      </c>
      <c r="AC141" s="48">
        <f t="shared" si="15"/>
        <v>1409</v>
      </c>
      <c r="AD141" s="51">
        <f t="shared" si="16"/>
        <v>0.6688601645</v>
      </c>
    </row>
    <row r="142">
      <c r="A142" s="23"/>
      <c r="B142" s="46" t="s">
        <v>1858</v>
      </c>
      <c r="C142" s="47"/>
      <c r="D142" s="38">
        <v>1601.0</v>
      </c>
      <c r="E142" s="38">
        <v>153.0</v>
      </c>
      <c r="F142" s="38">
        <v>466.0</v>
      </c>
      <c r="G142" s="38">
        <v>197.0</v>
      </c>
      <c r="H142" s="38">
        <v>66.0</v>
      </c>
      <c r="I142" s="48">
        <f t="shared" si="3"/>
        <v>2220</v>
      </c>
      <c r="J142" s="48">
        <f t="shared" si="4"/>
        <v>2483</v>
      </c>
      <c r="K142" s="49">
        <f t="shared" si="5"/>
        <v>0.7211711712</v>
      </c>
      <c r="L142" s="49">
        <f t="shared" si="6"/>
        <v>0.06891891892</v>
      </c>
      <c r="M142" s="49">
        <f t="shared" si="7"/>
        <v>0.2099099099</v>
      </c>
      <c r="N142" s="32" t="str">
        <f t="shared" si="8"/>
        <v>Jânio</v>
      </c>
      <c r="O142" s="50" t="s">
        <v>77</v>
      </c>
      <c r="P142" s="38">
        <v>600.0</v>
      </c>
      <c r="Q142" s="38">
        <v>434.0</v>
      </c>
      <c r="R142" s="38">
        <v>520.0</v>
      </c>
      <c r="S142" s="38">
        <v>882.0</v>
      </c>
      <c r="T142" s="38">
        <v>47.0</v>
      </c>
      <c r="U142" s="48">
        <f t="shared" si="9"/>
        <v>1554</v>
      </c>
      <c r="V142" s="48">
        <f t="shared" si="10"/>
        <v>2483</v>
      </c>
      <c r="W142" s="49">
        <f t="shared" si="11"/>
        <v>0.3861003861</v>
      </c>
      <c r="X142" s="49">
        <f t="shared" si="12"/>
        <v>0.2792792793</v>
      </c>
      <c r="Y142" s="49">
        <f t="shared" si="13"/>
        <v>0.3346203346</v>
      </c>
      <c r="Z142" s="32" t="str">
        <f t="shared" si="14"/>
        <v>Jango</v>
      </c>
      <c r="AA142" s="50" t="s">
        <v>77</v>
      </c>
      <c r="AB142" s="38">
        <v>2990.0</v>
      </c>
      <c r="AC142" s="48">
        <f t="shared" si="15"/>
        <v>507</v>
      </c>
      <c r="AD142" s="51">
        <f t="shared" si="16"/>
        <v>0.8304347826</v>
      </c>
    </row>
    <row r="143">
      <c r="A143" s="24"/>
      <c r="B143" s="46" t="s">
        <v>1859</v>
      </c>
      <c r="C143" s="47"/>
      <c r="D143" s="38">
        <v>1449.0</v>
      </c>
      <c r="E143" s="38">
        <v>185.0</v>
      </c>
      <c r="F143" s="38">
        <v>298.0</v>
      </c>
      <c r="G143" s="38">
        <v>223.0</v>
      </c>
      <c r="H143" s="38">
        <v>57.0</v>
      </c>
      <c r="I143" s="48">
        <f t="shared" si="3"/>
        <v>1932</v>
      </c>
      <c r="J143" s="48">
        <f t="shared" si="4"/>
        <v>2212</v>
      </c>
      <c r="K143" s="49">
        <f t="shared" si="5"/>
        <v>0.75</v>
      </c>
      <c r="L143" s="49">
        <f t="shared" si="6"/>
        <v>0.09575569358</v>
      </c>
      <c r="M143" s="49">
        <f t="shared" si="7"/>
        <v>0.1542443064</v>
      </c>
      <c r="N143" s="32" t="str">
        <f t="shared" si="8"/>
        <v>Jânio</v>
      </c>
      <c r="O143" s="50" t="s">
        <v>77</v>
      </c>
      <c r="P143" s="38">
        <v>482.0</v>
      </c>
      <c r="Q143" s="38">
        <v>546.0</v>
      </c>
      <c r="R143" s="38">
        <v>276.0</v>
      </c>
      <c r="S143" s="38">
        <v>880.0</v>
      </c>
      <c r="T143" s="38">
        <v>28.0</v>
      </c>
      <c r="U143" s="48">
        <f t="shared" si="9"/>
        <v>1304</v>
      </c>
      <c r="V143" s="48">
        <f t="shared" si="10"/>
        <v>2212</v>
      </c>
      <c r="W143" s="49">
        <f t="shared" si="11"/>
        <v>0.3696319018</v>
      </c>
      <c r="X143" s="49">
        <f t="shared" si="12"/>
        <v>0.4187116564</v>
      </c>
      <c r="Y143" s="49">
        <f t="shared" si="13"/>
        <v>0.2116564417</v>
      </c>
      <c r="Z143" s="32" t="str">
        <f t="shared" si="14"/>
        <v>Milton</v>
      </c>
      <c r="AA143" s="50" t="s">
        <v>77</v>
      </c>
      <c r="AB143" s="38">
        <v>2677.0</v>
      </c>
      <c r="AC143" s="48">
        <f t="shared" si="15"/>
        <v>465</v>
      </c>
      <c r="AD143" s="51">
        <f t="shared" si="16"/>
        <v>0.8262980949</v>
      </c>
    </row>
    <row r="144">
      <c r="A144" s="61" t="s">
        <v>557</v>
      </c>
      <c r="B144" s="46" t="s">
        <v>1860</v>
      </c>
      <c r="C144" s="47"/>
      <c r="D144" s="38">
        <v>4868.0</v>
      </c>
      <c r="E144" s="38">
        <v>1220.0</v>
      </c>
      <c r="F144" s="38">
        <v>2592.0</v>
      </c>
      <c r="G144" s="38">
        <v>733.0</v>
      </c>
      <c r="H144" s="38">
        <v>263.0</v>
      </c>
      <c r="I144" s="48">
        <f t="shared" si="3"/>
        <v>8680</v>
      </c>
      <c r="J144" s="48">
        <f t="shared" si="4"/>
        <v>9676</v>
      </c>
      <c r="K144" s="49">
        <f t="shared" si="5"/>
        <v>0.5608294931</v>
      </c>
      <c r="L144" s="49">
        <f t="shared" si="6"/>
        <v>0.1405529954</v>
      </c>
      <c r="M144" s="49">
        <f t="shared" si="7"/>
        <v>0.2986175115</v>
      </c>
      <c r="N144" s="32" t="str">
        <f t="shared" si="8"/>
        <v>Jânio</v>
      </c>
      <c r="O144" s="50" t="s">
        <v>77</v>
      </c>
      <c r="P144" s="38">
        <v>2695.0</v>
      </c>
      <c r="Q144" s="38">
        <v>2390.0</v>
      </c>
      <c r="R144" s="38">
        <v>1287.0</v>
      </c>
      <c r="S144" s="38">
        <v>2951.0</v>
      </c>
      <c r="T144" s="38">
        <v>353.0</v>
      </c>
      <c r="U144" s="48">
        <f t="shared" si="9"/>
        <v>6372</v>
      </c>
      <c r="V144" s="48">
        <f t="shared" si="10"/>
        <v>9676</v>
      </c>
      <c r="W144" s="49">
        <f t="shared" si="11"/>
        <v>0.4229441306</v>
      </c>
      <c r="X144" s="49">
        <f t="shared" si="12"/>
        <v>0.3750784683</v>
      </c>
      <c r="Y144" s="49">
        <f t="shared" si="13"/>
        <v>0.2019774011</v>
      </c>
      <c r="Z144" s="32" t="str">
        <f t="shared" si="14"/>
        <v>Jango</v>
      </c>
      <c r="AA144" s="50" t="s">
        <v>77</v>
      </c>
      <c r="AB144" s="38">
        <v>14928.0</v>
      </c>
      <c r="AC144" s="48">
        <f t="shared" si="15"/>
        <v>5252</v>
      </c>
      <c r="AD144" s="51">
        <f t="shared" si="16"/>
        <v>0.6481779207</v>
      </c>
    </row>
    <row r="145">
      <c r="A145" s="23"/>
      <c r="B145" s="46" t="s">
        <v>1861</v>
      </c>
      <c r="C145" s="47"/>
      <c r="D145" s="38">
        <v>700.0</v>
      </c>
      <c r="E145" s="38">
        <v>85.0</v>
      </c>
      <c r="F145" s="38">
        <v>311.0</v>
      </c>
      <c r="G145" s="38">
        <v>77.0</v>
      </c>
      <c r="H145" s="38">
        <v>37.0</v>
      </c>
      <c r="I145" s="48">
        <f t="shared" si="3"/>
        <v>1096</v>
      </c>
      <c r="J145" s="48">
        <f t="shared" si="4"/>
        <v>1210</v>
      </c>
      <c r="K145" s="49">
        <f t="shared" si="5"/>
        <v>0.6386861314</v>
      </c>
      <c r="L145" s="49">
        <f t="shared" si="6"/>
        <v>0.07755474453</v>
      </c>
      <c r="M145" s="49">
        <f t="shared" si="7"/>
        <v>0.2837591241</v>
      </c>
      <c r="N145" s="32" t="str">
        <f t="shared" si="8"/>
        <v>Jânio</v>
      </c>
      <c r="O145" s="50" t="s">
        <v>77</v>
      </c>
      <c r="P145" s="38">
        <v>231.0</v>
      </c>
      <c r="Q145" s="38">
        <v>339.0</v>
      </c>
      <c r="R145" s="38">
        <v>173.0</v>
      </c>
      <c r="S145" s="38">
        <v>450.0</v>
      </c>
      <c r="T145" s="38">
        <v>17.0</v>
      </c>
      <c r="U145" s="48">
        <f t="shared" si="9"/>
        <v>743</v>
      </c>
      <c r="V145" s="48">
        <f t="shared" si="10"/>
        <v>1210</v>
      </c>
      <c r="W145" s="49">
        <f t="shared" si="11"/>
        <v>0.3109017497</v>
      </c>
      <c r="X145" s="49">
        <f t="shared" si="12"/>
        <v>0.4562584118</v>
      </c>
      <c r="Y145" s="49">
        <f t="shared" si="13"/>
        <v>0.2328398385</v>
      </c>
      <c r="Z145" s="32" t="str">
        <f t="shared" si="14"/>
        <v>Milton</v>
      </c>
      <c r="AA145" s="50" t="s">
        <v>77</v>
      </c>
      <c r="AB145" s="38">
        <v>1839.0</v>
      </c>
      <c r="AC145" s="48">
        <f t="shared" si="15"/>
        <v>629</v>
      </c>
      <c r="AD145" s="51">
        <f t="shared" si="16"/>
        <v>0.657966286</v>
      </c>
    </row>
    <row r="146">
      <c r="A146" s="23"/>
      <c r="B146" s="46" t="s">
        <v>1862</v>
      </c>
      <c r="C146" s="47"/>
      <c r="D146" s="38">
        <v>1400.0</v>
      </c>
      <c r="E146" s="38">
        <v>321.0</v>
      </c>
      <c r="F146" s="38">
        <v>605.0</v>
      </c>
      <c r="G146" s="38">
        <v>132.0</v>
      </c>
      <c r="H146" s="38">
        <v>73.0</v>
      </c>
      <c r="I146" s="48">
        <f t="shared" si="3"/>
        <v>2326</v>
      </c>
      <c r="J146" s="48">
        <f t="shared" si="4"/>
        <v>2531</v>
      </c>
      <c r="K146" s="49">
        <f t="shared" si="5"/>
        <v>0.6018916595</v>
      </c>
      <c r="L146" s="49">
        <f t="shared" si="6"/>
        <v>0.1380051591</v>
      </c>
      <c r="M146" s="49">
        <f t="shared" si="7"/>
        <v>0.2601031814</v>
      </c>
      <c r="N146" s="32" t="str">
        <f t="shared" si="8"/>
        <v>Jânio</v>
      </c>
      <c r="O146" s="50" t="s">
        <v>77</v>
      </c>
      <c r="P146" s="38">
        <v>817.0</v>
      </c>
      <c r="Q146" s="38">
        <v>577.0</v>
      </c>
      <c r="R146" s="38">
        <v>487.0</v>
      </c>
      <c r="S146" s="38">
        <v>609.0</v>
      </c>
      <c r="T146" s="38">
        <v>41.0</v>
      </c>
      <c r="U146" s="48">
        <f t="shared" si="9"/>
        <v>1881</v>
      </c>
      <c r="V146" s="48">
        <f t="shared" si="10"/>
        <v>2531</v>
      </c>
      <c r="W146" s="49">
        <f t="shared" si="11"/>
        <v>0.4343434343</v>
      </c>
      <c r="X146" s="49">
        <f t="shared" si="12"/>
        <v>0.3067517278</v>
      </c>
      <c r="Y146" s="49">
        <f t="shared" si="13"/>
        <v>0.2589048379</v>
      </c>
      <c r="Z146" s="32" t="str">
        <f t="shared" si="14"/>
        <v>Jango</v>
      </c>
      <c r="AA146" s="50" t="s">
        <v>77</v>
      </c>
      <c r="AB146" s="38">
        <v>3675.0</v>
      </c>
      <c r="AC146" s="48">
        <f t="shared" si="15"/>
        <v>1144</v>
      </c>
      <c r="AD146" s="51">
        <f t="shared" si="16"/>
        <v>0.688707483</v>
      </c>
    </row>
    <row r="147">
      <c r="A147" s="23"/>
      <c r="B147" s="46" t="s">
        <v>1863</v>
      </c>
      <c r="C147" s="47"/>
      <c r="D147" s="38">
        <v>1046.0</v>
      </c>
      <c r="E147" s="38">
        <v>140.0</v>
      </c>
      <c r="F147" s="38">
        <v>691.0</v>
      </c>
      <c r="G147" s="38">
        <v>66.0</v>
      </c>
      <c r="H147" s="38">
        <v>68.0</v>
      </c>
      <c r="I147" s="48">
        <f t="shared" si="3"/>
        <v>1877</v>
      </c>
      <c r="J147" s="48">
        <f t="shared" si="4"/>
        <v>2011</v>
      </c>
      <c r="K147" s="49">
        <f t="shared" si="5"/>
        <v>0.5572722429</v>
      </c>
      <c r="L147" s="49">
        <f t="shared" si="6"/>
        <v>0.07458710709</v>
      </c>
      <c r="M147" s="49">
        <f t="shared" si="7"/>
        <v>0.36814065</v>
      </c>
      <c r="N147" s="32" t="str">
        <f t="shared" si="8"/>
        <v>Jânio</v>
      </c>
      <c r="O147" s="50" t="s">
        <v>77</v>
      </c>
      <c r="P147" s="38">
        <v>412.0</v>
      </c>
      <c r="Q147" s="38">
        <v>413.0</v>
      </c>
      <c r="R147" s="38">
        <v>420.0</v>
      </c>
      <c r="S147" s="38">
        <v>744.0</v>
      </c>
      <c r="T147" s="38">
        <v>22.0</v>
      </c>
      <c r="U147" s="48">
        <f t="shared" si="9"/>
        <v>1245</v>
      </c>
      <c r="V147" s="48">
        <f t="shared" si="10"/>
        <v>2011</v>
      </c>
      <c r="W147" s="49">
        <f t="shared" si="11"/>
        <v>0.3309236948</v>
      </c>
      <c r="X147" s="49">
        <f t="shared" si="12"/>
        <v>0.3317269076</v>
      </c>
      <c r="Y147" s="49">
        <f t="shared" si="13"/>
        <v>0.3373493976</v>
      </c>
      <c r="Z147" s="32" t="str">
        <f t="shared" si="14"/>
        <v>Ferrari</v>
      </c>
      <c r="AA147" s="50" t="s">
        <v>77</v>
      </c>
      <c r="AB147" s="38">
        <v>2756.0</v>
      </c>
      <c r="AC147" s="48">
        <f t="shared" si="15"/>
        <v>745</v>
      </c>
      <c r="AD147" s="51">
        <f t="shared" si="16"/>
        <v>0.7296806967</v>
      </c>
    </row>
    <row r="148">
      <c r="A148" s="24"/>
      <c r="B148" s="46" t="s">
        <v>1864</v>
      </c>
      <c r="C148" s="47"/>
      <c r="D148" s="38">
        <v>1025.0</v>
      </c>
      <c r="E148" s="38">
        <v>95.0</v>
      </c>
      <c r="F148" s="38">
        <v>424.0</v>
      </c>
      <c r="G148" s="38">
        <v>223.0</v>
      </c>
      <c r="H148" s="38">
        <v>24.0</v>
      </c>
      <c r="I148" s="48">
        <f t="shared" si="3"/>
        <v>1544</v>
      </c>
      <c r="J148" s="48">
        <f t="shared" si="4"/>
        <v>1791</v>
      </c>
      <c r="K148" s="49">
        <f t="shared" si="5"/>
        <v>0.6638601036</v>
      </c>
      <c r="L148" s="49">
        <f t="shared" si="6"/>
        <v>0.06152849741</v>
      </c>
      <c r="M148" s="49">
        <f t="shared" si="7"/>
        <v>0.274611399</v>
      </c>
      <c r="N148" s="32" t="str">
        <f t="shared" si="8"/>
        <v>Jânio</v>
      </c>
      <c r="O148" s="50" t="s">
        <v>77</v>
      </c>
      <c r="P148" s="38">
        <v>395.0</v>
      </c>
      <c r="Q148" s="38">
        <v>336.0</v>
      </c>
      <c r="R148" s="38">
        <v>276.0</v>
      </c>
      <c r="S148" s="38">
        <v>768.0</v>
      </c>
      <c r="T148" s="38">
        <v>16.0</v>
      </c>
      <c r="U148" s="48">
        <f t="shared" si="9"/>
        <v>1007</v>
      </c>
      <c r="V148" s="48">
        <f t="shared" si="10"/>
        <v>1791</v>
      </c>
      <c r="W148" s="49">
        <f t="shared" si="11"/>
        <v>0.3922542205</v>
      </c>
      <c r="X148" s="49">
        <f t="shared" si="12"/>
        <v>0.3336643496</v>
      </c>
      <c r="Y148" s="49">
        <f t="shared" si="13"/>
        <v>0.27408143</v>
      </c>
      <c r="Z148" s="32" t="str">
        <f t="shared" si="14"/>
        <v>Jango</v>
      </c>
      <c r="AA148" s="50" t="s">
        <v>77</v>
      </c>
      <c r="AB148" s="38">
        <v>2296.0</v>
      </c>
      <c r="AC148" s="48">
        <f t="shared" si="15"/>
        <v>505</v>
      </c>
      <c r="AD148" s="51">
        <f t="shared" si="16"/>
        <v>0.7800522648</v>
      </c>
    </row>
    <row r="149">
      <c r="A149" s="61" t="s">
        <v>560</v>
      </c>
      <c r="B149" s="46" t="s">
        <v>1865</v>
      </c>
      <c r="C149" s="47"/>
      <c r="D149" s="38">
        <v>3313.0</v>
      </c>
      <c r="E149" s="38">
        <v>1996.0</v>
      </c>
      <c r="F149" s="38">
        <v>1481.0</v>
      </c>
      <c r="G149" s="38">
        <v>1174.0</v>
      </c>
      <c r="H149" s="38">
        <v>100.0</v>
      </c>
      <c r="I149" s="48">
        <f t="shared" si="3"/>
        <v>6790</v>
      </c>
      <c r="J149" s="48">
        <f t="shared" si="4"/>
        <v>8064</v>
      </c>
      <c r="K149" s="49">
        <f t="shared" si="5"/>
        <v>0.4879234168</v>
      </c>
      <c r="L149" s="49">
        <f t="shared" si="6"/>
        <v>0.2939617084</v>
      </c>
      <c r="M149" s="49">
        <f t="shared" si="7"/>
        <v>0.2181148748</v>
      </c>
      <c r="N149" s="32" t="str">
        <f t="shared" si="8"/>
        <v>Jânio</v>
      </c>
      <c r="O149" s="50" t="s">
        <v>77</v>
      </c>
      <c r="P149" s="38">
        <v>2717.0</v>
      </c>
      <c r="Q149" s="38">
        <v>532.0</v>
      </c>
      <c r="R149" s="38">
        <v>2368.0</v>
      </c>
      <c r="S149" s="38">
        <v>2355.0</v>
      </c>
      <c r="T149" s="38">
        <v>92.0</v>
      </c>
      <c r="U149" s="48">
        <f t="shared" si="9"/>
        <v>5617</v>
      </c>
      <c r="V149" s="48">
        <f t="shared" si="10"/>
        <v>8064</v>
      </c>
      <c r="W149" s="49">
        <f t="shared" si="11"/>
        <v>0.4837101656</v>
      </c>
      <c r="X149" s="49">
        <f t="shared" si="12"/>
        <v>0.09471247997</v>
      </c>
      <c r="Y149" s="49">
        <f t="shared" si="13"/>
        <v>0.4215773545</v>
      </c>
      <c r="Z149" s="32" t="str">
        <f t="shared" si="14"/>
        <v>Jango</v>
      </c>
      <c r="AA149" s="50" t="s">
        <v>77</v>
      </c>
      <c r="AB149" s="38">
        <v>8870.0</v>
      </c>
      <c r="AC149" s="48">
        <f t="shared" si="15"/>
        <v>806</v>
      </c>
      <c r="AD149" s="51">
        <f t="shared" si="16"/>
        <v>0.9091319053</v>
      </c>
    </row>
    <row r="150">
      <c r="A150" s="24"/>
      <c r="B150" s="46" t="s">
        <v>1866</v>
      </c>
      <c r="C150" s="47"/>
      <c r="D150" s="38">
        <v>645.0</v>
      </c>
      <c r="E150" s="38">
        <v>369.0</v>
      </c>
      <c r="F150" s="38">
        <v>396.0</v>
      </c>
      <c r="G150" s="38">
        <v>345.0</v>
      </c>
      <c r="H150" s="38">
        <v>50.0</v>
      </c>
      <c r="I150" s="48">
        <f t="shared" si="3"/>
        <v>1410</v>
      </c>
      <c r="J150" s="48">
        <f t="shared" si="4"/>
        <v>1805</v>
      </c>
      <c r="K150" s="49">
        <f t="shared" si="5"/>
        <v>0.4574468085</v>
      </c>
      <c r="L150" s="49">
        <f t="shared" si="6"/>
        <v>0.2617021277</v>
      </c>
      <c r="M150" s="49">
        <f t="shared" si="7"/>
        <v>0.2808510638</v>
      </c>
      <c r="N150" s="32" t="str">
        <f t="shared" si="8"/>
        <v>Jânio</v>
      </c>
      <c r="O150" s="50" t="s">
        <v>77</v>
      </c>
      <c r="P150" s="38">
        <v>833.0</v>
      </c>
      <c r="Q150" s="38">
        <v>136.0</v>
      </c>
      <c r="R150" s="38">
        <v>369.0</v>
      </c>
      <c r="S150" s="38">
        <v>417.0</v>
      </c>
      <c r="T150" s="38">
        <v>50.0</v>
      </c>
      <c r="U150" s="48">
        <f t="shared" si="9"/>
        <v>1338</v>
      </c>
      <c r="V150" s="48">
        <f t="shared" si="10"/>
        <v>1805</v>
      </c>
      <c r="W150" s="49">
        <f t="shared" si="11"/>
        <v>0.6225710015</v>
      </c>
      <c r="X150" s="49">
        <f t="shared" si="12"/>
        <v>0.1016442451</v>
      </c>
      <c r="Y150" s="49">
        <f t="shared" si="13"/>
        <v>0.2757847534</v>
      </c>
      <c r="Z150" s="32" t="str">
        <f t="shared" si="14"/>
        <v>Jango</v>
      </c>
      <c r="AA150" s="50" t="s">
        <v>77</v>
      </c>
      <c r="AB150" s="38">
        <v>1987.0</v>
      </c>
      <c r="AC150" s="48">
        <f t="shared" si="15"/>
        <v>182</v>
      </c>
      <c r="AD150" s="51">
        <f t="shared" si="16"/>
        <v>0.9084046301</v>
      </c>
    </row>
    <row r="151">
      <c r="A151" s="61" t="s">
        <v>563</v>
      </c>
      <c r="B151" s="46" t="s">
        <v>1867</v>
      </c>
      <c r="C151" s="47"/>
      <c r="D151" s="38">
        <v>2100.0</v>
      </c>
      <c r="E151" s="38">
        <v>237.0</v>
      </c>
      <c r="F151" s="38">
        <v>611.0</v>
      </c>
      <c r="G151" s="38">
        <v>278.0</v>
      </c>
      <c r="H151" s="38">
        <v>96.0</v>
      </c>
      <c r="I151" s="48">
        <f t="shared" si="3"/>
        <v>2948</v>
      </c>
      <c r="J151" s="48">
        <f t="shared" si="4"/>
        <v>3322</v>
      </c>
      <c r="K151" s="49">
        <f t="shared" si="5"/>
        <v>0.7123473541</v>
      </c>
      <c r="L151" s="49">
        <f t="shared" si="6"/>
        <v>0.08039348711</v>
      </c>
      <c r="M151" s="49">
        <f t="shared" si="7"/>
        <v>0.2072591588</v>
      </c>
      <c r="N151" s="32" t="str">
        <f t="shared" si="8"/>
        <v>Jânio</v>
      </c>
      <c r="O151" s="50" t="s">
        <v>77</v>
      </c>
      <c r="P151" s="38">
        <v>656.0</v>
      </c>
      <c r="Q151" s="38">
        <v>927.0</v>
      </c>
      <c r="R151" s="38">
        <v>549.0</v>
      </c>
      <c r="S151" s="38">
        <v>1149.0</v>
      </c>
      <c r="T151" s="38">
        <v>41.0</v>
      </c>
      <c r="U151" s="48">
        <f t="shared" si="9"/>
        <v>2132</v>
      </c>
      <c r="V151" s="48">
        <f t="shared" si="10"/>
        <v>3322</v>
      </c>
      <c r="W151" s="49">
        <f t="shared" si="11"/>
        <v>0.3076923077</v>
      </c>
      <c r="X151" s="49">
        <f t="shared" si="12"/>
        <v>0.4348030019</v>
      </c>
      <c r="Y151" s="49">
        <f t="shared" si="13"/>
        <v>0.2575046904</v>
      </c>
      <c r="Z151" s="32" t="str">
        <f t="shared" si="14"/>
        <v>Milton</v>
      </c>
      <c r="AA151" s="50" t="s">
        <v>77</v>
      </c>
      <c r="AB151" s="38">
        <v>4249.0</v>
      </c>
      <c r="AC151" s="48">
        <f t="shared" si="15"/>
        <v>927</v>
      </c>
      <c r="AD151" s="51">
        <f t="shared" si="16"/>
        <v>0.7818310191</v>
      </c>
    </row>
    <row r="152">
      <c r="A152" s="23"/>
      <c r="B152" s="46" t="s">
        <v>704</v>
      </c>
      <c r="C152" s="47"/>
      <c r="D152" s="38">
        <v>1376.0</v>
      </c>
      <c r="E152" s="38">
        <v>306.0</v>
      </c>
      <c r="F152" s="38">
        <v>563.0</v>
      </c>
      <c r="G152" s="38">
        <v>140.0</v>
      </c>
      <c r="H152" s="38">
        <v>88.0</v>
      </c>
      <c r="I152" s="48">
        <f t="shared" si="3"/>
        <v>2245</v>
      </c>
      <c r="J152" s="48">
        <f t="shared" si="4"/>
        <v>2473</v>
      </c>
      <c r="K152" s="49">
        <f t="shared" si="5"/>
        <v>0.6129175947</v>
      </c>
      <c r="L152" s="49">
        <f t="shared" si="6"/>
        <v>0.1363028953</v>
      </c>
      <c r="M152" s="49">
        <f t="shared" si="7"/>
        <v>0.25077951</v>
      </c>
      <c r="N152" s="32" t="str">
        <f t="shared" si="8"/>
        <v>Jânio</v>
      </c>
      <c r="O152" s="50" t="s">
        <v>77</v>
      </c>
      <c r="P152" s="38">
        <v>683.0</v>
      </c>
      <c r="Q152" s="38">
        <v>585.0</v>
      </c>
      <c r="R152" s="38">
        <v>351.0</v>
      </c>
      <c r="S152" s="38">
        <v>807.0</v>
      </c>
      <c r="T152" s="38">
        <v>47.0</v>
      </c>
      <c r="U152" s="48">
        <f t="shared" si="9"/>
        <v>1619</v>
      </c>
      <c r="V152" s="48">
        <f t="shared" si="10"/>
        <v>2473</v>
      </c>
      <c r="W152" s="49">
        <f t="shared" si="11"/>
        <v>0.421865349</v>
      </c>
      <c r="X152" s="49">
        <f t="shared" si="12"/>
        <v>0.3613341569</v>
      </c>
      <c r="Y152" s="49">
        <f t="shared" si="13"/>
        <v>0.2168004941</v>
      </c>
      <c r="Z152" s="32" t="str">
        <f t="shared" si="14"/>
        <v>Jango</v>
      </c>
      <c r="AA152" s="50" t="s">
        <v>77</v>
      </c>
      <c r="AB152" s="38">
        <v>3120.0</v>
      </c>
      <c r="AC152" s="48">
        <f t="shared" si="15"/>
        <v>647</v>
      </c>
      <c r="AD152" s="51">
        <f t="shared" si="16"/>
        <v>0.7926282051</v>
      </c>
    </row>
    <row r="153">
      <c r="A153" s="23"/>
      <c r="B153" s="46" t="s">
        <v>1868</v>
      </c>
      <c r="C153" s="47"/>
      <c r="D153" s="38">
        <v>6678.0</v>
      </c>
      <c r="E153" s="38">
        <v>1069.0</v>
      </c>
      <c r="F153" s="38">
        <v>2505.0</v>
      </c>
      <c r="G153" s="38">
        <v>928.0</v>
      </c>
      <c r="H153" s="38">
        <v>554.0</v>
      </c>
      <c r="I153" s="48">
        <f t="shared" si="3"/>
        <v>10252</v>
      </c>
      <c r="J153" s="48">
        <f t="shared" si="4"/>
        <v>11734</v>
      </c>
      <c r="K153" s="49">
        <f t="shared" si="5"/>
        <v>0.6513850956</v>
      </c>
      <c r="L153" s="49">
        <f t="shared" si="6"/>
        <v>0.1042723371</v>
      </c>
      <c r="M153" s="49">
        <f t="shared" si="7"/>
        <v>0.2443425673</v>
      </c>
      <c r="N153" s="32" t="str">
        <f t="shared" si="8"/>
        <v>Jânio</v>
      </c>
      <c r="O153" s="50" t="s">
        <v>77</v>
      </c>
      <c r="P153" s="38">
        <v>2930.0</v>
      </c>
      <c r="Q153" s="38">
        <v>2798.0</v>
      </c>
      <c r="R153" s="38">
        <v>1495.0</v>
      </c>
      <c r="S153" s="38">
        <v>4296.0</v>
      </c>
      <c r="T153" s="38">
        <v>215.0</v>
      </c>
      <c r="U153" s="48">
        <f t="shared" si="9"/>
        <v>7223</v>
      </c>
      <c r="V153" s="48">
        <f t="shared" si="10"/>
        <v>11734</v>
      </c>
      <c r="W153" s="49">
        <f t="shared" si="11"/>
        <v>0.4056486225</v>
      </c>
      <c r="X153" s="49">
        <f t="shared" si="12"/>
        <v>0.3873736675</v>
      </c>
      <c r="Y153" s="49">
        <f t="shared" si="13"/>
        <v>0.2069777101</v>
      </c>
      <c r="Z153" s="32" t="str">
        <f t="shared" si="14"/>
        <v>Jango</v>
      </c>
      <c r="AA153" s="50" t="s">
        <v>77</v>
      </c>
      <c r="AB153" s="38">
        <v>15009.0</v>
      </c>
      <c r="AC153" s="48">
        <f t="shared" si="15"/>
        <v>3275</v>
      </c>
      <c r="AD153" s="51">
        <f t="shared" si="16"/>
        <v>0.7817975881</v>
      </c>
    </row>
    <row r="154">
      <c r="A154" s="23"/>
      <c r="B154" s="46" t="s">
        <v>1869</v>
      </c>
      <c r="C154" s="47"/>
      <c r="D154" s="38">
        <v>1272.0</v>
      </c>
      <c r="E154" s="38">
        <v>232.0</v>
      </c>
      <c r="F154" s="38">
        <v>365.0</v>
      </c>
      <c r="G154" s="38">
        <v>126.0</v>
      </c>
      <c r="H154" s="38">
        <v>90.0</v>
      </c>
      <c r="I154" s="48">
        <f t="shared" si="3"/>
        <v>1869</v>
      </c>
      <c r="J154" s="48">
        <f t="shared" si="4"/>
        <v>2085</v>
      </c>
      <c r="K154" s="49">
        <f t="shared" si="5"/>
        <v>0.6805778491</v>
      </c>
      <c r="L154" s="49">
        <f t="shared" si="6"/>
        <v>0.1241305511</v>
      </c>
      <c r="M154" s="49">
        <f t="shared" si="7"/>
        <v>0.1952915998</v>
      </c>
      <c r="N154" s="32" t="str">
        <f t="shared" si="8"/>
        <v>Jânio</v>
      </c>
      <c r="O154" s="50" t="s">
        <v>77</v>
      </c>
      <c r="P154" s="38">
        <v>538.0</v>
      </c>
      <c r="Q154" s="38">
        <v>612.0</v>
      </c>
      <c r="R154" s="38">
        <v>311.0</v>
      </c>
      <c r="S154" s="38">
        <v>574.0</v>
      </c>
      <c r="T154" s="38">
        <v>50.0</v>
      </c>
      <c r="U154" s="48">
        <f t="shared" si="9"/>
        <v>1461</v>
      </c>
      <c r="V154" s="48">
        <f t="shared" si="10"/>
        <v>2085</v>
      </c>
      <c r="W154" s="49">
        <f t="shared" si="11"/>
        <v>0.3682409309</v>
      </c>
      <c r="X154" s="49">
        <f t="shared" si="12"/>
        <v>0.4188911704</v>
      </c>
      <c r="Y154" s="49">
        <f t="shared" si="13"/>
        <v>0.2128678987</v>
      </c>
      <c r="Z154" s="32" t="str">
        <f t="shared" si="14"/>
        <v>Milton</v>
      </c>
      <c r="AA154" s="50" t="s">
        <v>77</v>
      </c>
      <c r="AB154" s="38">
        <v>2757.0</v>
      </c>
      <c r="AC154" s="48">
        <f t="shared" si="15"/>
        <v>672</v>
      </c>
      <c r="AD154" s="51">
        <f t="shared" si="16"/>
        <v>0.7562568009</v>
      </c>
    </row>
    <row r="155">
      <c r="A155" s="23"/>
      <c r="B155" s="46" t="s">
        <v>1870</v>
      </c>
      <c r="C155" s="47"/>
      <c r="D155" s="38">
        <v>2040.0</v>
      </c>
      <c r="E155" s="38">
        <v>335.0</v>
      </c>
      <c r="F155" s="38">
        <v>647.0</v>
      </c>
      <c r="G155" s="38">
        <v>227.0</v>
      </c>
      <c r="H155" s="38">
        <v>149.0</v>
      </c>
      <c r="I155" s="48">
        <f t="shared" si="3"/>
        <v>3022</v>
      </c>
      <c r="J155" s="48">
        <f t="shared" si="4"/>
        <v>3398</v>
      </c>
      <c r="K155" s="49">
        <f t="shared" si="5"/>
        <v>0.675049636</v>
      </c>
      <c r="L155" s="49">
        <f t="shared" si="6"/>
        <v>0.1108537392</v>
      </c>
      <c r="M155" s="49">
        <f t="shared" si="7"/>
        <v>0.2140966248</v>
      </c>
      <c r="N155" s="32" t="str">
        <f t="shared" si="8"/>
        <v>Jânio</v>
      </c>
      <c r="O155" s="50" t="s">
        <v>77</v>
      </c>
      <c r="P155" s="38">
        <v>666.0</v>
      </c>
      <c r="Q155" s="38">
        <v>884.0</v>
      </c>
      <c r="R155" s="38">
        <v>766.0</v>
      </c>
      <c r="S155" s="38">
        <v>997.0</v>
      </c>
      <c r="T155" s="38">
        <v>85.0</v>
      </c>
      <c r="U155" s="48">
        <f t="shared" si="9"/>
        <v>2316</v>
      </c>
      <c r="V155" s="48">
        <f t="shared" si="10"/>
        <v>3398</v>
      </c>
      <c r="W155" s="49">
        <f t="shared" si="11"/>
        <v>0.2875647668</v>
      </c>
      <c r="X155" s="49">
        <f t="shared" si="12"/>
        <v>0.3816925734</v>
      </c>
      <c r="Y155" s="49">
        <f t="shared" si="13"/>
        <v>0.3307426598</v>
      </c>
      <c r="Z155" s="32" t="str">
        <f t="shared" si="14"/>
        <v>Milton</v>
      </c>
      <c r="AA155" s="50" t="s">
        <v>77</v>
      </c>
      <c r="AB155" s="38">
        <v>4313.0</v>
      </c>
      <c r="AC155" s="48">
        <f t="shared" si="15"/>
        <v>915</v>
      </c>
      <c r="AD155" s="51">
        <f t="shared" si="16"/>
        <v>0.787850684</v>
      </c>
    </row>
    <row r="156">
      <c r="A156" s="23"/>
      <c r="B156" s="46" t="s">
        <v>1871</v>
      </c>
      <c r="C156" s="47"/>
      <c r="D156" s="38">
        <v>1850.0</v>
      </c>
      <c r="E156" s="38">
        <v>294.0</v>
      </c>
      <c r="F156" s="38">
        <v>402.0</v>
      </c>
      <c r="G156" s="38">
        <v>158.0</v>
      </c>
      <c r="H156" s="38">
        <v>107.0</v>
      </c>
      <c r="I156" s="48">
        <f t="shared" si="3"/>
        <v>2546</v>
      </c>
      <c r="J156" s="48">
        <f t="shared" si="4"/>
        <v>2811</v>
      </c>
      <c r="K156" s="49">
        <f t="shared" si="5"/>
        <v>0.7266300079</v>
      </c>
      <c r="L156" s="49">
        <f t="shared" si="6"/>
        <v>0.1154752553</v>
      </c>
      <c r="M156" s="49">
        <f t="shared" si="7"/>
        <v>0.1578947368</v>
      </c>
      <c r="N156" s="32" t="str">
        <f t="shared" si="8"/>
        <v>Jânio</v>
      </c>
      <c r="O156" s="50" t="s">
        <v>77</v>
      </c>
      <c r="P156" s="38">
        <v>575.0</v>
      </c>
      <c r="Q156" s="38">
        <v>888.0</v>
      </c>
      <c r="R156" s="38">
        <v>308.0</v>
      </c>
      <c r="S156" s="38">
        <v>986.0</v>
      </c>
      <c r="T156" s="38">
        <v>54.0</v>
      </c>
      <c r="U156" s="48">
        <f t="shared" si="9"/>
        <v>1771</v>
      </c>
      <c r="V156" s="48">
        <f t="shared" si="10"/>
        <v>2811</v>
      </c>
      <c r="W156" s="49">
        <f t="shared" si="11"/>
        <v>0.3246753247</v>
      </c>
      <c r="X156" s="49">
        <f t="shared" si="12"/>
        <v>0.5014116318</v>
      </c>
      <c r="Y156" s="49">
        <f t="shared" si="13"/>
        <v>0.1739130435</v>
      </c>
      <c r="Z156" s="32" t="str">
        <f t="shared" si="14"/>
        <v>Milton</v>
      </c>
      <c r="AA156" s="50" t="s">
        <v>77</v>
      </c>
      <c r="AB156" s="38">
        <v>4374.0</v>
      </c>
      <c r="AC156" s="48">
        <f t="shared" si="15"/>
        <v>1563</v>
      </c>
      <c r="AD156" s="51">
        <f t="shared" si="16"/>
        <v>0.6426611797</v>
      </c>
    </row>
    <row r="157">
      <c r="A157" s="23"/>
      <c r="B157" s="46" t="s">
        <v>1872</v>
      </c>
      <c r="C157" s="47"/>
      <c r="D157" s="38">
        <v>538.0</v>
      </c>
      <c r="E157" s="38">
        <v>112.0</v>
      </c>
      <c r="F157" s="38">
        <v>202.0</v>
      </c>
      <c r="G157" s="38">
        <v>35.0</v>
      </c>
      <c r="H157" s="38">
        <v>28.0</v>
      </c>
      <c r="I157" s="48">
        <f t="shared" si="3"/>
        <v>852</v>
      </c>
      <c r="J157" s="48">
        <f t="shared" si="4"/>
        <v>915</v>
      </c>
      <c r="K157" s="49">
        <f t="shared" si="5"/>
        <v>0.6314553991</v>
      </c>
      <c r="L157" s="49">
        <f t="shared" si="6"/>
        <v>0.1314553991</v>
      </c>
      <c r="M157" s="49">
        <f t="shared" si="7"/>
        <v>0.2370892019</v>
      </c>
      <c r="N157" s="32" t="str">
        <f t="shared" si="8"/>
        <v>Jânio</v>
      </c>
      <c r="O157" s="50" t="s">
        <v>77</v>
      </c>
      <c r="P157" s="38">
        <v>193.0</v>
      </c>
      <c r="Q157" s="38">
        <v>333.0</v>
      </c>
      <c r="R157" s="38">
        <v>93.0</v>
      </c>
      <c r="S157" s="38">
        <v>288.0</v>
      </c>
      <c r="T157" s="38">
        <v>8.0</v>
      </c>
      <c r="U157" s="48">
        <f t="shared" si="9"/>
        <v>619</v>
      </c>
      <c r="V157" s="48">
        <f t="shared" si="10"/>
        <v>915</v>
      </c>
      <c r="W157" s="49">
        <f t="shared" si="11"/>
        <v>0.3117932149</v>
      </c>
      <c r="X157" s="49">
        <f t="shared" si="12"/>
        <v>0.5379644588</v>
      </c>
      <c r="Y157" s="49">
        <f t="shared" si="13"/>
        <v>0.1502423263</v>
      </c>
      <c r="Z157" s="32" t="str">
        <f t="shared" si="14"/>
        <v>Milton</v>
      </c>
      <c r="AA157" s="50" t="s">
        <v>77</v>
      </c>
      <c r="AB157" s="38">
        <v>1247.0</v>
      </c>
      <c r="AC157" s="48">
        <f t="shared" si="15"/>
        <v>332</v>
      </c>
      <c r="AD157" s="51">
        <f t="shared" si="16"/>
        <v>0.7337610265</v>
      </c>
    </row>
    <row r="158">
      <c r="A158" s="24"/>
      <c r="B158" s="46" t="s">
        <v>1873</v>
      </c>
      <c r="C158" s="47"/>
      <c r="D158" s="38">
        <v>2802.0</v>
      </c>
      <c r="E158" s="38">
        <v>414.0</v>
      </c>
      <c r="F158" s="38">
        <v>712.0</v>
      </c>
      <c r="G158" s="38">
        <v>199.0</v>
      </c>
      <c r="H158" s="38">
        <v>146.0</v>
      </c>
      <c r="I158" s="48">
        <f t="shared" si="3"/>
        <v>3928</v>
      </c>
      <c r="J158" s="48">
        <f t="shared" si="4"/>
        <v>4273</v>
      </c>
      <c r="K158" s="49">
        <f t="shared" si="5"/>
        <v>0.7133401222</v>
      </c>
      <c r="L158" s="49">
        <f t="shared" si="6"/>
        <v>0.1053971487</v>
      </c>
      <c r="M158" s="49">
        <f t="shared" si="7"/>
        <v>0.1812627291</v>
      </c>
      <c r="N158" s="32" t="str">
        <f t="shared" si="8"/>
        <v>Jânio</v>
      </c>
      <c r="O158" s="50" t="s">
        <v>77</v>
      </c>
      <c r="P158" s="38">
        <v>880.0</v>
      </c>
      <c r="Q158" s="38">
        <v>1631.0</v>
      </c>
      <c r="R158" s="38">
        <v>518.0</v>
      </c>
      <c r="S158" s="38">
        <v>1175.0</v>
      </c>
      <c r="T158" s="38">
        <v>69.0</v>
      </c>
      <c r="U158" s="48">
        <f t="shared" si="9"/>
        <v>3029</v>
      </c>
      <c r="V158" s="48">
        <f t="shared" si="10"/>
        <v>4273</v>
      </c>
      <c r="W158" s="49">
        <f t="shared" si="11"/>
        <v>0.2905249257</v>
      </c>
      <c r="X158" s="49">
        <f t="shared" si="12"/>
        <v>0.5384615385</v>
      </c>
      <c r="Y158" s="49">
        <f t="shared" si="13"/>
        <v>0.1710135358</v>
      </c>
      <c r="Z158" s="32" t="str">
        <f t="shared" si="14"/>
        <v>Milton</v>
      </c>
      <c r="AA158" s="50" t="s">
        <v>77</v>
      </c>
      <c r="AB158" s="38">
        <v>5684.0</v>
      </c>
      <c r="AC158" s="48">
        <f t="shared" si="15"/>
        <v>1411</v>
      </c>
      <c r="AD158" s="51">
        <f t="shared" si="16"/>
        <v>0.7517593244</v>
      </c>
    </row>
    <row r="159">
      <c r="A159" s="61" t="s">
        <v>565</v>
      </c>
      <c r="B159" s="46" t="s">
        <v>1874</v>
      </c>
      <c r="C159" s="47"/>
      <c r="D159" s="38">
        <v>2279.0</v>
      </c>
      <c r="E159" s="38">
        <v>893.0</v>
      </c>
      <c r="F159" s="38">
        <v>1927.0</v>
      </c>
      <c r="G159" s="38">
        <v>456.0</v>
      </c>
      <c r="H159" s="38">
        <v>97.0</v>
      </c>
      <c r="I159" s="48">
        <f t="shared" si="3"/>
        <v>5099</v>
      </c>
      <c r="J159" s="48">
        <f t="shared" si="4"/>
        <v>5652</v>
      </c>
      <c r="K159" s="49">
        <f t="shared" si="5"/>
        <v>0.4469503824</v>
      </c>
      <c r="L159" s="49">
        <f t="shared" si="6"/>
        <v>0.1751323789</v>
      </c>
      <c r="M159" s="49">
        <f t="shared" si="7"/>
        <v>0.3779172387</v>
      </c>
      <c r="N159" s="32" t="str">
        <f t="shared" si="8"/>
        <v>Jânio</v>
      </c>
      <c r="O159" s="50" t="s">
        <v>77</v>
      </c>
      <c r="P159" s="38">
        <v>1703.0</v>
      </c>
      <c r="Q159" s="38">
        <v>583.0</v>
      </c>
      <c r="R159" s="38">
        <v>1893.0</v>
      </c>
      <c r="S159" s="38">
        <v>1424.0</v>
      </c>
      <c r="T159" s="38">
        <v>49.0</v>
      </c>
      <c r="U159" s="48">
        <f t="shared" si="9"/>
        <v>4179</v>
      </c>
      <c r="V159" s="48">
        <f t="shared" si="10"/>
        <v>5652</v>
      </c>
      <c r="W159" s="49">
        <f t="shared" si="11"/>
        <v>0.4075137593</v>
      </c>
      <c r="X159" s="49">
        <f t="shared" si="12"/>
        <v>0.1395070591</v>
      </c>
      <c r="Y159" s="49">
        <f t="shared" si="13"/>
        <v>0.4529791816</v>
      </c>
      <c r="Z159" s="32" t="str">
        <f t="shared" si="14"/>
        <v>Ferrari</v>
      </c>
      <c r="AA159" s="50" t="s">
        <v>77</v>
      </c>
      <c r="AB159" s="38">
        <v>6209.0</v>
      </c>
      <c r="AC159" s="48">
        <f t="shared" si="15"/>
        <v>557</v>
      </c>
      <c r="AD159" s="51">
        <f t="shared" si="16"/>
        <v>0.9102915123</v>
      </c>
    </row>
    <row r="160">
      <c r="A160" s="24"/>
      <c r="B160" s="46" t="s">
        <v>1875</v>
      </c>
      <c r="C160" s="47"/>
      <c r="D160" s="38">
        <v>2053.0</v>
      </c>
      <c r="E160" s="38">
        <v>506.0</v>
      </c>
      <c r="F160" s="38">
        <v>468.0</v>
      </c>
      <c r="G160" s="38">
        <v>264.0</v>
      </c>
      <c r="H160" s="38">
        <v>77.0</v>
      </c>
      <c r="I160" s="48">
        <f t="shared" si="3"/>
        <v>3027</v>
      </c>
      <c r="J160" s="48">
        <f t="shared" si="4"/>
        <v>3368</v>
      </c>
      <c r="K160" s="49">
        <f t="shared" si="5"/>
        <v>0.6782292699</v>
      </c>
      <c r="L160" s="49">
        <f t="shared" si="6"/>
        <v>0.1671622068</v>
      </c>
      <c r="M160" s="49">
        <f t="shared" si="7"/>
        <v>0.1546085233</v>
      </c>
      <c r="N160" s="32" t="str">
        <f t="shared" si="8"/>
        <v>Jânio</v>
      </c>
      <c r="O160" s="50" t="s">
        <v>77</v>
      </c>
      <c r="P160" s="38">
        <v>871.0</v>
      </c>
      <c r="Q160" s="38">
        <v>569.0</v>
      </c>
      <c r="R160" s="38">
        <v>914.0</v>
      </c>
      <c r="S160" s="38">
        <v>874.0</v>
      </c>
      <c r="T160" s="38">
        <v>140.0</v>
      </c>
      <c r="U160" s="48">
        <f t="shared" si="9"/>
        <v>2354</v>
      </c>
      <c r="V160" s="48">
        <f t="shared" si="10"/>
        <v>3368</v>
      </c>
      <c r="W160" s="49">
        <f t="shared" si="11"/>
        <v>0.3700084962</v>
      </c>
      <c r="X160" s="49">
        <f t="shared" si="12"/>
        <v>0.2417162277</v>
      </c>
      <c r="Y160" s="49">
        <f t="shared" si="13"/>
        <v>0.3882752761</v>
      </c>
      <c r="Z160" s="32" t="str">
        <f t="shared" si="14"/>
        <v>Ferrari</v>
      </c>
      <c r="AA160" s="50" t="s">
        <v>77</v>
      </c>
      <c r="AB160" s="38">
        <v>4137.0</v>
      </c>
      <c r="AC160" s="48">
        <f t="shared" si="15"/>
        <v>769</v>
      </c>
      <c r="AD160" s="51">
        <f t="shared" si="16"/>
        <v>0.8141165095</v>
      </c>
    </row>
    <row r="161">
      <c r="A161" s="61" t="s">
        <v>568</v>
      </c>
      <c r="B161" s="46" t="s">
        <v>1876</v>
      </c>
      <c r="C161" s="47"/>
      <c r="D161" s="38">
        <v>1305.0</v>
      </c>
      <c r="E161" s="38">
        <v>729.0</v>
      </c>
      <c r="F161" s="38">
        <v>974.0</v>
      </c>
      <c r="G161" s="38">
        <v>496.0</v>
      </c>
      <c r="H161" s="38">
        <v>121.0</v>
      </c>
      <c r="I161" s="48">
        <f t="shared" si="3"/>
        <v>3008</v>
      </c>
      <c r="J161" s="48">
        <f t="shared" si="4"/>
        <v>3625</v>
      </c>
      <c r="K161" s="49">
        <f t="shared" si="5"/>
        <v>0.4338430851</v>
      </c>
      <c r="L161" s="49">
        <f t="shared" si="6"/>
        <v>0.2423537234</v>
      </c>
      <c r="M161" s="49">
        <f t="shared" si="7"/>
        <v>0.3238031915</v>
      </c>
      <c r="N161" s="32" t="str">
        <f t="shared" si="8"/>
        <v>Jânio</v>
      </c>
      <c r="O161" s="50" t="s">
        <v>77</v>
      </c>
      <c r="P161" s="38">
        <v>1314.0</v>
      </c>
      <c r="Q161" s="38">
        <v>422.0</v>
      </c>
      <c r="R161" s="38">
        <v>375.0</v>
      </c>
      <c r="S161" s="38">
        <v>1465.0</v>
      </c>
      <c r="T161" s="38">
        <v>49.0</v>
      </c>
      <c r="U161" s="48">
        <f t="shared" si="9"/>
        <v>2111</v>
      </c>
      <c r="V161" s="48">
        <f t="shared" si="10"/>
        <v>3625</v>
      </c>
      <c r="W161" s="49">
        <f t="shared" si="11"/>
        <v>0.6224538134</v>
      </c>
      <c r="X161" s="49">
        <f t="shared" si="12"/>
        <v>0.1999052582</v>
      </c>
      <c r="Y161" s="49">
        <f t="shared" si="13"/>
        <v>0.1776409285</v>
      </c>
      <c r="Z161" s="32" t="str">
        <f t="shared" si="14"/>
        <v>Jango</v>
      </c>
      <c r="AA161" s="50" t="s">
        <v>77</v>
      </c>
      <c r="AB161" s="38">
        <v>4588.0</v>
      </c>
      <c r="AC161" s="48">
        <f t="shared" si="15"/>
        <v>963</v>
      </c>
      <c r="AD161" s="51">
        <f t="shared" si="16"/>
        <v>0.7901046207</v>
      </c>
    </row>
    <row r="162">
      <c r="A162" s="23"/>
      <c r="B162" s="46" t="s">
        <v>1877</v>
      </c>
      <c r="C162" s="47"/>
      <c r="D162" s="38">
        <v>1649.0</v>
      </c>
      <c r="E162" s="38">
        <v>299.0</v>
      </c>
      <c r="F162" s="38">
        <v>829.0</v>
      </c>
      <c r="G162" s="38">
        <v>420.0</v>
      </c>
      <c r="H162" s="38">
        <v>98.0</v>
      </c>
      <c r="I162" s="48">
        <f t="shared" si="3"/>
        <v>2777</v>
      </c>
      <c r="J162" s="48">
        <f t="shared" si="4"/>
        <v>3295</v>
      </c>
      <c r="K162" s="49">
        <f t="shared" si="5"/>
        <v>0.5938062658</v>
      </c>
      <c r="L162" s="49">
        <f t="shared" si="6"/>
        <v>0.1076701476</v>
      </c>
      <c r="M162" s="49">
        <f t="shared" si="7"/>
        <v>0.2985235866</v>
      </c>
      <c r="N162" s="32" t="str">
        <f t="shared" si="8"/>
        <v>Jânio</v>
      </c>
      <c r="O162" s="50" t="s">
        <v>77</v>
      </c>
      <c r="P162" s="38">
        <v>846.0</v>
      </c>
      <c r="Q162" s="38">
        <v>439.0</v>
      </c>
      <c r="R162" s="38">
        <v>602.0</v>
      </c>
      <c r="S162" s="38">
        <v>1362.0</v>
      </c>
      <c r="T162" s="38">
        <v>46.0</v>
      </c>
      <c r="U162" s="48">
        <f t="shared" si="9"/>
        <v>1887</v>
      </c>
      <c r="V162" s="48">
        <f t="shared" si="10"/>
        <v>3295</v>
      </c>
      <c r="W162" s="49">
        <f t="shared" si="11"/>
        <v>0.4483306836</v>
      </c>
      <c r="X162" s="49">
        <f t="shared" si="12"/>
        <v>0.2326444091</v>
      </c>
      <c r="Y162" s="49">
        <f t="shared" si="13"/>
        <v>0.3190249073</v>
      </c>
      <c r="Z162" s="32" t="str">
        <f t="shared" si="14"/>
        <v>Jango</v>
      </c>
      <c r="AA162" s="50" t="s">
        <v>77</v>
      </c>
      <c r="AB162" s="38">
        <v>3928.0</v>
      </c>
      <c r="AC162" s="48">
        <f t="shared" si="15"/>
        <v>633</v>
      </c>
      <c r="AD162" s="51">
        <f t="shared" si="16"/>
        <v>0.8388492872</v>
      </c>
    </row>
    <row r="163">
      <c r="A163" s="24"/>
      <c r="B163" s="46" t="s">
        <v>1878</v>
      </c>
      <c r="C163" s="47"/>
      <c r="D163" s="38">
        <v>609.0</v>
      </c>
      <c r="E163" s="38">
        <v>139.0</v>
      </c>
      <c r="F163" s="38">
        <v>309.0</v>
      </c>
      <c r="G163" s="38">
        <v>83.0</v>
      </c>
      <c r="H163" s="38">
        <v>48.0</v>
      </c>
      <c r="I163" s="48">
        <f t="shared" si="3"/>
        <v>1057</v>
      </c>
      <c r="J163" s="48">
        <f t="shared" si="4"/>
        <v>1188</v>
      </c>
      <c r="K163" s="49">
        <f t="shared" si="5"/>
        <v>0.5761589404</v>
      </c>
      <c r="L163" s="49">
        <f t="shared" si="6"/>
        <v>0.1315042573</v>
      </c>
      <c r="M163" s="49">
        <f t="shared" si="7"/>
        <v>0.2923368023</v>
      </c>
      <c r="N163" s="32" t="str">
        <f t="shared" si="8"/>
        <v>Jânio</v>
      </c>
      <c r="O163" s="50" t="s">
        <v>77</v>
      </c>
      <c r="P163" s="38">
        <v>304.0</v>
      </c>
      <c r="Q163" s="38">
        <v>433.0</v>
      </c>
      <c r="R163" s="38">
        <v>85.0</v>
      </c>
      <c r="S163" s="38">
        <v>312.0</v>
      </c>
      <c r="T163" s="38">
        <v>54.0</v>
      </c>
      <c r="U163" s="48">
        <f t="shared" si="9"/>
        <v>822</v>
      </c>
      <c r="V163" s="48">
        <f t="shared" si="10"/>
        <v>1188</v>
      </c>
      <c r="W163" s="49">
        <f t="shared" si="11"/>
        <v>0.3698296837</v>
      </c>
      <c r="X163" s="49">
        <f t="shared" si="12"/>
        <v>0.5267639903</v>
      </c>
      <c r="Y163" s="49">
        <f t="shared" si="13"/>
        <v>0.103406326</v>
      </c>
      <c r="Z163" s="32" t="str">
        <f t="shared" si="14"/>
        <v>Milton</v>
      </c>
      <c r="AA163" s="50" t="s">
        <v>77</v>
      </c>
      <c r="AB163" s="38">
        <v>1739.0</v>
      </c>
      <c r="AC163" s="48">
        <f t="shared" si="15"/>
        <v>551</v>
      </c>
      <c r="AD163" s="51">
        <f t="shared" si="16"/>
        <v>0.6831512363</v>
      </c>
    </row>
    <row r="164">
      <c r="A164" s="61" t="s">
        <v>570</v>
      </c>
      <c r="B164" s="46" t="s">
        <v>1879</v>
      </c>
      <c r="C164" s="47"/>
      <c r="D164" s="38">
        <v>1895.0</v>
      </c>
      <c r="E164" s="38">
        <v>704.0</v>
      </c>
      <c r="F164" s="38">
        <v>1225.0</v>
      </c>
      <c r="G164" s="38">
        <v>170.0</v>
      </c>
      <c r="H164" s="38">
        <v>125.0</v>
      </c>
      <c r="I164" s="48">
        <f t="shared" si="3"/>
        <v>3824</v>
      </c>
      <c r="J164" s="48">
        <f t="shared" si="4"/>
        <v>4119</v>
      </c>
      <c r="K164" s="49">
        <f t="shared" si="5"/>
        <v>0.4955543933</v>
      </c>
      <c r="L164" s="49">
        <f t="shared" si="6"/>
        <v>0.1841004184</v>
      </c>
      <c r="M164" s="49">
        <f t="shared" si="7"/>
        <v>0.3203451883</v>
      </c>
      <c r="N164" s="32" t="str">
        <f t="shared" si="8"/>
        <v>Jânio</v>
      </c>
      <c r="O164" s="50" t="s">
        <v>77</v>
      </c>
      <c r="P164" s="38">
        <v>1229.0</v>
      </c>
      <c r="Q164" s="38">
        <v>1141.0</v>
      </c>
      <c r="R164" s="38">
        <v>549.0</v>
      </c>
      <c r="S164" s="38">
        <v>1117.0</v>
      </c>
      <c r="T164" s="38">
        <v>83.0</v>
      </c>
      <c r="U164" s="48">
        <f t="shared" si="9"/>
        <v>2919</v>
      </c>
      <c r="V164" s="48">
        <f t="shared" si="10"/>
        <v>4119</v>
      </c>
      <c r="W164" s="49">
        <f t="shared" si="11"/>
        <v>0.4210346009</v>
      </c>
      <c r="X164" s="49">
        <f t="shared" si="12"/>
        <v>0.3908872902</v>
      </c>
      <c r="Y164" s="49">
        <f t="shared" si="13"/>
        <v>0.1880781089</v>
      </c>
      <c r="Z164" s="32" t="str">
        <f t="shared" si="14"/>
        <v>Jango</v>
      </c>
      <c r="AA164" s="50" t="s">
        <v>77</v>
      </c>
      <c r="AB164" s="38">
        <v>5921.0</v>
      </c>
      <c r="AC164" s="48">
        <f t="shared" si="15"/>
        <v>1802</v>
      </c>
      <c r="AD164" s="51">
        <f t="shared" si="16"/>
        <v>0.695659517</v>
      </c>
    </row>
    <row r="165">
      <c r="A165" s="24"/>
      <c r="B165" s="46" t="s">
        <v>1880</v>
      </c>
      <c r="C165" s="47"/>
      <c r="D165" s="38">
        <v>869.0</v>
      </c>
      <c r="E165" s="38">
        <v>190.0</v>
      </c>
      <c r="F165" s="38">
        <v>496.0</v>
      </c>
      <c r="G165" s="38">
        <v>102.0</v>
      </c>
      <c r="H165" s="38">
        <v>45.0</v>
      </c>
      <c r="I165" s="48">
        <f t="shared" si="3"/>
        <v>1555</v>
      </c>
      <c r="J165" s="48">
        <f t="shared" si="4"/>
        <v>1702</v>
      </c>
      <c r="K165" s="49">
        <f t="shared" si="5"/>
        <v>0.5588424437</v>
      </c>
      <c r="L165" s="49">
        <f t="shared" si="6"/>
        <v>0.1221864952</v>
      </c>
      <c r="M165" s="49">
        <f t="shared" si="7"/>
        <v>0.3189710611</v>
      </c>
      <c r="N165" s="32" t="str">
        <f t="shared" si="8"/>
        <v>Jânio</v>
      </c>
      <c r="O165" s="50" t="s">
        <v>77</v>
      </c>
      <c r="P165" s="38">
        <v>387.0</v>
      </c>
      <c r="Q165" s="38">
        <v>493.0</v>
      </c>
      <c r="R165" s="38">
        <v>201.0</v>
      </c>
      <c r="S165" s="38">
        <v>590.0</v>
      </c>
      <c r="T165" s="38">
        <v>31.0</v>
      </c>
      <c r="U165" s="48">
        <f t="shared" si="9"/>
        <v>1081</v>
      </c>
      <c r="V165" s="48">
        <f t="shared" si="10"/>
        <v>1702</v>
      </c>
      <c r="W165" s="49">
        <f t="shared" si="11"/>
        <v>0.3580018501</v>
      </c>
      <c r="X165" s="49">
        <f t="shared" si="12"/>
        <v>0.4560592044</v>
      </c>
      <c r="Y165" s="49">
        <f t="shared" si="13"/>
        <v>0.1859389454</v>
      </c>
      <c r="Z165" s="32" t="str">
        <f t="shared" si="14"/>
        <v>Milton</v>
      </c>
      <c r="AA165" s="50" t="s">
        <v>77</v>
      </c>
      <c r="AB165" s="38">
        <v>2458.0</v>
      </c>
      <c r="AC165" s="48">
        <f t="shared" si="15"/>
        <v>756</v>
      </c>
      <c r="AD165" s="51">
        <f t="shared" si="16"/>
        <v>0.6924328723</v>
      </c>
    </row>
    <row r="166">
      <c r="A166" s="110" t="s">
        <v>575</v>
      </c>
      <c r="B166" s="46" t="s">
        <v>1881</v>
      </c>
      <c r="C166" s="47"/>
      <c r="D166" s="38">
        <v>3437.0</v>
      </c>
      <c r="E166" s="38">
        <v>1021.0</v>
      </c>
      <c r="F166" s="38">
        <v>1284.0</v>
      </c>
      <c r="G166" s="38">
        <v>187.0</v>
      </c>
      <c r="H166" s="38">
        <v>123.0</v>
      </c>
      <c r="I166" s="48">
        <f t="shared" si="3"/>
        <v>5742</v>
      </c>
      <c r="J166" s="48">
        <f t="shared" si="4"/>
        <v>6052</v>
      </c>
      <c r="K166" s="49">
        <f t="shared" si="5"/>
        <v>0.5985719262</v>
      </c>
      <c r="L166" s="49">
        <f t="shared" si="6"/>
        <v>0.1778126088</v>
      </c>
      <c r="M166" s="49">
        <f t="shared" si="7"/>
        <v>0.223615465</v>
      </c>
      <c r="N166" s="32" t="str">
        <f t="shared" si="8"/>
        <v>Jânio</v>
      </c>
      <c r="O166" s="50" t="s">
        <v>77</v>
      </c>
      <c r="P166" s="38">
        <v>1672.0</v>
      </c>
      <c r="Q166" s="38">
        <v>2644.0</v>
      </c>
      <c r="R166" s="38">
        <v>539.0</v>
      </c>
      <c r="S166" s="38">
        <v>1089.0</v>
      </c>
      <c r="T166" s="38">
        <v>108.0</v>
      </c>
      <c r="U166" s="48">
        <f t="shared" si="9"/>
        <v>4855</v>
      </c>
      <c r="V166" s="48">
        <f t="shared" si="10"/>
        <v>6052</v>
      </c>
      <c r="W166" s="49">
        <f t="shared" si="11"/>
        <v>0.3443872297</v>
      </c>
      <c r="X166" s="49">
        <f t="shared" si="12"/>
        <v>0.5445932029</v>
      </c>
      <c r="Y166" s="49">
        <f t="shared" si="13"/>
        <v>0.1110195675</v>
      </c>
      <c r="Z166" s="32" t="str">
        <f t="shared" si="14"/>
        <v>Milton</v>
      </c>
      <c r="AA166" s="50" t="s">
        <v>77</v>
      </c>
      <c r="AB166" s="38">
        <v>8528.0</v>
      </c>
      <c r="AC166" s="48">
        <f t="shared" si="15"/>
        <v>2476</v>
      </c>
      <c r="AD166" s="51">
        <f t="shared" si="16"/>
        <v>0.7096622889</v>
      </c>
    </row>
    <row r="167">
      <c r="A167" s="110" t="s">
        <v>578</v>
      </c>
      <c r="B167" s="46" t="s">
        <v>1882</v>
      </c>
      <c r="C167" s="47"/>
      <c r="D167" s="38">
        <v>1496.0</v>
      </c>
      <c r="E167" s="38">
        <v>695.0</v>
      </c>
      <c r="F167" s="38">
        <v>803.0</v>
      </c>
      <c r="G167" s="38">
        <v>281.0</v>
      </c>
      <c r="H167" s="38">
        <v>111.0</v>
      </c>
      <c r="I167" s="48">
        <f t="shared" si="3"/>
        <v>2994</v>
      </c>
      <c r="J167" s="48">
        <f t="shared" si="4"/>
        <v>3386</v>
      </c>
      <c r="K167" s="49">
        <f t="shared" si="5"/>
        <v>0.4996659987</v>
      </c>
      <c r="L167" s="49">
        <f t="shared" si="6"/>
        <v>0.2321309285</v>
      </c>
      <c r="M167" s="49">
        <f t="shared" si="7"/>
        <v>0.2682030728</v>
      </c>
      <c r="N167" s="32" t="str">
        <f t="shared" si="8"/>
        <v>Jânio</v>
      </c>
      <c r="O167" s="50" t="s">
        <v>77</v>
      </c>
      <c r="P167" s="38">
        <v>1298.0</v>
      </c>
      <c r="Q167" s="38">
        <v>910.0</v>
      </c>
      <c r="R167" s="38">
        <v>249.0</v>
      </c>
      <c r="S167" s="38">
        <v>848.0</v>
      </c>
      <c r="T167" s="38">
        <v>81.0</v>
      </c>
      <c r="U167" s="48">
        <f t="shared" si="9"/>
        <v>2457</v>
      </c>
      <c r="V167" s="48">
        <f t="shared" si="10"/>
        <v>3386</v>
      </c>
      <c r="W167" s="49">
        <f t="shared" si="11"/>
        <v>0.5282865283</v>
      </c>
      <c r="X167" s="49">
        <f t="shared" si="12"/>
        <v>0.3703703704</v>
      </c>
      <c r="Y167" s="49">
        <f t="shared" si="13"/>
        <v>0.1013431013</v>
      </c>
      <c r="Z167" s="32" t="str">
        <f t="shared" si="14"/>
        <v>Jango</v>
      </c>
      <c r="AA167" s="50" t="s">
        <v>77</v>
      </c>
      <c r="AB167" s="38">
        <v>4520.0</v>
      </c>
      <c r="AC167" s="48">
        <f t="shared" si="15"/>
        <v>1134</v>
      </c>
      <c r="AD167" s="51">
        <f t="shared" si="16"/>
        <v>0.7491150442</v>
      </c>
    </row>
    <row r="168">
      <c r="A168" s="110" t="s">
        <v>580</v>
      </c>
      <c r="B168" s="46" t="s">
        <v>1883</v>
      </c>
      <c r="C168" s="47"/>
      <c r="D168" s="38">
        <v>2150.0</v>
      </c>
      <c r="E168" s="38">
        <v>486.0</v>
      </c>
      <c r="F168" s="38">
        <v>1023.0</v>
      </c>
      <c r="G168" s="38">
        <v>145.0</v>
      </c>
      <c r="H168" s="38">
        <v>129.0</v>
      </c>
      <c r="I168" s="48">
        <f t="shared" si="3"/>
        <v>3659</v>
      </c>
      <c r="J168" s="48">
        <f t="shared" si="4"/>
        <v>3933</v>
      </c>
      <c r="K168" s="49">
        <f t="shared" si="5"/>
        <v>0.5875922383</v>
      </c>
      <c r="L168" s="49">
        <f t="shared" si="6"/>
        <v>0.1328231757</v>
      </c>
      <c r="M168" s="49">
        <f t="shared" si="7"/>
        <v>0.279584586</v>
      </c>
      <c r="N168" s="32" t="str">
        <f t="shared" si="8"/>
        <v>Jânio</v>
      </c>
      <c r="O168" s="50" t="s">
        <v>77</v>
      </c>
      <c r="P168" s="38">
        <v>977.0</v>
      </c>
      <c r="Q168" s="38">
        <v>1701.0</v>
      </c>
      <c r="R168" s="38">
        <v>399.0</v>
      </c>
      <c r="S168" s="38">
        <v>792.0</v>
      </c>
      <c r="T168" s="38">
        <v>64.0</v>
      </c>
      <c r="U168" s="48">
        <f t="shared" si="9"/>
        <v>3077</v>
      </c>
      <c r="V168" s="48">
        <f t="shared" si="10"/>
        <v>3933</v>
      </c>
      <c r="W168" s="49">
        <f t="shared" si="11"/>
        <v>0.3175170621</v>
      </c>
      <c r="X168" s="49">
        <f t="shared" si="12"/>
        <v>0.5528111797</v>
      </c>
      <c r="Y168" s="49">
        <f t="shared" si="13"/>
        <v>0.1296717582</v>
      </c>
      <c r="Z168" s="32" t="str">
        <f t="shared" si="14"/>
        <v>Milton</v>
      </c>
      <c r="AA168" s="50" t="s">
        <v>77</v>
      </c>
      <c r="AB168" s="38">
        <v>5025.0</v>
      </c>
      <c r="AC168" s="48">
        <f t="shared" si="15"/>
        <v>1092</v>
      </c>
      <c r="AD168" s="51">
        <f t="shared" si="16"/>
        <v>0.7826865672</v>
      </c>
    </row>
    <row r="169">
      <c r="A169" s="110" t="s">
        <v>585</v>
      </c>
      <c r="B169" s="46" t="s">
        <v>1884</v>
      </c>
      <c r="C169" s="47"/>
      <c r="D169" s="38">
        <v>4684.0</v>
      </c>
      <c r="E169" s="38">
        <v>905.0</v>
      </c>
      <c r="F169" s="38">
        <v>1565.0</v>
      </c>
      <c r="G169" s="38">
        <v>669.0</v>
      </c>
      <c r="H169" s="38">
        <v>164.0</v>
      </c>
      <c r="I169" s="48">
        <f t="shared" si="3"/>
        <v>7154</v>
      </c>
      <c r="J169" s="48">
        <f t="shared" si="4"/>
        <v>7987</v>
      </c>
      <c r="K169" s="49">
        <f t="shared" si="5"/>
        <v>0.6547386078</v>
      </c>
      <c r="L169" s="49">
        <f t="shared" si="6"/>
        <v>0.1265026559</v>
      </c>
      <c r="M169" s="49">
        <f t="shared" si="7"/>
        <v>0.2187587364</v>
      </c>
      <c r="N169" s="32" t="str">
        <f t="shared" si="8"/>
        <v>Jânio</v>
      </c>
      <c r="O169" s="50" t="s">
        <v>77</v>
      </c>
      <c r="P169" s="38">
        <v>1339.0</v>
      </c>
      <c r="Q169" s="38">
        <v>3341.0</v>
      </c>
      <c r="R169" s="38">
        <v>518.0</v>
      </c>
      <c r="S169" s="38">
        <v>2559.0</v>
      </c>
      <c r="T169" s="38">
        <v>230.0</v>
      </c>
      <c r="U169" s="48">
        <f t="shared" si="9"/>
        <v>5198</v>
      </c>
      <c r="V169" s="48">
        <f t="shared" si="10"/>
        <v>7987</v>
      </c>
      <c r="W169" s="49">
        <f t="shared" si="11"/>
        <v>0.2575990766</v>
      </c>
      <c r="X169" s="49">
        <f t="shared" si="12"/>
        <v>0.6427472105</v>
      </c>
      <c r="Y169" s="49">
        <f t="shared" si="13"/>
        <v>0.09965371297</v>
      </c>
      <c r="Z169" s="32" t="str">
        <f t="shared" si="14"/>
        <v>Milton</v>
      </c>
      <c r="AA169" s="50" t="s">
        <v>77</v>
      </c>
      <c r="AB169" s="38">
        <v>10798.0</v>
      </c>
      <c r="AC169" s="48">
        <f t="shared" si="15"/>
        <v>2811</v>
      </c>
      <c r="AD169" s="51">
        <f t="shared" si="16"/>
        <v>0.7396740137</v>
      </c>
    </row>
    <row r="170">
      <c r="A170" s="61" t="s">
        <v>410</v>
      </c>
      <c r="B170" s="46" t="s">
        <v>1885</v>
      </c>
      <c r="C170" s="47"/>
      <c r="D170" s="38">
        <v>1071.0</v>
      </c>
      <c r="E170" s="38">
        <v>308.0</v>
      </c>
      <c r="F170" s="38">
        <v>696.0</v>
      </c>
      <c r="G170" s="38">
        <v>138.0</v>
      </c>
      <c r="H170" s="38">
        <v>67.0</v>
      </c>
      <c r="I170" s="48">
        <f t="shared" si="3"/>
        <v>2075</v>
      </c>
      <c r="J170" s="48">
        <f t="shared" si="4"/>
        <v>2280</v>
      </c>
      <c r="K170" s="49">
        <f t="shared" si="5"/>
        <v>0.5161445783</v>
      </c>
      <c r="L170" s="49">
        <f t="shared" si="6"/>
        <v>0.1484337349</v>
      </c>
      <c r="M170" s="49">
        <f t="shared" si="7"/>
        <v>0.3354216867</v>
      </c>
      <c r="N170" s="32" t="str">
        <f t="shared" si="8"/>
        <v>Jânio</v>
      </c>
      <c r="O170" s="50" t="s">
        <v>77</v>
      </c>
      <c r="P170" s="38">
        <v>701.0</v>
      </c>
      <c r="Q170" s="38">
        <v>864.0</v>
      </c>
      <c r="R170" s="38">
        <v>161.0</v>
      </c>
      <c r="S170" s="38">
        <v>528.0</v>
      </c>
      <c r="T170" s="38">
        <v>26.0</v>
      </c>
      <c r="U170" s="48">
        <f t="shared" si="9"/>
        <v>1726</v>
      </c>
      <c r="V170" s="48">
        <f t="shared" si="10"/>
        <v>2280</v>
      </c>
      <c r="W170" s="49">
        <f t="shared" si="11"/>
        <v>0.4061413673</v>
      </c>
      <c r="X170" s="49">
        <f t="shared" si="12"/>
        <v>0.5005793743</v>
      </c>
      <c r="Y170" s="49">
        <f t="shared" si="13"/>
        <v>0.0932792584</v>
      </c>
      <c r="Z170" s="32" t="str">
        <f t="shared" si="14"/>
        <v>Milton</v>
      </c>
      <c r="AA170" s="50" t="s">
        <v>77</v>
      </c>
      <c r="AB170" s="38">
        <v>2904.0</v>
      </c>
      <c r="AC170" s="48">
        <f t="shared" si="15"/>
        <v>624</v>
      </c>
      <c r="AD170" s="51">
        <f t="shared" si="16"/>
        <v>0.7851239669</v>
      </c>
    </row>
    <row r="171">
      <c r="A171" s="23"/>
      <c r="B171" s="46" t="s">
        <v>1886</v>
      </c>
      <c r="C171" s="47"/>
      <c r="D171" s="38">
        <v>423.0</v>
      </c>
      <c r="E171" s="38">
        <v>148.0</v>
      </c>
      <c r="F171" s="38">
        <v>345.0</v>
      </c>
      <c r="G171" s="38">
        <v>44.0</v>
      </c>
      <c r="H171" s="38">
        <v>70.0</v>
      </c>
      <c r="I171" s="48">
        <f t="shared" si="3"/>
        <v>916</v>
      </c>
      <c r="J171" s="48">
        <f t="shared" si="4"/>
        <v>1030</v>
      </c>
      <c r="K171" s="49">
        <f t="shared" si="5"/>
        <v>0.461790393</v>
      </c>
      <c r="L171" s="49">
        <f t="shared" si="6"/>
        <v>0.1615720524</v>
      </c>
      <c r="M171" s="49">
        <f t="shared" si="7"/>
        <v>0.3766375546</v>
      </c>
      <c r="N171" s="32" t="str">
        <f t="shared" si="8"/>
        <v>Jânio</v>
      </c>
      <c r="O171" s="50" t="s">
        <v>77</v>
      </c>
      <c r="P171" s="38">
        <v>329.0</v>
      </c>
      <c r="Q171" s="38">
        <v>237.0</v>
      </c>
      <c r="R171" s="38">
        <v>129.0</v>
      </c>
      <c r="S171" s="38">
        <v>310.0</v>
      </c>
      <c r="T171" s="38">
        <v>25.0</v>
      </c>
      <c r="U171" s="48">
        <f t="shared" si="9"/>
        <v>695</v>
      </c>
      <c r="V171" s="48">
        <f t="shared" si="10"/>
        <v>1030</v>
      </c>
      <c r="W171" s="49">
        <f t="shared" si="11"/>
        <v>0.473381295</v>
      </c>
      <c r="X171" s="49">
        <f t="shared" si="12"/>
        <v>0.3410071942</v>
      </c>
      <c r="Y171" s="49">
        <f t="shared" si="13"/>
        <v>0.1856115108</v>
      </c>
      <c r="Z171" s="32" t="str">
        <f t="shared" si="14"/>
        <v>Jango</v>
      </c>
      <c r="AA171" s="50" t="s">
        <v>77</v>
      </c>
      <c r="AB171" s="38">
        <v>1409.0</v>
      </c>
      <c r="AC171" s="48">
        <f t="shared" si="15"/>
        <v>379</v>
      </c>
      <c r="AD171" s="51">
        <f t="shared" si="16"/>
        <v>0.7310149042</v>
      </c>
    </row>
    <row r="172">
      <c r="A172" s="23"/>
      <c r="B172" s="46" t="s">
        <v>1887</v>
      </c>
      <c r="C172" s="47"/>
      <c r="D172" s="38">
        <v>605.0</v>
      </c>
      <c r="E172" s="38">
        <v>107.0</v>
      </c>
      <c r="F172" s="38">
        <v>318.0</v>
      </c>
      <c r="G172" s="38">
        <v>49.0</v>
      </c>
      <c r="H172" s="38">
        <v>30.0</v>
      </c>
      <c r="I172" s="48">
        <f t="shared" si="3"/>
        <v>1030</v>
      </c>
      <c r="J172" s="48">
        <f t="shared" si="4"/>
        <v>1109</v>
      </c>
      <c r="K172" s="49">
        <f t="shared" si="5"/>
        <v>0.5873786408</v>
      </c>
      <c r="L172" s="49">
        <f t="shared" si="6"/>
        <v>0.1038834951</v>
      </c>
      <c r="M172" s="49">
        <f t="shared" si="7"/>
        <v>0.3087378641</v>
      </c>
      <c r="N172" s="32" t="str">
        <f t="shared" si="8"/>
        <v>Jânio</v>
      </c>
      <c r="O172" s="50" t="s">
        <v>77</v>
      </c>
      <c r="P172" s="38">
        <v>290.0</v>
      </c>
      <c r="Q172" s="38">
        <v>410.0</v>
      </c>
      <c r="R172" s="38">
        <v>139.0</v>
      </c>
      <c r="S172" s="38">
        <v>259.0</v>
      </c>
      <c r="T172" s="38">
        <v>11.0</v>
      </c>
      <c r="U172" s="48">
        <f t="shared" si="9"/>
        <v>839</v>
      </c>
      <c r="V172" s="48">
        <f t="shared" si="10"/>
        <v>1109</v>
      </c>
      <c r="W172" s="49">
        <f t="shared" si="11"/>
        <v>0.3456495828</v>
      </c>
      <c r="X172" s="49">
        <f t="shared" si="12"/>
        <v>0.4886769964</v>
      </c>
      <c r="Y172" s="49">
        <f t="shared" si="13"/>
        <v>0.1656734207</v>
      </c>
      <c r="Z172" s="32" t="str">
        <f t="shared" si="14"/>
        <v>Milton</v>
      </c>
      <c r="AA172" s="50" t="s">
        <v>77</v>
      </c>
      <c r="AB172" s="38">
        <v>1260.0</v>
      </c>
      <c r="AC172" s="48">
        <f t="shared" si="15"/>
        <v>151</v>
      </c>
      <c r="AD172" s="51">
        <f t="shared" si="16"/>
        <v>0.8801587302</v>
      </c>
    </row>
    <row r="173">
      <c r="A173" s="24"/>
      <c r="B173" s="46" t="s">
        <v>1888</v>
      </c>
      <c r="C173" s="47"/>
      <c r="D173" s="38">
        <v>1132.0</v>
      </c>
      <c r="E173" s="38">
        <v>320.0</v>
      </c>
      <c r="F173" s="38">
        <v>497.0</v>
      </c>
      <c r="G173" s="38">
        <v>261.0</v>
      </c>
      <c r="H173" s="38">
        <v>78.0</v>
      </c>
      <c r="I173" s="48">
        <f t="shared" si="3"/>
        <v>1949</v>
      </c>
      <c r="J173" s="48">
        <f t="shared" si="4"/>
        <v>2288</v>
      </c>
      <c r="K173" s="49">
        <f t="shared" si="5"/>
        <v>0.5808106721</v>
      </c>
      <c r="L173" s="49">
        <f t="shared" si="6"/>
        <v>0.1641867624</v>
      </c>
      <c r="M173" s="49">
        <f t="shared" si="7"/>
        <v>0.2550025654</v>
      </c>
      <c r="N173" s="32" t="str">
        <f t="shared" si="8"/>
        <v>Jânio</v>
      </c>
      <c r="O173" s="50" t="s">
        <v>77</v>
      </c>
      <c r="P173" s="38">
        <v>759.0</v>
      </c>
      <c r="Q173" s="38">
        <v>453.0</v>
      </c>
      <c r="R173" s="38">
        <v>132.0</v>
      </c>
      <c r="S173" s="38">
        <v>901.0</v>
      </c>
      <c r="T173" s="38">
        <v>43.0</v>
      </c>
      <c r="U173" s="48">
        <f t="shared" si="9"/>
        <v>1344</v>
      </c>
      <c r="V173" s="48">
        <f t="shared" si="10"/>
        <v>2288</v>
      </c>
      <c r="W173" s="49">
        <f t="shared" si="11"/>
        <v>0.5647321429</v>
      </c>
      <c r="X173" s="49">
        <f t="shared" si="12"/>
        <v>0.3370535714</v>
      </c>
      <c r="Y173" s="49">
        <f t="shared" si="13"/>
        <v>0.09821428571</v>
      </c>
      <c r="Z173" s="32" t="str">
        <f t="shared" si="14"/>
        <v>Jango</v>
      </c>
      <c r="AA173" s="50" t="s">
        <v>77</v>
      </c>
      <c r="AB173" s="38">
        <v>2983.0</v>
      </c>
      <c r="AC173" s="48">
        <f t="shared" si="15"/>
        <v>695</v>
      </c>
      <c r="AD173" s="51">
        <f t="shared" si="16"/>
        <v>0.7670130741</v>
      </c>
    </row>
    <row r="174">
      <c r="A174" s="61" t="s">
        <v>412</v>
      </c>
      <c r="B174" s="46" t="s">
        <v>611</v>
      </c>
      <c r="C174" s="47"/>
      <c r="D174" s="38">
        <v>1897.0</v>
      </c>
      <c r="E174" s="38">
        <v>535.0</v>
      </c>
      <c r="F174" s="38">
        <v>323.0</v>
      </c>
      <c r="G174" s="38">
        <v>329.0</v>
      </c>
      <c r="H174" s="38">
        <v>60.0</v>
      </c>
      <c r="I174" s="48">
        <f t="shared" si="3"/>
        <v>2755</v>
      </c>
      <c r="J174" s="48">
        <f t="shared" si="4"/>
        <v>3144</v>
      </c>
      <c r="K174" s="49">
        <f t="shared" si="5"/>
        <v>0.6885662432</v>
      </c>
      <c r="L174" s="49">
        <f t="shared" si="6"/>
        <v>0.1941923775</v>
      </c>
      <c r="M174" s="49">
        <f t="shared" si="7"/>
        <v>0.1172413793</v>
      </c>
      <c r="N174" s="32" t="str">
        <f t="shared" si="8"/>
        <v>Jânio</v>
      </c>
      <c r="O174" s="50" t="s">
        <v>77</v>
      </c>
      <c r="P174" s="38">
        <v>1448.0</v>
      </c>
      <c r="Q174" s="38">
        <v>304.0</v>
      </c>
      <c r="R174" s="38">
        <v>688.0</v>
      </c>
      <c r="S174" s="38">
        <v>664.0</v>
      </c>
      <c r="T174" s="38">
        <v>40.0</v>
      </c>
      <c r="U174" s="48">
        <f t="shared" si="9"/>
        <v>2440</v>
      </c>
      <c r="V174" s="48">
        <f t="shared" si="10"/>
        <v>3144</v>
      </c>
      <c r="W174" s="49">
        <f t="shared" si="11"/>
        <v>0.593442623</v>
      </c>
      <c r="X174" s="49">
        <f t="shared" si="12"/>
        <v>0.1245901639</v>
      </c>
      <c r="Y174" s="49">
        <f t="shared" si="13"/>
        <v>0.2819672131</v>
      </c>
      <c r="Z174" s="32" t="str">
        <f t="shared" si="14"/>
        <v>Jango</v>
      </c>
      <c r="AA174" s="50" t="s">
        <v>77</v>
      </c>
      <c r="AB174" s="38">
        <v>3614.0</v>
      </c>
      <c r="AC174" s="48">
        <f t="shared" si="15"/>
        <v>470</v>
      </c>
      <c r="AD174" s="51">
        <f t="shared" si="16"/>
        <v>0.8699501937</v>
      </c>
    </row>
    <row r="175">
      <c r="A175" s="23"/>
      <c r="B175" s="46" t="s">
        <v>1889</v>
      </c>
      <c r="C175" s="47"/>
      <c r="D175" s="38">
        <v>1066.0</v>
      </c>
      <c r="E175" s="38">
        <v>455.0</v>
      </c>
      <c r="F175" s="38">
        <v>245.0</v>
      </c>
      <c r="G175" s="38">
        <v>277.0</v>
      </c>
      <c r="H175" s="38">
        <v>39.0</v>
      </c>
      <c r="I175" s="48">
        <f t="shared" si="3"/>
        <v>1766</v>
      </c>
      <c r="J175" s="48">
        <f t="shared" si="4"/>
        <v>2082</v>
      </c>
      <c r="K175" s="49">
        <f t="shared" si="5"/>
        <v>0.6036240091</v>
      </c>
      <c r="L175" s="49">
        <f t="shared" si="6"/>
        <v>0.2576443941</v>
      </c>
      <c r="M175" s="49">
        <f t="shared" si="7"/>
        <v>0.1387315968</v>
      </c>
      <c r="N175" s="32" t="str">
        <f t="shared" si="8"/>
        <v>Jânio</v>
      </c>
      <c r="O175" s="50" t="s">
        <v>77</v>
      </c>
      <c r="P175" s="38">
        <v>881.0</v>
      </c>
      <c r="Q175" s="38">
        <v>90.0</v>
      </c>
      <c r="R175" s="38">
        <v>580.0</v>
      </c>
      <c r="S175" s="38">
        <v>498.0</v>
      </c>
      <c r="T175" s="38">
        <v>33.0</v>
      </c>
      <c r="U175" s="48">
        <f t="shared" si="9"/>
        <v>1551</v>
      </c>
      <c r="V175" s="48">
        <f t="shared" si="10"/>
        <v>2082</v>
      </c>
      <c r="W175" s="49">
        <f t="shared" si="11"/>
        <v>0.5680206319</v>
      </c>
      <c r="X175" s="49">
        <f t="shared" si="12"/>
        <v>0.0580270793</v>
      </c>
      <c r="Y175" s="49">
        <f t="shared" si="13"/>
        <v>0.3739522888</v>
      </c>
      <c r="Z175" s="32" t="str">
        <f t="shared" si="14"/>
        <v>Jango</v>
      </c>
      <c r="AA175" s="50" t="s">
        <v>77</v>
      </c>
      <c r="AB175" s="38">
        <v>2494.0</v>
      </c>
      <c r="AC175" s="48">
        <f t="shared" si="15"/>
        <v>412</v>
      </c>
      <c r="AD175" s="51">
        <f t="shared" si="16"/>
        <v>0.8348035285</v>
      </c>
    </row>
    <row r="176">
      <c r="A176" s="24"/>
      <c r="B176" s="46" t="s">
        <v>199</v>
      </c>
      <c r="C176" s="47"/>
      <c r="D176" s="38">
        <v>1706.0</v>
      </c>
      <c r="E176" s="38">
        <v>777.0</v>
      </c>
      <c r="F176" s="38">
        <v>599.0</v>
      </c>
      <c r="G176" s="38">
        <v>428.0</v>
      </c>
      <c r="H176" s="38">
        <v>52.0</v>
      </c>
      <c r="I176" s="48">
        <f t="shared" si="3"/>
        <v>3082</v>
      </c>
      <c r="J176" s="48">
        <f t="shared" si="4"/>
        <v>3562</v>
      </c>
      <c r="K176" s="49">
        <f t="shared" si="5"/>
        <v>0.5535366645</v>
      </c>
      <c r="L176" s="49">
        <f t="shared" si="6"/>
        <v>0.2521090201</v>
      </c>
      <c r="M176" s="49">
        <f t="shared" si="7"/>
        <v>0.1943543154</v>
      </c>
      <c r="N176" s="32" t="str">
        <f t="shared" si="8"/>
        <v>Jânio</v>
      </c>
      <c r="O176" s="50" t="s">
        <v>77</v>
      </c>
      <c r="P176" s="38">
        <v>1326.0</v>
      </c>
      <c r="Q176" s="38">
        <v>368.0</v>
      </c>
      <c r="R176" s="38">
        <v>810.0</v>
      </c>
      <c r="S176" s="38">
        <v>1024.0</v>
      </c>
      <c r="T176" s="38">
        <v>34.0</v>
      </c>
      <c r="U176" s="48">
        <f t="shared" si="9"/>
        <v>2504</v>
      </c>
      <c r="V176" s="48">
        <f t="shared" si="10"/>
        <v>3562</v>
      </c>
      <c r="W176" s="49">
        <f t="shared" si="11"/>
        <v>0.5295527157</v>
      </c>
      <c r="X176" s="49">
        <f t="shared" si="12"/>
        <v>0.1469648562</v>
      </c>
      <c r="Y176" s="49">
        <f t="shared" si="13"/>
        <v>0.3234824281</v>
      </c>
      <c r="Z176" s="32" t="str">
        <f t="shared" si="14"/>
        <v>Jango</v>
      </c>
      <c r="AA176" s="50" t="s">
        <v>77</v>
      </c>
      <c r="AB176" s="38">
        <v>4067.0</v>
      </c>
      <c r="AC176" s="48">
        <f t="shared" si="15"/>
        <v>505</v>
      </c>
      <c r="AD176" s="51">
        <f t="shared" si="16"/>
        <v>0.87582985</v>
      </c>
    </row>
    <row r="177">
      <c r="A177" s="61" t="s">
        <v>846</v>
      </c>
      <c r="B177" s="46" t="s">
        <v>1890</v>
      </c>
      <c r="C177" s="47"/>
      <c r="D177" s="38">
        <v>2207.0</v>
      </c>
      <c r="E177" s="38">
        <v>820.0</v>
      </c>
      <c r="F177" s="38">
        <v>816.0</v>
      </c>
      <c r="G177" s="38">
        <v>156.0</v>
      </c>
      <c r="H177" s="38">
        <v>137.0</v>
      </c>
      <c r="I177" s="48">
        <f t="shared" si="3"/>
        <v>3843</v>
      </c>
      <c r="J177" s="48">
        <f t="shared" si="4"/>
        <v>4136</v>
      </c>
      <c r="K177" s="49">
        <f t="shared" si="5"/>
        <v>0.5742909186</v>
      </c>
      <c r="L177" s="49">
        <f t="shared" si="6"/>
        <v>0.2133749675</v>
      </c>
      <c r="M177" s="49">
        <f t="shared" si="7"/>
        <v>0.212334114</v>
      </c>
      <c r="N177" s="32" t="str">
        <f t="shared" si="8"/>
        <v>Jânio</v>
      </c>
      <c r="O177" s="50" t="s">
        <v>77</v>
      </c>
      <c r="P177" s="38">
        <v>1259.0</v>
      </c>
      <c r="Q177" s="38">
        <v>1758.0</v>
      </c>
      <c r="R177" s="38">
        <v>309.0</v>
      </c>
      <c r="S177" s="38">
        <v>531.0</v>
      </c>
      <c r="T177" s="38">
        <v>279.0</v>
      </c>
      <c r="U177" s="48">
        <f t="shared" si="9"/>
        <v>3326</v>
      </c>
      <c r="V177" s="48">
        <f t="shared" si="10"/>
        <v>4136</v>
      </c>
      <c r="W177" s="49">
        <f t="shared" si="11"/>
        <v>0.3785327721</v>
      </c>
      <c r="X177" s="49">
        <f t="shared" si="12"/>
        <v>0.5285628382</v>
      </c>
      <c r="Y177" s="49">
        <f t="shared" si="13"/>
        <v>0.09290438966</v>
      </c>
      <c r="Z177" s="32" t="str">
        <f t="shared" si="14"/>
        <v>Milton</v>
      </c>
      <c r="AA177" s="50" t="s">
        <v>77</v>
      </c>
      <c r="AB177" s="38">
        <v>5456.0</v>
      </c>
      <c r="AC177" s="48">
        <f t="shared" si="15"/>
        <v>1320</v>
      </c>
      <c r="AD177" s="51">
        <f t="shared" si="16"/>
        <v>0.7580645161</v>
      </c>
    </row>
    <row r="178">
      <c r="A178" s="24"/>
      <c r="B178" s="46" t="s">
        <v>1891</v>
      </c>
      <c r="C178" s="47"/>
      <c r="D178" s="38">
        <v>945.0</v>
      </c>
      <c r="E178" s="38">
        <v>300.0</v>
      </c>
      <c r="F178" s="38">
        <v>752.0</v>
      </c>
      <c r="G178" s="38">
        <v>171.0</v>
      </c>
      <c r="H178" s="38">
        <v>121.0</v>
      </c>
      <c r="I178" s="48">
        <f t="shared" si="3"/>
        <v>1997</v>
      </c>
      <c r="J178" s="48">
        <f t="shared" si="4"/>
        <v>2289</v>
      </c>
      <c r="K178" s="49">
        <f t="shared" si="5"/>
        <v>0.4732098147</v>
      </c>
      <c r="L178" s="49">
        <f t="shared" si="6"/>
        <v>0.150225338</v>
      </c>
      <c r="M178" s="49">
        <f t="shared" si="7"/>
        <v>0.3765648473</v>
      </c>
      <c r="N178" s="32" t="str">
        <f t="shared" si="8"/>
        <v>Jânio</v>
      </c>
      <c r="O178" s="50" t="s">
        <v>77</v>
      </c>
      <c r="P178" s="38">
        <v>825.0</v>
      </c>
      <c r="Q178" s="38">
        <v>463.0</v>
      </c>
      <c r="R178" s="48">
        <v>296.0</v>
      </c>
      <c r="S178" s="38">
        <v>645.0</v>
      </c>
      <c r="T178" s="38">
        <v>60.0</v>
      </c>
      <c r="U178" s="48">
        <f t="shared" si="9"/>
        <v>1584</v>
      </c>
      <c r="V178" s="48">
        <f t="shared" si="10"/>
        <v>2289</v>
      </c>
      <c r="W178" s="49">
        <f t="shared" si="11"/>
        <v>0.5208333333</v>
      </c>
      <c r="X178" s="49">
        <f t="shared" si="12"/>
        <v>0.2922979798</v>
      </c>
      <c r="Y178" s="49">
        <f t="shared" si="13"/>
        <v>0.1868686869</v>
      </c>
      <c r="Z178" s="32" t="str">
        <f t="shared" si="14"/>
        <v>Jango</v>
      </c>
      <c r="AA178" s="50" t="s">
        <v>77</v>
      </c>
      <c r="AB178" s="38">
        <v>3191.0</v>
      </c>
      <c r="AC178" s="48">
        <f t="shared" si="15"/>
        <v>902</v>
      </c>
      <c r="AD178" s="51">
        <f t="shared" si="16"/>
        <v>0.7173299906</v>
      </c>
    </row>
    <row r="179">
      <c r="A179" s="61" t="s">
        <v>848</v>
      </c>
      <c r="B179" s="46" t="s">
        <v>1892</v>
      </c>
      <c r="C179" s="47"/>
      <c r="D179" s="38">
        <v>1565.0</v>
      </c>
      <c r="E179" s="38">
        <v>358.0</v>
      </c>
      <c r="F179" s="38">
        <v>616.0</v>
      </c>
      <c r="G179" s="38">
        <v>152.0</v>
      </c>
      <c r="H179" s="38">
        <v>120.0</v>
      </c>
      <c r="I179" s="48">
        <f t="shared" si="3"/>
        <v>2539</v>
      </c>
      <c r="J179" s="48">
        <f t="shared" si="4"/>
        <v>2811</v>
      </c>
      <c r="K179" s="49">
        <f t="shared" si="5"/>
        <v>0.6163844033</v>
      </c>
      <c r="L179" s="49">
        <f t="shared" si="6"/>
        <v>0.1410003939</v>
      </c>
      <c r="M179" s="49">
        <f t="shared" si="7"/>
        <v>0.2426152028</v>
      </c>
      <c r="N179" s="32" t="str">
        <f t="shared" si="8"/>
        <v>Jânio</v>
      </c>
      <c r="O179" s="50" t="s">
        <v>77</v>
      </c>
      <c r="P179" s="38">
        <v>718.0</v>
      </c>
      <c r="Q179" s="38">
        <v>681.0</v>
      </c>
      <c r="R179" s="48">
        <v>478.0</v>
      </c>
      <c r="S179" s="38">
        <v>891.0</v>
      </c>
      <c r="T179" s="38">
        <v>43.0</v>
      </c>
      <c r="U179" s="48">
        <f t="shared" si="9"/>
        <v>1877</v>
      </c>
      <c r="V179" s="48">
        <f t="shared" si="10"/>
        <v>2811</v>
      </c>
      <c r="W179" s="49">
        <f t="shared" si="11"/>
        <v>0.3825253063</v>
      </c>
      <c r="X179" s="49">
        <f t="shared" si="12"/>
        <v>0.3628129995</v>
      </c>
      <c r="Y179" s="49">
        <f t="shared" si="13"/>
        <v>0.2546616942</v>
      </c>
      <c r="Z179" s="32" t="str">
        <f t="shared" si="14"/>
        <v>Jango</v>
      </c>
      <c r="AA179" s="50" t="s">
        <v>77</v>
      </c>
      <c r="AB179" s="38">
        <v>3746.0</v>
      </c>
      <c r="AC179" s="48">
        <f t="shared" si="15"/>
        <v>935</v>
      </c>
      <c r="AD179" s="51">
        <f t="shared" si="16"/>
        <v>0.7504004271</v>
      </c>
    </row>
    <row r="180">
      <c r="A180" s="23"/>
      <c r="B180" s="46" t="s">
        <v>1893</v>
      </c>
      <c r="C180" s="47"/>
      <c r="D180" s="38">
        <v>523.0</v>
      </c>
      <c r="E180" s="38">
        <v>93.0</v>
      </c>
      <c r="F180" s="38">
        <v>203.0</v>
      </c>
      <c r="G180" s="38">
        <v>25.0</v>
      </c>
      <c r="H180" s="38">
        <v>28.0</v>
      </c>
      <c r="I180" s="48">
        <f t="shared" si="3"/>
        <v>819</v>
      </c>
      <c r="J180" s="48">
        <f t="shared" si="4"/>
        <v>872</v>
      </c>
      <c r="K180" s="49">
        <f t="shared" si="5"/>
        <v>0.6385836386</v>
      </c>
      <c r="L180" s="49">
        <f t="shared" si="6"/>
        <v>0.1135531136</v>
      </c>
      <c r="M180" s="49">
        <f t="shared" si="7"/>
        <v>0.2478632479</v>
      </c>
      <c r="N180" s="32" t="str">
        <f t="shared" si="8"/>
        <v>Jânio</v>
      </c>
      <c r="O180" s="50" t="s">
        <v>77</v>
      </c>
      <c r="P180" s="38">
        <v>224.0</v>
      </c>
      <c r="Q180" s="38">
        <v>237.0</v>
      </c>
      <c r="R180" s="48">
        <v>250.0</v>
      </c>
      <c r="S180" s="38">
        <v>147.0</v>
      </c>
      <c r="T180" s="38">
        <v>14.0</v>
      </c>
      <c r="U180" s="48">
        <f t="shared" si="9"/>
        <v>711</v>
      </c>
      <c r="V180" s="48">
        <f t="shared" si="10"/>
        <v>872</v>
      </c>
      <c r="W180" s="49">
        <f t="shared" si="11"/>
        <v>0.3150492264</v>
      </c>
      <c r="X180" s="49">
        <f t="shared" si="12"/>
        <v>0.3333333333</v>
      </c>
      <c r="Y180" s="49">
        <f t="shared" si="13"/>
        <v>0.3516174402</v>
      </c>
      <c r="Z180" s="32" t="str">
        <f t="shared" si="14"/>
        <v>Ferrari</v>
      </c>
      <c r="AA180" s="50" t="s">
        <v>77</v>
      </c>
      <c r="AB180" s="38">
        <v>1106.0</v>
      </c>
      <c r="AC180" s="48">
        <f t="shared" si="15"/>
        <v>234</v>
      </c>
      <c r="AD180" s="51">
        <f t="shared" si="16"/>
        <v>0.7884267631</v>
      </c>
    </row>
    <row r="181">
      <c r="A181" s="23"/>
      <c r="B181" s="46" t="s">
        <v>1894</v>
      </c>
      <c r="C181" s="47"/>
      <c r="D181" s="38">
        <v>1114.0</v>
      </c>
      <c r="E181" s="38">
        <v>158.0</v>
      </c>
      <c r="F181" s="38">
        <v>513.0</v>
      </c>
      <c r="G181" s="38">
        <v>101.0</v>
      </c>
      <c r="H181" s="38">
        <v>85.0</v>
      </c>
      <c r="I181" s="48">
        <f t="shared" si="3"/>
        <v>1785</v>
      </c>
      <c r="J181" s="48">
        <f t="shared" si="4"/>
        <v>1971</v>
      </c>
      <c r="K181" s="49">
        <f t="shared" si="5"/>
        <v>0.6240896359</v>
      </c>
      <c r="L181" s="49">
        <f t="shared" si="6"/>
        <v>0.08851540616</v>
      </c>
      <c r="M181" s="49">
        <f t="shared" si="7"/>
        <v>0.287394958</v>
      </c>
      <c r="N181" s="32" t="str">
        <f t="shared" si="8"/>
        <v>Jânio</v>
      </c>
      <c r="O181" s="50" t="s">
        <v>77</v>
      </c>
      <c r="P181" s="38">
        <v>584.0</v>
      </c>
      <c r="Q181" s="38">
        <v>470.0</v>
      </c>
      <c r="R181" s="48">
        <v>321.0</v>
      </c>
      <c r="S181" s="38">
        <v>563.0</v>
      </c>
      <c r="T181" s="38">
        <v>33.0</v>
      </c>
      <c r="U181" s="48">
        <f t="shared" si="9"/>
        <v>1375</v>
      </c>
      <c r="V181" s="48">
        <f t="shared" si="10"/>
        <v>1971</v>
      </c>
      <c r="W181" s="49">
        <f t="shared" si="11"/>
        <v>0.4247272727</v>
      </c>
      <c r="X181" s="49">
        <f t="shared" si="12"/>
        <v>0.3418181818</v>
      </c>
      <c r="Y181" s="49">
        <f t="shared" si="13"/>
        <v>0.2334545455</v>
      </c>
      <c r="Z181" s="32" t="str">
        <f t="shared" si="14"/>
        <v>Jango</v>
      </c>
      <c r="AA181" s="50" t="s">
        <v>77</v>
      </c>
      <c r="AB181" s="38">
        <v>2688.0</v>
      </c>
      <c r="AC181" s="48">
        <f t="shared" si="15"/>
        <v>717</v>
      </c>
      <c r="AD181" s="51">
        <f t="shared" si="16"/>
        <v>0.7332589286</v>
      </c>
    </row>
    <row r="182">
      <c r="A182" s="23"/>
      <c r="B182" s="46" t="s">
        <v>1895</v>
      </c>
      <c r="C182" s="47"/>
      <c r="D182" s="38">
        <v>757.0</v>
      </c>
      <c r="E182" s="38">
        <v>92.0</v>
      </c>
      <c r="F182" s="38">
        <v>404.0</v>
      </c>
      <c r="G182" s="38">
        <v>47.0</v>
      </c>
      <c r="H182" s="38">
        <v>53.0</v>
      </c>
      <c r="I182" s="48">
        <f t="shared" si="3"/>
        <v>1253</v>
      </c>
      <c r="J182" s="48">
        <f t="shared" si="4"/>
        <v>1353</v>
      </c>
      <c r="K182" s="49">
        <f t="shared" si="5"/>
        <v>0.6041500399</v>
      </c>
      <c r="L182" s="49">
        <f t="shared" si="6"/>
        <v>0.07342378292</v>
      </c>
      <c r="M182" s="49">
        <f t="shared" si="7"/>
        <v>0.3224261772</v>
      </c>
      <c r="N182" s="32" t="str">
        <f t="shared" si="8"/>
        <v>Jânio</v>
      </c>
      <c r="O182" s="50" t="s">
        <v>77</v>
      </c>
      <c r="P182" s="38">
        <v>366.0</v>
      </c>
      <c r="Q182" s="38">
        <v>359.0</v>
      </c>
      <c r="R182" s="48">
        <v>166.0</v>
      </c>
      <c r="S182" s="38">
        <v>445.0</v>
      </c>
      <c r="T182" s="38">
        <v>17.0</v>
      </c>
      <c r="U182" s="48">
        <f t="shared" si="9"/>
        <v>891</v>
      </c>
      <c r="V182" s="48">
        <f t="shared" si="10"/>
        <v>1353</v>
      </c>
      <c r="W182" s="49">
        <f t="shared" si="11"/>
        <v>0.4107744108</v>
      </c>
      <c r="X182" s="49">
        <f t="shared" si="12"/>
        <v>0.4029180696</v>
      </c>
      <c r="Y182" s="49">
        <f t="shared" si="13"/>
        <v>0.1863075196</v>
      </c>
      <c r="Z182" s="32" t="str">
        <f t="shared" si="14"/>
        <v>Jango</v>
      </c>
      <c r="AA182" s="50" t="s">
        <v>77</v>
      </c>
      <c r="AB182" s="38">
        <v>1864.0</v>
      </c>
      <c r="AC182" s="48">
        <f t="shared" si="15"/>
        <v>511</v>
      </c>
      <c r="AD182" s="51">
        <f t="shared" si="16"/>
        <v>0.7258583691</v>
      </c>
    </row>
    <row r="183">
      <c r="A183" s="24"/>
      <c r="B183" s="46" t="s">
        <v>1896</v>
      </c>
      <c r="C183" s="47"/>
      <c r="D183" s="38">
        <v>1760.0</v>
      </c>
      <c r="E183" s="38">
        <v>371.0</v>
      </c>
      <c r="F183" s="38">
        <v>546.0</v>
      </c>
      <c r="G183" s="38">
        <v>155.0</v>
      </c>
      <c r="H183" s="38">
        <v>130.0</v>
      </c>
      <c r="I183" s="48">
        <f t="shared" si="3"/>
        <v>2677</v>
      </c>
      <c r="J183" s="48">
        <f t="shared" si="4"/>
        <v>2962</v>
      </c>
      <c r="K183" s="49">
        <f t="shared" si="5"/>
        <v>0.6574523721</v>
      </c>
      <c r="L183" s="49">
        <f t="shared" si="6"/>
        <v>0.1385879716</v>
      </c>
      <c r="M183" s="49">
        <f t="shared" si="7"/>
        <v>0.2039596563</v>
      </c>
      <c r="N183" s="32" t="str">
        <f t="shared" si="8"/>
        <v>Jânio</v>
      </c>
      <c r="O183" s="50" t="s">
        <v>77</v>
      </c>
      <c r="P183" s="38">
        <v>684.0</v>
      </c>
      <c r="Q183" s="38">
        <v>988.0</v>
      </c>
      <c r="R183" s="48">
        <v>442.0</v>
      </c>
      <c r="S183" s="38">
        <v>785.0</v>
      </c>
      <c r="T183" s="38">
        <v>63.0</v>
      </c>
      <c r="U183" s="48">
        <f t="shared" si="9"/>
        <v>2114</v>
      </c>
      <c r="V183" s="48">
        <f t="shared" si="10"/>
        <v>2962</v>
      </c>
      <c r="W183" s="49">
        <f t="shared" si="11"/>
        <v>0.3235572375</v>
      </c>
      <c r="X183" s="49">
        <f t="shared" si="12"/>
        <v>0.4673604541</v>
      </c>
      <c r="Y183" s="49">
        <f t="shared" si="13"/>
        <v>0.2090823084</v>
      </c>
      <c r="Z183" s="32" t="str">
        <f t="shared" si="14"/>
        <v>Milton</v>
      </c>
      <c r="AA183" s="50" t="s">
        <v>77</v>
      </c>
      <c r="AB183" s="38">
        <v>3743.0</v>
      </c>
      <c r="AC183" s="48">
        <f t="shared" si="15"/>
        <v>781</v>
      </c>
      <c r="AD183" s="51">
        <f t="shared" si="16"/>
        <v>0.7913438418</v>
      </c>
    </row>
    <row r="184">
      <c r="A184" s="69" t="s">
        <v>54</v>
      </c>
      <c r="B184" s="13"/>
      <c r="C184" s="47"/>
      <c r="D184" s="38">
        <f t="shared" ref="D184:H184" si="17">SUM(D16:D33,D36:D79,D82,D85:D183)</f>
        <v>369737</v>
      </c>
      <c r="E184" s="38">
        <f t="shared" si="17"/>
        <v>122360</v>
      </c>
      <c r="F184" s="38">
        <f t="shared" si="17"/>
        <v>163810</v>
      </c>
      <c r="G184" s="38">
        <f t="shared" si="17"/>
        <v>45946</v>
      </c>
      <c r="H184" s="38">
        <f t="shared" si="17"/>
        <v>21756</v>
      </c>
      <c r="I184" s="48">
        <f t="shared" si="3"/>
        <v>655907</v>
      </c>
      <c r="J184" s="48">
        <f t="shared" si="4"/>
        <v>723609</v>
      </c>
      <c r="K184" s="49">
        <f t="shared" si="5"/>
        <v>0.5637033909</v>
      </c>
      <c r="L184" s="49">
        <f t="shared" si="6"/>
        <v>0.1865508372</v>
      </c>
      <c r="M184" s="49">
        <f t="shared" si="7"/>
        <v>0.2497457719</v>
      </c>
      <c r="N184" s="32" t="str">
        <f t="shared" si="8"/>
        <v>Jânio</v>
      </c>
      <c r="O184" s="50"/>
      <c r="P184" s="38">
        <f t="shared" ref="P184:T184" si="18">SUM(P16:P33,P36:P79,P82,P85:P183)</f>
        <v>219006</v>
      </c>
      <c r="Q184" s="38">
        <f t="shared" si="18"/>
        <v>194670</v>
      </c>
      <c r="R184" s="38">
        <f t="shared" si="18"/>
        <v>133483</v>
      </c>
      <c r="S184" s="38">
        <f t="shared" si="18"/>
        <v>161261</v>
      </c>
      <c r="T184" s="38">
        <f t="shared" si="18"/>
        <v>15189</v>
      </c>
      <c r="U184" s="48">
        <f t="shared" si="9"/>
        <v>547159</v>
      </c>
      <c r="V184" s="48">
        <f t="shared" si="10"/>
        <v>723609</v>
      </c>
      <c r="W184" s="49">
        <f t="shared" si="11"/>
        <v>0.4002602534</v>
      </c>
      <c r="X184" s="49">
        <f t="shared" si="12"/>
        <v>0.3557832367</v>
      </c>
      <c r="Y184" s="49">
        <f t="shared" si="13"/>
        <v>0.2439565099</v>
      </c>
      <c r="Z184" s="32" t="str">
        <f t="shared" si="14"/>
        <v>Jango</v>
      </c>
      <c r="AA184" s="50"/>
      <c r="AB184" s="55">
        <v>885418.0</v>
      </c>
      <c r="AC184" s="48">
        <f t="shared" si="15"/>
        <v>161809</v>
      </c>
      <c r="AD184" s="51">
        <f t="shared" si="16"/>
        <v>0.817251287</v>
      </c>
    </row>
    <row r="185">
      <c r="O185" s="73"/>
    </row>
    <row r="186">
      <c r="B186" s="74" t="s">
        <v>138</v>
      </c>
      <c r="D186" s="75"/>
      <c r="E186" s="75"/>
      <c r="F186" s="75"/>
      <c r="G186" s="75"/>
    </row>
    <row r="187">
      <c r="B187" s="76" t="s">
        <v>139</v>
      </c>
      <c r="C187" s="33"/>
      <c r="D187" s="29"/>
      <c r="E187" s="29"/>
      <c r="F187" s="77"/>
      <c r="G187" s="77"/>
    </row>
    <row r="188">
      <c r="B188" s="76" t="s">
        <v>139</v>
      </c>
      <c r="C188" s="33"/>
      <c r="D188" s="29"/>
      <c r="E188" s="29"/>
      <c r="F188" s="77"/>
      <c r="G188" s="77"/>
    </row>
    <row r="189">
      <c r="D189" s="29"/>
      <c r="E189" s="29"/>
      <c r="F189" s="77"/>
      <c r="G189" s="77"/>
    </row>
  </sheetData>
  <mergeCells count="47">
    <mergeCell ref="D2:G2"/>
    <mergeCell ref="A10:C10"/>
    <mergeCell ref="D10:N10"/>
    <mergeCell ref="P10:Z10"/>
    <mergeCell ref="AA10:AD10"/>
    <mergeCell ref="A20:A21"/>
    <mergeCell ref="A24:A26"/>
    <mergeCell ref="A28:A29"/>
    <mergeCell ref="A32:A33"/>
    <mergeCell ref="A38:A39"/>
    <mergeCell ref="A40:A41"/>
    <mergeCell ref="A42:A45"/>
    <mergeCell ref="A52:A54"/>
    <mergeCell ref="A56:A57"/>
    <mergeCell ref="A60:A61"/>
    <mergeCell ref="A62:A64"/>
    <mergeCell ref="A65:A67"/>
    <mergeCell ref="A69:A70"/>
    <mergeCell ref="A72:A73"/>
    <mergeCell ref="A74:A75"/>
    <mergeCell ref="A76:A77"/>
    <mergeCell ref="A78:A79"/>
    <mergeCell ref="A86:A87"/>
    <mergeCell ref="A91:A92"/>
    <mergeCell ref="A98:A99"/>
    <mergeCell ref="A101:A102"/>
    <mergeCell ref="A103:A105"/>
    <mergeCell ref="A108:A109"/>
    <mergeCell ref="A110:A111"/>
    <mergeCell ref="A112:A114"/>
    <mergeCell ref="A115:A122"/>
    <mergeCell ref="A123:A124"/>
    <mergeCell ref="A125:A127"/>
    <mergeCell ref="A128:A132"/>
    <mergeCell ref="A135:A137"/>
    <mergeCell ref="A170:A173"/>
    <mergeCell ref="A174:A176"/>
    <mergeCell ref="A177:A178"/>
    <mergeCell ref="A179:A183"/>
    <mergeCell ref="A184:B184"/>
    <mergeCell ref="A138:A143"/>
    <mergeCell ref="A144:A148"/>
    <mergeCell ref="A149:A150"/>
    <mergeCell ref="A151:A158"/>
    <mergeCell ref="A159:A160"/>
    <mergeCell ref="A161:A163"/>
    <mergeCell ref="A164:A165"/>
  </mergeCells>
  <conditionalFormatting sqref="K12:M184 N12:N185 Z12:Z184">
    <cfRule type="colorScale" priority="1">
      <colorScale>
        <cfvo type="percent" val="0"/>
        <cfvo type="percent" val="50"/>
        <cfvo type="percent" val="100"/>
        <color rgb="FFFFFFFF"/>
        <color rgb="FFABDDC5"/>
        <color rgb="FF57BB8A"/>
      </colorScale>
    </cfRule>
  </conditionalFormatting>
  <conditionalFormatting sqref="W12:Y184">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IF(COUNTIF($N$12:$N$51,D3)=0,"-",COUNTIF($N$12:$N$51,D3))</f>
        <v>27</v>
      </c>
      <c r="F3" s="32" t="s">
        <v>47</v>
      </c>
      <c r="G3" s="22">
        <f t="shared" ref="G3:G6" si="2">IF(COUNTIF($Z$12:$Z$51,F3)=0,"-",COUNTIF($Z$12:$Z$51,F3))</f>
        <v>23</v>
      </c>
    </row>
    <row r="4">
      <c r="D4" s="32" t="s">
        <v>48</v>
      </c>
      <c r="E4" s="22">
        <f t="shared" si="1"/>
        <v>9</v>
      </c>
      <c r="F4" s="32" t="s">
        <v>49</v>
      </c>
      <c r="G4" s="22">
        <f t="shared" si="2"/>
        <v>16</v>
      </c>
    </row>
    <row r="5">
      <c r="D5" s="32" t="s">
        <v>50</v>
      </c>
      <c r="E5" s="22">
        <f t="shared" si="1"/>
        <v>4</v>
      </c>
      <c r="F5" s="32" t="s">
        <v>51</v>
      </c>
      <c r="G5" s="22">
        <f t="shared" si="2"/>
        <v>1</v>
      </c>
    </row>
    <row r="6">
      <c r="D6" s="32" t="s">
        <v>52</v>
      </c>
      <c r="E6" s="22" t="str">
        <f t="shared" si="1"/>
        <v>-</v>
      </c>
      <c r="F6" s="32" t="s">
        <v>52</v>
      </c>
      <c r="G6" s="22" t="str">
        <f t="shared" si="2"/>
        <v>-</v>
      </c>
    </row>
    <row r="7">
      <c r="D7" s="32" t="s">
        <v>54</v>
      </c>
      <c r="E7" s="32">
        <f>SUM(E3:E6)</f>
        <v>40</v>
      </c>
      <c r="F7" s="32" t="s">
        <v>54</v>
      </c>
      <c r="G7" s="32">
        <f>SUM(G3:G6)</f>
        <v>40</v>
      </c>
    </row>
    <row r="8">
      <c r="D8" s="109"/>
      <c r="E8" s="109"/>
      <c r="F8" s="109"/>
      <c r="G8" s="109"/>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110" t="s">
        <v>73</v>
      </c>
      <c r="B12" s="46" t="s">
        <v>1897</v>
      </c>
      <c r="C12" s="47"/>
      <c r="D12" s="38">
        <v>8038.0</v>
      </c>
      <c r="E12" s="38">
        <v>5444.0</v>
      </c>
      <c r="F12" s="48">
        <v>7180.0</v>
      </c>
      <c r="G12" s="38">
        <v>247.0</v>
      </c>
      <c r="H12" s="38">
        <v>668.0</v>
      </c>
      <c r="I12" s="48">
        <f t="shared" ref="I12:I52" si="3">SUM(D12:F12)</f>
        <v>20662</v>
      </c>
      <c r="J12" s="48">
        <f t="shared" ref="J12:J52" si="4">SUM(G12:I12)</f>
        <v>21577</v>
      </c>
      <c r="K12" s="49">
        <f t="shared" ref="K12:K52" si="5">D12/I12</f>
        <v>0.3890233278</v>
      </c>
      <c r="L12" s="49">
        <f t="shared" ref="L12:L52" si="6">E12/I12</f>
        <v>0.2634788501</v>
      </c>
      <c r="M12" s="49">
        <f t="shared" ref="M12:M52" si="7">F12/I12</f>
        <v>0.3474978221</v>
      </c>
      <c r="N12" s="32" t="str">
        <f t="shared" ref="N12:N52" si="8">IF(LARGE(D12:F12,1)=0,#REF!,IF(LARGE(D12:F12,1)=LARGE(D12:F12,2),$D$6,IF(LARGE(D12:F12,1)=D12,$D$3,IF(LARGE(D12:F12,1)=E12,$D$4,IF(LARGE(D12:F12,1)=F12,$D$5)))))</f>
        <v>Jânio</v>
      </c>
      <c r="O12" s="50" t="s">
        <v>77</v>
      </c>
      <c r="P12" s="38">
        <v>6950.0</v>
      </c>
      <c r="Q12" s="38">
        <v>5665.0</v>
      </c>
      <c r="R12" s="38">
        <v>7714.0</v>
      </c>
      <c r="S12" s="38">
        <v>712.0</v>
      </c>
      <c r="T12" s="38">
        <v>536.0</v>
      </c>
      <c r="U12" s="48">
        <f t="shared" ref="U12:U52" si="9">SUM(P12:R12)</f>
        <v>20329</v>
      </c>
      <c r="V12" s="48">
        <f t="shared" ref="V12:V52" si="10">SUM(S12:U12)</f>
        <v>21577</v>
      </c>
      <c r="W12" s="49">
        <f t="shared" ref="W12:W52" si="11">P12/U12</f>
        <v>0.3418761375</v>
      </c>
      <c r="X12" s="49">
        <f t="shared" ref="X12:X52" si="12">Q12/U12</f>
        <v>0.2786659452</v>
      </c>
      <c r="Y12" s="49">
        <f t="shared" ref="Y12:Y52" si="13">R12/U12</f>
        <v>0.3794579173</v>
      </c>
      <c r="Z12" s="32" t="str">
        <f t="shared" ref="Z12:Z52" si="14">IF(LARGE(P12:R12,1)=0,#REF!,IF(LARGE(P12:R12,1)=LARGE(P12:R12,2),$F$6,IF(LARGE(P12:R12,1)=P12,$F$3,IF(LARGE(P12:R12,1)=Q12,$F$4,IF(LARGE(P12:R12,1)=R12,$F$5)))))</f>
        <v>Ferrari</v>
      </c>
      <c r="AA12" s="50" t="s">
        <v>77</v>
      </c>
      <c r="AB12" s="38">
        <v>25091.0</v>
      </c>
      <c r="AC12" s="48">
        <f t="shared" ref="AC12:AC52" si="15">AB12-V12</f>
        <v>3514</v>
      </c>
      <c r="AD12" s="51">
        <f t="shared" ref="AD12:AD52" si="16">V12/AB12</f>
        <v>0.8599497828</v>
      </c>
    </row>
    <row r="13">
      <c r="A13" s="61" t="s">
        <v>75</v>
      </c>
      <c r="B13" s="46" t="s">
        <v>1898</v>
      </c>
      <c r="C13" s="47"/>
      <c r="D13" s="38">
        <v>7572.0</v>
      </c>
      <c r="E13" s="38">
        <v>5190.0</v>
      </c>
      <c r="F13" s="48">
        <v>2075.0</v>
      </c>
      <c r="G13" s="38">
        <v>317.0</v>
      </c>
      <c r="H13" s="38">
        <v>464.0</v>
      </c>
      <c r="I13" s="48">
        <f t="shared" si="3"/>
        <v>14837</v>
      </c>
      <c r="J13" s="48">
        <f t="shared" si="4"/>
        <v>15618</v>
      </c>
      <c r="K13" s="49">
        <f t="shared" si="5"/>
        <v>0.5103457572</v>
      </c>
      <c r="L13" s="49">
        <f t="shared" si="6"/>
        <v>0.3498011727</v>
      </c>
      <c r="M13" s="49">
        <f t="shared" si="7"/>
        <v>0.13985307</v>
      </c>
      <c r="N13" s="32" t="str">
        <f t="shared" si="8"/>
        <v>Jânio</v>
      </c>
      <c r="O13" s="50" t="s">
        <v>77</v>
      </c>
      <c r="P13" s="38">
        <v>5781.0</v>
      </c>
      <c r="Q13" s="38">
        <v>5337.0</v>
      </c>
      <c r="R13" s="38">
        <v>3408.0</v>
      </c>
      <c r="S13" s="38">
        <v>731.0</v>
      </c>
      <c r="T13" s="38">
        <v>361.0</v>
      </c>
      <c r="U13" s="48">
        <f t="shared" si="9"/>
        <v>14526</v>
      </c>
      <c r="V13" s="48">
        <f t="shared" si="10"/>
        <v>15618</v>
      </c>
      <c r="W13" s="49">
        <f t="shared" si="11"/>
        <v>0.397976043</v>
      </c>
      <c r="X13" s="49">
        <f t="shared" si="12"/>
        <v>0.3674101611</v>
      </c>
      <c r="Y13" s="49">
        <f t="shared" si="13"/>
        <v>0.234613796</v>
      </c>
      <c r="Z13" s="32" t="str">
        <f t="shared" si="14"/>
        <v>Jango</v>
      </c>
      <c r="AA13" s="50" t="s">
        <v>77</v>
      </c>
      <c r="AB13" s="38">
        <v>18457.0</v>
      </c>
      <c r="AC13" s="48">
        <f t="shared" si="15"/>
        <v>2839</v>
      </c>
      <c r="AD13" s="51">
        <f t="shared" si="16"/>
        <v>0.84618302</v>
      </c>
    </row>
    <row r="14">
      <c r="A14" s="24"/>
      <c r="B14" s="46" t="s">
        <v>1899</v>
      </c>
      <c r="C14" s="47"/>
      <c r="D14" s="38">
        <v>475.0</v>
      </c>
      <c r="E14" s="38">
        <v>629.0</v>
      </c>
      <c r="F14" s="48">
        <v>513.0</v>
      </c>
      <c r="G14" s="38">
        <v>30.0</v>
      </c>
      <c r="H14" s="38">
        <v>58.0</v>
      </c>
      <c r="I14" s="48">
        <f t="shared" si="3"/>
        <v>1617</v>
      </c>
      <c r="J14" s="48">
        <f t="shared" si="4"/>
        <v>1705</v>
      </c>
      <c r="K14" s="49">
        <f t="shared" si="5"/>
        <v>0.2937538652</v>
      </c>
      <c r="L14" s="49">
        <f t="shared" si="6"/>
        <v>0.3889919604</v>
      </c>
      <c r="M14" s="49">
        <f t="shared" si="7"/>
        <v>0.3172541744</v>
      </c>
      <c r="N14" s="32" t="str">
        <f t="shared" si="8"/>
        <v>Mal. Lott</v>
      </c>
      <c r="O14" s="50" t="s">
        <v>77</v>
      </c>
      <c r="P14" s="38">
        <v>717.0</v>
      </c>
      <c r="Q14" s="38">
        <v>331.0</v>
      </c>
      <c r="R14" s="38">
        <v>468.0</v>
      </c>
      <c r="S14" s="38">
        <v>141.0</v>
      </c>
      <c r="T14" s="38">
        <v>48.0</v>
      </c>
      <c r="U14" s="48">
        <f t="shared" si="9"/>
        <v>1516</v>
      </c>
      <c r="V14" s="48">
        <f t="shared" si="10"/>
        <v>1705</v>
      </c>
      <c r="W14" s="49">
        <f t="shared" si="11"/>
        <v>0.4729551451</v>
      </c>
      <c r="X14" s="49">
        <f t="shared" si="12"/>
        <v>0.2183377309</v>
      </c>
      <c r="Y14" s="49">
        <f t="shared" si="13"/>
        <v>0.308707124</v>
      </c>
      <c r="Z14" s="32" t="str">
        <f t="shared" si="14"/>
        <v>Jango</v>
      </c>
      <c r="AA14" s="50" t="s">
        <v>77</v>
      </c>
      <c r="AB14" s="38">
        <v>2045.0</v>
      </c>
      <c r="AC14" s="48">
        <f t="shared" si="15"/>
        <v>340</v>
      </c>
      <c r="AD14" s="51">
        <f t="shared" si="16"/>
        <v>0.8337408313</v>
      </c>
    </row>
    <row r="15">
      <c r="A15" s="110" t="s">
        <v>79</v>
      </c>
      <c r="B15" s="46" t="s">
        <v>1900</v>
      </c>
      <c r="C15" s="47"/>
      <c r="D15" s="38">
        <v>2773.0</v>
      </c>
      <c r="E15" s="38">
        <v>2385.0</v>
      </c>
      <c r="F15" s="48">
        <v>258.0</v>
      </c>
      <c r="G15" s="38">
        <v>139.0</v>
      </c>
      <c r="H15" s="38">
        <v>165.0</v>
      </c>
      <c r="I15" s="48">
        <f t="shared" si="3"/>
        <v>5416</v>
      </c>
      <c r="J15" s="48">
        <f t="shared" si="4"/>
        <v>5720</v>
      </c>
      <c r="K15" s="49">
        <f t="shared" si="5"/>
        <v>0.5120014771</v>
      </c>
      <c r="L15" s="49">
        <f t="shared" si="6"/>
        <v>0.4403618907</v>
      </c>
      <c r="M15" s="49">
        <f t="shared" si="7"/>
        <v>0.0476366322</v>
      </c>
      <c r="N15" s="32" t="str">
        <f t="shared" si="8"/>
        <v>Jânio</v>
      </c>
      <c r="O15" s="50" t="s">
        <v>77</v>
      </c>
      <c r="P15" s="38">
        <v>2397.0</v>
      </c>
      <c r="Q15" s="38">
        <v>2307.0</v>
      </c>
      <c r="R15" s="38">
        <v>583.0</v>
      </c>
      <c r="S15" s="38">
        <v>319.0</v>
      </c>
      <c r="T15" s="38">
        <v>114.0</v>
      </c>
      <c r="U15" s="48">
        <f t="shared" si="9"/>
        <v>5287</v>
      </c>
      <c r="V15" s="48">
        <f t="shared" si="10"/>
        <v>5720</v>
      </c>
      <c r="W15" s="49">
        <f t="shared" si="11"/>
        <v>0.4533762058</v>
      </c>
      <c r="X15" s="49">
        <f t="shared" si="12"/>
        <v>0.4363533195</v>
      </c>
      <c r="Y15" s="49">
        <f t="shared" si="13"/>
        <v>0.1102704747</v>
      </c>
      <c r="Z15" s="32" t="str">
        <f t="shared" si="14"/>
        <v>Jango</v>
      </c>
      <c r="AA15" s="50" t="s">
        <v>77</v>
      </c>
      <c r="AB15" s="38">
        <v>6231.0</v>
      </c>
      <c r="AC15" s="48">
        <f t="shared" si="15"/>
        <v>511</v>
      </c>
      <c r="AD15" s="51">
        <f t="shared" si="16"/>
        <v>0.9179906917</v>
      </c>
    </row>
    <row r="16">
      <c r="A16" s="61" t="s">
        <v>85</v>
      </c>
      <c r="B16" s="46" t="s">
        <v>1901</v>
      </c>
      <c r="C16" s="47"/>
      <c r="D16" s="38">
        <v>3450.0</v>
      </c>
      <c r="E16" s="38">
        <v>2846.0</v>
      </c>
      <c r="F16" s="48">
        <v>864.0</v>
      </c>
      <c r="G16" s="38">
        <v>256.0</v>
      </c>
      <c r="H16" s="38">
        <v>411.0</v>
      </c>
      <c r="I16" s="48">
        <f t="shared" si="3"/>
        <v>7160</v>
      </c>
      <c r="J16" s="48">
        <f t="shared" si="4"/>
        <v>7827</v>
      </c>
      <c r="K16" s="49">
        <f t="shared" si="5"/>
        <v>0.4818435754</v>
      </c>
      <c r="L16" s="49">
        <f t="shared" si="6"/>
        <v>0.3974860335</v>
      </c>
      <c r="M16" s="49">
        <f t="shared" si="7"/>
        <v>0.1206703911</v>
      </c>
      <c r="N16" s="32" t="str">
        <f t="shared" si="8"/>
        <v>Jânio</v>
      </c>
      <c r="O16" s="50" t="s">
        <v>77</v>
      </c>
      <c r="P16" s="38">
        <v>3613.0</v>
      </c>
      <c r="Q16" s="38">
        <v>2093.0</v>
      </c>
      <c r="R16" s="38">
        <v>1153.0</v>
      </c>
      <c r="S16" s="38">
        <v>743.0</v>
      </c>
      <c r="T16" s="38">
        <v>225.0</v>
      </c>
      <c r="U16" s="48">
        <f t="shared" si="9"/>
        <v>6859</v>
      </c>
      <c r="V16" s="48">
        <f t="shared" si="10"/>
        <v>7827</v>
      </c>
      <c r="W16" s="49">
        <f t="shared" si="11"/>
        <v>0.526753171</v>
      </c>
      <c r="X16" s="49">
        <f t="shared" si="12"/>
        <v>0.3051465228</v>
      </c>
      <c r="Y16" s="49">
        <f t="shared" si="13"/>
        <v>0.1681003062</v>
      </c>
      <c r="Z16" s="32" t="str">
        <f t="shared" si="14"/>
        <v>Jango</v>
      </c>
      <c r="AA16" s="50" t="s">
        <v>77</v>
      </c>
      <c r="AB16" s="38">
        <v>9568.0</v>
      </c>
      <c r="AC16" s="48">
        <f t="shared" si="15"/>
        <v>1741</v>
      </c>
      <c r="AD16" s="51">
        <f t="shared" si="16"/>
        <v>0.8180392977</v>
      </c>
    </row>
    <row r="17">
      <c r="A17" s="24"/>
      <c r="B17" s="46" t="s">
        <v>1902</v>
      </c>
      <c r="C17" s="47"/>
      <c r="D17" s="38">
        <v>536.0</v>
      </c>
      <c r="E17" s="38">
        <v>647.0</v>
      </c>
      <c r="F17" s="48">
        <v>108.0</v>
      </c>
      <c r="G17" s="38">
        <v>45.0</v>
      </c>
      <c r="H17" s="38">
        <v>63.0</v>
      </c>
      <c r="I17" s="48">
        <f t="shared" si="3"/>
        <v>1291</v>
      </c>
      <c r="J17" s="48">
        <f t="shared" si="4"/>
        <v>1399</v>
      </c>
      <c r="K17" s="49">
        <f t="shared" si="5"/>
        <v>0.4151820294</v>
      </c>
      <c r="L17" s="49">
        <f t="shared" si="6"/>
        <v>0.50116189</v>
      </c>
      <c r="M17" s="49">
        <f t="shared" si="7"/>
        <v>0.08365608056</v>
      </c>
      <c r="N17" s="32" t="str">
        <f t="shared" si="8"/>
        <v>Mal. Lott</v>
      </c>
      <c r="O17" s="50" t="s">
        <v>77</v>
      </c>
      <c r="P17" s="38">
        <v>685.0</v>
      </c>
      <c r="Q17" s="38">
        <v>267.0</v>
      </c>
      <c r="R17" s="38">
        <v>267.0</v>
      </c>
      <c r="S17" s="38">
        <v>136.0</v>
      </c>
      <c r="T17" s="38">
        <v>44.0</v>
      </c>
      <c r="U17" s="48">
        <f t="shared" si="9"/>
        <v>1219</v>
      </c>
      <c r="V17" s="48">
        <f t="shared" si="10"/>
        <v>1399</v>
      </c>
      <c r="W17" s="49">
        <f t="shared" si="11"/>
        <v>0.5619360131</v>
      </c>
      <c r="X17" s="49">
        <f t="shared" si="12"/>
        <v>0.2190319934</v>
      </c>
      <c r="Y17" s="49">
        <f t="shared" si="13"/>
        <v>0.2190319934</v>
      </c>
      <c r="Z17" s="32" t="str">
        <f t="shared" si="14"/>
        <v>Jango</v>
      </c>
      <c r="AA17" s="50" t="s">
        <v>77</v>
      </c>
      <c r="AB17" s="38">
        <v>1673.0</v>
      </c>
      <c r="AC17" s="48">
        <f t="shared" si="15"/>
        <v>274</v>
      </c>
      <c r="AD17" s="51">
        <f t="shared" si="16"/>
        <v>0.8362223551</v>
      </c>
    </row>
    <row r="18">
      <c r="A18" s="61" t="s">
        <v>90</v>
      </c>
      <c r="B18" s="46" t="s">
        <v>1903</v>
      </c>
      <c r="C18" s="47"/>
      <c r="D18" s="38">
        <v>2000.0</v>
      </c>
      <c r="E18" s="38">
        <v>2538.0</v>
      </c>
      <c r="F18" s="48">
        <v>381.0</v>
      </c>
      <c r="G18" s="38">
        <v>198.0</v>
      </c>
      <c r="H18" s="38">
        <v>228.0</v>
      </c>
      <c r="I18" s="48">
        <f t="shared" si="3"/>
        <v>4919</v>
      </c>
      <c r="J18" s="48">
        <f t="shared" si="4"/>
        <v>5345</v>
      </c>
      <c r="K18" s="49">
        <f t="shared" si="5"/>
        <v>0.4065867046</v>
      </c>
      <c r="L18" s="49">
        <f t="shared" si="6"/>
        <v>0.5159585282</v>
      </c>
      <c r="M18" s="49">
        <f t="shared" si="7"/>
        <v>0.07745476723</v>
      </c>
      <c r="N18" s="32" t="str">
        <f t="shared" si="8"/>
        <v>Mal. Lott</v>
      </c>
      <c r="O18" s="50" t="s">
        <v>77</v>
      </c>
      <c r="P18" s="38">
        <v>2688.0</v>
      </c>
      <c r="Q18" s="38">
        <v>1583.0</v>
      </c>
      <c r="R18" s="38">
        <v>577.0</v>
      </c>
      <c r="S18" s="38">
        <v>373.0</v>
      </c>
      <c r="T18" s="38">
        <v>124.0</v>
      </c>
      <c r="U18" s="48">
        <f t="shared" si="9"/>
        <v>4848</v>
      </c>
      <c r="V18" s="48">
        <f t="shared" si="10"/>
        <v>5345</v>
      </c>
      <c r="W18" s="49">
        <f t="shared" si="11"/>
        <v>0.5544554455</v>
      </c>
      <c r="X18" s="49">
        <f t="shared" si="12"/>
        <v>0.3265264026</v>
      </c>
      <c r="Y18" s="49">
        <f t="shared" si="13"/>
        <v>0.1190181518</v>
      </c>
      <c r="Z18" s="32" t="str">
        <f t="shared" si="14"/>
        <v>Jango</v>
      </c>
      <c r="AA18" s="50" t="s">
        <v>77</v>
      </c>
      <c r="AB18" s="38">
        <v>6462.0</v>
      </c>
      <c r="AC18" s="48">
        <f t="shared" si="15"/>
        <v>1117</v>
      </c>
      <c r="AD18" s="51">
        <f t="shared" si="16"/>
        <v>0.8271432993</v>
      </c>
    </row>
    <row r="19">
      <c r="A19" s="24"/>
      <c r="B19" s="46" t="s">
        <v>1904</v>
      </c>
      <c r="C19" s="47"/>
      <c r="D19" s="38">
        <v>535.0</v>
      </c>
      <c r="E19" s="38">
        <v>476.0</v>
      </c>
      <c r="F19" s="48">
        <v>34.0</v>
      </c>
      <c r="G19" s="38">
        <v>37.0</v>
      </c>
      <c r="H19" s="38">
        <v>36.0</v>
      </c>
      <c r="I19" s="48">
        <f t="shared" si="3"/>
        <v>1045</v>
      </c>
      <c r="J19" s="48">
        <f t="shared" si="4"/>
        <v>1118</v>
      </c>
      <c r="K19" s="49">
        <f t="shared" si="5"/>
        <v>0.5119617225</v>
      </c>
      <c r="L19" s="49">
        <f t="shared" si="6"/>
        <v>0.4555023923</v>
      </c>
      <c r="M19" s="49">
        <f t="shared" si="7"/>
        <v>0.03253588517</v>
      </c>
      <c r="N19" s="32" t="str">
        <f t="shared" si="8"/>
        <v>Jânio</v>
      </c>
      <c r="O19" s="50" t="s">
        <v>77</v>
      </c>
      <c r="P19" s="38">
        <v>518.0</v>
      </c>
      <c r="Q19" s="38">
        <v>421.0</v>
      </c>
      <c r="R19" s="38">
        <v>60.0</v>
      </c>
      <c r="S19" s="38">
        <v>94.0</v>
      </c>
      <c r="T19" s="38">
        <v>25.0</v>
      </c>
      <c r="U19" s="48">
        <f t="shared" si="9"/>
        <v>999</v>
      </c>
      <c r="V19" s="48">
        <f t="shared" si="10"/>
        <v>1118</v>
      </c>
      <c r="W19" s="49">
        <f t="shared" si="11"/>
        <v>0.5185185185</v>
      </c>
      <c r="X19" s="49">
        <f t="shared" si="12"/>
        <v>0.4214214214</v>
      </c>
      <c r="Y19" s="49">
        <f t="shared" si="13"/>
        <v>0.06006006006</v>
      </c>
      <c r="Z19" s="32" t="str">
        <f t="shared" si="14"/>
        <v>Jango</v>
      </c>
      <c r="AA19" s="50" t="s">
        <v>77</v>
      </c>
      <c r="AB19" s="38">
        <v>1571.0</v>
      </c>
      <c r="AC19" s="48">
        <f t="shared" si="15"/>
        <v>453</v>
      </c>
      <c r="AD19" s="51">
        <f t="shared" si="16"/>
        <v>0.7116486314</v>
      </c>
    </row>
    <row r="20">
      <c r="A20" s="110" t="s">
        <v>92</v>
      </c>
      <c r="B20" s="46" t="s">
        <v>1905</v>
      </c>
      <c r="C20" s="47"/>
      <c r="D20" s="38">
        <v>11366.0</v>
      </c>
      <c r="E20" s="38">
        <v>4097.0</v>
      </c>
      <c r="F20" s="48">
        <v>2573.0</v>
      </c>
      <c r="G20" s="38">
        <v>437.0</v>
      </c>
      <c r="H20" s="38">
        <v>739.0</v>
      </c>
      <c r="I20" s="48">
        <f t="shared" si="3"/>
        <v>18036</v>
      </c>
      <c r="J20" s="48">
        <f t="shared" si="4"/>
        <v>19212</v>
      </c>
      <c r="K20" s="49">
        <f t="shared" si="5"/>
        <v>0.6301840763</v>
      </c>
      <c r="L20" s="49">
        <f t="shared" si="6"/>
        <v>0.2271567975</v>
      </c>
      <c r="M20" s="49">
        <f t="shared" si="7"/>
        <v>0.1426591262</v>
      </c>
      <c r="N20" s="32" t="str">
        <f t="shared" si="8"/>
        <v>Jânio</v>
      </c>
      <c r="O20" s="50" t="s">
        <v>77</v>
      </c>
      <c r="P20" s="38">
        <v>5331.0</v>
      </c>
      <c r="Q20" s="38">
        <v>9070.0</v>
      </c>
      <c r="R20" s="38">
        <v>2782.0</v>
      </c>
      <c r="S20" s="38">
        <v>1610.0</v>
      </c>
      <c r="T20" s="38">
        <v>419.0</v>
      </c>
      <c r="U20" s="48">
        <f t="shared" si="9"/>
        <v>17183</v>
      </c>
      <c r="V20" s="48">
        <f t="shared" si="10"/>
        <v>19212</v>
      </c>
      <c r="W20" s="49">
        <f t="shared" si="11"/>
        <v>0.3102485014</v>
      </c>
      <c r="X20" s="49">
        <f t="shared" si="12"/>
        <v>0.5278472909</v>
      </c>
      <c r="Y20" s="49">
        <f t="shared" si="13"/>
        <v>0.1619042076</v>
      </c>
      <c r="Z20" s="32" t="str">
        <f t="shared" si="14"/>
        <v>Milton</v>
      </c>
      <c r="AA20" s="50" t="s">
        <v>77</v>
      </c>
      <c r="AB20" s="38">
        <v>23424.0</v>
      </c>
      <c r="AC20" s="48">
        <f t="shared" si="15"/>
        <v>4212</v>
      </c>
      <c r="AD20" s="51">
        <f t="shared" si="16"/>
        <v>0.8201844262</v>
      </c>
    </row>
    <row r="21">
      <c r="A21" s="110" t="s">
        <v>94</v>
      </c>
      <c r="B21" s="46" t="s">
        <v>1906</v>
      </c>
      <c r="C21" s="47"/>
      <c r="D21" s="38">
        <v>1957.0</v>
      </c>
      <c r="E21" s="38">
        <v>1402.0</v>
      </c>
      <c r="F21" s="48">
        <v>256.0</v>
      </c>
      <c r="G21" s="38">
        <v>121.0</v>
      </c>
      <c r="H21" s="38">
        <v>181.0</v>
      </c>
      <c r="I21" s="48">
        <f t="shared" si="3"/>
        <v>3615</v>
      </c>
      <c r="J21" s="48">
        <f t="shared" si="4"/>
        <v>3917</v>
      </c>
      <c r="K21" s="49">
        <f t="shared" si="5"/>
        <v>0.5413554633</v>
      </c>
      <c r="L21" s="49">
        <f t="shared" si="6"/>
        <v>0.3878284924</v>
      </c>
      <c r="M21" s="49">
        <f t="shared" si="7"/>
        <v>0.07081604426</v>
      </c>
      <c r="N21" s="32" t="str">
        <f t="shared" si="8"/>
        <v>Jânio</v>
      </c>
      <c r="O21" s="50" t="s">
        <v>77</v>
      </c>
      <c r="P21" s="38">
        <v>1547.0</v>
      </c>
      <c r="Q21" s="38">
        <v>1543.0</v>
      </c>
      <c r="R21" s="38">
        <v>372.0</v>
      </c>
      <c r="S21" s="38">
        <v>330.0</v>
      </c>
      <c r="T21" s="38">
        <v>125.0</v>
      </c>
      <c r="U21" s="48">
        <f t="shared" si="9"/>
        <v>3462</v>
      </c>
      <c r="V21" s="48">
        <f t="shared" si="10"/>
        <v>3917</v>
      </c>
      <c r="W21" s="49">
        <f t="shared" si="11"/>
        <v>0.4468515309</v>
      </c>
      <c r="X21" s="49">
        <f t="shared" si="12"/>
        <v>0.4456961294</v>
      </c>
      <c r="Y21" s="49">
        <f t="shared" si="13"/>
        <v>0.1074523397</v>
      </c>
      <c r="Z21" s="32" t="str">
        <f t="shared" si="14"/>
        <v>Jango</v>
      </c>
      <c r="AA21" s="50" t="s">
        <v>77</v>
      </c>
      <c r="AB21" s="38">
        <v>4744.0</v>
      </c>
      <c r="AC21" s="48">
        <f t="shared" si="15"/>
        <v>827</v>
      </c>
      <c r="AD21" s="51">
        <f t="shared" si="16"/>
        <v>0.8256745363</v>
      </c>
    </row>
    <row r="22">
      <c r="A22" s="110" t="s">
        <v>97</v>
      </c>
      <c r="B22" s="46" t="s">
        <v>1907</v>
      </c>
      <c r="C22" s="47"/>
      <c r="D22" s="38">
        <v>2270.0</v>
      </c>
      <c r="E22" s="38">
        <v>2534.0</v>
      </c>
      <c r="F22" s="38">
        <v>334.0</v>
      </c>
      <c r="G22" s="38">
        <v>205.0</v>
      </c>
      <c r="H22" s="38">
        <v>277.0</v>
      </c>
      <c r="I22" s="48">
        <f t="shared" si="3"/>
        <v>5138</v>
      </c>
      <c r="J22" s="48">
        <f t="shared" si="4"/>
        <v>5620</v>
      </c>
      <c r="K22" s="49">
        <f t="shared" si="5"/>
        <v>0.4418061503</v>
      </c>
      <c r="L22" s="49">
        <f t="shared" si="6"/>
        <v>0.4931880109</v>
      </c>
      <c r="M22" s="49">
        <f t="shared" si="7"/>
        <v>0.06500583885</v>
      </c>
      <c r="N22" s="32" t="str">
        <f t="shared" si="8"/>
        <v>Mal. Lott</v>
      </c>
      <c r="O22" s="50" t="s">
        <v>77</v>
      </c>
      <c r="P22" s="38">
        <v>2597.0</v>
      </c>
      <c r="Q22" s="38">
        <v>2067.0</v>
      </c>
      <c r="R22" s="38">
        <v>307.0</v>
      </c>
      <c r="S22" s="38">
        <v>449.0</v>
      </c>
      <c r="T22" s="38">
        <v>200.0</v>
      </c>
      <c r="U22" s="48">
        <f t="shared" si="9"/>
        <v>4971</v>
      </c>
      <c r="V22" s="48">
        <f t="shared" si="10"/>
        <v>5620</v>
      </c>
      <c r="W22" s="49">
        <f t="shared" si="11"/>
        <v>0.5224300945</v>
      </c>
      <c r="X22" s="49">
        <f t="shared" si="12"/>
        <v>0.4158117079</v>
      </c>
      <c r="Y22" s="49">
        <f t="shared" si="13"/>
        <v>0.06175819755</v>
      </c>
      <c r="Z22" s="32" t="str">
        <f t="shared" si="14"/>
        <v>Jango</v>
      </c>
      <c r="AA22" s="50" t="s">
        <v>77</v>
      </c>
      <c r="AB22" s="38">
        <v>6183.0</v>
      </c>
      <c r="AC22" s="48">
        <f t="shared" si="15"/>
        <v>563</v>
      </c>
      <c r="AD22" s="51">
        <f t="shared" si="16"/>
        <v>0.9089438784</v>
      </c>
    </row>
    <row r="23">
      <c r="A23" s="110" t="s">
        <v>99</v>
      </c>
      <c r="B23" s="46" t="s">
        <v>1908</v>
      </c>
      <c r="C23" s="47"/>
      <c r="D23" s="38">
        <v>1098.0</v>
      </c>
      <c r="E23" s="38">
        <v>1124.0</v>
      </c>
      <c r="F23" s="38">
        <v>217.0</v>
      </c>
      <c r="G23" s="38">
        <v>68.0</v>
      </c>
      <c r="H23" s="38">
        <v>149.0</v>
      </c>
      <c r="I23" s="48">
        <f t="shared" si="3"/>
        <v>2439</v>
      </c>
      <c r="J23" s="48">
        <f t="shared" si="4"/>
        <v>2656</v>
      </c>
      <c r="K23" s="49">
        <f t="shared" si="5"/>
        <v>0.4501845018</v>
      </c>
      <c r="L23" s="49">
        <f t="shared" si="6"/>
        <v>0.4608446084</v>
      </c>
      <c r="M23" s="49">
        <f t="shared" si="7"/>
        <v>0.08897088971</v>
      </c>
      <c r="N23" s="32" t="str">
        <f t="shared" si="8"/>
        <v>Mal. Lott</v>
      </c>
      <c r="O23" s="50" t="s">
        <v>77</v>
      </c>
      <c r="P23" s="38">
        <v>1098.0</v>
      </c>
      <c r="Q23" s="38">
        <v>870.0</v>
      </c>
      <c r="R23" s="38">
        <v>371.0</v>
      </c>
      <c r="S23" s="38">
        <v>210.0</v>
      </c>
      <c r="T23" s="38">
        <v>107.0</v>
      </c>
      <c r="U23" s="48">
        <f t="shared" si="9"/>
        <v>2339</v>
      </c>
      <c r="V23" s="48">
        <f t="shared" si="10"/>
        <v>2656</v>
      </c>
      <c r="W23" s="49">
        <f t="shared" si="11"/>
        <v>0.4694313809</v>
      </c>
      <c r="X23" s="49">
        <f t="shared" si="12"/>
        <v>0.3719538264</v>
      </c>
      <c r="Y23" s="49">
        <f t="shared" si="13"/>
        <v>0.1586147926</v>
      </c>
      <c r="Z23" s="32" t="str">
        <f t="shared" si="14"/>
        <v>Jango</v>
      </c>
      <c r="AA23" s="50" t="s">
        <v>77</v>
      </c>
      <c r="AB23" s="55">
        <v>2973.0</v>
      </c>
      <c r="AC23" s="48">
        <f t="shared" si="15"/>
        <v>317</v>
      </c>
      <c r="AD23" s="51">
        <f t="shared" si="16"/>
        <v>0.8933736966</v>
      </c>
    </row>
    <row r="24">
      <c r="A24" s="110" t="s">
        <v>104</v>
      </c>
      <c r="B24" s="46" t="s">
        <v>1909</v>
      </c>
      <c r="C24" s="47"/>
      <c r="D24" s="38">
        <v>1756.0</v>
      </c>
      <c r="E24" s="38">
        <v>732.0</v>
      </c>
      <c r="F24" s="38">
        <v>151.0</v>
      </c>
      <c r="G24" s="38">
        <v>99.0</v>
      </c>
      <c r="H24" s="38">
        <v>130.0</v>
      </c>
      <c r="I24" s="48">
        <f t="shared" si="3"/>
        <v>2639</v>
      </c>
      <c r="J24" s="48">
        <f t="shared" si="4"/>
        <v>2868</v>
      </c>
      <c r="K24" s="49">
        <f t="shared" si="5"/>
        <v>0.665403562</v>
      </c>
      <c r="L24" s="49">
        <f t="shared" si="6"/>
        <v>0.2773777946</v>
      </c>
      <c r="M24" s="49">
        <f t="shared" si="7"/>
        <v>0.05721864343</v>
      </c>
      <c r="N24" s="32" t="str">
        <f t="shared" si="8"/>
        <v>Jânio</v>
      </c>
      <c r="O24" s="50" t="s">
        <v>77</v>
      </c>
      <c r="P24" s="38">
        <v>879.0</v>
      </c>
      <c r="Q24" s="38">
        <v>1227.0</v>
      </c>
      <c r="R24" s="38">
        <v>349.0</v>
      </c>
      <c r="S24" s="38">
        <v>347.0</v>
      </c>
      <c r="T24" s="38">
        <v>66.0</v>
      </c>
      <c r="U24" s="48">
        <f t="shared" si="9"/>
        <v>2455</v>
      </c>
      <c r="V24" s="48">
        <f t="shared" si="10"/>
        <v>2868</v>
      </c>
      <c r="W24" s="49">
        <f t="shared" si="11"/>
        <v>0.3580448065</v>
      </c>
      <c r="X24" s="49">
        <f t="shared" si="12"/>
        <v>0.499796334</v>
      </c>
      <c r="Y24" s="49">
        <f t="shared" si="13"/>
        <v>0.1421588595</v>
      </c>
      <c r="Z24" s="32" t="str">
        <f t="shared" si="14"/>
        <v>Milton</v>
      </c>
      <c r="AA24" s="50" t="s">
        <v>77</v>
      </c>
      <c r="AB24" s="38">
        <v>3415.0</v>
      </c>
      <c r="AC24" s="48">
        <f t="shared" si="15"/>
        <v>547</v>
      </c>
      <c r="AD24" s="51">
        <f t="shared" si="16"/>
        <v>0.8398243045</v>
      </c>
    </row>
    <row r="25">
      <c r="A25" s="110" t="s">
        <v>107</v>
      </c>
      <c r="B25" s="46" t="s">
        <v>1910</v>
      </c>
      <c r="C25" s="47"/>
      <c r="D25" s="38">
        <v>1969.0</v>
      </c>
      <c r="E25" s="38">
        <v>678.0</v>
      </c>
      <c r="F25" s="38">
        <v>402.0</v>
      </c>
      <c r="G25" s="38">
        <v>80.0</v>
      </c>
      <c r="H25" s="38">
        <v>187.0</v>
      </c>
      <c r="I25" s="48">
        <f t="shared" si="3"/>
        <v>3049</v>
      </c>
      <c r="J25" s="48">
        <f t="shared" si="4"/>
        <v>3316</v>
      </c>
      <c r="K25" s="49">
        <f t="shared" si="5"/>
        <v>0.6457855034</v>
      </c>
      <c r="L25" s="49">
        <f t="shared" si="6"/>
        <v>0.2223679895</v>
      </c>
      <c r="M25" s="49">
        <f t="shared" si="7"/>
        <v>0.1318465071</v>
      </c>
      <c r="N25" s="32" t="str">
        <f t="shared" si="8"/>
        <v>Jânio</v>
      </c>
      <c r="O25" s="50" t="s">
        <v>77</v>
      </c>
      <c r="P25" s="38">
        <v>698.0</v>
      </c>
      <c r="Q25" s="38">
        <v>1232.0</v>
      </c>
      <c r="R25" s="38">
        <v>804.0</v>
      </c>
      <c r="S25" s="38">
        <v>480.0</v>
      </c>
      <c r="T25" s="38">
        <v>102.0</v>
      </c>
      <c r="U25" s="48">
        <f t="shared" si="9"/>
        <v>2734</v>
      </c>
      <c r="V25" s="48">
        <f t="shared" si="10"/>
        <v>3316</v>
      </c>
      <c r="W25" s="49">
        <f t="shared" si="11"/>
        <v>0.2553035845</v>
      </c>
      <c r="X25" s="49">
        <f t="shared" si="12"/>
        <v>0.4506217996</v>
      </c>
      <c r="Y25" s="49">
        <f t="shared" si="13"/>
        <v>0.2940746159</v>
      </c>
      <c r="Z25" s="32" t="str">
        <f t="shared" si="14"/>
        <v>Milton</v>
      </c>
      <c r="AA25" s="50" t="s">
        <v>77</v>
      </c>
      <c r="AB25" s="38">
        <v>3486.0</v>
      </c>
      <c r="AC25" s="48">
        <f t="shared" si="15"/>
        <v>170</v>
      </c>
      <c r="AD25" s="51">
        <f t="shared" si="16"/>
        <v>0.9512335055</v>
      </c>
    </row>
    <row r="26">
      <c r="A26" s="61" t="s">
        <v>111</v>
      </c>
      <c r="B26" s="46" t="s">
        <v>1911</v>
      </c>
      <c r="C26" s="47"/>
      <c r="D26" s="38">
        <v>982.0</v>
      </c>
      <c r="E26" s="38">
        <v>1020.0</v>
      </c>
      <c r="F26" s="38">
        <v>95.0</v>
      </c>
      <c r="G26" s="38">
        <v>84.0</v>
      </c>
      <c r="H26" s="38">
        <v>135.0</v>
      </c>
      <c r="I26" s="48">
        <f t="shared" si="3"/>
        <v>2097</v>
      </c>
      <c r="J26" s="48">
        <f t="shared" si="4"/>
        <v>2316</v>
      </c>
      <c r="K26" s="49">
        <f t="shared" si="5"/>
        <v>0.4682880305</v>
      </c>
      <c r="L26" s="49">
        <f t="shared" si="6"/>
        <v>0.4864091559</v>
      </c>
      <c r="M26" s="49">
        <f t="shared" si="7"/>
        <v>0.04530281354</v>
      </c>
      <c r="N26" s="32" t="str">
        <f t="shared" si="8"/>
        <v>Mal. Lott</v>
      </c>
      <c r="O26" s="50" t="s">
        <v>77</v>
      </c>
      <c r="P26" s="38">
        <v>861.0</v>
      </c>
      <c r="Q26" s="38">
        <v>537.0</v>
      </c>
      <c r="R26" s="38">
        <v>555.0</v>
      </c>
      <c r="S26" s="38">
        <v>268.0</v>
      </c>
      <c r="T26" s="38">
        <v>95.0</v>
      </c>
      <c r="U26" s="48">
        <f t="shared" si="9"/>
        <v>1953</v>
      </c>
      <c r="V26" s="48">
        <f t="shared" si="10"/>
        <v>2316</v>
      </c>
      <c r="W26" s="49">
        <f t="shared" si="11"/>
        <v>0.4408602151</v>
      </c>
      <c r="X26" s="49">
        <f t="shared" si="12"/>
        <v>0.2749615975</v>
      </c>
      <c r="Y26" s="49">
        <f t="shared" si="13"/>
        <v>0.2841781874</v>
      </c>
      <c r="Z26" s="32" t="str">
        <f t="shared" si="14"/>
        <v>Jango</v>
      </c>
      <c r="AA26" s="50" t="s">
        <v>77</v>
      </c>
      <c r="AB26" s="38">
        <v>2532.0</v>
      </c>
      <c r="AC26" s="48">
        <f t="shared" si="15"/>
        <v>216</v>
      </c>
      <c r="AD26" s="51">
        <f t="shared" si="16"/>
        <v>0.9146919431</v>
      </c>
    </row>
    <row r="27">
      <c r="A27" s="24"/>
      <c r="B27" s="46" t="s">
        <v>1912</v>
      </c>
      <c r="C27" s="47"/>
      <c r="D27" s="38">
        <v>1248.0</v>
      </c>
      <c r="E27" s="38">
        <v>566.0</v>
      </c>
      <c r="F27" s="38">
        <v>127.0</v>
      </c>
      <c r="G27" s="38">
        <v>49.0</v>
      </c>
      <c r="H27" s="38">
        <v>57.0</v>
      </c>
      <c r="I27" s="48">
        <f t="shared" si="3"/>
        <v>1941</v>
      </c>
      <c r="J27" s="48">
        <f t="shared" si="4"/>
        <v>2047</v>
      </c>
      <c r="K27" s="49">
        <f t="shared" si="5"/>
        <v>0.6429675425</v>
      </c>
      <c r="L27" s="49">
        <f t="shared" si="6"/>
        <v>0.2916022669</v>
      </c>
      <c r="M27" s="49">
        <f t="shared" si="7"/>
        <v>0.06543019062</v>
      </c>
      <c r="N27" s="32" t="str">
        <f t="shared" si="8"/>
        <v>Jânio</v>
      </c>
      <c r="O27" s="50" t="s">
        <v>77</v>
      </c>
      <c r="P27" s="38">
        <v>592.0</v>
      </c>
      <c r="Q27" s="38">
        <v>1177.0</v>
      </c>
      <c r="R27" s="38">
        <v>117.0</v>
      </c>
      <c r="S27" s="38">
        <v>123.0</v>
      </c>
      <c r="T27" s="38">
        <v>38.0</v>
      </c>
      <c r="U27" s="48">
        <f t="shared" si="9"/>
        <v>1886</v>
      </c>
      <c r="V27" s="48">
        <f t="shared" si="10"/>
        <v>2047</v>
      </c>
      <c r="W27" s="49">
        <f t="shared" si="11"/>
        <v>0.3138918346</v>
      </c>
      <c r="X27" s="49">
        <f t="shared" si="12"/>
        <v>0.6240721103</v>
      </c>
      <c r="Y27" s="49">
        <f t="shared" si="13"/>
        <v>0.06203605514</v>
      </c>
      <c r="Z27" s="32" t="str">
        <f t="shared" si="14"/>
        <v>Milton</v>
      </c>
      <c r="AA27" s="50" t="s">
        <v>77</v>
      </c>
      <c r="AB27" s="38">
        <v>2248.0</v>
      </c>
      <c r="AC27" s="48">
        <f t="shared" si="15"/>
        <v>201</v>
      </c>
      <c r="AD27" s="51">
        <f t="shared" si="16"/>
        <v>0.9105871886</v>
      </c>
    </row>
    <row r="28">
      <c r="A28" s="110" t="s">
        <v>114</v>
      </c>
      <c r="B28" s="46" t="s">
        <v>1913</v>
      </c>
      <c r="C28" s="47"/>
      <c r="D28" s="38">
        <v>3319.0</v>
      </c>
      <c r="E28" s="38">
        <v>1499.0</v>
      </c>
      <c r="F28" s="38">
        <v>778.0</v>
      </c>
      <c r="G28" s="38">
        <v>252.0</v>
      </c>
      <c r="H28" s="38">
        <v>358.0</v>
      </c>
      <c r="I28" s="48">
        <f t="shared" si="3"/>
        <v>5596</v>
      </c>
      <c r="J28" s="48">
        <f t="shared" si="4"/>
        <v>6206</v>
      </c>
      <c r="K28" s="49">
        <f t="shared" si="5"/>
        <v>0.5931022159</v>
      </c>
      <c r="L28" s="49">
        <f t="shared" si="6"/>
        <v>0.2678699071</v>
      </c>
      <c r="M28" s="49">
        <f t="shared" si="7"/>
        <v>0.1390278771</v>
      </c>
      <c r="N28" s="32" t="str">
        <f t="shared" si="8"/>
        <v>Jânio</v>
      </c>
      <c r="O28" s="50" t="s">
        <v>77</v>
      </c>
      <c r="P28" s="38">
        <v>1695.0</v>
      </c>
      <c r="Q28" s="38">
        <v>1937.0</v>
      </c>
      <c r="R28" s="38">
        <v>1475.0</v>
      </c>
      <c r="S28" s="38">
        <v>892.0</v>
      </c>
      <c r="T28" s="38">
        <v>207.0</v>
      </c>
      <c r="U28" s="48">
        <f t="shared" si="9"/>
        <v>5107</v>
      </c>
      <c r="V28" s="48">
        <f t="shared" si="10"/>
        <v>6206</v>
      </c>
      <c r="W28" s="49">
        <f t="shared" si="11"/>
        <v>0.3318973957</v>
      </c>
      <c r="X28" s="49">
        <f t="shared" si="12"/>
        <v>0.3792833366</v>
      </c>
      <c r="Y28" s="49">
        <f t="shared" si="13"/>
        <v>0.2888192677</v>
      </c>
      <c r="Z28" s="32" t="str">
        <f t="shared" si="14"/>
        <v>Milton</v>
      </c>
      <c r="AA28" s="50" t="s">
        <v>77</v>
      </c>
      <c r="AB28" s="38">
        <v>7793.0</v>
      </c>
      <c r="AC28" s="48">
        <f t="shared" si="15"/>
        <v>1587</v>
      </c>
      <c r="AD28" s="51">
        <f t="shared" si="16"/>
        <v>0.7963557038</v>
      </c>
    </row>
    <row r="29">
      <c r="A29" s="61" t="s">
        <v>117</v>
      </c>
      <c r="B29" s="46" t="s">
        <v>1914</v>
      </c>
      <c r="C29" s="47"/>
      <c r="D29" s="38">
        <v>1638.0</v>
      </c>
      <c r="E29" s="38">
        <v>952.0</v>
      </c>
      <c r="F29" s="38">
        <v>259.0</v>
      </c>
      <c r="G29" s="38">
        <v>81.0</v>
      </c>
      <c r="H29" s="38">
        <v>117.0</v>
      </c>
      <c r="I29" s="48">
        <f t="shared" si="3"/>
        <v>2849</v>
      </c>
      <c r="J29" s="48">
        <f t="shared" si="4"/>
        <v>3047</v>
      </c>
      <c r="K29" s="49">
        <f t="shared" si="5"/>
        <v>0.5749385749</v>
      </c>
      <c r="L29" s="49">
        <f t="shared" si="6"/>
        <v>0.3341523342</v>
      </c>
      <c r="M29" s="49">
        <f t="shared" si="7"/>
        <v>0.09090909091</v>
      </c>
      <c r="N29" s="32" t="str">
        <f t="shared" si="8"/>
        <v>Jânio</v>
      </c>
      <c r="O29" s="50" t="s">
        <v>77</v>
      </c>
      <c r="P29" s="38">
        <v>996.0</v>
      </c>
      <c r="Q29" s="38">
        <v>868.0</v>
      </c>
      <c r="R29" s="38">
        <v>830.0</v>
      </c>
      <c r="S29" s="38">
        <v>270.0</v>
      </c>
      <c r="T29" s="38">
        <v>83.0</v>
      </c>
      <c r="U29" s="48">
        <f t="shared" si="9"/>
        <v>2694</v>
      </c>
      <c r="V29" s="48">
        <f t="shared" si="10"/>
        <v>3047</v>
      </c>
      <c r="W29" s="49">
        <f t="shared" si="11"/>
        <v>0.3697104677</v>
      </c>
      <c r="X29" s="49">
        <f t="shared" si="12"/>
        <v>0.3221974759</v>
      </c>
      <c r="Y29" s="49">
        <f t="shared" si="13"/>
        <v>0.3080920564</v>
      </c>
      <c r="Z29" s="32" t="str">
        <f t="shared" si="14"/>
        <v>Jango</v>
      </c>
      <c r="AA29" s="50" t="s">
        <v>77</v>
      </c>
      <c r="AB29" s="38">
        <v>3426.0</v>
      </c>
      <c r="AC29" s="48">
        <f t="shared" si="15"/>
        <v>379</v>
      </c>
      <c r="AD29" s="51">
        <f t="shared" si="16"/>
        <v>0.8893753649</v>
      </c>
    </row>
    <row r="30">
      <c r="A30" s="24"/>
      <c r="B30" s="46" t="s">
        <v>1915</v>
      </c>
      <c r="C30" s="47"/>
      <c r="D30" s="38">
        <v>871.0</v>
      </c>
      <c r="E30" s="38">
        <v>1098.0</v>
      </c>
      <c r="F30" s="38">
        <v>270.0</v>
      </c>
      <c r="G30" s="38">
        <v>55.0</v>
      </c>
      <c r="H30" s="38">
        <v>115.0</v>
      </c>
      <c r="I30" s="48">
        <f t="shared" si="3"/>
        <v>2239</v>
      </c>
      <c r="J30" s="48">
        <f t="shared" si="4"/>
        <v>2409</v>
      </c>
      <c r="K30" s="49">
        <f t="shared" si="5"/>
        <v>0.3890129522</v>
      </c>
      <c r="L30" s="49">
        <f t="shared" si="6"/>
        <v>0.4903974989</v>
      </c>
      <c r="M30" s="49">
        <f t="shared" si="7"/>
        <v>0.1205895489</v>
      </c>
      <c r="N30" s="32" t="str">
        <f t="shared" si="8"/>
        <v>Mal. Lott</v>
      </c>
      <c r="O30" s="50" t="s">
        <v>77</v>
      </c>
      <c r="P30" s="38">
        <v>1228.0</v>
      </c>
      <c r="Q30" s="38">
        <v>692.0</v>
      </c>
      <c r="R30" s="38">
        <v>222.0</v>
      </c>
      <c r="S30" s="38">
        <v>201.0</v>
      </c>
      <c r="T30" s="38">
        <v>66.0</v>
      </c>
      <c r="U30" s="48">
        <f t="shared" si="9"/>
        <v>2142</v>
      </c>
      <c r="V30" s="48">
        <f t="shared" si="10"/>
        <v>2409</v>
      </c>
      <c r="W30" s="49">
        <f t="shared" si="11"/>
        <v>0.5732959851</v>
      </c>
      <c r="X30" s="49">
        <f t="shared" si="12"/>
        <v>0.3230625584</v>
      </c>
      <c r="Y30" s="49">
        <f t="shared" si="13"/>
        <v>0.1036414566</v>
      </c>
      <c r="Z30" s="32" t="str">
        <f t="shared" si="14"/>
        <v>Jango</v>
      </c>
      <c r="AA30" s="50" t="s">
        <v>77</v>
      </c>
      <c r="AB30" s="38">
        <v>3335.0</v>
      </c>
      <c r="AC30" s="48">
        <f t="shared" si="15"/>
        <v>926</v>
      </c>
      <c r="AD30" s="51">
        <f t="shared" si="16"/>
        <v>0.7223388306</v>
      </c>
    </row>
    <row r="31">
      <c r="A31" s="110" t="s">
        <v>119</v>
      </c>
      <c r="B31" s="46" t="s">
        <v>1916</v>
      </c>
      <c r="C31" s="47"/>
      <c r="D31" s="38">
        <v>1633.0</v>
      </c>
      <c r="E31" s="38">
        <v>1419.0</v>
      </c>
      <c r="F31" s="38">
        <v>328.0</v>
      </c>
      <c r="G31" s="38">
        <v>64.0</v>
      </c>
      <c r="H31" s="38">
        <v>56.0</v>
      </c>
      <c r="I31" s="48">
        <f t="shared" si="3"/>
        <v>3380</v>
      </c>
      <c r="J31" s="48">
        <f t="shared" si="4"/>
        <v>3500</v>
      </c>
      <c r="K31" s="49">
        <f t="shared" si="5"/>
        <v>0.4831360947</v>
      </c>
      <c r="L31" s="49">
        <f t="shared" si="6"/>
        <v>0.4198224852</v>
      </c>
      <c r="M31" s="49">
        <f t="shared" si="7"/>
        <v>0.09704142012</v>
      </c>
      <c r="N31" s="32" t="str">
        <f t="shared" si="8"/>
        <v>Jânio</v>
      </c>
      <c r="O31" s="50" t="s">
        <v>77</v>
      </c>
      <c r="P31" s="38">
        <v>1421.0</v>
      </c>
      <c r="Q31" s="38">
        <v>1553.0</v>
      </c>
      <c r="R31" s="38">
        <v>287.0</v>
      </c>
      <c r="S31" s="38">
        <v>198.0</v>
      </c>
      <c r="T31" s="38">
        <v>41.0</v>
      </c>
      <c r="U31" s="48">
        <f t="shared" si="9"/>
        <v>3261</v>
      </c>
      <c r="V31" s="48">
        <f t="shared" si="10"/>
        <v>3500</v>
      </c>
      <c r="W31" s="49">
        <f t="shared" si="11"/>
        <v>0.4357559031</v>
      </c>
      <c r="X31" s="49">
        <f t="shared" si="12"/>
        <v>0.476234284</v>
      </c>
      <c r="Y31" s="49">
        <f t="shared" si="13"/>
        <v>0.08800981294</v>
      </c>
      <c r="Z31" s="32" t="str">
        <f t="shared" si="14"/>
        <v>Milton</v>
      </c>
      <c r="AA31" s="50" t="s">
        <v>77</v>
      </c>
      <c r="AB31" s="38">
        <v>3786.0</v>
      </c>
      <c r="AC31" s="48">
        <f t="shared" si="15"/>
        <v>286</v>
      </c>
      <c r="AD31" s="51">
        <f t="shared" si="16"/>
        <v>0.9244585314</v>
      </c>
    </row>
    <row r="32">
      <c r="A32" s="110" t="s">
        <v>123</v>
      </c>
      <c r="B32" s="46" t="s">
        <v>1917</v>
      </c>
      <c r="C32" s="47"/>
      <c r="D32" s="38">
        <v>1641.0</v>
      </c>
      <c r="E32" s="38">
        <v>936.0</v>
      </c>
      <c r="F32" s="38">
        <v>159.0</v>
      </c>
      <c r="G32" s="38">
        <v>58.0</v>
      </c>
      <c r="H32" s="38">
        <v>149.0</v>
      </c>
      <c r="I32" s="48">
        <f t="shared" si="3"/>
        <v>2736</v>
      </c>
      <c r="J32" s="48">
        <f t="shared" si="4"/>
        <v>2943</v>
      </c>
      <c r="K32" s="49">
        <f t="shared" si="5"/>
        <v>0.5997807018</v>
      </c>
      <c r="L32" s="49">
        <f t="shared" si="6"/>
        <v>0.3421052632</v>
      </c>
      <c r="M32" s="49">
        <f t="shared" si="7"/>
        <v>0.05811403509</v>
      </c>
      <c r="N32" s="32" t="str">
        <f t="shared" si="8"/>
        <v>Jânio</v>
      </c>
      <c r="O32" s="50" t="s">
        <v>77</v>
      </c>
      <c r="P32" s="38">
        <v>1000.0</v>
      </c>
      <c r="Q32" s="38">
        <v>1361.0</v>
      </c>
      <c r="R32" s="38">
        <v>287.0</v>
      </c>
      <c r="S32" s="38">
        <v>192.0</v>
      </c>
      <c r="T32" s="38">
        <v>103.0</v>
      </c>
      <c r="U32" s="48">
        <f t="shared" si="9"/>
        <v>2648</v>
      </c>
      <c r="V32" s="48">
        <f t="shared" si="10"/>
        <v>2943</v>
      </c>
      <c r="W32" s="49">
        <f t="shared" si="11"/>
        <v>0.3776435045</v>
      </c>
      <c r="X32" s="49">
        <f t="shared" si="12"/>
        <v>0.5139728097</v>
      </c>
      <c r="Y32" s="49">
        <f t="shared" si="13"/>
        <v>0.1083836858</v>
      </c>
      <c r="Z32" s="32" t="str">
        <f t="shared" si="14"/>
        <v>Milton</v>
      </c>
      <c r="AA32" s="50" t="s">
        <v>77</v>
      </c>
      <c r="AB32" s="38">
        <v>3139.0</v>
      </c>
      <c r="AC32" s="48">
        <f t="shared" si="15"/>
        <v>196</v>
      </c>
      <c r="AD32" s="51">
        <f t="shared" si="16"/>
        <v>0.9375597324</v>
      </c>
    </row>
    <row r="33">
      <c r="A33" s="110" t="s">
        <v>125</v>
      </c>
      <c r="B33" s="46" t="s">
        <v>1918</v>
      </c>
      <c r="C33" s="47"/>
      <c r="D33" s="38">
        <v>548.0</v>
      </c>
      <c r="E33" s="38">
        <v>519.0</v>
      </c>
      <c r="F33" s="38">
        <v>377.0</v>
      </c>
      <c r="G33" s="38">
        <v>76.0</v>
      </c>
      <c r="H33" s="38">
        <v>100.0</v>
      </c>
      <c r="I33" s="48">
        <f t="shared" si="3"/>
        <v>1444</v>
      </c>
      <c r="J33" s="48">
        <f t="shared" si="4"/>
        <v>1620</v>
      </c>
      <c r="K33" s="49">
        <f t="shared" si="5"/>
        <v>0.379501385</v>
      </c>
      <c r="L33" s="49">
        <f t="shared" si="6"/>
        <v>0.3594182825</v>
      </c>
      <c r="M33" s="49">
        <f t="shared" si="7"/>
        <v>0.2610803324</v>
      </c>
      <c r="N33" s="32" t="str">
        <f t="shared" si="8"/>
        <v>Jânio</v>
      </c>
      <c r="O33" s="50" t="s">
        <v>77</v>
      </c>
      <c r="P33" s="38">
        <v>515.0</v>
      </c>
      <c r="Q33" s="38">
        <v>525.0</v>
      </c>
      <c r="R33" s="38">
        <v>274.0</v>
      </c>
      <c r="S33" s="38">
        <v>260.0</v>
      </c>
      <c r="T33" s="38">
        <v>46.0</v>
      </c>
      <c r="U33" s="48">
        <f t="shared" si="9"/>
        <v>1314</v>
      </c>
      <c r="V33" s="48">
        <f t="shared" si="10"/>
        <v>1620</v>
      </c>
      <c r="W33" s="49">
        <f t="shared" si="11"/>
        <v>0.3919330289</v>
      </c>
      <c r="X33" s="49">
        <f t="shared" si="12"/>
        <v>0.399543379</v>
      </c>
      <c r="Y33" s="49">
        <f t="shared" si="13"/>
        <v>0.2085235921</v>
      </c>
      <c r="Z33" s="32" t="str">
        <f t="shared" si="14"/>
        <v>Milton</v>
      </c>
      <c r="AA33" s="50" t="s">
        <v>77</v>
      </c>
      <c r="AB33" s="38">
        <v>1913.0</v>
      </c>
      <c r="AC33" s="48">
        <f t="shared" si="15"/>
        <v>293</v>
      </c>
      <c r="AD33" s="51">
        <f t="shared" si="16"/>
        <v>0.8468374281</v>
      </c>
    </row>
    <row r="34">
      <c r="A34" s="110" t="s">
        <v>127</v>
      </c>
      <c r="B34" s="46" t="s">
        <v>1919</v>
      </c>
      <c r="C34" s="47"/>
      <c r="D34" s="38">
        <v>1896.0</v>
      </c>
      <c r="E34" s="38">
        <v>1900.0</v>
      </c>
      <c r="F34" s="38">
        <v>245.0</v>
      </c>
      <c r="G34" s="38">
        <v>128.0</v>
      </c>
      <c r="H34" s="38">
        <v>169.0</v>
      </c>
      <c r="I34" s="48">
        <f t="shared" si="3"/>
        <v>4041</v>
      </c>
      <c r="J34" s="48">
        <f t="shared" si="4"/>
        <v>4338</v>
      </c>
      <c r="K34" s="49">
        <f t="shared" si="5"/>
        <v>0.4691907944</v>
      </c>
      <c r="L34" s="49">
        <f t="shared" si="6"/>
        <v>0.4701806484</v>
      </c>
      <c r="M34" s="49">
        <f t="shared" si="7"/>
        <v>0.06062855729</v>
      </c>
      <c r="N34" s="32" t="str">
        <f t="shared" si="8"/>
        <v>Mal. Lott</v>
      </c>
      <c r="O34" s="50" t="s">
        <v>77</v>
      </c>
      <c r="P34" s="38">
        <v>2057.0</v>
      </c>
      <c r="Q34" s="38">
        <v>1675.0</v>
      </c>
      <c r="R34" s="38">
        <v>195.0</v>
      </c>
      <c r="S34" s="38">
        <v>297.0</v>
      </c>
      <c r="T34" s="38">
        <v>114.0</v>
      </c>
      <c r="U34" s="48">
        <f t="shared" si="9"/>
        <v>3927</v>
      </c>
      <c r="V34" s="48">
        <f t="shared" si="10"/>
        <v>4338</v>
      </c>
      <c r="W34" s="49">
        <f t="shared" si="11"/>
        <v>0.5238095238</v>
      </c>
      <c r="X34" s="49">
        <f t="shared" si="12"/>
        <v>0.4265342501</v>
      </c>
      <c r="Y34" s="49">
        <f t="shared" si="13"/>
        <v>0.04965622613</v>
      </c>
      <c r="Z34" s="32" t="str">
        <f t="shared" si="14"/>
        <v>Jango</v>
      </c>
      <c r="AA34" s="50" t="s">
        <v>77</v>
      </c>
      <c r="AB34" s="38">
        <v>4885.0</v>
      </c>
      <c r="AC34" s="48">
        <f t="shared" si="15"/>
        <v>547</v>
      </c>
      <c r="AD34" s="51">
        <f t="shared" si="16"/>
        <v>0.888024565</v>
      </c>
    </row>
    <row r="35">
      <c r="A35" s="110" t="s">
        <v>129</v>
      </c>
      <c r="B35" s="46" t="s">
        <v>1920</v>
      </c>
      <c r="C35" s="47"/>
      <c r="D35" s="38">
        <v>1482.0</v>
      </c>
      <c r="E35" s="38">
        <v>1164.0</v>
      </c>
      <c r="F35" s="38">
        <v>101.0</v>
      </c>
      <c r="G35" s="38">
        <v>123.0</v>
      </c>
      <c r="H35" s="38">
        <v>205.0</v>
      </c>
      <c r="I35" s="48">
        <f t="shared" si="3"/>
        <v>2747</v>
      </c>
      <c r="J35" s="48">
        <f t="shared" si="4"/>
        <v>3075</v>
      </c>
      <c r="K35" s="49">
        <f t="shared" si="5"/>
        <v>0.5394976338</v>
      </c>
      <c r="L35" s="49">
        <f t="shared" si="6"/>
        <v>0.4237349836</v>
      </c>
      <c r="M35" s="49">
        <f t="shared" si="7"/>
        <v>0.0367673826</v>
      </c>
      <c r="N35" s="32" t="str">
        <f t="shared" si="8"/>
        <v>Jânio</v>
      </c>
      <c r="O35" s="50" t="s">
        <v>77</v>
      </c>
      <c r="P35" s="38">
        <v>1312.0</v>
      </c>
      <c r="Q35" s="38">
        <v>913.0</v>
      </c>
      <c r="R35" s="38">
        <v>356.0</v>
      </c>
      <c r="S35" s="38">
        <v>339.0</v>
      </c>
      <c r="T35" s="38">
        <v>155.0</v>
      </c>
      <c r="U35" s="48">
        <f t="shared" si="9"/>
        <v>2581</v>
      </c>
      <c r="V35" s="48">
        <f t="shared" si="10"/>
        <v>3075</v>
      </c>
      <c r="W35" s="49">
        <f t="shared" si="11"/>
        <v>0.5083301046</v>
      </c>
      <c r="X35" s="49">
        <f t="shared" si="12"/>
        <v>0.3537388609</v>
      </c>
      <c r="Y35" s="49">
        <f t="shared" si="13"/>
        <v>0.1379310345</v>
      </c>
      <c r="Z35" s="32" t="str">
        <f t="shared" si="14"/>
        <v>Jango</v>
      </c>
      <c r="AA35" s="50" t="s">
        <v>77</v>
      </c>
      <c r="AB35" s="38">
        <v>3408.0</v>
      </c>
      <c r="AC35" s="48">
        <f t="shared" si="15"/>
        <v>333</v>
      </c>
      <c r="AD35" s="51">
        <f t="shared" si="16"/>
        <v>0.9022887324</v>
      </c>
    </row>
    <row r="36">
      <c r="A36" s="110" t="s">
        <v>131</v>
      </c>
      <c r="B36" s="46" t="s">
        <v>1921</v>
      </c>
      <c r="C36" s="47"/>
      <c r="D36" s="38">
        <v>1412.0</v>
      </c>
      <c r="E36" s="38">
        <v>884.0</v>
      </c>
      <c r="F36" s="38">
        <v>445.0</v>
      </c>
      <c r="G36" s="38">
        <v>86.0</v>
      </c>
      <c r="H36" s="38">
        <v>159.0</v>
      </c>
      <c r="I36" s="48">
        <f t="shared" si="3"/>
        <v>2741</v>
      </c>
      <c r="J36" s="48">
        <f t="shared" si="4"/>
        <v>2986</v>
      </c>
      <c r="K36" s="49">
        <f t="shared" si="5"/>
        <v>0.5151404597</v>
      </c>
      <c r="L36" s="49">
        <f t="shared" si="6"/>
        <v>0.3225100328</v>
      </c>
      <c r="M36" s="49">
        <f t="shared" si="7"/>
        <v>0.1623495075</v>
      </c>
      <c r="N36" s="32" t="str">
        <f t="shared" si="8"/>
        <v>Jânio</v>
      </c>
      <c r="O36" s="50" t="s">
        <v>77</v>
      </c>
      <c r="P36" s="38">
        <v>962.0</v>
      </c>
      <c r="Q36" s="38">
        <v>1164.0</v>
      </c>
      <c r="R36" s="38">
        <v>462.0</v>
      </c>
      <c r="S36" s="38">
        <v>314.0</v>
      </c>
      <c r="T36" s="38">
        <v>84.0</v>
      </c>
      <c r="U36" s="48">
        <f t="shared" si="9"/>
        <v>2588</v>
      </c>
      <c r="V36" s="48">
        <f t="shared" si="10"/>
        <v>2986</v>
      </c>
      <c r="W36" s="49">
        <f t="shared" si="11"/>
        <v>0.3717156105</v>
      </c>
      <c r="X36" s="49">
        <f t="shared" si="12"/>
        <v>0.4497681607</v>
      </c>
      <c r="Y36" s="49">
        <f t="shared" si="13"/>
        <v>0.1785162287</v>
      </c>
      <c r="Z36" s="32" t="str">
        <f t="shared" si="14"/>
        <v>Milton</v>
      </c>
      <c r="AA36" s="50" t="s">
        <v>77</v>
      </c>
      <c r="AB36" s="38">
        <v>3493.0</v>
      </c>
      <c r="AC36" s="48">
        <f t="shared" si="15"/>
        <v>507</v>
      </c>
      <c r="AD36" s="51">
        <f t="shared" si="16"/>
        <v>0.8548525623</v>
      </c>
    </row>
    <row r="37">
      <c r="A37" s="110" t="s">
        <v>133</v>
      </c>
      <c r="B37" s="46" t="s">
        <v>1922</v>
      </c>
      <c r="C37" s="47"/>
      <c r="D37" s="38">
        <v>1877.0</v>
      </c>
      <c r="E37" s="38">
        <v>1375.0</v>
      </c>
      <c r="F37" s="38">
        <v>212.0</v>
      </c>
      <c r="G37" s="38">
        <v>108.0</v>
      </c>
      <c r="H37" s="38">
        <v>169.0</v>
      </c>
      <c r="I37" s="48">
        <f t="shared" si="3"/>
        <v>3464</v>
      </c>
      <c r="J37" s="48">
        <f t="shared" si="4"/>
        <v>3741</v>
      </c>
      <c r="K37" s="49">
        <f t="shared" si="5"/>
        <v>0.5418591224</v>
      </c>
      <c r="L37" s="49">
        <f t="shared" si="6"/>
        <v>0.3969399538</v>
      </c>
      <c r="M37" s="49">
        <f t="shared" si="7"/>
        <v>0.06120092379</v>
      </c>
      <c r="N37" s="32" t="str">
        <f t="shared" si="8"/>
        <v>Jânio</v>
      </c>
      <c r="O37" s="50" t="s">
        <v>77</v>
      </c>
      <c r="P37" s="38">
        <v>1493.0</v>
      </c>
      <c r="Q37" s="38">
        <v>1620.0</v>
      </c>
      <c r="R37" s="38">
        <v>252.0</v>
      </c>
      <c r="S37" s="38">
        <v>264.0</v>
      </c>
      <c r="T37" s="38">
        <v>112.0</v>
      </c>
      <c r="U37" s="48">
        <f t="shared" si="9"/>
        <v>3365</v>
      </c>
      <c r="V37" s="48">
        <f t="shared" si="10"/>
        <v>3741</v>
      </c>
      <c r="W37" s="49">
        <f t="shared" si="11"/>
        <v>0.4436849926</v>
      </c>
      <c r="X37" s="49">
        <f t="shared" si="12"/>
        <v>0.4814264487</v>
      </c>
      <c r="Y37" s="49">
        <f t="shared" si="13"/>
        <v>0.07488855869</v>
      </c>
      <c r="Z37" s="32" t="str">
        <f t="shared" si="14"/>
        <v>Milton</v>
      </c>
      <c r="AA37" s="50" t="s">
        <v>77</v>
      </c>
      <c r="AB37" s="38">
        <v>4522.0</v>
      </c>
      <c r="AC37" s="48">
        <f t="shared" si="15"/>
        <v>781</v>
      </c>
      <c r="AD37" s="51">
        <f t="shared" si="16"/>
        <v>0.8272888103</v>
      </c>
    </row>
    <row r="38">
      <c r="A38" s="110" t="s">
        <v>135</v>
      </c>
      <c r="B38" s="46" t="s">
        <v>1923</v>
      </c>
      <c r="C38" s="47"/>
      <c r="D38" s="38">
        <v>1410.0</v>
      </c>
      <c r="E38" s="38">
        <v>1154.0</v>
      </c>
      <c r="F38" s="38">
        <v>813.0</v>
      </c>
      <c r="G38" s="38">
        <v>164.0</v>
      </c>
      <c r="H38" s="38">
        <v>368.0</v>
      </c>
      <c r="I38" s="48">
        <f t="shared" si="3"/>
        <v>3377</v>
      </c>
      <c r="J38" s="48">
        <f t="shared" si="4"/>
        <v>3909</v>
      </c>
      <c r="K38" s="49">
        <f t="shared" si="5"/>
        <v>0.4175303524</v>
      </c>
      <c r="L38" s="49">
        <f t="shared" si="6"/>
        <v>0.3417234232</v>
      </c>
      <c r="M38" s="49">
        <f t="shared" si="7"/>
        <v>0.2407462245</v>
      </c>
      <c r="N38" s="32" t="str">
        <f t="shared" si="8"/>
        <v>Jânio</v>
      </c>
      <c r="O38" s="50" t="s">
        <v>77</v>
      </c>
      <c r="P38" s="38">
        <v>1856.0</v>
      </c>
      <c r="Q38" s="38">
        <v>799.0</v>
      </c>
      <c r="R38" s="38">
        <v>498.0</v>
      </c>
      <c r="S38" s="38">
        <v>551.0</v>
      </c>
      <c r="T38" s="38">
        <v>205.0</v>
      </c>
      <c r="U38" s="48">
        <f t="shared" si="9"/>
        <v>3153</v>
      </c>
      <c r="V38" s="48">
        <f t="shared" si="10"/>
        <v>3909</v>
      </c>
      <c r="W38" s="49">
        <f t="shared" si="11"/>
        <v>0.5886457342</v>
      </c>
      <c r="X38" s="49">
        <f t="shared" si="12"/>
        <v>0.2534094513</v>
      </c>
      <c r="Y38" s="49">
        <f t="shared" si="13"/>
        <v>0.1579448145</v>
      </c>
      <c r="Z38" s="32" t="str">
        <f t="shared" si="14"/>
        <v>Jango</v>
      </c>
      <c r="AA38" s="50" t="s">
        <v>77</v>
      </c>
      <c r="AB38" s="38">
        <v>4817.0</v>
      </c>
      <c r="AC38" s="48">
        <f t="shared" si="15"/>
        <v>908</v>
      </c>
      <c r="AD38" s="51">
        <f t="shared" si="16"/>
        <v>0.8115009342</v>
      </c>
    </row>
    <row r="39">
      <c r="A39" s="110" t="s">
        <v>193</v>
      </c>
      <c r="B39" s="46" t="s">
        <v>1924</v>
      </c>
      <c r="C39" s="47"/>
      <c r="D39" s="38">
        <v>3093.0</v>
      </c>
      <c r="E39" s="38">
        <v>1883.0</v>
      </c>
      <c r="F39" s="38">
        <v>364.0</v>
      </c>
      <c r="G39" s="38">
        <v>149.0</v>
      </c>
      <c r="H39" s="38">
        <v>250.0</v>
      </c>
      <c r="I39" s="48">
        <f t="shared" si="3"/>
        <v>5340</v>
      </c>
      <c r="J39" s="48">
        <f t="shared" si="4"/>
        <v>5739</v>
      </c>
      <c r="K39" s="49">
        <f t="shared" si="5"/>
        <v>0.5792134831</v>
      </c>
      <c r="L39" s="49">
        <f t="shared" si="6"/>
        <v>0.3526217228</v>
      </c>
      <c r="M39" s="49">
        <f t="shared" si="7"/>
        <v>0.06816479401</v>
      </c>
      <c r="N39" s="32" t="str">
        <f t="shared" si="8"/>
        <v>Jânio</v>
      </c>
      <c r="O39" s="50" t="s">
        <v>77</v>
      </c>
      <c r="P39" s="38">
        <v>2185.0</v>
      </c>
      <c r="Q39" s="38">
        <v>2448.0</v>
      </c>
      <c r="R39" s="38">
        <v>478.0</v>
      </c>
      <c r="S39" s="38">
        <v>514.0</v>
      </c>
      <c r="T39" s="38">
        <v>114.0</v>
      </c>
      <c r="U39" s="48">
        <f t="shared" si="9"/>
        <v>5111</v>
      </c>
      <c r="V39" s="48">
        <f t="shared" si="10"/>
        <v>5739</v>
      </c>
      <c r="W39" s="49">
        <f t="shared" si="11"/>
        <v>0.4275092937</v>
      </c>
      <c r="X39" s="49">
        <f t="shared" si="12"/>
        <v>0.4789669341</v>
      </c>
      <c r="Y39" s="49">
        <f t="shared" si="13"/>
        <v>0.09352377226</v>
      </c>
      <c r="Z39" s="32" t="str">
        <f t="shared" si="14"/>
        <v>Milton</v>
      </c>
      <c r="AA39" s="50" t="s">
        <v>77</v>
      </c>
      <c r="AB39" s="38">
        <v>7707.0</v>
      </c>
      <c r="AC39" s="48">
        <f t="shared" si="15"/>
        <v>1968</v>
      </c>
      <c r="AD39" s="51">
        <f t="shared" si="16"/>
        <v>0.7446477228</v>
      </c>
    </row>
    <row r="40">
      <c r="A40" s="110" t="s">
        <v>196</v>
      </c>
      <c r="B40" s="46" t="s">
        <v>1925</v>
      </c>
      <c r="C40" s="47"/>
      <c r="D40" s="38">
        <v>772.0</v>
      </c>
      <c r="E40" s="38">
        <v>530.0</v>
      </c>
      <c r="F40" s="38">
        <v>1276.0</v>
      </c>
      <c r="G40" s="38">
        <v>72.0</v>
      </c>
      <c r="H40" s="38">
        <v>121.0</v>
      </c>
      <c r="I40" s="48">
        <f t="shared" si="3"/>
        <v>2578</v>
      </c>
      <c r="J40" s="48">
        <f t="shared" si="4"/>
        <v>2771</v>
      </c>
      <c r="K40" s="49">
        <f t="shared" si="5"/>
        <v>0.2994569434</v>
      </c>
      <c r="L40" s="49">
        <f t="shared" si="6"/>
        <v>0.2055857254</v>
      </c>
      <c r="M40" s="49">
        <f t="shared" si="7"/>
        <v>0.4949573313</v>
      </c>
      <c r="N40" s="32" t="str">
        <f t="shared" si="8"/>
        <v>Adhemar</v>
      </c>
      <c r="O40" s="50" t="s">
        <v>77</v>
      </c>
      <c r="P40" s="38">
        <v>711.0</v>
      </c>
      <c r="Q40" s="38">
        <v>1278.0</v>
      </c>
      <c r="R40" s="38">
        <v>420.0</v>
      </c>
      <c r="S40" s="38">
        <v>308.0</v>
      </c>
      <c r="T40" s="38">
        <v>54.0</v>
      </c>
      <c r="U40" s="48">
        <f t="shared" si="9"/>
        <v>2409</v>
      </c>
      <c r="V40" s="48">
        <f t="shared" si="10"/>
        <v>2771</v>
      </c>
      <c r="W40" s="49">
        <f t="shared" si="11"/>
        <v>0.295143213</v>
      </c>
      <c r="X40" s="49">
        <f t="shared" si="12"/>
        <v>0.5305105853</v>
      </c>
      <c r="Y40" s="49">
        <f t="shared" si="13"/>
        <v>0.1743462017</v>
      </c>
      <c r="Z40" s="32" t="str">
        <f t="shared" si="14"/>
        <v>Milton</v>
      </c>
      <c r="AA40" s="50" t="s">
        <v>77</v>
      </c>
      <c r="AB40" s="38">
        <v>3084.0</v>
      </c>
      <c r="AC40" s="48">
        <f t="shared" si="15"/>
        <v>313</v>
      </c>
      <c r="AD40" s="51">
        <f t="shared" si="16"/>
        <v>0.8985084306</v>
      </c>
    </row>
    <row r="41">
      <c r="A41" s="110" t="s">
        <v>198</v>
      </c>
      <c r="B41" s="46" t="s">
        <v>1926</v>
      </c>
      <c r="C41" s="47"/>
      <c r="D41" s="38">
        <v>3837.0</v>
      </c>
      <c r="E41" s="38">
        <v>1403.0</v>
      </c>
      <c r="F41" s="38">
        <v>920.0</v>
      </c>
      <c r="G41" s="38">
        <v>248.0</v>
      </c>
      <c r="H41" s="38">
        <v>393.0</v>
      </c>
      <c r="I41" s="48">
        <f t="shared" si="3"/>
        <v>6160</v>
      </c>
      <c r="J41" s="48">
        <f t="shared" si="4"/>
        <v>6801</v>
      </c>
      <c r="K41" s="49">
        <f t="shared" si="5"/>
        <v>0.6228896104</v>
      </c>
      <c r="L41" s="49">
        <f t="shared" si="6"/>
        <v>0.2277597403</v>
      </c>
      <c r="M41" s="49">
        <f t="shared" si="7"/>
        <v>0.1493506494</v>
      </c>
      <c r="N41" s="32" t="str">
        <f t="shared" si="8"/>
        <v>Jânio</v>
      </c>
      <c r="O41" s="50" t="s">
        <v>77</v>
      </c>
      <c r="P41" s="38">
        <v>1890.0</v>
      </c>
      <c r="Q41" s="38">
        <v>2562.0</v>
      </c>
      <c r="R41" s="38">
        <v>1172.0</v>
      </c>
      <c r="S41" s="38">
        <v>977.0</v>
      </c>
      <c r="T41" s="38">
        <v>200.0</v>
      </c>
      <c r="U41" s="48">
        <f t="shared" si="9"/>
        <v>5624</v>
      </c>
      <c r="V41" s="48">
        <f t="shared" si="10"/>
        <v>6801</v>
      </c>
      <c r="W41" s="49">
        <f t="shared" si="11"/>
        <v>0.336059744</v>
      </c>
      <c r="X41" s="49">
        <f t="shared" si="12"/>
        <v>0.4555476529</v>
      </c>
      <c r="Y41" s="49">
        <f t="shared" si="13"/>
        <v>0.2083926031</v>
      </c>
      <c r="Z41" s="32" t="str">
        <f t="shared" si="14"/>
        <v>Milton</v>
      </c>
      <c r="AA41" s="50" t="s">
        <v>77</v>
      </c>
      <c r="AB41" s="38">
        <v>8741.0</v>
      </c>
      <c r="AC41" s="48">
        <f t="shared" si="15"/>
        <v>1940</v>
      </c>
      <c r="AD41" s="51">
        <f t="shared" si="16"/>
        <v>0.7780574305</v>
      </c>
    </row>
    <row r="42">
      <c r="A42" s="61" t="s">
        <v>202</v>
      </c>
      <c r="B42" s="46" t="s">
        <v>1927</v>
      </c>
      <c r="C42" s="47"/>
      <c r="D42" s="38">
        <v>1587.0</v>
      </c>
      <c r="E42" s="38">
        <v>1737.0</v>
      </c>
      <c r="F42" s="38">
        <v>2646.0</v>
      </c>
      <c r="G42" s="38">
        <v>155.0</v>
      </c>
      <c r="H42" s="38">
        <v>432.0</v>
      </c>
      <c r="I42" s="48">
        <f t="shared" si="3"/>
        <v>5970</v>
      </c>
      <c r="J42" s="48">
        <f t="shared" si="4"/>
        <v>6557</v>
      </c>
      <c r="K42" s="49">
        <f t="shared" si="5"/>
        <v>0.2658291457</v>
      </c>
      <c r="L42" s="49">
        <f t="shared" si="6"/>
        <v>0.2909547739</v>
      </c>
      <c r="M42" s="49">
        <f t="shared" si="7"/>
        <v>0.4432160804</v>
      </c>
      <c r="N42" s="32" t="str">
        <f t="shared" si="8"/>
        <v>Adhemar</v>
      </c>
      <c r="O42" s="50" t="s">
        <v>77</v>
      </c>
      <c r="P42" s="38">
        <v>2575.0</v>
      </c>
      <c r="Q42" s="38">
        <v>1245.0</v>
      </c>
      <c r="R42" s="38">
        <v>1861.0</v>
      </c>
      <c r="S42" s="38">
        <v>506.0</v>
      </c>
      <c r="T42" s="38">
        <v>370.0</v>
      </c>
      <c r="U42" s="48">
        <f t="shared" si="9"/>
        <v>5681</v>
      </c>
      <c r="V42" s="48">
        <f t="shared" si="10"/>
        <v>6557</v>
      </c>
      <c r="W42" s="49">
        <f t="shared" si="11"/>
        <v>0.4532652702</v>
      </c>
      <c r="X42" s="49">
        <f t="shared" si="12"/>
        <v>0.2191515578</v>
      </c>
      <c r="Y42" s="49">
        <f t="shared" si="13"/>
        <v>0.327583172</v>
      </c>
      <c r="Z42" s="32" t="str">
        <f t="shared" si="14"/>
        <v>Jango</v>
      </c>
      <c r="AA42" s="50" t="s">
        <v>77</v>
      </c>
      <c r="AB42" s="38">
        <v>7931.0</v>
      </c>
      <c r="AC42" s="48">
        <f t="shared" si="15"/>
        <v>1374</v>
      </c>
      <c r="AD42" s="51">
        <f t="shared" si="16"/>
        <v>0.8267557685</v>
      </c>
    </row>
    <row r="43">
      <c r="A43" s="23"/>
      <c r="B43" s="46" t="s">
        <v>1928</v>
      </c>
      <c r="C43" s="47"/>
      <c r="D43" s="38">
        <v>735.0</v>
      </c>
      <c r="E43" s="38">
        <v>729.0</v>
      </c>
      <c r="F43" s="38">
        <v>795.0</v>
      </c>
      <c r="G43" s="38">
        <v>96.0</v>
      </c>
      <c r="H43" s="38">
        <v>190.0</v>
      </c>
      <c r="I43" s="48">
        <f t="shared" si="3"/>
        <v>2259</v>
      </c>
      <c r="J43" s="48">
        <f t="shared" si="4"/>
        <v>2545</v>
      </c>
      <c r="K43" s="49">
        <f t="shared" si="5"/>
        <v>0.3253652058</v>
      </c>
      <c r="L43" s="49">
        <f t="shared" si="6"/>
        <v>0.3227091633</v>
      </c>
      <c r="M43" s="49">
        <f t="shared" si="7"/>
        <v>0.3519256308</v>
      </c>
      <c r="N43" s="32" t="str">
        <f t="shared" si="8"/>
        <v>Adhemar</v>
      </c>
      <c r="O43" s="50" t="s">
        <v>77</v>
      </c>
      <c r="P43" s="38">
        <v>1196.0</v>
      </c>
      <c r="Q43" s="38">
        <v>483.0</v>
      </c>
      <c r="R43" s="38">
        <v>468.0</v>
      </c>
      <c r="S43" s="38">
        <v>247.0</v>
      </c>
      <c r="T43" s="38">
        <v>151.0</v>
      </c>
      <c r="U43" s="48">
        <f t="shared" si="9"/>
        <v>2147</v>
      </c>
      <c r="V43" s="48">
        <f t="shared" si="10"/>
        <v>2545</v>
      </c>
      <c r="W43" s="49">
        <f t="shared" si="11"/>
        <v>0.5570563577</v>
      </c>
      <c r="X43" s="49">
        <f t="shared" si="12"/>
        <v>0.2249650675</v>
      </c>
      <c r="Y43" s="49">
        <f t="shared" si="13"/>
        <v>0.2179785748</v>
      </c>
      <c r="Z43" s="32" t="str">
        <f t="shared" si="14"/>
        <v>Jango</v>
      </c>
      <c r="AA43" s="50" t="s">
        <v>77</v>
      </c>
      <c r="AB43" s="38">
        <v>4084.0</v>
      </c>
      <c r="AC43" s="48">
        <f t="shared" si="15"/>
        <v>1539</v>
      </c>
      <c r="AD43" s="51">
        <f t="shared" si="16"/>
        <v>0.6231635651</v>
      </c>
    </row>
    <row r="44">
      <c r="A44" s="24"/>
      <c r="B44" s="46" t="s">
        <v>251</v>
      </c>
      <c r="C44" s="47"/>
      <c r="D44" s="38">
        <v>424.0</v>
      </c>
      <c r="E44" s="38">
        <v>335.0</v>
      </c>
      <c r="F44" s="38">
        <v>182.0</v>
      </c>
      <c r="G44" s="38">
        <v>45.0</v>
      </c>
      <c r="H44" s="38">
        <v>78.0</v>
      </c>
      <c r="I44" s="48">
        <f t="shared" si="3"/>
        <v>941</v>
      </c>
      <c r="J44" s="48">
        <f t="shared" si="4"/>
        <v>1064</v>
      </c>
      <c r="K44" s="49">
        <f t="shared" si="5"/>
        <v>0.4505844846</v>
      </c>
      <c r="L44" s="49">
        <f t="shared" si="6"/>
        <v>0.3560042508</v>
      </c>
      <c r="M44" s="49">
        <f t="shared" si="7"/>
        <v>0.1934112646</v>
      </c>
      <c r="N44" s="32" t="str">
        <f t="shared" si="8"/>
        <v>Jânio</v>
      </c>
      <c r="O44" s="50" t="s">
        <v>77</v>
      </c>
      <c r="P44" s="38">
        <v>386.0</v>
      </c>
      <c r="Q44" s="38">
        <v>332.0</v>
      </c>
      <c r="R44" s="38">
        <v>159.0</v>
      </c>
      <c r="S44" s="38">
        <v>131.0</v>
      </c>
      <c r="T44" s="38">
        <v>56.0</v>
      </c>
      <c r="U44" s="48">
        <f t="shared" si="9"/>
        <v>877</v>
      </c>
      <c r="V44" s="48">
        <f t="shared" si="10"/>
        <v>1064</v>
      </c>
      <c r="W44" s="49">
        <f t="shared" si="11"/>
        <v>0.4401368301</v>
      </c>
      <c r="X44" s="49">
        <f t="shared" si="12"/>
        <v>0.3785632839</v>
      </c>
      <c r="Y44" s="49">
        <f t="shared" si="13"/>
        <v>0.181299886</v>
      </c>
      <c r="Z44" s="32" t="str">
        <f t="shared" si="14"/>
        <v>Jango</v>
      </c>
      <c r="AA44" s="50" t="s">
        <v>77</v>
      </c>
      <c r="AB44" s="38">
        <v>1354.0</v>
      </c>
      <c r="AC44" s="48">
        <f t="shared" si="15"/>
        <v>290</v>
      </c>
      <c r="AD44" s="51">
        <f t="shared" si="16"/>
        <v>0.7858197932</v>
      </c>
    </row>
    <row r="45">
      <c r="A45" s="110" t="s">
        <v>205</v>
      </c>
      <c r="B45" s="46" t="s">
        <v>1929</v>
      </c>
      <c r="C45" s="47"/>
      <c r="D45" s="38">
        <v>1177.0</v>
      </c>
      <c r="E45" s="38">
        <v>587.0</v>
      </c>
      <c r="F45" s="38">
        <v>208.0</v>
      </c>
      <c r="G45" s="38">
        <v>81.0</v>
      </c>
      <c r="H45" s="38">
        <v>167.0</v>
      </c>
      <c r="I45" s="48">
        <f t="shared" si="3"/>
        <v>1972</v>
      </c>
      <c r="J45" s="48">
        <f t="shared" si="4"/>
        <v>2220</v>
      </c>
      <c r="K45" s="49">
        <f t="shared" si="5"/>
        <v>0.5968559838</v>
      </c>
      <c r="L45" s="49">
        <f t="shared" si="6"/>
        <v>0.2976673428</v>
      </c>
      <c r="M45" s="49">
        <f t="shared" si="7"/>
        <v>0.1054766734</v>
      </c>
      <c r="N45" s="32" t="str">
        <f t="shared" si="8"/>
        <v>Jânio</v>
      </c>
      <c r="O45" s="50" t="s">
        <v>77</v>
      </c>
      <c r="P45" s="38">
        <v>743.0</v>
      </c>
      <c r="Q45" s="38">
        <v>899.0</v>
      </c>
      <c r="R45" s="38">
        <v>202.0</v>
      </c>
      <c r="S45" s="38">
        <v>256.0</v>
      </c>
      <c r="T45" s="38">
        <v>120.0</v>
      </c>
      <c r="U45" s="48">
        <f t="shared" si="9"/>
        <v>1844</v>
      </c>
      <c r="V45" s="48">
        <f t="shared" si="10"/>
        <v>2220</v>
      </c>
      <c r="W45" s="49">
        <f t="shared" si="11"/>
        <v>0.4029284165</v>
      </c>
      <c r="X45" s="49">
        <f t="shared" si="12"/>
        <v>0.487527115</v>
      </c>
      <c r="Y45" s="49">
        <f t="shared" si="13"/>
        <v>0.1095444685</v>
      </c>
      <c r="Z45" s="32" t="str">
        <f t="shared" si="14"/>
        <v>Milton</v>
      </c>
      <c r="AA45" s="50" t="s">
        <v>77</v>
      </c>
      <c r="AB45" s="38">
        <v>2841.0</v>
      </c>
      <c r="AC45" s="48">
        <f t="shared" si="15"/>
        <v>621</v>
      </c>
      <c r="AD45" s="51">
        <f t="shared" si="16"/>
        <v>0.7814149947</v>
      </c>
    </row>
    <row r="46">
      <c r="A46" s="110" t="s">
        <v>141</v>
      </c>
      <c r="B46" s="46" t="s">
        <v>1930</v>
      </c>
      <c r="C46" s="47"/>
      <c r="D46" s="38">
        <v>1425.0</v>
      </c>
      <c r="E46" s="38">
        <v>964.0</v>
      </c>
      <c r="F46" s="38">
        <v>394.0</v>
      </c>
      <c r="G46" s="38">
        <v>96.0</v>
      </c>
      <c r="H46" s="38">
        <v>201.0</v>
      </c>
      <c r="I46" s="48">
        <f t="shared" si="3"/>
        <v>2783</v>
      </c>
      <c r="J46" s="48">
        <f t="shared" si="4"/>
        <v>3080</v>
      </c>
      <c r="K46" s="49">
        <f t="shared" si="5"/>
        <v>0.5120373697</v>
      </c>
      <c r="L46" s="49">
        <f t="shared" si="6"/>
        <v>0.3463887891</v>
      </c>
      <c r="M46" s="49">
        <f t="shared" si="7"/>
        <v>0.1415738412</v>
      </c>
      <c r="N46" s="32" t="str">
        <f t="shared" si="8"/>
        <v>Jânio</v>
      </c>
      <c r="O46" s="50" t="s">
        <v>77</v>
      </c>
      <c r="P46" s="38">
        <v>1133.0</v>
      </c>
      <c r="Q46" s="38">
        <v>1255.0</v>
      </c>
      <c r="R46" s="38">
        <v>271.0</v>
      </c>
      <c r="S46" s="38">
        <v>327.0</v>
      </c>
      <c r="T46" s="38">
        <v>94.0</v>
      </c>
      <c r="U46" s="48">
        <f t="shared" si="9"/>
        <v>2659</v>
      </c>
      <c r="V46" s="48">
        <f t="shared" si="10"/>
        <v>3080</v>
      </c>
      <c r="W46" s="49">
        <f t="shared" si="11"/>
        <v>0.4261000376</v>
      </c>
      <c r="X46" s="49">
        <f t="shared" si="12"/>
        <v>0.4719819481</v>
      </c>
      <c r="Y46" s="49">
        <f t="shared" si="13"/>
        <v>0.1019180143</v>
      </c>
      <c r="Z46" s="32" t="str">
        <f t="shared" si="14"/>
        <v>Milton</v>
      </c>
      <c r="AA46" s="50" t="s">
        <v>77</v>
      </c>
      <c r="AB46" s="38">
        <v>3711.0</v>
      </c>
      <c r="AC46" s="48">
        <f t="shared" si="15"/>
        <v>631</v>
      </c>
      <c r="AD46" s="51">
        <f t="shared" si="16"/>
        <v>0.829964969</v>
      </c>
    </row>
    <row r="47">
      <c r="A47" s="110" t="s">
        <v>143</v>
      </c>
      <c r="B47" s="46" t="s">
        <v>1931</v>
      </c>
      <c r="C47" s="47"/>
      <c r="D47" s="38">
        <v>1623.0</v>
      </c>
      <c r="E47" s="38">
        <v>905.0</v>
      </c>
      <c r="F47" s="38">
        <v>138.0</v>
      </c>
      <c r="G47" s="38">
        <v>58.0</v>
      </c>
      <c r="H47" s="38">
        <v>137.0</v>
      </c>
      <c r="I47" s="48">
        <f t="shared" si="3"/>
        <v>2666</v>
      </c>
      <c r="J47" s="48">
        <f t="shared" si="4"/>
        <v>2861</v>
      </c>
      <c r="K47" s="49">
        <f t="shared" si="5"/>
        <v>0.6087771943</v>
      </c>
      <c r="L47" s="49">
        <f t="shared" si="6"/>
        <v>0.339459865</v>
      </c>
      <c r="M47" s="49">
        <f t="shared" si="7"/>
        <v>0.05176294074</v>
      </c>
      <c r="N47" s="32" t="str">
        <f t="shared" si="8"/>
        <v>Jânio</v>
      </c>
      <c r="O47" s="50" t="s">
        <v>77</v>
      </c>
      <c r="P47" s="38">
        <v>1232.0</v>
      </c>
      <c r="Q47" s="38">
        <v>1215.0</v>
      </c>
      <c r="R47" s="38">
        <v>103.0</v>
      </c>
      <c r="S47" s="38">
        <v>237.0</v>
      </c>
      <c r="T47" s="38">
        <v>74.0</v>
      </c>
      <c r="U47" s="48">
        <f t="shared" si="9"/>
        <v>2550</v>
      </c>
      <c r="V47" s="48">
        <f t="shared" si="10"/>
        <v>2861</v>
      </c>
      <c r="W47" s="49">
        <f t="shared" si="11"/>
        <v>0.4831372549</v>
      </c>
      <c r="X47" s="49">
        <f t="shared" si="12"/>
        <v>0.4764705882</v>
      </c>
      <c r="Y47" s="49">
        <f t="shared" si="13"/>
        <v>0.04039215686</v>
      </c>
      <c r="Z47" s="32" t="str">
        <f t="shared" si="14"/>
        <v>Jango</v>
      </c>
      <c r="AA47" s="50" t="s">
        <v>77</v>
      </c>
      <c r="AB47" s="38">
        <v>4258.0</v>
      </c>
      <c r="AC47" s="48">
        <f t="shared" si="15"/>
        <v>1397</v>
      </c>
      <c r="AD47" s="51">
        <f t="shared" si="16"/>
        <v>0.6719116956</v>
      </c>
    </row>
    <row r="48">
      <c r="A48" s="110" t="s">
        <v>145</v>
      </c>
      <c r="B48" s="46" t="s">
        <v>1932</v>
      </c>
      <c r="C48" s="47"/>
      <c r="D48" s="38">
        <v>3135.0</v>
      </c>
      <c r="E48" s="38">
        <v>1020.0</v>
      </c>
      <c r="F48" s="38">
        <v>273.0</v>
      </c>
      <c r="G48" s="38">
        <v>157.0</v>
      </c>
      <c r="H48" s="38">
        <v>263.0</v>
      </c>
      <c r="I48" s="48">
        <f t="shared" si="3"/>
        <v>4428</v>
      </c>
      <c r="J48" s="48">
        <f t="shared" si="4"/>
        <v>4848</v>
      </c>
      <c r="K48" s="49">
        <f t="shared" si="5"/>
        <v>0.7079945799</v>
      </c>
      <c r="L48" s="49">
        <f t="shared" si="6"/>
        <v>0.2303523035</v>
      </c>
      <c r="M48" s="49">
        <f t="shared" si="7"/>
        <v>0.06165311653</v>
      </c>
      <c r="N48" s="32" t="str">
        <f t="shared" si="8"/>
        <v>Jânio</v>
      </c>
      <c r="O48" s="50" t="s">
        <v>77</v>
      </c>
      <c r="P48" s="38">
        <v>1316.0</v>
      </c>
      <c r="Q48" s="38">
        <v>2523.0</v>
      </c>
      <c r="R48" s="38">
        <v>298.0</v>
      </c>
      <c r="S48" s="38">
        <v>568.0</v>
      </c>
      <c r="T48" s="38">
        <v>143.0</v>
      </c>
      <c r="U48" s="48">
        <f t="shared" si="9"/>
        <v>4137</v>
      </c>
      <c r="V48" s="48">
        <f t="shared" si="10"/>
        <v>4848</v>
      </c>
      <c r="W48" s="49">
        <f t="shared" si="11"/>
        <v>0.3181049069</v>
      </c>
      <c r="X48" s="49">
        <f t="shared" si="12"/>
        <v>0.609862219</v>
      </c>
      <c r="Y48" s="49">
        <f t="shared" si="13"/>
        <v>0.07203287406</v>
      </c>
      <c r="Z48" s="32" t="str">
        <f t="shared" si="14"/>
        <v>Milton</v>
      </c>
      <c r="AA48" s="50" t="s">
        <v>77</v>
      </c>
      <c r="AB48" s="38">
        <v>6059.0</v>
      </c>
      <c r="AC48" s="48">
        <f t="shared" si="15"/>
        <v>1211</v>
      </c>
      <c r="AD48" s="51">
        <f t="shared" si="16"/>
        <v>0.800132035</v>
      </c>
    </row>
    <row r="49">
      <c r="A49" s="110" t="s">
        <v>207</v>
      </c>
      <c r="B49" s="46" t="s">
        <v>1933</v>
      </c>
      <c r="C49" s="47"/>
      <c r="D49" s="38">
        <v>705.0</v>
      </c>
      <c r="E49" s="38">
        <v>727.0</v>
      </c>
      <c r="F49" s="38">
        <v>116.0</v>
      </c>
      <c r="G49" s="38">
        <v>90.0</v>
      </c>
      <c r="H49" s="38">
        <v>114.0</v>
      </c>
      <c r="I49" s="48">
        <f t="shared" si="3"/>
        <v>1548</v>
      </c>
      <c r="J49" s="48">
        <f t="shared" si="4"/>
        <v>1752</v>
      </c>
      <c r="K49" s="49">
        <f t="shared" si="5"/>
        <v>0.4554263566</v>
      </c>
      <c r="L49" s="49">
        <f t="shared" si="6"/>
        <v>0.4696382429</v>
      </c>
      <c r="M49" s="49">
        <f t="shared" si="7"/>
        <v>0.07493540052</v>
      </c>
      <c r="N49" s="32" t="str">
        <f t="shared" si="8"/>
        <v>Mal. Lott</v>
      </c>
      <c r="O49" s="50" t="s">
        <v>77</v>
      </c>
      <c r="P49" s="38">
        <v>740.0</v>
      </c>
      <c r="Q49" s="38">
        <v>574.0</v>
      </c>
      <c r="R49" s="38">
        <v>117.0</v>
      </c>
      <c r="S49" s="38">
        <v>229.0</v>
      </c>
      <c r="T49" s="38">
        <v>92.0</v>
      </c>
      <c r="U49" s="48">
        <f t="shared" si="9"/>
        <v>1431</v>
      </c>
      <c r="V49" s="48">
        <f t="shared" si="10"/>
        <v>1752</v>
      </c>
      <c r="W49" s="49">
        <f t="shared" si="11"/>
        <v>0.5171208945</v>
      </c>
      <c r="X49" s="49">
        <f t="shared" si="12"/>
        <v>0.4011180992</v>
      </c>
      <c r="Y49" s="49">
        <f t="shared" si="13"/>
        <v>0.08176100629</v>
      </c>
      <c r="Z49" s="32" t="str">
        <f t="shared" si="14"/>
        <v>Jango</v>
      </c>
      <c r="AA49" s="50" t="s">
        <v>77</v>
      </c>
      <c r="AB49" s="38">
        <v>2705.0</v>
      </c>
      <c r="AC49" s="48">
        <f t="shared" si="15"/>
        <v>953</v>
      </c>
      <c r="AD49" s="51">
        <f t="shared" si="16"/>
        <v>0.647689464</v>
      </c>
    </row>
    <row r="50">
      <c r="A50" s="110" t="s">
        <v>209</v>
      </c>
      <c r="B50" s="46" t="s">
        <v>1934</v>
      </c>
      <c r="C50" s="47"/>
      <c r="D50" s="38">
        <v>3094.0</v>
      </c>
      <c r="E50" s="38">
        <v>2923.0</v>
      </c>
      <c r="F50" s="38">
        <v>4670.0</v>
      </c>
      <c r="G50" s="38">
        <v>218.0</v>
      </c>
      <c r="H50" s="38">
        <v>539.0</v>
      </c>
      <c r="I50" s="48">
        <f t="shared" si="3"/>
        <v>10687</v>
      </c>
      <c r="J50" s="48">
        <f t="shared" si="4"/>
        <v>11444</v>
      </c>
      <c r="K50" s="49">
        <f t="shared" si="5"/>
        <v>0.2895106204</v>
      </c>
      <c r="L50" s="49">
        <f t="shared" si="6"/>
        <v>0.2735098718</v>
      </c>
      <c r="M50" s="49">
        <f t="shared" si="7"/>
        <v>0.4369795078</v>
      </c>
      <c r="N50" s="32" t="str">
        <f t="shared" si="8"/>
        <v>Adhemar</v>
      </c>
      <c r="O50" s="50" t="s">
        <v>77</v>
      </c>
      <c r="P50" s="38">
        <v>4626.0</v>
      </c>
      <c r="Q50" s="38">
        <v>2054.0</v>
      </c>
      <c r="R50" s="38">
        <v>3553.0</v>
      </c>
      <c r="S50" s="38">
        <v>800.0</v>
      </c>
      <c r="T50" s="38">
        <v>411.0</v>
      </c>
      <c r="U50" s="48">
        <f t="shared" si="9"/>
        <v>10233</v>
      </c>
      <c r="V50" s="48">
        <f t="shared" si="10"/>
        <v>11444</v>
      </c>
      <c r="W50" s="49">
        <f t="shared" si="11"/>
        <v>0.4520668426</v>
      </c>
      <c r="X50" s="49">
        <f t="shared" si="12"/>
        <v>0.2007231506</v>
      </c>
      <c r="Y50" s="49">
        <f t="shared" si="13"/>
        <v>0.3472100068</v>
      </c>
      <c r="Z50" s="32" t="str">
        <f t="shared" si="14"/>
        <v>Jango</v>
      </c>
      <c r="AA50" s="50" t="s">
        <v>77</v>
      </c>
      <c r="AB50" s="38">
        <v>13787.0</v>
      </c>
      <c r="AC50" s="48">
        <f t="shared" si="15"/>
        <v>2343</v>
      </c>
      <c r="AD50" s="51">
        <f t="shared" si="16"/>
        <v>0.8300573004</v>
      </c>
    </row>
    <row r="51">
      <c r="A51" s="110" t="s">
        <v>211</v>
      </c>
      <c r="B51" s="46" t="s">
        <v>1935</v>
      </c>
      <c r="C51" s="47"/>
      <c r="D51" s="38">
        <v>1541.0</v>
      </c>
      <c r="E51" s="38">
        <v>854.0</v>
      </c>
      <c r="F51" s="38">
        <v>168.0</v>
      </c>
      <c r="G51" s="38">
        <v>72.0</v>
      </c>
      <c r="H51" s="38">
        <v>157.0</v>
      </c>
      <c r="I51" s="48">
        <f t="shared" si="3"/>
        <v>2563</v>
      </c>
      <c r="J51" s="48">
        <f t="shared" si="4"/>
        <v>2792</v>
      </c>
      <c r="K51" s="49">
        <f t="shared" si="5"/>
        <v>0.6012485369</v>
      </c>
      <c r="L51" s="49">
        <f t="shared" si="6"/>
        <v>0.3332032774</v>
      </c>
      <c r="M51" s="49">
        <f t="shared" si="7"/>
        <v>0.06554818572</v>
      </c>
      <c r="N51" s="32" t="str">
        <f t="shared" si="8"/>
        <v>Jânio</v>
      </c>
      <c r="O51" s="50" t="s">
        <v>77</v>
      </c>
      <c r="P51" s="38">
        <v>966.0</v>
      </c>
      <c r="Q51" s="38">
        <v>672.0</v>
      </c>
      <c r="R51" s="38">
        <v>794.0</v>
      </c>
      <c r="S51" s="38">
        <v>269.0</v>
      </c>
      <c r="T51" s="38">
        <v>91.0</v>
      </c>
      <c r="U51" s="48">
        <f t="shared" si="9"/>
        <v>2432</v>
      </c>
      <c r="V51" s="48">
        <f t="shared" si="10"/>
        <v>2792</v>
      </c>
      <c r="W51" s="49">
        <f t="shared" si="11"/>
        <v>0.3972039474</v>
      </c>
      <c r="X51" s="49">
        <f t="shared" si="12"/>
        <v>0.2763157895</v>
      </c>
      <c r="Y51" s="49">
        <f t="shared" si="13"/>
        <v>0.3264802632</v>
      </c>
      <c r="Z51" s="32" t="str">
        <f t="shared" si="14"/>
        <v>Jango</v>
      </c>
      <c r="AA51" s="50" t="s">
        <v>77</v>
      </c>
      <c r="AB51" s="38">
        <v>4174.0</v>
      </c>
      <c r="AC51" s="48">
        <f t="shared" si="15"/>
        <v>1382</v>
      </c>
      <c r="AD51" s="51">
        <f t="shared" si="16"/>
        <v>0.6689027312</v>
      </c>
    </row>
    <row r="52">
      <c r="A52" s="69" t="s">
        <v>54</v>
      </c>
      <c r="B52" s="13"/>
      <c r="C52" s="47"/>
      <c r="D52" s="38">
        <f t="shared" ref="D52:H52" si="17">SUM(D12:D51)</f>
        <v>88900</v>
      </c>
      <c r="E52" s="38">
        <f t="shared" si="17"/>
        <v>59805</v>
      </c>
      <c r="F52" s="38">
        <f t="shared" si="17"/>
        <v>31705</v>
      </c>
      <c r="G52" s="38">
        <f t="shared" si="17"/>
        <v>5144</v>
      </c>
      <c r="H52" s="38">
        <f t="shared" si="17"/>
        <v>8955</v>
      </c>
      <c r="I52" s="48">
        <f t="shared" si="3"/>
        <v>180410</v>
      </c>
      <c r="J52" s="48">
        <f t="shared" si="4"/>
        <v>194509</v>
      </c>
      <c r="K52" s="49">
        <f t="shared" si="5"/>
        <v>0.4927664764</v>
      </c>
      <c r="L52" s="49">
        <f t="shared" si="6"/>
        <v>0.3314949282</v>
      </c>
      <c r="M52" s="49">
        <f t="shared" si="7"/>
        <v>0.1757385954</v>
      </c>
      <c r="N52" s="32" t="str">
        <f t="shared" si="8"/>
        <v>Jânio</v>
      </c>
      <c r="O52" s="50"/>
      <c r="P52" s="38">
        <f t="shared" ref="P52:T52" si="18">SUM(P12:P51)</f>
        <v>71186</v>
      </c>
      <c r="Q52" s="38">
        <f t="shared" si="18"/>
        <v>66374</v>
      </c>
      <c r="R52" s="38">
        <f t="shared" si="18"/>
        <v>34921</v>
      </c>
      <c r="S52" s="38">
        <f t="shared" si="18"/>
        <v>16213</v>
      </c>
      <c r="T52" s="38">
        <f t="shared" si="18"/>
        <v>5815</v>
      </c>
      <c r="U52" s="48">
        <f t="shared" si="9"/>
        <v>172481</v>
      </c>
      <c r="V52" s="48">
        <f t="shared" si="10"/>
        <v>194509</v>
      </c>
      <c r="W52" s="49">
        <f t="shared" si="11"/>
        <v>0.4127179226</v>
      </c>
      <c r="X52" s="49">
        <f t="shared" si="12"/>
        <v>0.3848191975</v>
      </c>
      <c r="Y52" s="49">
        <f t="shared" si="13"/>
        <v>0.20246288</v>
      </c>
      <c r="Z52" s="32" t="str">
        <f t="shared" si="14"/>
        <v>Jango</v>
      </c>
      <c r="AA52" s="50"/>
      <c r="AB52" s="55">
        <f>SUM(AB12:AB51)</f>
        <v>235056</v>
      </c>
      <c r="AC52" s="48">
        <f t="shared" si="15"/>
        <v>40547</v>
      </c>
      <c r="AD52" s="51">
        <f t="shared" si="16"/>
        <v>0.8275006807</v>
      </c>
    </row>
    <row r="53">
      <c r="O53" s="73"/>
    </row>
    <row r="54">
      <c r="B54" s="74" t="s">
        <v>138</v>
      </c>
      <c r="D54" s="75"/>
      <c r="E54" s="75"/>
      <c r="F54" s="75"/>
      <c r="G54" s="75"/>
    </row>
    <row r="55">
      <c r="B55" s="76" t="s">
        <v>139</v>
      </c>
      <c r="C55" s="33"/>
      <c r="D55" s="29"/>
      <c r="E55" s="29"/>
      <c r="F55" s="77"/>
      <c r="G55" s="77"/>
    </row>
    <row r="56">
      <c r="B56" s="76" t="s">
        <v>139</v>
      </c>
      <c r="D56" s="29"/>
      <c r="E56" s="29"/>
      <c r="F56" s="77"/>
      <c r="G56" s="77"/>
    </row>
    <row r="57">
      <c r="D57" s="29"/>
      <c r="E57" s="29"/>
      <c r="F57" s="77"/>
      <c r="G57" s="77"/>
    </row>
  </sheetData>
  <mergeCells count="12">
    <mergeCell ref="A18:A19"/>
    <mergeCell ref="A26:A27"/>
    <mergeCell ref="A29:A30"/>
    <mergeCell ref="A42:A44"/>
    <mergeCell ref="A52:B52"/>
    <mergeCell ref="D2:G2"/>
    <mergeCell ref="A10:C10"/>
    <mergeCell ref="D10:N10"/>
    <mergeCell ref="P10:Z10"/>
    <mergeCell ref="AA10:AD10"/>
    <mergeCell ref="A13:A14"/>
    <mergeCell ref="A16:A17"/>
  </mergeCells>
  <conditionalFormatting sqref="K12:M52 N12:N53 Z12:Z52">
    <cfRule type="colorScale" priority="1">
      <colorScale>
        <cfvo type="percent" val="0"/>
        <cfvo type="percent" val="50"/>
        <cfvo type="percent" val="100"/>
        <color rgb="FFFFFFFF"/>
        <color rgb="FFABDDC5"/>
        <color rgb="FF57BB8A"/>
      </colorScale>
    </cfRule>
  </conditionalFormatting>
  <conditionalFormatting sqref="W12:Y52">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IF(COUNTIF($N$12:$N$76,D3)=0,"-",COUNTIF($N$12:$N$76,D3))</f>
        <v>21</v>
      </c>
      <c r="F3" s="32" t="s">
        <v>47</v>
      </c>
      <c r="G3" s="22">
        <f t="shared" ref="G3:G6" si="2">IF(COUNTIF($Z$12:$Z$76,F3)=0,"-",COUNTIF($Z$12:$Z$76,F3))</f>
        <v>50</v>
      </c>
    </row>
    <row r="4">
      <c r="D4" s="32" t="s">
        <v>48</v>
      </c>
      <c r="E4" s="22">
        <f t="shared" si="1"/>
        <v>36</v>
      </c>
      <c r="F4" s="32" t="s">
        <v>49</v>
      </c>
      <c r="G4" s="22">
        <f t="shared" si="2"/>
        <v>12</v>
      </c>
    </row>
    <row r="5">
      <c r="D5" s="32" t="s">
        <v>50</v>
      </c>
      <c r="E5" s="22">
        <f t="shared" si="1"/>
        <v>5</v>
      </c>
      <c r="F5" s="32" t="s">
        <v>51</v>
      </c>
      <c r="G5" s="22" t="str">
        <f t="shared" si="2"/>
        <v>-</v>
      </c>
    </row>
    <row r="6">
      <c r="D6" s="32" t="s">
        <v>52</v>
      </c>
      <c r="E6" s="22" t="str">
        <f t="shared" si="1"/>
        <v>-</v>
      </c>
      <c r="F6" s="32" t="s">
        <v>52</v>
      </c>
      <c r="G6" s="22" t="str">
        <f t="shared" si="2"/>
        <v>-</v>
      </c>
    </row>
    <row r="7">
      <c r="D7" s="32" t="s">
        <v>54</v>
      </c>
      <c r="E7" s="32">
        <f>SUM(E3:E6)</f>
        <v>62</v>
      </c>
      <c r="F7" s="32" t="s">
        <v>54</v>
      </c>
      <c r="G7" s="32">
        <f>SUM(G3:G6)</f>
        <v>62</v>
      </c>
    </row>
    <row r="8">
      <c r="D8" s="109"/>
      <c r="E8" s="109"/>
      <c r="F8" s="109"/>
      <c r="G8" s="109"/>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110" t="s">
        <v>73</v>
      </c>
      <c r="B12" s="46" t="s">
        <v>1936</v>
      </c>
      <c r="C12" s="47"/>
      <c r="D12" s="38">
        <v>1450.0</v>
      </c>
      <c r="E12" s="38">
        <v>1403.0</v>
      </c>
      <c r="F12" s="38">
        <v>937.0</v>
      </c>
      <c r="G12" s="38">
        <v>101.0</v>
      </c>
      <c r="H12" s="38">
        <v>180.0</v>
      </c>
      <c r="I12" s="48">
        <f t="shared" ref="I12:I19" si="3">SUM(D12:F12)</f>
        <v>3790</v>
      </c>
      <c r="J12" s="48">
        <f t="shared" ref="J12:J19" si="4">SUM(G12:I12)</f>
        <v>4071</v>
      </c>
      <c r="K12" s="49">
        <f t="shared" ref="K12:K19" si="5">D12/I12</f>
        <v>0.382585752</v>
      </c>
      <c r="L12" s="49">
        <f t="shared" ref="L12:L19" si="6">E12/I12</f>
        <v>0.3701846966</v>
      </c>
      <c r="M12" s="49">
        <f t="shared" ref="M12:M19" si="7">F12/I12</f>
        <v>0.2472295515</v>
      </c>
      <c r="N12" s="32" t="str">
        <f t="shared" ref="N12:N19" si="8">IF(LARGE(D12:F12,1)=0,#REF!,IF(LARGE(D12:F12,1)=LARGE(D12:F12,2),$D$6,IF(LARGE(D12:F12,1)=D12,$D$3,IF(LARGE(D12:F12,1)=E12,$D$4,IF(LARGE(D12:F12,1)=F12,$D$5)))))</f>
        <v>Jânio</v>
      </c>
      <c r="O12" s="50" t="s">
        <v>77</v>
      </c>
      <c r="P12" s="38">
        <v>1588.0</v>
      </c>
      <c r="Q12" s="38">
        <v>1386.0</v>
      </c>
      <c r="R12" s="38">
        <v>673.0</v>
      </c>
      <c r="S12" s="38">
        <v>290.0</v>
      </c>
      <c r="T12" s="38">
        <v>134.0</v>
      </c>
      <c r="U12" s="48">
        <f t="shared" ref="U12:U19" si="9">SUM(P12:R12)</f>
        <v>3647</v>
      </c>
      <c r="V12" s="48">
        <f t="shared" ref="V12:V19" si="10">SUM(S12:U12)</f>
        <v>4071</v>
      </c>
      <c r="W12" s="49">
        <f t="shared" ref="W12:W19" si="11">P12/U12</f>
        <v>0.4354263778</v>
      </c>
      <c r="X12" s="49">
        <f t="shared" ref="X12:X19" si="12">Q12/U12</f>
        <v>0.3800383877</v>
      </c>
      <c r="Y12" s="49">
        <f t="shared" ref="Y12:Y19" si="13">R12/U12</f>
        <v>0.1845352344</v>
      </c>
      <c r="Z12" s="32" t="str">
        <f t="shared" ref="Z12:Z19" si="14">IF(LARGE(P12:R12,1)=0,#REF!,IF(LARGE(P12:R12,1)=LARGE(P12:R12,2),$F$6,IF(LARGE(P12:R12,1)=P12,$F$3,IF(LARGE(P12:R12,1)=Q12,$F$4,IF(LARGE(P12:R12,1)=R12,$F$5)))))</f>
        <v>Jango</v>
      </c>
      <c r="AA12" s="50" t="s">
        <v>77</v>
      </c>
      <c r="AB12" s="38">
        <v>5000.0</v>
      </c>
      <c r="AC12" s="48">
        <f t="shared" ref="AC12:AC19" si="15">AB12-V12</f>
        <v>929</v>
      </c>
      <c r="AD12" s="51">
        <f t="shared" ref="AD12:AD19" si="16">V12/AB12</f>
        <v>0.8142</v>
      </c>
    </row>
    <row r="13">
      <c r="A13" s="110" t="s">
        <v>75</v>
      </c>
      <c r="B13" s="46" t="s">
        <v>1937</v>
      </c>
      <c r="C13" s="47"/>
      <c r="D13" s="38">
        <v>2464.0</v>
      </c>
      <c r="E13" s="38">
        <v>1467.0</v>
      </c>
      <c r="F13" s="38">
        <v>456.0</v>
      </c>
      <c r="G13" s="38">
        <v>142.0</v>
      </c>
      <c r="H13" s="38">
        <v>226.0</v>
      </c>
      <c r="I13" s="48">
        <f t="shared" si="3"/>
        <v>4387</v>
      </c>
      <c r="J13" s="48">
        <f t="shared" si="4"/>
        <v>4755</v>
      </c>
      <c r="K13" s="49">
        <f t="shared" si="5"/>
        <v>0.5616594484</v>
      </c>
      <c r="L13" s="49">
        <f t="shared" si="6"/>
        <v>0.3343970823</v>
      </c>
      <c r="M13" s="49">
        <f t="shared" si="7"/>
        <v>0.1039434693</v>
      </c>
      <c r="N13" s="32" t="str">
        <f t="shared" si="8"/>
        <v>Jânio</v>
      </c>
      <c r="O13" s="50" t="s">
        <v>77</v>
      </c>
      <c r="P13" s="38">
        <v>1769.0</v>
      </c>
      <c r="Q13" s="38">
        <v>2265.0</v>
      </c>
      <c r="R13" s="38">
        <v>263.0</v>
      </c>
      <c r="S13" s="38">
        <v>326.0</v>
      </c>
      <c r="T13" s="38">
        <v>132.0</v>
      </c>
      <c r="U13" s="48">
        <f t="shared" si="9"/>
        <v>4297</v>
      </c>
      <c r="V13" s="48">
        <f t="shared" si="10"/>
        <v>4755</v>
      </c>
      <c r="W13" s="49">
        <f t="shared" si="11"/>
        <v>0.4116825692</v>
      </c>
      <c r="X13" s="49">
        <f t="shared" si="12"/>
        <v>0.5271119386</v>
      </c>
      <c r="Y13" s="49">
        <f t="shared" si="13"/>
        <v>0.0612054922</v>
      </c>
      <c r="Z13" s="32" t="str">
        <f t="shared" si="14"/>
        <v>Milton</v>
      </c>
      <c r="AA13" s="50" t="s">
        <v>77</v>
      </c>
      <c r="AB13" s="38">
        <v>5921.0</v>
      </c>
      <c r="AC13" s="48">
        <f t="shared" si="15"/>
        <v>1166</v>
      </c>
      <c r="AD13" s="51">
        <f t="shared" si="16"/>
        <v>0.8030738051</v>
      </c>
    </row>
    <row r="14">
      <c r="A14" s="110" t="s">
        <v>79</v>
      </c>
      <c r="B14" s="46" t="s">
        <v>1938</v>
      </c>
      <c r="C14" s="47"/>
      <c r="D14" s="38">
        <v>3996.0</v>
      </c>
      <c r="E14" s="38">
        <v>3883.0</v>
      </c>
      <c r="F14" s="38">
        <v>2702.0</v>
      </c>
      <c r="G14" s="38">
        <v>206.0</v>
      </c>
      <c r="H14" s="38">
        <v>619.0</v>
      </c>
      <c r="I14" s="48">
        <f t="shared" si="3"/>
        <v>10581</v>
      </c>
      <c r="J14" s="48">
        <f t="shared" si="4"/>
        <v>11406</v>
      </c>
      <c r="K14" s="49">
        <f t="shared" si="5"/>
        <v>0.3776580663</v>
      </c>
      <c r="L14" s="49">
        <f t="shared" si="6"/>
        <v>0.3669785465</v>
      </c>
      <c r="M14" s="49">
        <f t="shared" si="7"/>
        <v>0.2553633872</v>
      </c>
      <c r="N14" s="32" t="str">
        <f t="shared" si="8"/>
        <v>Jânio</v>
      </c>
      <c r="O14" s="50" t="s">
        <v>77</v>
      </c>
      <c r="P14" s="38">
        <v>4275.0</v>
      </c>
      <c r="Q14" s="38">
        <v>4463.0</v>
      </c>
      <c r="R14" s="38">
        <v>1657.0</v>
      </c>
      <c r="S14" s="38">
        <v>554.0</v>
      </c>
      <c r="T14" s="38">
        <v>457.0</v>
      </c>
      <c r="U14" s="48">
        <f t="shared" si="9"/>
        <v>10395</v>
      </c>
      <c r="V14" s="48">
        <f t="shared" si="10"/>
        <v>11406</v>
      </c>
      <c r="W14" s="49">
        <f t="shared" si="11"/>
        <v>0.4112554113</v>
      </c>
      <c r="X14" s="49">
        <f t="shared" si="12"/>
        <v>0.4293410293</v>
      </c>
      <c r="Y14" s="49">
        <f t="shared" si="13"/>
        <v>0.1594035594</v>
      </c>
      <c r="Z14" s="32" t="str">
        <f t="shared" si="14"/>
        <v>Milton</v>
      </c>
      <c r="AA14" s="50" t="s">
        <v>77</v>
      </c>
      <c r="AB14" s="38">
        <v>12486.0</v>
      </c>
      <c r="AC14" s="48">
        <f t="shared" si="15"/>
        <v>1080</v>
      </c>
      <c r="AD14" s="51">
        <f t="shared" si="16"/>
        <v>0.9135031235</v>
      </c>
    </row>
    <row r="15">
      <c r="A15" s="110" t="s">
        <v>85</v>
      </c>
      <c r="B15" s="46" t="s">
        <v>1939</v>
      </c>
      <c r="C15" s="47"/>
      <c r="D15" s="38">
        <v>4048.0</v>
      </c>
      <c r="E15" s="38">
        <v>4249.0</v>
      </c>
      <c r="F15" s="38">
        <v>5219.0</v>
      </c>
      <c r="G15" s="38">
        <v>285.0</v>
      </c>
      <c r="H15" s="38">
        <v>457.0</v>
      </c>
      <c r="I15" s="48">
        <f t="shared" si="3"/>
        <v>13516</v>
      </c>
      <c r="J15" s="48">
        <f t="shared" si="4"/>
        <v>14258</v>
      </c>
      <c r="K15" s="49">
        <f t="shared" si="5"/>
        <v>0.2994968926</v>
      </c>
      <c r="L15" s="49">
        <f t="shared" si="6"/>
        <v>0.3143681563</v>
      </c>
      <c r="M15" s="49">
        <f t="shared" si="7"/>
        <v>0.3861349512</v>
      </c>
      <c r="N15" s="32" t="str">
        <f t="shared" si="8"/>
        <v>Adhemar</v>
      </c>
      <c r="O15" s="50" t="s">
        <v>77</v>
      </c>
      <c r="P15" s="38">
        <v>5398.0</v>
      </c>
      <c r="Q15" s="38">
        <v>4777.0</v>
      </c>
      <c r="R15" s="38">
        <v>2829.0</v>
      </c>
      <c r="S15" s="38">
        <v>950.0</v>
      </c>
      <c r="T15" s="38">
        <v>304.0</v>
      </c>
      <c r="U15" s="48">
        <f t="shared" si="9"/>
        <v>13004</v>
      </c>
      <c r="V15" s="48">
        <f t="shared" si="10"/>
        <v>14258</v>
      </c>
      <c r="W15" s="49">
        <f t="shared" si="11"/>
        <v>0.4151030452</v>
      </c>
      <c r="X15" s="49">
        <f t="shared" si="12"/>
        <v>0.3673485082</v>
      </c>
      <c r="Y15" s="49">
        <f t="shared" si="13"/>
        <v>0.2175484466</v>
      </c>
      <c r="Z15" s="32" t="str">
        <f t="shared" si="14"/>
        <v>Jango</v>
      </c>
      <c r="AA15" s="50" t="s">
        <v>77</v>
      </c>
      <c r="AB15" s="38">
        <v>17057.0</v>
      </c>
      <c r="AC15" s="48">
        <f t="shared" si="15"/>
        <v>2799</v>
      </c>
      <c r="AD15" s="51">
        <f t="shared" si="16"/>
        <v>0.8359031483</v>
      </c>
    </row>
    <row r="16">
      <c r="A16" s="110" t="s">
        <v>90</v>
      </c>
      <c r="B16" s="46" t="s">
        <v>1940</v>
      </c>
      <c r="C16" s="47"/>
      <c r="D16" s="38">
        <v>2758.0</v>
      </c>
      <c r="E16" s="38">
        <v>3165.0</v>
      </c>
      <c r="F16" s="38">
        <v>213.0</v>
      </c>
      <c r="G16" s="38">
        <v>218.0</v>
      </c>
      <c r="H16" s="38">
        <v>383.0</v>
      </c>
      <c r="I16" s="48">
        <f t="shared" si="3"/>
        <v>6136</v>
      </c>
      <c r="J16" s="48">
        <f t="shared" si="4"/>
        <v>6737</v>
      </c>
      <c r="K16" s="49">
        <f t="shared" si="5"/>
        <v>0.4494784876</v>
      </c>
      <c r="L16" s="49">
        <f t="shared" si="6"/>
        <v>0.5158083442</v>
      </c>
      <c r="M16" s="49">
        <f t="shared" si="7"/>
        <v>0.03471316819</v>
      </c>
      <c r="N16" s="32" t="str">
        <f t="shared" si="8"/>
        <v>Mal. Lott</v>
      </c>
      <c r="O16" s="50" t="s">
        <v>77</v>
      </c>
      <c r="P16" s="38">
        <v>3301.0</v>
      </c>
      <c r="Q16" s="38">
        <v>2269.0</v>
      </c>
      <c r="R16" s="38">
        <v>423.0</v>
      </c>
      <c r="S16" s="38">
        <v>444.0</v>
      </c>
      <c r="T16" s="38">
        <v>300.0</v>
      </c>
      <c r="U16" s="48">
        <f t="shared" si="9"/>
        <v>5993</v>
      </c>
      <c r="V16" s="48">
        <f t="shared" si="10"/>
        <v>6737</v>
      </c>
      <c r="W16" s="49">
        <f t="shared" si="11"/>
        <v>0.5508092775</v>
      </c>
      <c r="X16" s="49">
        <f t="shared" si="12"/>
        <v>0.3786083764</v>
      </c>
      <c r="Y16" s="49">
        <f t="shared" si="13"/>
        <v>0.07058234607</v>
      </c>
      <c r="Z16" s="32" t="str">
        <f t="shared" si="14"/>
        <v>Jango</v>
      </c>
      <c r="AA16" s="50" t="s">
        <v>77</v>
      </c>
      <c r="AB16" s="38">
        <v>8245.0</v>
      </c>
      <c r="AC16" s="48">
        <f t="shared" si="15"/>
        <v>1508</v>
      </c>
      <c r="AD16" s="51">
        <f t="shared" si="16"/>
        <v>0.8171012735</v>
      </c>
    </row>
    <row r="17">
      <c r="A17" s="110" t="s">
        <v>92</v>
      </c>
      <c r="B17" s="46" t="s">
        <v>1941</v>
      </c>
      <c r="C17" s="47"/>
      <c r="D17" s="38">
        <v>1790.0</v>
      </c>
      <c r="E17" s="38">
        <v>2321.0</v>
      </c>
      <c r="F17" s="38">
        <v>401.0</v>
      </c>
      <c r="G17" s="38">
        <v>210.0</v>
      </c>
      <c r="H17" s="38">
        <v>285.0</v>
      </c>
      <c r="I17" s="48">
        <f t="shared" si="3"/>
        <v>4512</v>
      </c>
      <c r="J17" s="48">
        <f t="shared" si="4"/>
        <v>5007</v>
      </c>
      <c r="K17" s="49">
        <f t="shared" si="5"/>
        <v>0.3967198582</v>
      </c>
      <c r="L17" s="49">
        <f t="shared" si="6"/>
        <v>0.5144060284</v>
      </c>
      <c r="M17" s="49">
        <f t="shared" si="7"/>
        <v>0.08887411348</v>
      </c>
      <c r="N17" s="32" t="str">
        <f t="shared" si="8"/>
        <v>Mal. Lott</v>
      </c>
      <c r="O17" s="50" t="s">
        <v>77</v>
      </c>
      <c r="P17" s="38">
        <v>2394.0</v>
      </c>
      <c r="Q17" s="38">
        <v>1444.0</v>
      </c>
      <c r="R17" s="38">
        <v>577.0</v>
      </c>
      <c r="S17" s="38">
        <v>264.0</v>
      </c>
      <c r="T17" s="38">
        <v>328.0</v>
      </c>
      <c r="U17" s="48">
        <f t="shared" si="9"/>
        <v>4415</v>
      </c>
      <c r="V17" s="48">
        <f t="shared" si="10"/>
        <v>5007</v>
      </c>
      <c r="W17" s="49">
        <f t="shared" si="11"/>
        <v>0.5422423556</v>
      </c>
      <c r="X17" s="49">
        <f t="shared" si="12"/>
        <v>0.3270668177</v>
      </c>
      <c r="Y17" s="49">
        <f t="shared" si="13"/>
        <v>0.1306908267</v>
      </c>
      <c r="Z17" s="32" t="str">
        <f t="shared" si="14"/>
        <v>Jango</v>
      </c>
      <c r="AA17" s="50" t="s">
        <v>77</v>
      </c>
      <c r="AB17" s="38">
        <v>6758.0</v>
      </c>
      <c r="AC17" s="48">
        <f t="shared" si="15"/>
        <v>1751</v>
      </c>
      <c r="AD17" s="51">
        <f t="shared" si="16"/>
        <v>0.7408996745</v>
      </c>
    </row>
    <row r="18">
      <c r="A18" s="110" t="s">
        <v>94</v>
      </c>
      <c r="B18" s="46" t="s">
        <v>1942</v>
      </c>
      <c r="C18" s="47"/>
      <c r="D18" s="38">
        <v>2009.0</v>
      </c>
      <c r="E18" s="38">
        <v>2283.0</v>
      </c>
      <c r="F18" s="38">
        <v>237.0</v>
      </c>
      <c r="G18" s="38">
        <v>149.0</v>
      </c>
      <c r="H18" s="38">
        <v>174.0</v>
      </c>
      <c r="I18" s="48">
        <f t="shared" si="3"/>
        <v>4529</v>
      </c>
      <c r="J18" s="48">
        <f t="shared" si="4"/>
        <v>4852</v>
      </c>
      <c r="K18" s="49">
        <f t="shared" si="5"/>
        <v>0.4435857805</v>
      </c>
      <c r="L18" s="49">
        <f t="shared" si="6"/>
        <v>0.5040847869</v>
      </c>
      <c r="M18" s="49">
        <f t="shared" si="7"/>
        <v>0.05232943255</v>
      </c>
      <c r="N18" s="32" t="str">
        <f t="shared" si="8"/>
        <v>Mal. Lott</v>
      </c>
      <c r="O18" s="50" t="s">
        <v>77</v>
      </c>
      <c r="P18" s="38">
        <v>2507.0</v>
      </c>
      <c r="Q18" s="38">
        <v>1763.0</v>
      </c>
      <c r="R18" s="38">
        <v>211.0</v>
      </c>
      <c r="S18" s="38">
        <v>174.0</v>
      </c>
      <c r="T18" s="38">
        <v>197.0</v>
      </c>
      <c r="U18" s="48">
        <f t="shared" si="9"/>
        <v>4481</v>
      </c>
      <c r="V18" s="48">
        <f t="shared" si="10"/>
        <v>4852</v>
      </c>
      <c r="W18" s="49">
        <f t="shared" si="11"/>
        <v>0.5594733318</v>
      </c>
      <c r="X18" s="49">
        <f t="shared" si="12"/>
        <v>0.3934389645</v>
      </c>
      <c r="Y18" s="49">
        <f t="shared" si="13"/>
        <v>0.04708770364</v>
      </c>
      <c r="Z18" s="32" t="str">
        <f t="shared" si="14"/>
        <v>Jango</v>
      </c>
      <c r="AA18" s="50" t="s">
        <v>77</v>
      </c>
      <c r="AB18" s="38">
        <v>5982.0</v>
      </c>
      <c r="AC18" s="48">
        <f t="shared" si="15"/>
        <v>1130</v>
      </c>
      <c r="AD18" s="51">
        <f t="shared" si="16"/>
        <v>0.8110999666</v>
      </c>
    </row>
    <row r="19">
      <c r="A19" s="61" t="s">
        <v>1943</v>
      </c>
      <c r="B19" s="123" t="s">
        <v>1944</v>
      </c>
      <c r="C19" s="47"/>
      <c r="D19" s="88">
        <v>21954.0</v>
      </c>
      <c r="E19" s="88">
        <v>23001.0</v>
      </c>
      <c r="F19" s="88">
        <v>5942.0</v>
      </c>
      <c r="G19" s="88">
        <v>1072.0</v>
      </c>
      <c r="H19" s="88">
        <v>2293.0</v>
      </c>
      <c r="I19" s="89">
        <f t="shared" si="3"/>
        <v>50897</v>
      </c>
      <c r="J19" s="89">
        <f t="shared" si="4"/>
        <v>54262</v>
      </c>
      <c r="K19" s="90">
        <f t="shared" si="5"/>
        <v>0.4313417294</v>
      </c>
      <c r="L19" s="90">
        <f t="shared" si="6"/>
        <v>0.4519126864</v>
      </c>
      <c r="M19" s="90">
        <f t="shared" si="7"/>
        <v>0.1167455842</v>
      </c>
      <c r="N19" s="91" t="str">
        <f t="shared" si="8"/>
        <v>Mal. Lott</v>
      </c>
      <c r="O19" s="92" t="s">
        <v>77</v>
      </c>
      <c r="P19" s="88">
        <v>24336.0</v>
      </c>
      <c r="Q19" s="88">
        <v>18396.0</v>
      </c>
      <c r="R19" s="88">
        <v>7546.0</v>
      </c>
      <c r="S19" s="88">
        <v>2189.0</v>
      </c>
      <c r="T19" s="88">
        <v>1795.0</v>
      </c>
      <c r="U19" s="89">
        <f t="shared" si="9"/>
        <v>50278</v>
      </c>
      <c r="V19" s="89">
        <f t="shared" si="10"/>
        <v>54262</v>
      </c>
      <c r="W19" s="90">
        <f t="shared" si="11"/>
        <v>0.4840287999</v>
      </c>
      <c r="X19" s="90">
        <f t="shared" si="12"/>
        <v>0.3658856756</v>
      </c>
      <c r="Y19" s="90">
        <f t="shared" si="13"/>
        <v>0.1500855245</v>
      </c>
      <c r="Z19" s="91" t="str">
        <f t="shared" si="14"/>
        <v>Jango</v>
      </c>
      <c r="AA19" s="92" t="s">
        <v>77</v>
      </c>
      <c r="AB19" s="88">
        <v>64098.0</v>
      </c>
      <c r="AC19" s="89">
        <f t="shared" si="15"/>
        <v>9836</v>
      </c>
      <c r="AD19" s="94">
        <f t="shared" si="16"/>
        <v>0.8465474742</v>
      </c>
      <c r="AE19" s="125"/>
    </row>
    <row r="20">
      <c r="A20" s="126" t="s">
        <v>1945</v>
      </c>
      <c r="B20" s="24"/>
      <c r="C20" s="47"/>
      <c r="D20" s="24"/>
      <c r="E20" s="24"/>
      <c r="F20" s="24"/>
      <c r="G20" s="24"/>
      <c r="H20" s="24"/>
      <c r="I20" s="24"/>
      <c r="J20" s="24"/>
      <c r="K20" s="24"/>
      <c r="L20" s="24"/>
      <c r="M20" s="24"/>
      <c r="N20" s="24"/>
      <c r="P20" s="24"/>
      <c r="Q20" s="24"/>
      <c r="R20" s="24"/>
      <c r="S20" s="24"/>
      <c r="T20" s="24"/>
      <c r="U20" s="24"/>
      <c r="V20" s="24"/>
      <c r="W20" s="24"/>
      <c r="X20" s="24"/>
      <c r="Y20" s="24"/>
      <c r="Z20" s="24"/>
      <c r="AB20" s="24"/>
      <c r="AC20" s="24"/>
      <c r="AD20" s="24"/>
    </row>
    <row r="21">
      <c r="A21" s="110" t="s">
        <v>107</v>
      </c>
      <c r="B21" s="46" t="s">
        <v>1946</v>
      </c>
      <c r="C21" s="47"/>
      <c r="D21" s="38">
        <v>1138.0</v>
      </c>
      <c r="E21" s="38">
        <v>1657.0</v>
      </c>
      <c r="F21" s="38">
        <v>419.0</v>
      </c>
      <c r="G21" s="38">
        <v>89.0</v>
      </c>
      <c r="H21" s="38">
        <v>157.0</v>
      </c>
      <c r="I21" s="48">
        <f t="shared" ref="I21:I34" si="17">SUM(D21:F21)</f>
        <v>3214</v>
      </c>
      <c r="J21" s="48">
        <f t="shared" ref="J21:J34" si="18">SUM(G21:I21)</f>
        <v>3460</v>
      </c>
      <c r="K21" s="49">
        <f t="shared" ref="K21:K34" si="19">D21/I21</f>
        <v>0.3540759179</v>
      </c>
      <c r="L21" s="49">
        <f t="shared" ref="L21:L34" si="20">E21/I21</f>
        <v>0.5155569384</v>
      </c>
      <c r="M21" s="49">
        <f t="shared" ref="M21:M34" si="21">F21/I21</f>
        <v>0.1303671437</v>
      </c>
      <c r="N21" s="32" t="str">
        <f t="shared" ref="N21:N34" si="22">IF(LARGE(D21:F21,1)=0,#REF!,IF(LARGE(D21:F21,1)=LARGE(D21:F21,2),$D$6,IF(LARGE(D21:F21,1)=D21,$D$3,IF(LARGE(D21:F21,1)=E21,$D$4,IF(LARGE(D21:F21,1)=F21,$D$5)))))</f>
        <v>Mal. Lott</v>
      </c>
      <c r="O21" s="50" t="s">
        <v>77</v>
      </c>
      <c r="P21" s="38">
        <v>1686.0</v>
      </c>
      <c r="Q21" s="38">
        <v>1115.0</v>
      </c>
      <c r="R21" s="38">
        <v>387.0</v>
      </c>
      <c r="S21" s="38">
        <v>168.0</v>
      </c>
      <c r="T21" s="38">
        <v>104.0</v>
      </c>
      <c r="U21" s="48">
        <f t="shared" ref="U21:U34" si="23">SUM(P21:R21)</f>
        <v>3188</v>
      </c>
      <c r="V21" s="48">
        <f t="shared" ref="V21:V34" si="24">SUM(S21:U21)</f>
        <v>3460</v>
      </c>
      <c r="W21" s="49">
        <f t="shared" ref="W21:W34" si="25">P21/U21</f>
        <v>0.5288582183</v>
      </c>
      <c r="X21" s="49">
        <f t="shared" ref="X21:X34" si="26">Q21/U21</f>
        <v>0.349749059</v>
      </c>
      <c r="Y21" s="49">
        <f t="shared" ref="Y21:Y34" si="27">R21/U21</f>
        <v>0.1213927227</v>
      </c>
      <c r="Z21" s="32" t="str">
        <f t="shared" ref="Z21:Z34" si="28">IF(LARGE(P21:R21,1)=0,#REF!,IF(LARGE(P21:R21,1)=LARGE(P21:R21,2),$F$6,IF(LARGE(P21:R21,1)=P21,$F$3,IF(LARGE(P21:R21,1)=Q21,$F$4,IF(LARGE(P21:R21,1)=R21,$F$5)))))</f>
        <v>Jango</v>
      </c>
      <c r="AA21" s="50" t="s">
        <v>77</v>
      </c>
      <c r="AB21" s="38">
        <v>4478.0</v>
      </c>
      <c r="AC21" s="48">
        <f t="shared" ref="AC21:AC34" si="29">AB21-V21</f>
        <v>1018</v>
      </c>
      <c r="AD21" s="51">
        <f t="shared" ref="AD21:AD34" si="30">V21/AB21</f>
        <v>0.7726663689</v>
      </c>
    </row>
    <row r="22">
      <c r="A22" s="110" t="s">
        <v>111</v>
      </c>
      <c r="B22" s="46" t="s">
        <v>1947</v>
      </c>
      <c r="C22" s="47"/>
      <c r="D22" s="38">
        <v>859.0</v>
      </c>
      <c r="E22" s="38">
        <v>1573.0</v>
      </c>
      <c r="F22" s="38">
        <v>242.0</v>
      </c>
      <c r="G22" s="38">
        <v>59.0</v>
      </c>
      <c r="H22" s="38">
        <v>52.0</v>
      </c>
      <c r="I22" s="48">
        <f t="shared" si="17"/>
        <v>2674</v>
      </c>
      <c r="J22" s="48">
        <f t="shared" si="18"/>
        <v>2785</v>
      </c>
      <c r="K22" s="49">
        <f t="shared" si="19"/>
        <v>0.3212415856</v>
      </c>
      <c r="L22" s="49">
        <f t="shared" si="20"/>
        <v>0.5882572924</v>
      </c>
      <c r="M22" s="49">
        <f t="shared" si="21"/>
        <v>0.09050112191</v>
      </c>
      <c r="N22" s="32" t="str">
        <f t="shared" si="22"/>
        <v>Mal. Lott</v>
      </c>
      <c r="O22" s="50" t="s">
        <v>77</v>
      </c>
      <c r="P22" s="38">
        <v>1742.0</v>
      </c>
      <c r="Q22" s="38">
        <v>811.0</v>
      </c>
      <c r="R22" s="38">
        <v>90.0</v>
      </c>
      <c r="S22" s="38">
        <v>111.0</v>
      </c>
      <c r="T22" s="38">
        <v>31.0</v>
      </c>
      <c r="U22" s="48">
        <f t="shared" si="23"/>
        <v>2643</v>
      </c>
      <c r="V22" s="48">
        <f t="shared" si="24"/>
        <v>2785</v>
      </c>
      <c r="W22" s="49">
        <f t="shared" si="25"/>
        <v>0.6590995081</v>
      </c>
      <c r="X22" s="49">
        <f t="shared" si="26"/>
        <v>0.3068482785</v>
      </c>
      <c r="Y22" s="49">
        <f t="shared" si="27"/>
        <v>0.03405221339</v>
      </c>
      <c r="Z22" s="32" t="str">
        <f t="shared" si="28"/>
        <v>Jango</v>
      </c>
      <c r="AA22" s="50" t="s">
        <v>77</v>
      </c>
      <c r="AB22" s="38">
        <v>3181.0</v>
      </c>
      <c r="AC22" s="48">
        <f t="shared" si="29"/>
        <v>396</v>
      </c>
      <c r="AD22" s="51">
        <f t="shared" si="30"/>
        <v>0.8755108456</v>
      </c>
    </row>
    <row r="23">
      <c r="A23" s="110" t="s">
        <v>114</v>
      </c>
      <c r="B23" s="46" t="s">
        <v>1948</v>
      </c>
      <c r="C23" s="47"/>
      <c r="D23" s="38">
        <v>11437.0</v>
      </c>
      <c r="E23" s="38">
        <v>17366.0</v>
      </c>
      <c r="F23" s="38">
        <v>15319.0</v>
      </c>
      <c r="G23" s="38">
        <v>1205.0</v>
      </c>
      <c r="H23" s="38">
        <v>2673.0</v>
      </c>
      <c r="I23" s="48">
        <f t="shared" si="17"/>
        <v>44122</v>
      </c>
      <c r="J23" s="48">
        <f t="shared" si="18"/>
        <v>48000</v>
      </c>
      <c r="K23" s="49">
        <f t="shared" si="19"/>
        <v>0.259213091</v>
      </c>
      <c r="L23" s="49">
        <f t="shared" si="20"/>
        <v>0.3935904991</v>
      </c>
      <c r="M23" s="49">
        <f t="shared" si="21"/>
        <v>0.34719641</v>
      </c>
      <c r="N23" s="32" t="str">
        <f t="shared" si="22"/>
        <v>Mal. Lott</v>
      </c>
      <c r="O23" s="50" t="s">
        <v>77</v>
      </c>
      <c r="P23" s="38">
        <v>19943.0</v>
      </c>
      <c r="Q23" s="38">
        <v>9394.0</v>
      </c>
      <c r="R23" s="38">
        <v>13744.0</v>
      </c>
      <c r="S23" s="38">
        <v>3004.0</v>
      </c>
      <c r="T23" s="38">
        <v>1915.0</v>
      </c>
      <c r="U23" s="48">
        <f t="shared" si="23"/>
        <v>43081</v>
      </c>
      <c r="V23" s="48">
        <f t="shared" si="24"/>
        <v>48000</v>
      </c>
      <c r="W23" s="49">
        <f t="shared" si="25"/>
        <v>0.4629186881</v>
      </c>
      <c r="X23" s="49">
        <f t="shared" si="26"/>
        <v>0.2180543627</v>
      </c>
      <c r="Y23" s="49">
        <f t="shared" si="27"/>
        <v>0.3190269492</v>
      </c>
      <c r="Z23" s="32" t="str">
        <f t="shared" si="28"/>
        <v>Jango</v>
      </c>
      <c r="AA23" s="50" t="s">
        <v>77</v>
      </c>
      <c r="AB23" s="38">
        <v>63303.0</v>
      </c>
      <c r="AC23" s="48">
        <f t="shared" si="29"/>
        <v>15303</v>
      </c>
      <c r="AD23" s="51">
        <f t="shared" si="30"/>
        <v>0.7582579025</v>
      </c>
    </row>
    <row r="24">
      <c r="A24" s="110" t="s">
        <v>117</v>
      </c>
      <c r="B24" s="46" t="s">
        <v>1949</v>
      </c>
      <c r="C24" s="47"/>
      <c r="D24" s="38">
        <v>2786.0</v>
      </c>
      <c r="E24" s="38">
        <v>2674.0</v>
      </c>
      <c r="F24" s="38">
        <v>620.0</v>
      </c>
      <c r="G24" s="38">
        <v>225.0</v>
      </c>
      <c r="H24" s="38">
        <v>282.0</v>
      </c>
      <c r="I24" s="48">
        <f t="shared" si="17"/>
        <v>6080</v>
      </c>
      <c r="J24" s="48">
        <f t="shared" si="18"/>
        <v>6587</v>
      </c>
      <c r="K24" s="49">
        <f t="shared" si="19"/>
        <v>0.4582236842</v>
      </c>
      <c r="L24" s="49">
        <f t="shared" si="20"/>
        <v>0.4398026316</v>
      </c>
      <c r="M24" s="49">
        <f t="shared" si="21"/>
        <v>0.1019736842</v>
      </c>
      <c r="N24" s="32" t="str">
        <f t="shared" si="22"/>
        <v>Jânio</v>
      </c>
      <c r="O24" s="50" t="s">
        <v>77</v>
      </c>
      <c r="P24" s="38">
        <v>2840.0</v>
      </c>
      <c r="Q24" s="38">
        <v>2503.0</v>
      </c>
      <c r="R24" s="38">
        <v>655.0</v>
      </c>
      <c r="S24" s="38">
        <v>361.0</v>
      </c>
      <c r="T24" s="38">
        <v>228.0</v>
      </c>
      <c r="U24" s="48">
        <f t="shared" si="23"/>
        <v>5998</v>
      </c>
      <c r="V24" s="48">
        <f t="shared" si="24"/>
        <v>6587</v>
      </c>
      <c r="W24" s="49">
        <f t="shared" si="25"/>
        <v>0.4734911637</v>
      </c>
      <c r="X24" s="49">
        <f t="shared" si="26"/>
        <v>0.4173057686</v>
      </c>
      <c r="Y24" s="49">
        <f t="shared" si="27"/>
        <v>0.1092030677</v>
      </c>
      <c r="Z24" s="32" t="str">
        <f t="shared" si="28"/>
        <v>Jango</v>
      </c>
      <c r="AA24" s="50" t="s">
        <v>77</v>
      </c>
      <c r="AB24" s="38">
        <v>7837.0</v>
      </c>
      <c r="AC24" s="48">
        <f t="shared" si="29"/>
        <v>1250</v>
      </c>
      <c r="AD24" s="51">
        <f t="shared" si="30"/>
        <v>0.8405001914</v>
      </c>
    </row>
    <row r="25">
      <c r="A25" s="61" t="s">
        <v>119</v>
      </c>
      <c r="B25" s="46" t="s">
        <v>1950</v>
      </c>
      <c r="C25" s="47"/>
      <c r="D25" s="38">
        <v>2553.0</v>
      </c>
      <c r="E25" s="38">
        <v>2737.0</v>
      </c>
      <c r="F25" s="38">
        <v>2357.0</v>
      </c>
      <c r="G25" s="38">
        <v>253.0</v>
      </c>
      <c r="H25" s="38">
        <v>572.0</v>
      </c>
      <c r="I25" s="48">
        <f t="shared" si="17"/>
        <v>7647</v>
      </c>
      <c r="J25" s="48">
        <f t="shared" si="18"/>
        <v>8472</v>
      </c>
      <c r="K25" s="49">
        <f t="shared" si="19"/>
        <v>0.3338564143</v>
      </c>
      <c r="L25" s="49">
        <f t="shared" si="20"/>
        <v>0.3579181378</v>
      </c>
      <c r="M25" s="49">
        <f t="shared" si="21"/>
        <v>0.3082254479</v>
      </c>
      <c r="N25" s="32" t="str">
        <f t="shared" si="22"/>
        <v>Mal. Lott</v>
      </c>
      <c r="O25" s="50" t="s">
        <v>77</v>
      </c>
      <c r="P25" s="38">
        <v>3506.0</v>
      </c>
      <c r="Q25" s="38">
        <v>2257.0</v>
      </c>
      <c r="R25" s="38">
        <v>1629.0</v>
      </c>
      <c r="S25" s="38">
        <v>764.0</v>
      </c>
      <c r="T25" s="38">
        <v>316.0</v>
      </c>
      <c r="U25" s="48">
        <f t="shared" si="23"/>
        <v>7392</v>
      </c>
      <c r="V25" s="48">
        <f t="shared" si="24"/>
        <v>8472</v>
      </c>
      <c r="W25" s="49">
        <f t="shared" si="25"/>
        <v>0.4742965368</v>
      </c>
      <c r="X25" s="49">
        <f t="shared" si="26"/>
        <v>0.3053300866</v>
      </c>
      <c r="Y25" s="49">
        <f t="shared" si="27"/>
        <v>0.2203733766</v>
      </c>
      <c r="Z25" s="32" t="str">
        <f t="shared" si="28"/>
        <v>Jango</v>
      </c>
      <c r="AA25" s="50" t="s">
        <v>77</v>
      </c>
      <c r="AB25" s="38">
        <v>11605.0</v>
      </c>
      <c r="AC25" s="48">
        <f t="shared" si="29"/>
        <v>3133</v>
      </c>
      <c r="AD25" s="51">
        <f t="shared" si="30"/>
        <v>0.7300301594</v>
      </c>
    </row>
    <row r="26">
      <c r="A26" s="24"/>
      <c r="B26" s="46" t="s">
        <v>1951</v>
      </c>
      <c r="C26" s="47"/>
      <c r="D26" s="38">
        <v>1252.0</v>
      </c>
      <c r="E26" s="38">
        <v>1671.0</v>
      </c>
      <c r="F26" s="38">
        <v>1582.0</v>
      </c>
      <c r="G26" s="38">
        <v>256.0</v>
      </c>
      <c r="H26" s="38">
        <v>243.0</v>
      </c>
      <c r="I26" s="48">
        <f t="shared" si="17"/>
        <v>4505</v>
      </c>
      <c r="J26" s="48">
        <f t="shared" si="18"/>
        <v>5004</v>
      </c>
      <c r="K26" s="49">
        <f t="shared" si="19"/>
        <v>0.2779134295</v>
      </c>
      <c r="L26" s="49">
        <f t="shared" si="20"/>
        <v>0.3709211987</v>
      </c>
      <c r="M26" s="49">
        <f t="shared" si="21"/>
        <v>0.3511653718</v>
      </c>
      <c r="N26" s="32" t="str">
        <f t="shared" si="22"/>
        <v>Mal. Lott</v>
      </c>
      <c r="O26" s="50" t="s">
        <v>77</v>
      </c>
      <c r="P26" s="38">
        <v>2114.0</v>
      </c>
      <c r="Q26" s="38">
        <v>1118.0</v>
      </c>
      <c r="R26" s="38">
        <v>994.0</v>
      </c>
      <c r="S26" s="38">
        <v>632.0</v>
      </c>
      <c r="T26" s="38">
        <v>146.0</v>
      </c>
      <c r="U26" s="48">
        <f t="shared" si="23"/>
        <v>4226</v>
      </c>
      <c r="V26" s="48">
        <f t="shared" si="24"/>
        <v>5004</v>
      </c>
      <c r="W26" s="49">
        <f t="shared" si="25"/>
        <v>0.5002366304</v>
      </c>
      <c r="X26" s="49">
        <f t="shared" si="26"/>
        <v>0.2645527686</v>
      </c>
      <c r="Y26" s="49">
        <f t="shared" si="27"/>
        <v>0.235210601</v>
      </c>
      <c r="Z26" s="32" t="str">
        <f t="shared" si="28"/>
        <v>Jango</v>
      </c>
      <c r="AA26" s="50" t="s">
        <v>77</v>
      </c>
      <c r="AB26" s="38">
        <v>5780.0</v>
      </c>
      <c r="AC26" s="48">
        <f t="shared" si="29"/>
        <v>776</v>
      </c>
      <c r="AD26" s="51">
        <f t="shared" si="30"/>
        <v>0.8657439446</v>
      </c>
    </row>
    <row r="27">
      <c r="A27" s="110" t="s">
        <v>123</v>
      </c>
      <c r="B27" s="46" t="s">
        <v>1952</v>
      </c>
      <c r="C27" s="47"/>
      <c r="D27" s="38">
        <v>1747.0</v>
      </c>
      <c r="E27" s="38">
        <v>1534.0</v>
      </c>
      <c r="F27" s="38">
        <v>256.0</v>
      </c>
      <c r="G27" s="38">
        <v>117.0</v>
      </c>
      <c r="H27" s="38">
        <v>120.0</v>
      </c>
      <c r="I27" s="48">
        <f t="shared" si="17"/>
        <v>3537</v>
      </c>
      <c r="J27" s="48">
        <f t="shared" si="18"/>
        <v>3774</v>
      </c>
      <c r="K27" s="49">
        <f t="shared" si="19"/>
        <v>0.4939214023</v>
      </c>
      <c r="L27" s="49">
        <f t="shared" si="20"/>
        <v>0.4337008764</v>
      </c>
      <c r="M27" s="49">
        <f t="shared" si="21"/>
        <v>0.07237772123</v>
      </c>
      <c r="N27" s="32" t="str">
        <f t="shared" si="22"/>
        <v>Jânio</v>
      </c>
      <c r="O27" s="50" t="s">
        <v>77</v>
      </c>
      <c r="P27" s="38">
        <v>1645.0</v>
      </c>
      <c r="Q27" s="38">
        <v>1674.0</v>
      </c>
      <c r="R27" s="38">
        <v>152.0</v>
      </c>
      <c r="S27" s="38">
        <v>218.0</v>
      </c>
      <c r="T27" s="38">
        <v>85.0</v>
      </c>
      <c r="U27" s="48">
        <f t="shared" si="23"/>
        <v>3471</v>
      </c>
      <c r="V27" s="48">
        <f t="shared" si="24"/>
        <v>3774</v>
      </c>
      <c r="W27" s="49">
        <f t="shared" si="25"/>
        <v>0.4739268222</v>
      </c>
      <c r="X27" s="49">
        <f t="shared" si="26"/>
        <v>0.4822817632</v>
      </c>
      <c r="Y27" s="49">
        <f t="shared" si="27"/>
        <v>0.04379141458</v>
      </c>
      <c r="Z27" s="32" t="str">
        <f t="shared" si="28"/>
        <v>Milton</v>
      </c>
      <c r="AA27" s="50" t="s">
        <v>77</v>
      </c>
      <c r="AB27" s="38">
        <v>5060.0</v>
      </c>
      <c r="AC27" s="48">
        <f t="shared" si="29"/>
        <v>1286</v>
      </c>
      <c r="AD27" s="51">
        <f t="shared" si="30"/>
        <v>0.7458498024</v>
      </c>
    </row>
    <row r="28">
      <c r="A28" s="110" t="s">
        <v>125</v>
      </c>
      <c r="B28" s="46" t="s">
        <v>1953</v>
      </c>
      <c r="C28" s="47"/>
      <c r="D28" s="38">
        <v>4604.0</v>
      </c>
      <c r="E28" s="38">
        <v>5471.0</v>
      </c>
      <c r="F28" s="38">
        <v>614.0</v>
      </c>
      <c r="G28" s="38">
        <v>266.0</v>
      </c>
      <c r="H28" s="38">
        <v>592.0</v>
      </c>
      <c r="I28" s="48">
        <f t="shared" si="17"/>
        <v>10689</v>
      </c>
      <c r="J28" s="48">
        <f t="shared" si="18"/>
        <v>11547</v>
      </c>
      <c r="K28" s="49">
        <f t="shared" si="19"/>
        <v>0.4307231734</v>
      </c>
      <c r="L28" s="49">
        <f t="shared" si="20"/>
        <v>0.5118345963</v>
      </c>
      <c r="M28" s="49">
        <f t="shared" si="21"/>
        <v>0.05744223033</v>
      </c>
      <c r="N28" s="32" t="str">
        <f t="shared" si="22"/>
        <v>Mal. Lott</v>
      </c>
      <c r="O28" s="50" t="s">
        <v>77</v>
      </c>
      <c r="P28" s="38">
        <v>5848.0</v>
      </c>
      <c r="Q28" s="38">
        <v>3983.0</v>
      </c>
      <c r="R28" s="38">
        <v>684.0</v>
      </c>
      <c r="S28" s="38">
        <v>575.0</v>
      </c>
      <c r="T28" s="38">
        <v>457.0</v>
      </c>
      <c r="U28" s="48">
        <f t="shared" si="23"/>
        <v>10515</v>
      </c>
      <c r="V28" s="48">
        <f t="shared" si="24"/>
        <v>11547</v>
      </c>
      <c r="W28" s="49">
        <f t="shared" si="25"/>
        <v>0.5561578697</v>
      </c>
      <c r="X28" s="49">
        <f t="shared" si="26"/>
        <v>0.3787922016</v>
      </c>
      <c r="Y28" s="49">
        <f t="shared" si="27"/>
        <v>0.06504992867</v>
      </c>
      <c r="Z28" s="32" t="str">
        <f t="shared" si="28"/>
        <v>Jango</v>
      </c>
      <c r="AA28" s="50" t="s">
        <v>77</v>
      </c>
      <c r="AB28" s="38">
        <v>14102.0</v>
      </c>
      <c r="AC28" s="48">
        <f t="shared" si="29"/>
        <v>2555</v>
      </c>
      <c r="AD28" s="51">
        <f t="shared" si="30"/>
        <v>0.8188200255</v>
      </c>
    </row>
    <row r="29">
      <c r="A29" s="110" t="s">
        <v>127</v>
      </c>
      <c r="B29" s="46" t="s">
        <v>1954</v>
      </c>
      <c r="C29" s="47"/>
      <c r="D29" s="38">
        <v>846.0</v>
      </c>
      <c r="E29" s="38">
        <v>799.0</v>
      </c>
      <c r="F29" s="38">
        <v>450.0</v>
      </c>
      <c r="G29" s="38">
        <v>85.0</v>
      </c>
      <c r="H29" s="38">
        <v>97.0</v>
      </c>
      <c r="I29" s="48">
        <f t="shared" si="17"/>
        <v>2095</v>
      </c>
      <c r="J29" s="48">
        <f t="shared" si="18"/>
        <v>2277</v>
      </c>
      <c r="K29" s="49">
        <f t="shared" si="19"/>
        <v>0.4038186158</v>
      </c>
      <c r="L29" s="49">
        <f t="shared" si="20"/>
        <v>0.3813842482</v>
      </c>
      <c r="M29" s="49">
        <f t="shared" si="21"/>
        <v>0.214797136</v>
      </c>
      <c r="N29" s="32" t="str">
        <f t="shared" si="22"/>
        <v>Jânio</v>
      </c>
      <c r="O29" s="50" t="s">
        <v>77</v>
      </c>
      <c r="P29" s="38">
        <v>974.0</v>
      </c>
      <c r="Q29" s="38">
        <v>822.0</v>
      </c>
      <c r="R29" s="38">
        <v>208.0</v>
      </c>
      <c r="S29" s="38">
        <v>218.0</v>
      </c>
      <c r="T29" s="38">
        <v>55.0</v>
      </c>
      <c r="U29" s="48">
        <f t="shared" si="23"/>
        <v>2004</v>
      </c>
      <c r="V29" s="48">
        <f t="shared" si="24"/>
        <v>2277</v>
      </c>
      <c r="W29" s="49">
        <f t="shared" si="25"/>
        <v>0.4860279441</v>
      </c>
      <c r="X29" s="49">
        <f t="shared" si="26"/>
        <v>0.4101796407</v>
      </c>
      <c r="Y29" s="49">
        <f t="shared" si="27"/>
        <v>0.1037924152</v>
      </c>
      <c r="Z29" s="32" t="str">
        <f t="shared" si="28"/>
        <v>Jango</v>
      </c>
      <c r="AA29" s="50" t="s">
        <v>77</v>
      </c>
      <c r="AB29" s="38">
        <v>2814.0</v>
      </c>
      <c r="AC29" s="48">
        <f t="shared" si="29"/>
        <v>537</v>
      </c>
      <c r="AD29" s="51">
        <f t="shared" si="30"/>
        <v>0.8091684435</v>
      </c>
    </row>
    <row r="30">
      <c r="A30" s="110" t="s">
        <v>129</v>
      </c>
      <c r="B30" s="46" t="s">
        <v>1955</v>
      </c>
      <c r="C30" s="47"/>
      <c r="D30" s="38">
        <v>4009.0</v>
      </c>
      <c r="E30" s="38">
        <v>4170.0</v>
      </c>
      <c r="F30" s="38">
        <v>865.0</v>
      </c>
      <c r="G30" s="38">
        <v>293.0</v>
      </c>
      <c r="H30" s="38">
        <v>434.0</v>
      </c>
      <c r="I30" s="48">
        <f t="shared" si="17"/>
        <v>9044</v>
      </c>
      <c r="J30" s="48">
        <f t="shared" si="18"/>
        <v>9771</v>
      </c>
      <c r="K30" s="49">
        <f t="shared" si="19"/>
        <v>0.4432773109</v>
      </c>
      <c r="L30" s="49">
        <f t="shared" si="20"/>
        <v>0.4610791685</v>
      </c>
      <c r="M30" s="49">
        <f t="shared" si="21"/>
        <v>0.09564352057</v>
      </c>
      <c r="N30" s="32" t="str">
        <f t="shared" si="22"/>
        <v>Mal. Lott</v>
      </c>
      <c r="O30" s="50" t="s">
        <v>77</v>
      </c>
      <c r="P30" s="38">
        <v>4280.0</v>
      </c>
      <c r="Q30" s="38">
        <v>3232.0</v>
      </c>
      <c r="R30" s="38">
        <v>1383.0</v>
      </c>
      <c r="S30" s="38">
        <v>539.0</v>
      </c>
      <c r="T30" s="38">
        <v>337.0</v>
      </c>
      <c r="U30" s="48">
        <f t="shared" si="23"/>
        <v>8895</v>
      </c>
      <c r="V30" s="48">
        <f t="shared" si="24"/>
        <v>9771</v>
      </c>
      <c r="W30" s="49">
        <f t="shared" si="25"/>
        <v>0.4811691962</v>
      </c>
      <c r="X30" s="49">
        <f t="shared" si="26"/>
        <v>0.3633501967</v>
      </c>
      <c r="Y30" s="49">
        <f t="shared" si="27"/>
        <v>0.1554806071</v>
      </c>
      <c r="Z30" s="32" t="str">
        <f t="shared" si="28"/>
        <v>Jango</v>
      </c>
      <c r="AA30" s="50" t="s">
        <v>77</v>
      </c>
      <c r="AB30" s="38">
        <v>12062.0</v>
      </c>
      <c r="AC30" s="48">
        <f t="shared" si="29"/>
        <v>2291</v>
      </c>
      <c r="AD30" s="51">
        <f t="shared" si="30"/>
        <v>0.8100646659</v>
      </c>
    </row>
    <row r="31">
      <c r="A31" s="110" t="s">
        <v>131</v>
      </c>
      <c r="B31" s="46" t="s">
        <v>1956</v>
      </c>
      <c r="C31" s="47"/>
      <c r="D31" s="38">
        <v>2960.0</v>
      </c>
      <c r="E31" s="38">
        <v>4194.0</v>
      </c>
      <c r="F31" s="38">
        <v>1608.0</v>
      </c>
      <c r="G31" s="38">
        <v>325.0</v>
      </c>
      <c r="H31" s="38">
        <v>716.0</v>
      </c>
      <c r="I31" s="48">
        <f t="shared" si="17"/>
        <v>8762</v>
      </c>
      <c r="J31" s="48">
        <f t="shared" si="18"/>
        <v>9803</v>
      </c>
      <c r="K31" s="49">
        <f t="shared" si="19"/>
        <v>0.337822415</v>
      </c>
      <c r="L31" s="49">
        <f t="shared" si="20"/>
        <v>0.4786578407</v>
      </c>
      <c r="M31" s="49">
        <f t="shared" si="21"/>
        <v>0.1835197444</v>
      </c>
      <c r="N31" s="32" t="str">
        <f t="shared" si="22"/>
        <v>Mal. Lott</v>
      </c>
      <c r="O31" s="50" t="s">
        <v>77</v>
      </c>
      <c r="P31" s="38">
        <v>4308.0</v>
      </c>
      <c r="Q31" s="38">
        <v>2151.0</v>
      </c>
      <c r="R31" s="38">
        <v>2013.0</v>
      </c>
      <c r="S31" s="38">
        <v>756.0</v>
      </c>
      <c r="T31" s="38">
        <v>575.0</v>
      </c>
      <c r="U31" s="48">
        <f t="shared" si="23"/>
        <v>8472</v>
      </c>
      <c r="V31" s="48">
        <f t="shared" si="24"/>
        <v>9803</v>
      </c>
      <c r="W31" s="49">
        <f t="shared" si="25"/>
        <v>0.5084985836</v>
      </c>
      <c r="X31" s="49">
        <f t="shared" si="26"/>
        <v>0.2538951841</v>
      </c>
      <c r="Y31" s="49">
        <f t="shared" si="27"/>
        <v>0.2376062323</v>
      </c>
      <c r="Z31" s="32" t="str">
        <f t="shared" si="28"/>
        <v>Jango</v>
      </c>
      <c r="AA31" s="50" t="s">
        <v>77</v>
      </c>
      <c r="AB31" s="38">
        <v>11261.0</v>
      </c>
      <c r="AC31" s="48">
        <f t="shared" si="29"/>
        <v>1458</v>
      </c>
      <c r="AD31" s="51">
        <f t="shared" si="30"/>
        <v>0.8705265962</v>
      </c>
    </row>
    <row r="32">
      <c r="A32" s="110" t="s">
        <v>133</v>
      </c>
      <c r="B32" s="46" t="s">
        <v>1957</v>
      </c>
      <c r="C32" s="47"/>
      <c r="D32" s="38">
        <v>3573.0</v>
      </c>
      <c r="E32" s="38">
        <v>4190.0</v>
      </c>
      <c r="F32" s="38">
        <v>1249.0</v>
      </c>
      <c r="G32" s="38">
        <v>263.0</v>
      </c>
      <c r="H32" s="38">
        <v>436.0</v>
      </c>
      <c r="I32" s="48">
        <f t="shared" si="17"/>
        <v>9012</v>
      </c>
      <c r="J32" s="48">
        <f t="shared" si="18"/>
        <v>9711</v>
      </c>
      <c r="K32" s="49">
        <f t="shared" si="19"/>
        <v>0.3964713715</v>
      </c>
      <c r="L32" s="49">
        <f t="shared" si="20"/>
        <v>0.4649356414</v>
      </c>
      <c r="M32" s="49">
        <f t="shared" si="21"/>
        <v>0.1385929871</v>
      </c>
      <c r="N32" s="32" t="str">
        <f t="shared" si="22"/>
        <v>Mal. Lott</v>
      </c>
      <c r="O32" s="50" t="s">
        <v>77</v>
      </c>
      <c r="P32" s="38">
        <v>4388.0</v>
      </c>
      <c r="Q32" s="38">
        <v>3523.0</v>
      </c>
      <c r="R32" s="38">
        <v>869.0</v>
      </c>
      <c r="S32" s="38">
        <v>660.0</v>
      </c>
      <c r="T32" s="38">
        <v>271.0</v>
      </c>
      <c r="U32" s="48">
        <f t="shared" si="23"/>
        <v>8780</v>
      </c>
      <c r="V32" s="48">
        <f t="shared" si="24"/>
        <v>9711</v>
      </c>
      <c r="W32" s="49">
        <f t="shared" si="25"/>
        <v>0.4997722096</v>
      </c>
      <c r="X32" s="49">
        <f t="shared" si="26"/>
        <v>0.4012528474</v>
      </c>
      <c r="Y32" s="49">
        <f t="shared" si="27"/>
        <v>0.09897494305</v>
      </c>
      <c r="Z32" s="32" t="str">
        <f t="shared" si="28"/>
        <v>Jango</v>
      </c>
      <c r="AA32" s="50" t="s">
        <v>77</v>
      </c>
      <c r="AB32" s="38">
        <v>11273.0</v>
      </c>
      <c r="AC32" s="48">
        <f t="shared" si="29"/>
        <v>1562</v>
      </c>
      <c r="AD32" s="51">
        <f t="shared" si="30"/>
        <v>0.8614388362</v>
      </c>
    </row>
    <row r="33">
      <c r="A33" s="110" t="s">
        <v>135</v>
      </c>
      <c r="B33" s="46" t="s">
        <v>1958</v>
      </c>
      <c r="C33" s="47"/>
      <c r="D33" s="38">
        <v>2339.0</v>
      </c>
      <c r="E33" s="38">
        <v>1779.0</v>
      </c>
      <c r="F33" s="38">
        <v>181.0</v>
      </c>
      <c r="G33" s="38">
        <v>89.0</v>
      </c>
      <c r="H33" s="38">
        <v>112.0</v>
      </c>
      <c r="I33" s="48">
        <f t="shared" si="17"/>
        <v>4299</v>
      </c>
      <c r="J33" s="48">
        <f t="shared" si="18"/>
        <v>4500</v>
      </c>
      <c r="K33" s="49">
        <f t="shared" si="19"/>
        <v>0.5440800186</v>
      </c>
      <c r="L33" s="49">
        <f t="shared" si="20"/>
        <v>0.4138171668</v>
      </c>
      <c r="M33" s="49">
        <f t="shared" si="21"/>
        <v>0.04210281461</v>
      </c>
      <c r="N33" s="32" t="str">
        <f t="shared" si="22"/>
        <v>Jânio</v>
      </c>
      <c r="O33" s="50" t="s">
        <v>77</v>
      </c>
      <c r="P33" s="38">
        <v>1780.0</v>
      </c>
      <c r="Q33" s="38">
        <v>1536.0</v>
      </c>
      <c r="R33" s="38">
        <v>929.0</v>
      </c>
      <c r="S33" s="38">
        <v>159.0</v>
      </c>
      <c r="T33" s="38">
        <v>96.0</v>
      </c>
      <c r="U33" s="48">
        <f t="shared" si="23"/>
        <v>4245</v>
      </c>
      <c r="V33" s="48">
        <f t="shared" si="24"/>
        <v>4500</v>
      </c>
      <c r="W33" s="49">
        <f t="shared" si="25"/>
        <v>0.4193168433</v>
      </c>
      <c r="X33" s="49">
        <f t="shared" si="26"/>
        <v>0.3618374558</v>
      </c>
      <c r="Y33" s="49">
        <f t="shared" si="27"/>
        <v>0.2188457008</v>
      </c>
      <c r="Z33" s="32" t="str">
        <f t="shared" si="28"/>
        <v>Jango</v>
      </c>
      <c r="AA33" s="50" t="s">
        <v>77</v>
      </c>
      <c r="AB33" s="38">
        <v>5398.0</v>
      </c>
      <c r="AC33" s="48">
        <f t="shared" si="29"/>
        <v>898</v>
      </c>
      <c r="AD33" s="51">
        <f t="shared" si="30"/>
        <v>0.8336420897</v>
      </c>
    </row>
    <row r="34">
      <c r="A34" s="61" t="s">
        <v>1959</v>
      </c>
      <c r="B34" s="123" t="s">
        <v>1960</v>
      </c>
      <c r="C34" s="47"/>
      <c r="D34" s="88">
        <v>39227.0</v>
      </c>
      <c r="E34" s="88">
        <v>27641.0</v>
      </c>
      <c r="F34" s="88">
        <v>16120.0</v>
      </c>
      <c r="G34" s="88">
        <v>1177.0</v>
      </c>
      <c r="H34" s="88">
        <v>2584.0</v>
      </c>
      <c r="I34" s="89">
        <f t="shared" si="17"/>
        <v>82988</v>
      </c>
      <c r="J34" s="89">
        <f t="shared" si="18"/>
        <v>86749</v>
      </c>
      <c r="K34" s="90">
        <f t="shared" si="19"/>
        <v>0.4726827975</v>
      </c>
      <c r="L34" s="90">
        <f t="shared" si="20"/>
        <v>0.3330722514</v>
      </c>
      <c r="M34" s="90">
        <f t="shared" si="21"/>
        <v>0.1942449511</v>
      </c>
      <c r="N34" s="91" t="str">
        <f t="shared" si="22"/>
        <v>Jânio</v>
      </c>
      <c r="O34" s="92" t="s">
        <v>77</v>
      </c>
      <c r="P34" s="88">
        <v>26850.0</v>
      </c>
      <c r="Q34" s="88">
        <v>35034.0</v>
      </c>
      <c r="R34" s="88">
        <v>20239.0</v>
      </c>
      <c r="S34" s="88">
        <v>2664.0</v>
      </c>
      <c r="T34" s="88">
        <v>1962.0</v>
      </c>
      <c r="U34" s="89">
        <f t="shared" si="23"/>
        <v>82123</v>
      </c>
      <c r="V34" s="89">
        <f t="shared" si="24"/>
        <v>86749</v>
      </c>
      <c r="W34" s="90">
        <f t="shared" si="25"/>
        <v>0.3269486015</v>
      </c>
      <c r="X34" s="90">
        <f t="shared" si="26"/>
        <v>0.4266039964</v>
      </c>
      <c r="Y34" s="90">
        <f t="shared" si="27"/>
        <v>0.2464474021</v>
      </c>
      <c r="Z34" s="91" t="str">
        <f t="shared" si="28"/>
        <v>Milton</v>
      </c>
      <c r="AA34" s="92" t="s">
        <v>77</v>
      </c>
      <c r="AB34" s="88">
        <v>100368.0</v>
      </c>
      <c r="AC34" s="89">
        <f t="shared" si="29"/>
        <v>13619</v>
      </c>
      <c r="AD34" s="94">
        <f t="shared" si="30"/>
        <v>0.8643093416</v>
      </c>
      <c r="AE34" s="125"/>
    </row>
    <row r="35">
      <c r="A35" s="126" t="s">
        <v>1961</v>
      </c>
      <c r="B35" s="24"/>
      <c r="C35" s="47"/>
      <c r="D35" s="24"/>
      <c r="E35" s="24"/>
      <c r="F35" s="24"/>
      <c r="G35" s="24"/>
      <c r="H35" s="24"/>
      <c r="I35" s="24"/>
      <c r="J35" s="24"/>
      <c r="K35" s="24"/>
      <c r="L35" s="24"/>
      <c r="M35" s="24"/>
      <c r="N35" s="24"/>
      <c r="P35" s="24"/>
      <c r="Q35" s="24"/>
      <c r="R35" s="24"/>
      <c r="S35" s="24"/>
      <c r="T35" s="24"/>
      <c r="U35" s="24"/>
      <c r="V35" s="24"/>
      <c r="W35" s="24"/>
      <c r="X35" s="24"/>
      <c r="Y35" s="24"/>
      <c r="Z35" s="24"/>
      <c r="AB35" s="24"/>
      <c r="AC35" s="24"/>
      <c r="AD35" s="24"/>
    </row>
    <row r="36">
      <c r="A36" s="101" t="s">
        <v>202</v>
      </c>
      <c r="B36" s="46" t="s">
        <v>1962</v>
      </c>
      <c r="C36" s="132"/>
      <c r="D36" s="38">
        <v>7640.0</v>
      </c>
      <c r="E36" s="38">
        <v>5852.0</v>
      </c>
      <c r="F36" s="38">
        <v>2080.0</v>
      </c>
      <c r="G36" s="38">
        <v>274.0</v>
      </c>
      <c r="H36" s="38">
        <v>547.0</v>
      </c>
      <c r="I36" s="39">
        <f t="shared" ref="I36:I39" si="31">SUM(D36:F36)</f>
        <v>15572</v>
      </c>
      <c r="J36" s="39">
        <f t="shared" ref="J36:J39" si="32">SUM(G36:I36)</f>
        <v>16393</v>
      </c>
      <c r="K36" s="49">
        <f t="shared" ref="K36:K39" si="33">D36/I36</f>
        <v>0.4906241973</v>
      </c>
      <c r="L36" s="49">
        <f t="shared" ref="L36:L39" si="34">E36/I36</f>
        <v>0.3758027228</v>
      </c>
      <c r="M36" s="49">
        <f t="shared" ref="M36:M39" si="35">F36/I36</f>
        <v>0.1335730799</v>
      </c>
      <c r="N36" s="39" t="str">
        <f t="shared" ref="N36:N39" si="36">IF(LARGE(D36:F36,1)=0,#REF!,IF(LARGE(D36:F36,1)=LARGE(D36:F36,2),$D$6,IF(LARGE(D36:F36,1)=D36,$D$3,IF(LARGE(D36:F36,1)=E36,$D$4,IF(LARGE(D36:F36,1)=F36,$D$5)))))</f>
        <v>Jânio</v>
      </c>
      <c r="O36" s="133" t="s">
        <v>77</v>
      </c>
      <c r="P36" s="38">
        <v>6135.0</v>
      </c>
      <c r="Q36" s="38">
        <v>7050.0</v>
      </c>
      <c r="R36" s="38">
        <v>2170.0</v>
      </c>
      <c r="S36" s="38">
        <v>615.0</v>
      </c>
      <c r="T36" s="38">
        <v>423.0</v>
      </c>
      <c r="U36" s="39">
        <f t="shared" ref="U36:U39" si="37">SUM(P36:R36)</f>
        <v>15355</v>
      </c>
      <c r="V36" s="39">
        <f t="shared" ref="V36:V39" si="38">SUM(S36:U36)</f>
        <v>16393</v>
      </c>
      <c r="W36" s="49">
        <f t="shared" ref="W36:W39" si="39">P36/U36</f>
        <v>0.3995441224</v>
      </c>
      <c r="X36" s="49">
        <f t="shared" ref="X36:X39" si="40">Q36/U36</f>
        <v>0.4591338326</v>
      </c>
      <c r="Y36" s="49">
        <f t="shared" ref="Y36:Y39" si="41">R36/U36</f>
        <v>0.1413220449</v>
      </c>
      <c r="Z36" s="39" t="str">
        <f t="shared" ref="Z36:Z39" si="42">IF(LARGE(P36:R36,1)=0,#REF!,IF(LARGE(P36:R36,1)=LARGE(P36:R36,2),$F$6,IF(LARGE(P36:R36,1)=P36,$F$3,IF(LARGE(P36:R36,1)=Q36,$F$4,IF(LARGE(P36:R36,1)=R36,$F$5)))))</f>
        <v>Milton</v>
      </c>
      <c r="AA36" s="133" t="s">
        <v>77</v>
      </c>
      <c r="AB36" s="38">
        <v>18165.0</v>
      </c>
      <c r="AC36" s="39">
        <f t="shared" ref="AC36:AC39" si="43">AB36-V36</f>
        <v>1772</v>
      </c>
      <c r="AD36" s="51">
        <f t="shared" ref="AD36:AD39" si="44">V36/AB36</f>
        <v>0.902449766</v>
      </c>
      <c r="AE36" s="134"/>
    </row>
    <row r="37">
      <c r="A37" s="101" t="s">
        <v>205</v>
      </c>
      <c r="B37" s="46" t="s">
        <v>1963</v>
      </c>
      <c r="C37" s="132"/>
      <c r="D37" s="38">
        <v>18179.0</v>
      </c>
      <c r="E37" s="38">
        <v>19379.0</v>
      </c>
      <c r="F37" s="38">
        <v>16519.0</v>
      </c>
      <c r="G37" s="38">
        <v>1869.0</v>
      </c>
      <c r="H37" s="38">
        <v>3452.0</v>
      </c>
      <c r="I37" s="39">
        <f t="shared" si="31"/>
        <v>54077</v>
      </c>
      <c r="J37" s="39">
        <f t="shared" si="32"/>
        <v>59398</v>
      </c>
      <c r="K37" s="49">
        <f t="shared" si="33"/>
        <v>0.3361687963</v>
      </c>
      <c r="L37" s="49">
        <f t="shared" si="34"/>
        <v>0.3583593764</v>
      </c>
      <c r="M37" s="49">
        <f t="shared" si="35"/>
        <v>0.3054718272</v>
      </c>
      <c r="N37" s="39" t="str">
        <f t="shared" si="36"/>
        <v>Mal. Lott</v>
      </c>
      <c r="O37" s="133" t="s">
        <v>77</v>
      </c>
      <c r="P37" s="38">
        <v>21769.0</v>
      </c>
      <c r="Q37" s="38">
        <v>16720.0</v>
      </c>
      <c r="R37" s="38">
        <v>14381.0</v>
      </c>
      <c r="S37" s="38">
        <v>3614.0</v>
      </c>
      <c r="T37" s="38">
        <v>2914.0</v>
      </c>
      <c r="U37" s="39">
        <f t="shared" si="37"/>
        <v>52870</v>
      </c>
      <c r="V37" s="39">
        <f t="shared" si="38"/>
        <v>59398</v>
      </c>
      <c r="W37" s="49">
        <f t="shared" si="39"/>
        <v>0.4117457916</v>
      </c>
      <c r="X37" s="49">
        <f t="shared" si="40"/>
        <v>0.3162473993</v>
      </c>
      <c r="Y37" s="49">
        <f t="shared" si="41"/>
        <v>0.2720068092</v>
      </c>
      <c r="Z37" s="39" t="str">
        <f t="shared" si="42"/>
        <v>Jango</v>
      </c>
      <c r="AA37" s="133" t="s">
        <v>77</v>
      </c>
      <c r="AB37" s="38">
        <v>73165.0</v>
      </c>
      <c r="AC37" s="39">
        <f t="shared" si="43"/>
        <v>13767</v>
      </c>
      <c r="AD37" s="51">
        <f t="shared" si="44"/>
        <v>0.8118362605</v>
      </c>
      <c r="AE37" s="134"/>
    </row>
    <row r="38">
      <c r="A38" s="101" t="s">
        <v>141</v>
      </c>
      <c r="B38" s="46" t="s">
        <v>1964</v>
      </c>
      <c r="C38" s="132"/>
      <c r="D38" s="38">
        <v>2539.0</v>
      </c>
      <c r="E38" s="38">
        <v>1988.0</v>
      </c>
      <c r="F38" s="38">
        <v>810.0</v>
      </c>
      <c r="G38" s="38">
        <v>150.0</v>
      </c>
      <c r="H38" s="38">
        <v>355.0</v>
      </c>
      <c r="I38" s="39">
        <f t="shared" si="31"/>
        <v>5337</v>
      </c>
      <c r="J38" s="39">
        <f t="shared" si="32"/>
        <v>5842</v>
      </c>
      <c r="K38" s="49">
        <f t="shared" si="33"/>
        <v>0.4757354319</v>
      </c>
      <c r="L38" s="49">
        <f t="shared" si="34"/>
        <v>0.3724939104</v>
      </c>
      <c r="M38" s="49">
        <f t="shared" si="35"/>
        <v>0.1517706577</v>
      </c>
      <c r="N38" s="39" t="str">
        <f t="shared" si="36"/>
        <v>Jânio</v>
      </c>
      <c r="O38" s="133" t="s">
        <v>77</v>
      </c>
      <c r="P38" s="38">
        <v>2359.0</v>
      </c>
      <c r="Q38" s="38">
        <v>2233.0</v>
      </c>
      <c r="R38" s="38">
        <v>620.0</v>
      </c>
      <c r="S38" s="38">
        <v>364.0</v>
      </c>
      <c r="T38" s="38">
        <v>266.0</v>
      </c>
      <c r="U38" s="39">
        <f t="shared" si="37"/>
        <v>5212</v>
      </c>
      <c r="V38" s="39">
        <f t="shared" si="38"/>
        <v>5842</v>
      </c>
      <c r="W38" s="49">
        <f t="shared" si="39"/>
        <v>0.452609363</v>
      </c>
      <c r="X38" s="49">
        <f t="shared" si="40"/>
        <v>0.4284343822</v>
      </c>
      <c r="Y38" s="49">
        <f t="shared" si="41"/>
        <v>0.1189562548</v>
      </c>
      <c r="Z38" s="39" t="str">
        <f t="shared" si="42"/>
        <v>Jango</v>
      </c>
      <c r="AA38" s="133" t="s">
        <v>77</v>
      </c>
      <c r="AB38" s="38">
        <v>6547.0</v>
      </c>
      <c r="AC38" s="39">
        <f t="shared" si="43"/>
        <v>705</v>
      </c>
      <c r="AD38" s="51">
        <f t="shared" si="44"/>
        <v>0.8923170918</v>
      </c>
      <c r="AE38" s="134"/>
    </row>
    <row r="39">
      <c r="A39" s="61" t="s">
        <v>143</v>
      </c>
      <c r="B39" s="123" t="s">
        <v>1965</v>
      </c>
      <c r="C39" s="47"/>
      <c r="D39" s="88">
        <v>11178.0</v>
      </c>
      <c r="E39" s="88">
        <v>7558.0</v>
      </c>
      <c r="F39" s="88">
        <v>11705.0</v>
      </c>
      <c r="G39" s="88">
        <v>389.0</v>
      </c>
      <c r="H39" s="88">
        <v>530.0</v>
      </c>
      <c r="I39" s="89">
        <f t="shared" si="31"/>
        <v>30441</v>
      </c>
      <c r="J39" s="89">
        <f t="shared" si="32"/>
        <v>31360</v>
      </c>
      <c r="K39" s="90">
        <f t="shared" si="33"/>
        <v>0.3672021287</v>
      </c>
      <c r="L39" s="90">
        <f t="shared" si="34"/>
        <v>0.2482835649</v>
      </c>
      <c r="M39" s="90">
        <f t="shared" si="35"/>
        <v>0.3845143064</v>
      </c>
      <c r="N39" s="91" t="str">
        <f t="shared" si="36"/>
        <v>Adhemar</v>
      </c>
      <c r="O39" s="92" t="s">
        <v>77</v>
      </c>
      <c r="P39" s="88">
        <v>8413.0</v>
      </c>
      <c r="Q39" s="88">
        <v>12233.0</v>
      </c>
      <c r="R39" s="88">
        <v>9292.0</v>
      </c>
      <c r="S39" s="88">
        <v>889.0</v>
      </c>
      <c r="T39" s="88">
        <v>533.0</v>
      </c>
      <c r="U39" s="89">
        <f t="shared" si="37"/>
        <v>29938</v>
      </c>
      <c r="V39" s="89">
        <f t="shared" si="38"/>
        <v>31360</v>
      </c>
      <c r="W39" s="90">
        <f t="shared" si="39"/>
        <v>0.2810140958</v>
      </c>
      <c r="X39" s="90">
        <f t="shared" si="40"/>
        <v>0.4086111297</v>
      </c>
      <c r="Y39" s="90">
        <f t="shared" si="41"/>
        <v>0.3103747745</v>
      </c>
      <c r="Z39" s="91" t="str">
        <f t="shared" si="42"/>
        <v>Milton</v>
      </c>
      <c r="AA39" s="92" t="s">
        <v>77</v>
      </c>
      <c r="AB39" s="88">
        <v>37011.0</v>
      </c>
      <c r="AC39" s="89">
        <f t="shared" si="43"/>
        <v>5651</v>
      </c>
      <c r="AD39" s="94">
        <f t="shared" si="44"/>
        <v>0.8473156629</v>
      </c>
      <c r="AE39" s="125"/>
    </row>
    <row r="40">
      <c r="A40" s="126" t="s">
        <v>1966</v>
      </c>
      <c r="B40" s="24"/>
      <c r="C40" s="47"/>
      <c r="D40" s="24"/>
      <c r="E40" s="24"/>
      <c r="F40" s="24"/>
      <c r="G40" s="24"/>
      <c r="H40" s="24"/>
      <c r="I40" s="24"/>
      <c r="J40" s="24"/>
      <c r="K40" s="24"/>
      <c r="L40" s="24"/>
      <c r="M40" s="24"/>
      <c r="N40" s="24"/>
      <c r="P40" s="24"/>
      <c r="Q40" s="24"/>
      <c r="R40" s="24"/>
      <c r="S40" s="24"/>
      <c r="T40" s="24"/>
      <c r="U40" s="24"/>
      <c r="V40" s="24"/>
      <c r="W40" s="24"/>
      <c r="X40" s="24"/>
      <c r="Y40" s="24"/>
      <c r="Z40" s="24"/>
      <c r="AB40" s="24"/>
      <c r="AC40" s="24"/>
      <c r="AD40" s="24"/>
    </row>
    <row r="41">
      <c r="A41" s="101" t="s">
        <v>145</v>
      </c>
      <c r="B41" s="46" t="s">
        <v>1967</v>
      </c>
      <c r="C41" s="132"/>
      <c r="D41" s="38">
        <v>1507.0</v>
      </c>
      <c r="E41" s="38">
        <v>2673.0</v>
      </c>
      <c r="F41" s="38">
        <v>940.0</v>
      </c>
      <c r="G41" s="38">
        <v>75.0</v>
      </c>
      <c r="H41" s="38">
        <v>146.0</v>
      </c>
      <c r="I41" s="39">
        <f t="shared" ref="I41:I77" si="45">SUM(D41:F41)</f>
        <v>5120</v>
      </c>
      <c r="J41" s="39">
        <f t="shared" ref="J41:J77" si="46">SUM(G41:I41)</f>
        <v>5341</v>
      </c>
      <c r="K41" s="49">
        <f t="shared" ref="K41:K77" si="47">D41/I41</f>
        <v>0.2943359375</v>
      </c>
      <c r="L41" s="49">
        <f t="shared" ref="L41:L77" si="48">E41/I41</f>
        <v>0.5220703125</v>
      </c>
      <c r="M41" s="49">
        <f t="shared" ref="M41:M77" si="49">F41/I41</f>
        <v>0.18359375</v>
      </c>
      <c r="N41" s="39" t="str">
        <f t="shared" ref="N41:N77" si="50">IF(LARGE(D41:F41,1)=0,#REF!,IF(LARGE(D41:F41,1)=LARGE(D41:F41,2),$D$6,IF(LARGE(D41:F41,1)=D41,$D$3,IF(LARGE(D41:F41,1)=E41,$D$4,IF(LARGE(D41:F41,1)=F41,$D$5)))))</f>
        <v>Mal. Lott</v>
      </c>
      <c r="O41" s="133" t="s">
        <v>77</v>
      </c>
      <c r="P41" s="38">
        <v>2848.0</v>
      </c>
      <c r="Q41" s="38">
        <v>1359.0</v>
      </c>
      <c r="R41" s="38">
        <v>837.0</v>
      </c>
      <c r="S41" s="38">
        <v>197.0</v>
      </c>
      <c r="T41" s="38">
        <v>100.0</v>
      </c>
      <c r="U41" s="39">
        <f t="shared" ref="U41:U77" si="51">SUM(P41:R41)</f>
        <v>5044</v>
      </c>
      <c r="V41" s="39">
        <f t="shared" ref="V41:V77" si="52">SUM(S41:U41)</f>
        <v>5341</v>
      </c>
      <c r="W41" s="49">
        <f t="shared" ref="W41:W77" si="53">P41/U41</f>
        <v>0.564631245</v>
      </c>
      <c r="X41" s="49">
        <f t="shared" ref="X41:X77" si="54">Q41/U41</f>
        <v>0.2694290246</v>
      </c>
      <c r="Y41" s="49">
        <f t="shared" ref="Y41:Y77" si="55">R41/U41</f>
        <v>0.1659397304</v>
      </c>
      <c r="Z41" s="39" t="str">
        <f t="shared" ref="Z41:Z77" si="56">IF(LARGE(P41:R41,1)=0,#REF!,IF(LARGE(P41:R41,1)=LARGE(P41:R41,2),$F$6,IF(LARGE(P41:R41,1)=P41,$F$3,IF(LARGE(P41:R41,1)=Q41,$F$4,IF(LARGE(P41:R41,1)=R41,$F$5)))))</f>
        <v>Jango</v>
      </c>
      <c r="AA41" s="133" t="s">
        <v>77</v>
      </c>
      <c r="AB41" s="38">
        <v>6511.0</v>
      </c>
      <c r="AC41" s="39">
        <f t="shared" ref="AC41:AC77" si="57">AB41-V41</f>
        <v>1170</v>
      </c>
      <c r="AD41" s="51">
        <f t="shared" ref="AD41:AD77" si="58">V41/AB41</f>
        <v>0.8203041008</v>
      </c>
      <c r="AE41" s="134"/>
    </row>
    <row r="42">
      <c r="A42" s="101" t="s">
        <v>207</v>
      </c>
      <c r="B42" s="46" t="s">
        <v>1968</v>
      </c>
      <c r="C42" s="132"/>
      <c r="D42" s="38">
        <v>3771.0</v>
      </c>
      <c r="E42" s="38">
        <v>3891.0</v>
      </c>
      <c r="F42" s="38">
        <v>2770.0</v>
      </c>
      <c r="G42" s="38">
        <v>124.0</v>
      </c>
      <c r="H42" s="38">
        <v>361.0</v>
      </c>
      <c r="I42" s="39">
        <f t="shared" si="45"/>
        <v>10432</v>
      </c>
      <c r="J42" s="39">
        <f t="shared" si="46"/>
        <v>10917</v>
      </c>
      <c r="K42" s="49">
        <f t="shared" si="47"/>
        <v>0.3614838957</v>
      </c>
      <c r="L42" s="49">
        <f t="shared" si="48"/>
        <v>0.3729869632</v>
      </c>
      <c r="M42" s="49">
        <f t="shared" si="49"/>
        <v>0.2655291411</v>
      </c>
      <c r="N42" s="39" t="str">
        <f t="shared" si="50"/>
        <v>Mal. Lott</v>
      </c>
      <c r="O42" s="133" t="s">
        <v>77</v>
      </c>
      <c r="P42" s="38">
        <v>4228.0</v>
      </c>
      <c r="Q42" s="38">
        <v>4244.0</v>
      </c>
      <c r="R42" s="38">
        <v>1658.0</v>
      </c>
      <c r="S42" s="38">
        <v>421.0</v>
      </c>
      <c r="T42" s="38">
        <v>366.0</v>
      </c>
      <c r="U42" s="39">
        <f t="shared" si="51"/>
        <v>10130</v>
      </c>
      <c r="V42" s="39">
        <f t="shared" si="52"/>
        <v>10917</v>
      </c>
      <c r="W42" s="49">
        <f t="shared" si="53"/>
        <v>0.4173741362</v>
      </c>
      <c r="X42" s="49">
        <f t="shared" si="54"/>
        <v>0.4189536032</v>
      </c>
      <c r="Y42" s="49">
        <f t="shared" si="55"/>
        <v>0.1636722606</v>
      </c>
      <c r="Z42" s="39" t="str">
        <f t="shared" si="56"/>
        <v>Milton</v>
      </c>
      <c r="AA42" s="133" t="s">
        <v>77</v>
      </c>
      <c r="AB42" s="38">
        <v>12664.0</v>
      </c>
      <c r="AC42" s="39">
        <f t="shared" si="57"/>
        <v>1747</v>
      </c>
      <c r="AD42" s="51">
        <f t="shared" si="58"/>
        <v>0.8620499052</v>
      </c>
      <c r="AE42" s="134"/>
    </row>
    <row r="43">
      <c r="A43" s="101" t="s">
        <v>209</v>
      </c>
      <c r="B43" s="46" t="s">
        <v>1969</v>
      </c>
      <c r="C43" s="132"/>
      <c r="D43" s="38">
        <v>2617.0</v>
      </c>
      <c r="E43" s="38">
        <v>1716.0</v>
      </c>
      <c r="F43" s="38">
        <v>336.0</v>
      </c>
      <c r="G43" s="38">
        <v>119.0</v>
      </c>
      <c r="H43" s="38">
        <v>241.0</v>
      </c>
      <c r="I43" s="39">
        <f t="shared" si="45"/>
        <v>4669</v>
      </c>
      <c r="J43" s="39">
        <f t="shared" si="46"/>
        <v>5029</v>
      </c>
      <c r="K43" s="49">
        <f t="shared" si="47"/>
        <v>0.5605054616</v>
      </c>
      <c r="L43" s="49">
        <f t="shared" si="48"/>
        <v>0.3675305205</v>
      </c>
      <c r="M43" s="49">
        <f t="shared" si="49"/>
        <v>0.07196401799</v>
      </c>
      <c r="N43" s="39" t="str">
        <f t="shared" si="50"/>
        <v>Jânio</v>
      </c>
      <c r="O43" s="133" t="s">
        <v>77</v>
      </c>
      <c r="P43" s="38">
        <v>1589.0</v>
      </c>
      <c r="Q43" s="38">
        <v>2277.0</v>
      </c>
      <c r="R43" s="38">
        <v>697.0</v>
      </c>
      <c r="S43" s="38">
        <v>260.0</v>
      </c>
      <c r="T43" s="38">
        <v>206.0</v>
      </c>
      <c r="U43" s="39">
        <f t="shared" si="51"/>
        <v>4563</v>
      </c>
      <c r="V43" s="39">
        <f t="shared" si="52"/>
        <v>5029</v>
      </c>
      <c r="W43" s="49">
        <f t="shared" si="53"/>
        <v>0.3482358098</v>
      </c>
      <c r="X43" s="49">
        <f t="shared" si="54"/>
        <v>0.4990138067</v>
      </c>
      <c r="Y43" s="49">
        <f t="shared" si="55"/>
        <v>0.1527503835</v>
      </c>
      <c r="Z43" s="39" t="str">
        <f t="shared" si="56"/>
        <v>Milton</v>
      </c>
      <c r="AA43" s="133" t="s">
        <v>77</v>
      </c>
      <c r="AB43" s="38">
        <v>6034.0</v>
      </c>
      <c r="AC43" s="39">
        <f t="shared" si="57"/>
        <v>1005</v>
      </c>
      <c r="AD43" s="51">
        <f t="shared" si="58"/>
        <v>0.8334438184</v>
      </c>
      <c r="AE43" s="134"/>
    </row>
    <row r="44">
      <c r="A44" s="101" t="s">
        <v>211</v>
      </c>
      <c r="B44" s="46" t="s">
        <v>1970</v>
      </c>
      <c r="C44" s="132"/>
      <c r="D44" s="38">
        <v>1057.0</v>
      </c>
      <c r="E44" s="38">
        <v>1140.0</v>
      </c>
      <c r="F44" s="38">
        <v>154.0</v>
      </c>
      <c r="G44" s="38">
        <v>77.0</v>
      </c>
      <c r="H44" s="38">
        <v>85.0</v>
      </c>
      <c r="I44" s="39">
        <f t="shared" si="45"/>
        <v>2351</v>
      </c>
      <c r="J44" s="39">
        <f t="shared" si="46"/>
        <v>2513</v>
      </c>
      <c r="K44" s="49">
        <f t="shared" si="47"/>
        <v>0.4495959166</v>
      </c>
      <c r="L44" s="49">
        <f t="shared" si="48"/>
        <v>0.4849000425</v>
      </c>
      <c r="M44" s="49">
        <f t="shared" si="49"/>
        <v>0.06550404083</v>
      </c>
      <c r="N44" s="39" t="str">
        <f t="shared" si="50"/>
        <v>Mal. Lott</v>
      </c>
      <c r="O44" s="133" t="s">
        <v>77</v>
      </c>
      <c r="P44" s="38">
        <v>1175.0</v>
      </c>
      <c r="Q44" s="38">
        <v>997.0</v>
      </c>
      <c r="R44" s="38">
        <v>119.0</v>
      </c>
      <c r="S44" s="38">
        <v>145.0</v>
      </c>
      <c r="T44" s="38">
        <v>77.0</v>
      </c>
      <c r="U44" s="39">
        <f t="shared" si="51"/>
        <v>2291</v>
      </c>
      <c r="V44" s="39">
        <f t="shared" si="52"/>
        <v>2513</v>
      </c>
      <c r="W44" s="49">
        <f t="shared" si="53"/>
        <v>0.5128764732</v>
      </c>
      <c r="X44" s="49">
        <f t="shared" si="54"/>
        <v>0.4351811436</v>
      </c>
      <c r="Y44" s="49">
        <f t="shared" si="55"/>
        <v>0.05194238324</v>
      </c>
      <c r="Z44" s="39" t="str">
        <f t="shared" si="56"/>
        <v>Jango</v>
      </c>
      <c r="AA44" s="133" t="s">
        <v>77</v>
      </c>
      <c r="AB44" s="38">
        <v>3232.0</v>
      </c>
      <c r="AC44" s="39">
        <f t="shared" si="57"/>
        <v>719</v>
      </c>
      <c r="AD44" s="51">
        <f t="shared" si="58"/>
        <v>0.7775371287</v>
      </c>
      <c r="AE44" s="134"/>
    </row>
    <row r="45">
      <c r="A45" s="101" t="s">
        <v>213</v>
      </c>
      <c r="B45" s="46" t="s">
        <v>1971</v>
      </c>
      <c r="C45" s="132"/>
      <c r="D45" s="38">
        <v>3589.0</v>
      </c>
      <c r="E45" s="38">
        <v>3085.0</v>
      </c>
      <c r="F45" s="38">
        <v>555.0</v>
      </c>
      <c r="G45" s="38">
        <v>188.0</v>
      </c>
      <c r="H45" s="38">
        <v>269.0</v>
      </c>
      <c r="I45" s="39">
        <f t="shared" si="45"/>
        <v>7229</v>
      </c>
      <c r="J45" s="39">
        <f t="shared" si="46"/>
        <v>7686</v>
      </c>
      <c r="K45" s="49">
        <f t="shared" si="47"/>
        <v>0.4964725412</v>
      </c>
      <c r="L45" s="49">
        <f t="shared" si="48"/>
        <v>0.4267533545</v>
      </c>
      <c r="M45" s="49">
        <f t="shared" si="49"/>
        <v>0.0767741043</v>
      </c>
      <c r="N45" s="39" t="str">
        <f t="shared" si="50"/>
        <v>Jânio</v>
      </c>
      <c r="O45" s="133" t="s">
        <v>77</v>
      </c>
      <c r="P45" s="38">
        <v>3402.0</v>
      </c>
      <c r="Q45" s="38">
        <v>3349.0</v>
      </c>
      <c r="R45" s="38">
        <v>344.0</v>
      </c>
      <c r="S45" s="38">
        <v>405.0</v>
      </c>
      <c r="T45" s="38">
        <v>186.0</v>
      </c>
      <c r="U45" s="39">
        <f t="shared" si="51"/>
        <v>7095</v>
      </c>
      <c r="V45" s="39">
        <f t="shared" si="52"/>
        <v>7686</v>
      </c>
      <c r="W45" s="49">
        <f t="shared" si="53"/>
        <v>0.4794926004</v>
      </c>
      <c r="X45" s="49">
        <f t="shared" si="54"/>
        <v>0.4720225511</v>
      </c>
      <c r="Y45" s="49">
        <f t="shared" si="55"/>
        <v>0.04848484848</v>
      </c>
      <c r="Z45" s="39" t="str">
        <f t="shared" si="56"/>
        <v>Jango</v>
      </c>
      <c r="AA45" s="133" t="s">
        <v>77</v>
      </c>
      <c r="AB45" s="38">
        <v>10105.0</v>
      </c>
      <c r="AC45" s="39">
        <f t="shared" si="57"/>
        <v>2419</v>
      </c>
      <c r="AD45" s="51">
        <f t="shared" si="58"/>
        <v>0.7606135576</v>
      </c>
      <c r="AE45" s="134"/>
    </row>
    <row r="46">
      <c r="A46" s="101" t="s">
        <v>215</v>
      </c>
      <c r="B46" s="46" t="s">
        <v>1972</v>
      </c>
      <c r="C46" s="132"/>
      <c r="D46" s="38">
        <v>2655.0</v>
      </c>
      <c r="E46" s="38">
        <v>2767.0</v>
      </c>
      <c r="F46" s="38">
        <v>445.0</v>
      </c>
      <c r="G46" s="38">
        <v>118.0</v>
      </c>
      <c r="H46" s="38">
        <v>231.0</v>
      </c>
      <c r="I46" s="39">
        <f t="shared" si="45"/>
        <v>5867</v>
      </c>
      <c r="J46" s="39">
        <f t="shared" si="46"/>
        <v>6216</v>
      </c>
      <c r="K46" s="49">
        <f t="shared" si="47"/>
        <v>0.4525311062</v>
      </c>
      <c r="L46" s="49">
        <f t="shared" si="48"/>
        <v>0.4716209306</v>
      </c>
      <c r="M46" s="49">
        <f t="shared" si="49"/>
        <v>0.07584796318</v>
      </c>
      <c r="N46" s="39" t="str">
        <f t="shared" si="50"/>
        <v>Mal. Lott</v>
      </c>
      <c r="O46" s="133" t="s">
        <v>77</v>
      </c>
      <c r="P46" s="38">
        <v>3064.0</v>
      </c>
      <c r="Q46" s="38">
        <v>2271.0</v>
      </c>
      <c r="R46" s="38">
        <v>390.0</v>
      </c>
      <c r="S46" s="38">
        <v>333.0</v>
      </c>
      <c r="T46" s="38">
        <v>158.0</v>
      </c>
      <c r="U46" s="39">
        <f t="shared" si="51"/>
        <v>5725</v>
      </c>
      <c r="V46" s="39">
        <f t="shared" si="52"/>
        <v>6216</v>
      </c>
      <c r="W46" s="49">
        <f t="shared" si="53"/>
        <v>0.5351965066</v>
      </c>
      <c r="X46" s="49">
        <f t="shared" si="54"/>
        <v>0.3966812227</v>
      </c>
      <c r="Y46" s="49">
        <f t="shared" si="55"/>
        <v>0.06812227074</v>
      </c>
      <c r="Z46" s="39" t="str">
        <f t="shared" si="56"/>
        <v>Jango</v>
      </c>
      <c r="AA46" s="133" t="s">
        <v>77</v>
      </c>
      <c r="AB46" s="38">
        <v>7526.0</v>
      </c>
      <c r="AC46" s="39">
        <f t="shared" si="57"/>
        <v>1310</v>
      </c>
      <c r="AD46" s="51">
        <f t="shared" si="58"/>
        <v>0.8259367526</v>
      </c>
      <c r="AE46" s="134"/>
    </row>
    <row r="47">
      <c r="A47" s="101" t="s">
        <v>218</v>
      </c>
      <c r="B47" s="46" t="s">
        <v>1973</v>
      </c>
      <c r="C47" s="132"/>
      <c r="D47" s="38">
        <v>14885.0</v>
      </c>
      <c r="E47" s="38">
        <v>16780.0</v>
      </c>
      <c r="F47" s="38">
        <v>9076.0</v>
      </c>
      <c r="G47" s="38">
        <v>898.0</v>
      </c>
      <c r="H47" s="38">
        <v>2115.0</v>
      </c>
      <c r="I47" s="39">
        <f t="shared" si="45"/>
        <v>40741</v>
      </c>
      <c r="J47" s="39">
        <f t="shared" si="46"/>
        <v>43754</v>
      </c>
      <c r="K47" s="49">
        <f t="shared" si="47"/>
        <v>0.3653567659</v>
      </c>
      <c r="L47" s="49">
        <f t="shared" si="48"/>
        <v>0.4118701063</v>
      </c>
      <c r="M47" s="49">
        <f t="shared" si="49"/>
        <v>0.2227731278</v>
      </c>
      <c r="N47" s="39" t="str">
        <f t="shared" si="50"/>
        <v>Mal. Lott</v>
      </c>
      <c r="O47" s="133" t="s">
        <v>77</v>
      </c>
      <c r="P47" s="38">
        <v>17584.0</v>
      </c>
      <c r="Q47" s="38">
        <v>12879.0</v>
      </c>
      <c r="R47" s="38">
        <v>9374.0</v>
      </c>
      <c r="S47" s="38">
        <v>2399.0</v>
      </c>
      <c r="T47" s="38">
        <v>1518.0</v>
      </c>
      <c r="U47" s="39">
        <f t="shared" si="51"/>
        <v>39837</v>
      </c>
      <c r="V47" s="39">
        <f t="shared" si="52"/>
        <v>43754</v>
      </c>
      <c r="W47" s="49">
        <f t="shared" si="53"/>
        <v>0.4413986997</v>
      </c>
      <c r="X47" s="49">
        <f t="shared" si="54"/>
        <v>0.3232924166</v>
      </c>
      <c r="Y47" s="49">
        <f t="shared" si="55"/>
        <v>0.2353088837</v>
      </c>
      <c r="Z47" s="39" t="str">
        <f t="shared" si="56"/>
        <v>Jango</v>
      </c>
      <c r="AA47" s="133" t="s">
        <v>77</v>
      </c>
      <c r="AB47" s="38">
        <v>52088.0</v>
      </c>
      <c r="AC47" s="39">
        <f t="shared" si="57"/>
        <v>8334</v>
      </c>
      <c r="AD47" s="51">
        <f t="shared" si="58"/>
        <v>0.8400015359</v>
      </c>
      <c r="AE47" s="134"/>
    </row>
    <row r="48">
      <c r="A48" s="101" t="s">
        <v>220</v>
      </c>
      <c r="B48" s="46" t="s">
        <v>1974</v>
      </c>
      <c r="C48" s="132"/>
      <c r="D48" s="38">
        <v>4520.0</v>
      </c>
      <c r="E48" s="38">
        <v>3237.0</v>
      </c>
      <c r="F48" s="38">
        <v>260.0</v>
      </c>
      <c r="G48" s="38">
        <v>117.0</v>
      </c>
      <c r="H48" s="38">
        <v>258.0</v>
      </c>
      <c r="I48" s="39">
        <f t="shared" si="45"/>
        <v>8017</v>
      </c>
      <c r="J48" s="39">
        <f t="shared" si="46"/>
        <v>8392</v>
      </c>
      <c r="K48" s="49">
        <f t="shared" si="47"/>
        <v>0.5638019209</v>
      </c>
      <c r="L48" s="49">
        <f t="shared" si="48"/>
        <v>0.4037669951</v>
      </c>
      <c r="M48" s="49">
        <f t="shared" si="49"/>
        <v>0.03243108395</v>
      </c>
      <c r="N48" s="39" t="str">
        <f t="shared" si="50"/>
        <v>Jânio</v>
      </c>
      <c r="O48" s="133" t="s">
        <v>77</v>
      </c>
      <c r="P48" s="38">
        <v>4484.0</v>
      </c>
      <c r="Q48" s="38">
        <v>3003.0</v>
      </c>
      <c r="R48" s="38">
        <v>403.0</v>
      </c>
      <c r="S48" s="38">
        <v>325.0</v>
      </c>
      <c r="T48" s="38">
        <v>177.0</v>
      </c>
      <c r="U48" s="39">
        <f t="shared" si="51"/>
        <v>7890</v>
      </c>
      <c r="V48" s="39">
        <f t="shared" si="52"/>
        <v>8392</v>
      </c>
      <c r="W48" s="49">
        <f t="shared" si="53"/>
        <v>0.5683143219</v>
      </c>
      <c r="X48" s="49">
        <f t="shared" si="54"/>
        <v>0.380608365</v>
      </c>
      <c r="Y48" s="49">
        <f t="shared" si="55"/>
        <v>0.05107731305</v>
      </c>
      <c r="Z48" s="39" t="str">
        <f t="shared" si="56"/>
        <v>Jango</v>
      </c>
      <c r="AA48" s="133" t="s">
        <v>77</v>
      </c>
      <c r="AB48" s="38">
        <v>11110.0</v>
      </c>
      <c r="AC48" s="39">
        <f t="shared" si="57"/>
        <v>2718</v>
      </c>
      <c r="AD48" s="51">
        <f t="shared" si="58"/>
        <v>0.7553555356</v>
      </c>
      <c r="AE48" s="134"/>
    </row>
    <row r="49">
      <c r="A49" s="101" t="s">
        <v>295</v>
      </c>
      <c r="B49" s="46" t="s">
        <v>1975</v>
      </c>
      <c r="C49" s="132"/>
      <c r="D49" s="38">
        <v>4546.0</v>
      </c>
      <c r="E49" s="38">
        <v>3115.0</v>
      </c>
      <c r="F49" s="38">
        <v>3395.0</v>
      </c>
      <c r="G49" s="38">
        <v>207.0</v>
      </c>
      <c r="H49" s="38">
        <v>473.0</v>
      </c>
      <c r="I49" s="39">
        <f t="shared" si="45"/>
        <v>11056</v>
      </c>
      <c r="J49" s="39">
        <f t="shared" si="46"/>
        <v>11736</v>
      </c>
      <c r="K49" s="49">
        <f t="shared" si="47"/>
        <v>0.4111794501</v>
      </c>
      <c r="L49" s="49">
        <f t="shared" si="48"/>
        <v>0.2817474674</v>
      </c>
      <c r="M49" s="49">
        <f t="shared" si="49"/>
        <v>0.3070730825</v>
      </c>
      <c r="N49" s="39" t="str">
        <f t="shared" si="50"/>
        <v>Jânio</v>
      </c>
      <c r="O49" s="133" t="s">
        <v>77</v>
      </c>
      <c r="P49" s="38">
        <v>3908.0</v>
      </c>
      <c r="Q49" s="38">
        <v>4876.0</v>
      </c>
      <c r="R49" s="38">
        <v>1751.0</v>
      </c>
      <c r="S49" s="38">
        <v>919.0</v>
      </c>
      <c r="T49" s="38">
        <v>282.0</v>
      </c>
      <c r="U49" s="39">
        <f t="shared" si="51"/>
        <v>10535</v>
      </c>
      <c r="V49" s="39">
        <f t="shared" si="52"/>
        <v>11736</v>
      </c>
      <c r="W49" s="49">
        <f t="shared" si="53"/>
        <v>0.370953963</v>
      </c>
      <c r="X49" s="49">
        <f t="shared" si="54"/>
        <v>0.4628381585</v>
      </c>
      <c r="Y49" s="49">
        <f t="shared" si="55"/>
        <v>0.1662078785</v>
      </c>
      <c r="Z49" s="39" t="str">
        <f t="shared" si="56"/>
        <v>Milton</v>
      </c>
      <c r="AA49" s="133" t="s">
        <v>77</v>
      </c>
      <c r="AB49" s="38">
        <v>13512.0</v>
      </c>
      <c r="AC49" s="39">
        <f t="shared" si="57"/>
        <v>1776</v>
      </c>
      <c r="AD49" s="51">
        <f t="shared" si="58"/>
        <v>0.8685612789</v>
      </c>
      <c r="AE49" s="134"/>
    </row>
    <row r="50">
      <c r="A50" s="101" t="s">
        <v>299</v>
      </c>
      <c r="B50" s="46" t="s">
        <v>1976</v>
      </c>
      <c r="C50" s="132"/>
      <c r="D50" s="38">
        <v>993.0</v>
      </c>
      <c r="E50" s="38">
        <v>1346.0</v>
      </c>
      <c r="F50" s="38">
        <v>138.0</v>
      </c>
      <c r="G50" s="38">
        <v>78.0</v>
      </c>
      <c r="H50" s="38">
        <v>106.0</v>
      </c>
      <c r="I50" s="39">
        <f t="shared" si="45"/>
        <v>2477</v>
      </c>
      <c r="J50" s="39">
        <f t="shared" si="46"/>
        <v>2661</v>
      </c>
      <c r="K50" s="49">
        <f t="shared" si="47"/>
        <v>0.4008881712</v>
      </c>
      <c r="L50" s="49">
        <f t="shared" si="48"/>
        <v>0.5433992733</v>
      </c>
      <c r="M50" s="49">
        <f t="shared" si="49"/>
        <v>0.05571255551</v>
      </c>
      <c r="N50" s="39" t="str">
        <f t="shared" si="50"/>
        <v>Mal. Lott</v>
      </c>
      <c r="O50" s="133" t="s">
        <v>77</v>
      </c>
      <c r="P50" s="38">
        <v>1405.0</v>
      </c>
      <c r="Q50" s="38">
        <v>878.0</v>
      </c>
      <c r="R50" s="38">
        <v>163.0</v>
      </c>
      <c r="S50" s="38">
        <v>122.0</v>
      </c>
      <c r="T50" s="38">
        <v>93.0</v>
      </c>
      <c r="U50" s="39">
        <f t="shared" si="51"/>
        <v>2446</v>
      </c>
      <c r="V50" s="39">
        <f t="shared" si="52"/>
        <v>2661</v>
      </c>
      <c r="W50" s="49">
        <f t="shared" si="53"/>
        <v>0.5744071954</v>
      </c>
      <c r="X50" s="49">
        <f t="shared" si="54"/>
        <v>0.3589533933</v>
      </c>
      <c r="Y50" s="49">
        <f t="shared" si="55"/>
        <v>0.06663941128</v>
      </c>
      <c r="Z50" s="39" t="str">
        <f t="shared" si="56"/>
        <v>Jango</v>
      </c>
      <c r="AA50" s="133" t="s">
        <v>77</v>
      </c>
      <c r="AB50" s="38">
        <v>3116.0</v>
      </c>
      <c r="AC50" s="39">
        <f t="shared" si="57"/>
        <v>455</v>
      </c>
      <c r="AD50" s="51">
        <f t="shared" si="58"/>
        <v>0.8539794608</v>
      </c>
      <c r="AE50" s="134"/>
    </row>
    <row r="51">
      <c r="A51" s="101" t="s">
        <v>302</v>
      </c>
      <c r="B51" s="46" t="s">
        <v>1977</v>
      </c>
      <c r="C51" s="132"/>
      <c r="D51" s="38">
        <v>3291.0</v>
      </c>
      <c r="E51" s="38">
        <v>4034.0</v>
      </c>
      <c r="F51" s="38">
        <v>2212.0</v>
      </c>
      <c r="G51" s="38">
        <v>211.0</v>
      </c>
      <c r="H51" s="38">
        <v>378.0</v>
      </c>
      <c r="I51" s="39">
        <f t="shared" si="45"/>
        <v>9537</v>
      </c>
      <c r="J51" s="39">
        <f t="shared" si="46"/>
        <v>10126</v>
      </c>
      <c r="K51" s="49">
        <f t="shared" si="47"/>
        <v>0.3450770683</v>
      </c>
      <c r="L51" s="49">
        <f t="shared" si="48"/>
        <v>0.4229841669</v>
      </c>
      <c r="M51" s="49">
        <f t="shared" si="49"/>
        <v>0.2319387648</v>
      </c>
      <c r="N51" s="39" t="str">
        <f t="shared" si="50"/>
        <v>Mal. Lott</v>
      </c>
      <c r="O51" s="133" t="s">
        <v>77</v>
      </c>
      <c r="P51" s="38">
        <v>4729.0</v>
      </c>
      <c r="Q51" s="38">
        <v>3389.0</v>
      </c>
      <c r="R51" s="38">
        <v>1240.0</v>
      </c>
      <c r="S51" s="38">
        <v>488.0</v>
      </c>
      <c r="T51" s="38">
        <v>280.0</v>
      </c>
      <c r="U51" s="39">
        <f t="shared" si="51"/>
        <v>9358</v>
      </c>
      <c r="V51" s="39">
        <f t="shared" si="52"/>
        <v>10126</v>
      </c>
      <c r="W51" s="49">
        <f t="shared" si="53"/>
        <v>0.505343022</v>
      </c>
      <c r="X51" s="49">
        <f t="shared" si="54"/>
        <v>0.3621500321</v>
      </c>
      <c r="Y51" s="49">
        <f t="shared" si="55"/>
        <v>0.1325069459</v>
      </c>
      <c r="Z51" s="39" t="str">
        <f t="shared" si="56"/>
        <v>Jango</v>
      </c>
      <c r="AA51" s="133" t="s">
        <v>77</v>
      </c>
      <c r="AB51" s="38">
        <v>11366.0</v>
      </c>
      <c r="AC51" s="39">
        <f t="shared" si="57"/>
        <v>1240</v>
      </c>
      <c r="AD51" s="51">
        <f t="shared" si="58"/>
        <v>0.8909026922</v>
      </c>
      <c r="AE51" s="134"/>
    </row>
    <row r="52">
      <c r="A52" s="61" t="s">
        <v>304</v>
      </c>
      <c r="B52" s="46" t="s">
        <v>1978</v>
      </c>
      <c r="C52" s="132"/>
      <c r="D52" s="38">
        <v>2699.0</v>
      </c>
      <c r="E52" s="38">
        <v>2921.0</v>
      </c>
      <c r="F52" s="38">
        <v>1117.0</v>
      </c>
      <c r="G52" s="38">
        <v>201.0</v>
      </c>
      <c r="H52" s="38">
        <v>334.0</v>
      </c>
      <c r="I52" s="39">
        <f t="shared" si="45"/>
        <v>6737</v>
      </c>
      <c r="J52" s="39">
        <f t="shared" si="46"/>
        <v>7272</v>
      </c>
      <c r="K52" s="49">
        <f t="shared" si="47"/>
        <v>0.4006234229</v>
      </c>
      <c r="L52" s="49">
        <f t="shared" si="48"/>
        <v>0.4335757756</v>
      </c>
      <c r="M52" s="49">
        <f t="shared" si="49"/>
        <v>0.1658008015</v>
      </c>
      <c r="N52" s="39" t="str">
        <f t="shared" si="50"/>
        <v>Mal. Lott</v>
      </c>
      <c r="O52" s="133" t="s">
        <v>77</v>
      </c>
      <c r="P52" s="38">
        <v>3342.0</v>
      </c>
      <c r="Q52" s="38">
        <v>2548.0</v>
      </c>
      <c r="R52" s="38">
        <v>739.0</v>
      </c>
      <c r="S52" s="38">
        <v>424.0</v>
      </c>
      <c r="T52" s="38">
        <v>219.0</v>
      </c>
      <c r="U52" s="39">
        <f t="shared" si="51"/>
        <v>6629</v>
      </c>
      <c r="V52" s="39">
        <f t="shared" si="52"/>
        <v>7272</v>
      </c>
      <c r="W52" s="49">
        <f t="shared" si="53"/>
        <v>0.5041484387</v>
      </c>
      <c r="X52" s="49">
        <f t="shared" si="54"/>
        <v>0.3843717001</v>
      </c>
      <c r="Y52" s="49">
        <f t="shared" si="55"/>
        <v>0.1114798612</v>
      </c>
      <c r="Z52" s="39" t="str">
        <f t="shared" si="56"/>
        <v>Jango</v>
      </c>
      <c r="AA52" s="133" t="s">
        <v>77</v>
      </c>
      <c r="AB52" s="38">
        <v>8244.0</v>
      </c>
      <c r="AC52" s="39">
        <f t="shared" si="57"/>
        <v>972</v>
      </c>
      <c r="AD52" s="51">
        <f t="shared" si="58"/>
        <v>0.8820960699</v>
      </c>
      <c r="AE52" s="134"/>
    </row>
    <row r="53">
      <c r="A53" s="24"/>
      <c r="B53" s="46" t="s">
        <v>1979</v>
      </c>
      <c r="C53" s="132"/>
      <c r="D53" s="38">
        <v>882.0</v>
      </c>
      <c r="E53" s="38">
        <v>790.0</v>
      </c>
      <c r="F53" s="38">
        <v>431.0</v>
      </c>
      <c r="G53" s="38">
        <v>55.0</v>
      </c>
      <c r="H53" s="38">
        <v>109.0</v>
      </c>
      <c r="I53" s="39">
        <f t="shared" si="45"/>
        <v>2103</v>
      </c>
      <c r="J53" s="39">
        <f t="shared" si="46"/>
        <v>2267</v>
      </c>
      <c r="K53" s="49">
        <f t="shared" si="47"/>
        <v>0.4194008559</v>
      </c>
      <c r="L53" s="49">
        <f t="shared" si="48"/>
        <v>0.3756538279</v>
      </c>
      <c r="M53" s="49">
        <f t="shared" si="49"/>
        <v>0.2049453162</v>
      </c>
      <c r="N53" s="39" t="str">
        <f t="shared" si="50"/>
        <v>Jânio</v>
      </c>
      <c r="O53" s="133" t="s">
        <v>77</v>
      </c>
      <c r="P53" s="38">
        <v>896.0</v>
      </c>
      <c r="Q53" s="38">
        <v>827.0</v>
      </c>
      <c r="R53" s="38">
        <v>340.0</v>
      </c>
      <c r="S53" s="38">
        <v>129.0</v>
      </c>
      <c r="T53" s="38">
        <v>75.0</v>
      </c>
      <c r="U53" s="39">
        <f t="shared" si="51"/>
        <v>2063</v>
      </c>
      <c r="V53" s="39">
        <f t="shared" si="52"/>
        <v>2267</v>
      </c>
      <c r="W53" s="49">
        <f t="shared" si="53"/>
        <v>0.434318953</v>
      </c>
      <c r="X53" s="49">
        <f t="shared" si="54"/>
        <v>0.4008725158</v>
      </c>
      <c r="Y53" s="49">
        <f t="shared" si="55"/>
        <v>0.1648085313</v>
      </c>
      <c r="Z53" s="39" t="str">
        <f t="shared" si="56"/>
        <v>Jango</v>
      </c>
      <c r="AA53" s="133" t="s">
        <v>77</v>
      </c>
      <c r="AB53" s="38">
        <v>2467.0</v>
      </c>
      <c r="AC53" s="39">
        <f t="shared" si="57"/>
        <v>200</v>
      </c>
      <c r="AD53" s="51">
        <f t="shared" si="58"/>
        <v>0.9189298743</v>
      </c>
      <c r="AE53" s="134"/>
    </row>
    <row r="54">
      <c r="A54" s="101" t="s">
        <v>308</v>
      </c>
      <c r="B54" s="46" t="s">
        <v>793</v>
      </c>
      <c r="C54" s="132"/>
      <c r="D54" s="38">
        <v>1978.0</v>
      </c>
      <c r="E54" s="38">
        <v>1071.0</v>
      </c>
      <c r="F54" s="38">
        <v>382.0</v>
      </c>
      <c r="G54" s="38">
        <v>111.0</v>
      </c>
      <c r="H54" s="38">
        <v>159.0</v>
      </c>
      <c r="I54" s="39">
        <f t="shared" si="45"/>
        <v>3431</v>
      </c>
      <c r="J54" s="39">
        <f t="shared" si="46"/>
        <v>3701</v>
      </c>
      <c r="K54" s="49">
        <f t="shared" si="47"/>
        <v>0.5765083066</v>
      </c>
      <c r="L54" s="49">
        <f t="shared" si="48"/>
        <v>0.312153891</v>
      </c>
      <c r="M54" s="49">
        <f t="shared" si="49"/>
        <v>0.1113378024</v>
      </c>
      <c r="N54" s="39" t="str">
        <f t="shared" si="50"/>
        <v>Jânio</v>
      </c>
      <c r="O54" s="133" t="s">
        <v>77</v>
      </c>
      <c r="P54" s="38">
        <v>1211.0</v>
      </c>
      <c r="Q54" s="38">
        <v>1917.0</v>
      </c>
      <c r="R54" s="38">
        <v>226.0</v>
      </c>
      <c r="S54" s="38">
        <v>227.0</v>
      </c>
      <c r="T54" s="38">
        <v>120.0</v>
      </c>
      <c r="U54" s="39">
        <f t="shared" si="51"/>
        <v>3354</v>
      </c>
      <c r="V54" s="39">
        <f t="shared" si="52"/>
        <v>3701</v>
      </c>
      <c r="W54" s="49">
        <f t="shared" si="53"/>
        <v>0.3610614192</v>
      </c>
      <c r="X54" s="49">
        <f t="shared" si="54"/>
        <v>0.5715563506</v>
      </c>
      <c r="Y54" s="49">
        <f t="shared" si="55"/>
        <v>0.06738223017</v>
      </c>
      <c r="Z54" s="39" t="str">
        <f t="shared" si="56"/>
        <v>Milton</v>
      </c>
      <c r="AA54" s="133" t="s">
        <v>77</v>
      </c>
      <c r="AB54" s="38">
        <v>4092.0</v>
      </c>
      <c r="AC54" s="39">
        <f t="shared" si="57"/>
        <v>391</v>
      </c>
      <c r="AD54" s="51">
        <f t="shared" si="58"/>
        <v>0.9044477028</v>
      </c>
      <c r="AE54" s="134"/>
    </row>
    <row r="55">
      <c r="A55" s="101" t="s">
        <v>312</v>
      </c>
      <c r="B55" s="46" t="s">
        <v>1980</v>
      </c>
      <c r="C55" s="132"/>
      <c r="D55" s="38">
        <v>1881.0</v>
      </c>
      <c r="E55" s="38">
        <v>1769.0</v>
      </c>
      <c r="F55" s="38">
        <v>171.0</v>
      </c>
      <c r="G55" s="38">
        <v>125.0</v>
      </c>
      <c r="H55" s="38">
        <v>245.0</v>
      </c>
      <c r="I55" s="39">
        <f t="shared" si="45"/>
        <v>3821</v>
      </c>
      <c r="J55" s="39">
        <f t="shared" si="46"/>
        <v>4191</v>
      </c>
      <c r="K55" s="49">
        <f t="shared" si="47"/>
        <v>0.492279508</v>
      </c>
      <c r="L55" s="49">
        <f t="shared" si="48"/>
        <v>0.4629678095</v>
      </c>
      <c r="M55" s="49">
        <f t="shared" si="49"/>
        <v>0.04475268254</v>
      </c>
      <c r="N55" s="39" t="str">
        <f t="shared" si="50"/>
        <v>Jânio</v>
      </c>
      <c r="O55" s="133" t="s">
        <v>77</v>
      </c>
      <c r="P55" s="38">
        <v>1820.0</v>
      </c>
      <c r="Q55" s="38">
        <v>1712.0</v>
      </c>
      <c r="R55" s="38">
        <v>207.0</v>
      </c>
      <c r="S55" s="38">
        <v>297.0</v>
      </c>
      <c r="T55" s="38">
        <v>155.0</v>
      </c>
      <c r="U55" s="39">
        <f t="shared" si="51"/>
        <v>3739</v>
      </c>
      <c r="V55" s="39">
        <f t="shared" si="52"/>
        <v>4191</v>
      </c>
      <c r="W55" s="49">
        <f t="shared" si="53"/>
        <v>0.4867611661</v>
      </c>
      <c r="X55" s="49">
        <f t="shared" si="54"/>
        <v>0.4578764376</v>
      </c>
      <c r="Y55" s="49">
        <f t="shared" si="55"/>
        <v>0.05536239636</v>
      </c>
      <c r="Z55" s="39" t="str">
        <f t="shared" si="56"/>
        <v>Jango</v>
      </c>
      <c r="AA55" s="133" t="s">
        <v>77</v>
      </c>
      <c r="AB55" s="38">
        <v>5109.0</v>
      </c>
      <c r="AC55" s="39">
        <f t="shared" si="57"/>
        <v>918</v>
      </c>
      <c r="AD55" s="51">
        <f t="shared" si="58"/>
        <v>0.8203170875</v>
      </c>
      <c r="AE55" s="134"/>
    </row>
    <row r="56">
      <c r="A56" s="101" t="s">
        <v>314</v>
      </c>
      <c r="B56" s="46" t="s">
        <v>1981</v>
      </c>
      <c r="C56" s="132"/>
      <c r="D56" s="38">
        <v>8143.0</v>
      </c>
      <c r="E56" s="38">
        <v>10701.0</v>
      </c>
      <c r="F56" s="38">
        <v>9553.0</v>
      </c>
      <c r="G56" s="38">
        <v>592.0</v>
      </c>
      <c r="H56" s="38">
        <v>1537.0</v>
      </c>
      <c r="I56" s="39">
        <f t="shared" si="45"/>
        <v>28397</v>
      </c>
      <c r="J56" s="39">
        <f t="shared" si="46"/>
        <v>30526</v>
      </c>
      <c r="K56" s="49">
        <f t="shared" si="47"/>
        <v>0.2867556432</v>
      </c>
      <c r="L56" s="49">
        <f t="shared" si="48"/>
        <v>0.3768355812</v>
      </c>
      <c r="M56" s="49">
        <f t="shared" si="49"/>
        <v>0.3364087756</v>
      </c>
      <c r="N56" s="39" t="str">
        <f t="shared" si="50"/>
        <v>Mal. Lott</v>
      </c>
      <c r="O56" s="133" t="s">
        <v>77</v>
      </c>
      <c r="P56" s="38">
        <v>11491.0</v>
      </c>
      <c r="Q56" s="38">
        <v>7137.0</v>
      </c>
      <c r="R56" s="38">
        <v>9137.0</v>
      </c>
      <c r="S56" s="38">
        <v>1519.0</v>
      </c>
      <c r="T56" s="38">
        <v>1242.0</v>
      </c>
      <c r="U56" s="39">
        <f t="shared" si="51"/>
        <v>27765</v>
      </c>
      <c r="V56" s="39">
        <f t="shared" si="52"/>
        <v>30526</v>
      </c>
      <c r="W56" s="49">
        <f t="shared" si="53"/>
        <v>0.4138663785</v>
      </c>
      <c r="X56" s="49">
        <f t="shared" si="54"/>
        <v>0.2570502431</v>
      </c>
      <c r="Y56" s="49">
        <f t="shared" si="55"/>
        <v>0.3290833784</v>
      </c>
      <c r="Z56" s="39" t="str">
        <f t="shared" si="56"/>
        <v>Jango</v>
      </c>
      <c r="AA56" s="133" t="s">
        <v>77</v>
      </c>
      <c r="AB56" s="38">
        <v>37860.0</v>
      </c>
      <c r="AC56" s="39">
        <f t="shared" si="57"/>
        <v>7334</v>
      </c>
      <c r="AD56" s="51">
        <f t="shared" si="58"/>
        <v>0.806286318</v>
      </c>
      <c r="AE56" s="134"/>
    </row>
    <row r="57">
      <c r="A57" s="45" t="s">
        <v>254</v>
      </c>
      <c r="B57" s="46" t="s">
        <v>1982</v>
      </c>
      <c r="C57" s="132"/>
      <c r="D57" s="38">
        <v>1418.0</v>
      </c>
      <c r="E57" s="38">
        <v>1224.0</v>
      </c>
      <c r="F57" s="38">
        <v>185.0</v>
      </c>
      <c r="G57" s="38">
        <v>93.0</v>
      </c>
      <c r="H57" s="38">
        <v>190.0</v>
      </c>
      <c r="I57" s="39">
        <f t="shared" si="45"/>
        <v>2827</v>
      </c>
      <c r="J57" s="39">
        <f t="shared" si="46"/>
        <v>3110</v>
      </c>
      <c r="K57" s="49">
        <f t="shared" si="47"/>
        <v>0.5015917934</v>
      </c>
      <c r="L57" s="49">
        <f t="shared" si="48"/>
        <v>0.4329678104</v>
      </c>
      <c r="M57" s="49">
        <f t="shared" si="49"/>
        <v>0.06544039618</v>
      </c>
      <c r="N57" s="39" t="str">
        <f t="shared" si="50"/>
        <v>Jânio</v>
      </c>
      <c r="O57" s="133" t="s">
        <v>77</v>
      </c>
      <c r="P57" s="38">
        <v>1273.0</v>
      </c>
      <c r="Q57" s="38">
        <v>1345.0</v>
      </c>
      <c r="R57" s="38">
        <v>158.0</v>
      </c>
      <c r="S57" s="38">
        <v>223.0</v>
      </c>
      <c r="T57" s="38">
        <v>111.0</v>
      </c>
      <c r="U57" s="39">
        <f t="shared" si="51"/>
        <v>2776</v>
      </c>
      <c r="V57" s="39">
        <f t="shared" si="52"/>
        <v>3110</v>
      </c>
      <c r="W57" s="49">
        <f t="shared" si="53"/>
        <v>0.458573487</v>
      </c>
      <c r="X57" s="49">
        <f t="shared" si="54"/>
        <v>0.4845100865</v>
      </c>
      <c r="Y57" s="49">
        <f t="shared" si="55"/>
        <v>0.05691642651</v>
      </c>
      <c r="Z57" s="39" t="str">
        <f t="shared" si="56"/>
        <v>Milton</v>
      </c>
      <c r="AA57" s="133" t="s">
        <v>77</v>
      </c>
      <c r="AB57" s="38">
        <v>3781.0</v>
      </c>
      <c r="AC57" s="39">
        <f t="shared" si="57"/>
        <v>671</v>
      </c>
      <c r="AD57" s="51">
        <f t="shared" si="58"/>
        <v>0.8225337212</v>
      </c>
      <c r="AE57" s="134"/>
    </row>
    <row r="58">
      <c r="A58" s="45" t="s">
        <v>258</v>
      </c>
      <c r="B58" s="46" t="s">
        <v>1983</v>
      </c>
      <c r="C58" s="132"/>
      <c r="D58" s="38">
        <v>7953.0</v>
      </c>
      <c r="E58" s="38">
        <v>10675.0</v>
      </c>
      <c r="F58" s="38">
        <v>11354.0</v>
      </c>
      <c r="G58" s="38">
        <v>630.0</v>
      </c>
      <c r="H58" s="38">
        <v>1695.0</v>
      </c>
      <c r="I58" s="39">
        <f t="shared" si="45"/>
        <v>29982</v>
      </c>
      <c r="J58" s="39">
        <f t="shared" si="46"/>
        <v>32307</v>
      </c>
      <c r="K58" s="49">
        <f t="shared" si="47"/>
        <v>0.2652591555</v>
      </c>
      <c r="L58" s="49">
        <f t="shared" si="48"/>
        <v>0.3560469615</v>
      </c>
      <c r="M58" s="49">
        <f t="shared" si="49"/>
        <v>0.378693883</v>
      </c>
      <c r="N58" s="39" t="str">
        <f t="shared" si="50"/>
        <v>Adhemar</v>
      </c>
      <c r="O58" s="133" t="s">
        <v>77</v>
      </c>
      <c r="P58" s="38">
        <v>12227.0</v>
      </c>
      <c r="Q58" s="38">
        <v>6883.0</v>
      </c>
      <c r="R58" s="38">
        <v>10279.0</v>
      </c>
      <c r="S58" s="38">
        <v>1791.0</v>
      </c>
      <c r="T58" s="38">
        <v>1127.0</v>
      </c>
      <c r="U58" s="39">
        <f t="shared" si="51"/>
        <v>29389</v>
      </c>
      <c r="V58" s="39">
        <f t="shared" si="52"/>
        <v>32307</v>
      </c>
      <c r="W58" s="49">
        <f t="shared" si="53"/>
        <v>0.416040015</v>
      </c>
      <c r="X58" s="49">
        <f t="shared" si="54"/>
        <v>0.2342032733</v>
      </c>
      <c r="Y58" s="49">
        <f t="shared" si="55"/>
        <v>0.3497567117</v>
      </c>
      <c r="Z58" s="39" t="str">
        <f t="shared" si="56"/>
        <v>Jango</v>
      </c>
      <c r="AA58" s="133" t="s">
        <v>77</v>
      </c>
      <c r="AB58" s="38">
        <v>39491.0</v>
      </c>
      <c r="AC58" s="39">
        <f t="shared" si="57"/>
        <v>7184</v>
      </c>
      <c r="AD58" s="51">
        <f t="shared" si="58"/>
        <v>0.8180851333</v>
      </c>
      <c r="AE58" s="134"/>
    </row>
    <row r="59">
      <c r="A59" s="45" t="s">
        <v>319</v>
      </c>
      <c r="B59" s="46" t="s">
        <v>1984</v>
      </c>
      <c r="C59" s="132"/>
      <c r="D59" s="38">
        <v>3383.0</v>
      </c>
      <c r="E59" s="38">
        <v>5894.0</v>
      </c>
      <c r="F59" s="38">
        <v>8295.0</v>
      </c>
      <c r="G59" s="38">
        <v>236.0</v>
      </c>
      <c r="H59" s="38">
        <v>443.0</v>
      </c>
      <c r="I59" s="39">
        <f t="shared" si="45"/>
        <v>17572</v>
      </c>
      <c r="J59" s="39">
        <f t="shared" si="46"/>
        <v>18251</v>
      </c>
      <c r="K59" s="49">
        <f t="shared" si="47"/>
        <v>0.1925221944</v>
      </c>
      <c r="L59" s="49">
        <f t="shared" si="48"/>
        <v>0.3354199863</v>
      </c>
      <c r="M59" s="49">
        <f t="shared" si="49"/>
        <v>0.4720578193</v>
      </c>
      <c r="N59" s="39" t="str">
        <f t="shared" si="50"/>
        <v>Adhemar</v>
      </c>
      <c r="O59" s="133" t="s">
        <v>77</v>
      </c>
      <c r="P59" s="38">
        <v>6700.0</v>
      </c>
      <c r="Q59" s="38">
        <v>3921.0</v>
      </c>
      <c r="R59" s="38">
        <v>6521.0</v>
      </c>
      <c r="S59" s="38">
        <v>812.0</v>
      </c>
      <c r="T59" s="38">
        <v>297.0</v>
      </c>
      <c r="U59" s="39">
        <f t="shared" si="51"/>
        <v>17142</v>
      </c>
      <c r="V59" s="39">
        <f t="shared" si="52"/>
        <v>18251</v>
      </c>
      <c r="W59" s="49">
        <f t="shared" si="53"/>
        <v>0.390852876</v>
      </c>
      <c r="X59" s="49">
        <f t="shared" si="54"/>
        <v>0.2287364368</v>
      </c>
      <c r="Y59" s="49">
        <f t="shared" si="55"/>
        <v>0.3804106872</v>
      </c>
      <c r="Z59" s="39" t="str">
        <f t="shared" si="56"/>
        <v>Jango</v>
      </c>
      <c r="AA59" s="133" t="s">
        <v>77</v>
      </c>
      <c r="AB59" s="38">
        <v>20859.0</v>
      </c>
      <c r="AC59" s="39">
        <f t="shared" si="57"/>
        <v>2608</v>
      </c>
      <c r="AD59" s="51">
        <f t="shared" si="58"/>
        <v>0.8749700369</v>
      </c>
      <c r="AE59" s="134"/>
    </row>
    <row r="60">
      <c r="A60" s="45" t="s">
        <v>321</v>
      </c>
      <c r="B60" s="46" t="s">
        <v>1985</v>
      </c>
      <c r="C60" s="132"/>
      <c r="D60" s="38">
        <v>1243.0</v>
      </c>
      <c r="E60" s="38">
        <v>1229.0</v>
      </c>
      <c r="F60" s="38">
        <v>440.0</v>
      </c>
      <c r="G60" s="38">
        <v>49.0</v>
      </c>
      <c r="H60" s="38">
        <v>93.0</v>
      </c>
      <c r="I60" s="39">
        <f t="shared" si="45"/>
        <v>2912</v>
      </c>
      <c r="J60" s="39">
        <f t="shared" si="46"/>
        <v>3054</v>
      </c>
      <c r="K60" s="49">
        <f t="shared" si="47"/>
        <v>0.4268543956</v>
      </c>
      <c r="L60" s="49">
        <f t="shared" si="48"/>
        <v>0.4220467033</v>
      </c>
      <c r="M60" s="49">
        <f t="shared" si="49"/>
        <v>0.1510989011</v>
      </c>
      <c r="N60" s="39" t="str">
        <f t="shared" si="50"/>
        <v>Jânio</v>
      </c>
      <c r="O60" s="133" t="s">
        <v>77</v>
      </c>
      <c r="P60" s="38">
        <v>1290.0</v>
      </c>
      <c r="Q60" s="38">
        <v>1294.0</v>
      </c>
      <c r="R60" s="38">
        <v>276.0</v>
      </c>
      <c r="S60" s="38">
        <v>139.0</v>
      </c>
      <c r="T60" s="38">
        <v>55.0</v>
      </c>
      <c r="U60" s="39">
        <f t="shared" si="51"/>
        <v>2860</v>
      </c>
      <c r="V60" s="39">
        <f t="shared" si="52"/>
        <v>3054</v>
      </c>
      <c r="W60" s="49">
        <f t="shared" si="53"/>
        <v>0.451048951</v>
      </c>
      <c r="X60" s="49">
        <f t="shared" si="54"/>
        <v>0.4524475524</v>
      </c>
      <c r="Y60" s="49">
        <f t="shared" si="55"/>
        <v>0.0965034965</v>
      </c>
      <c r="Z60" s="39" t="str">
        <f t="shared" si="56"/>
        <v>Milton</v>
      </c>
      <c r="AA60" s="133" t="s">
        <v>77</v>
      </c>
      <c r="AB60" s="38">
        <v>3349.0</v>
      </c>
      <c r="AC60" s="39">
        <f t="shared" si="57"/>
        <v>295</v>
      </c>
      <c r="AD60" s="51">
        <f t="shared" si="58"/>
        <v>0.9119140042</v>
      </c>
      <c r="AE60" s="134"/>
    </row>
    <row r="61">
      <c r="A61" s="45" t="s">
        <v>324</v>
      </c>
      <c r="B61" s="46" t="s">
        <v>1986</v>
      </c>
      <c r="C61" s="132"/>
      <c r="D61" s="38">
        <v>1480.0</v>
      </c>
      <c r="E61" s="38">
        <v>1754.0</v>
      </c>
      <c r="F61" s="38">
        <v>264.0</v>
      </c>
      <c r="G61" s="38">
        <v>115.0</v>
      </c>
      <c r="H61" s="38">
        <v>173.0</v>
      </c>
      <c r="I61" s="39">
        <f t="shared" si="45"/>
        <v>3498</v>
      </c>
      <c r="J61" s="39">
        <f t="shared" si="46"/>
        <v>3786</v>
      </c>
      <c r="K61" s="49">
        <f t="shared" si="47"/>
        <v>0.4230989137</v>
      </c>
      <c r="L61" s="49">
        <f t="shared" si="48"/>
        <v>0.5014293882</v>
      </c>
      <c r="M61" s="49">
        <f t="shared" si="49"/>
        <v>0.07547169811</v>
      </c>
      <c r="N61" s="39" t="str">
        <f t="shared" si="50"/>
        <v>Mal. Lott</v>
      </c>
      <c r="O61" s="133" t="s">
        <v>77</v>
      </c>
      <c r="P61" s="38">
        <v>1802.0</v>
      </c>
      <c r="Q61" s="38">
        <v>1281.0</v>
      </c>
      <c r="R61" s="38">
        <v>344.0</v>
      </c>
      <c r="S61" s="38">
        <v>228.0</v>
      </c>
      <c r="T61" s="38">
        <v>131.0</v>
      </c>
      <c r="U61" s="39">
        <f t="shared" si="51"/>
        <v>3427</v>
      </c>
      <c r="V61" s="39">
        <f t="shared" si="52"/>
        <v>3786</v>
      </c>
      <c r="W61" s="49">
        <f t="shared" si="53"/>
        <v>0.5258243362</v>
      </c>
      <c r="X61" s="49">
        <f t="shared" si="54"/>
        <v>0.3737963233</v>
      </c>
      <c r="Y61" s="49">
        <f t="shared" si="55"/>
        <v>0.1003793405</v>
      </c>
      <c r="Z61" s="39" t="str">
        <f t="shared" si="56"/>
        <v>Jango</v>
      </c>
      <c r="AA61" s="133" t="s">
        <v>77</v>
      </c>
      <c r="AB61" s="38">
        <v>4424.0</v>
      </c>
      <c r="AC61" s="39">
        <f t="shared" si="57"/>
        <v>638</v>
      </c>
      <c r="AD61" s="51">
        <f t="shared" si="58"/>
        <v>0.8557866184</v>
      </c>
      <c r="AE61" s="134"/>
    </row>
    <row r="62">
      <c r="A62" s="45" t="s">
        <v>327</v>
      </c>
      <c r="B62" s="46" t="s">
        <v>1987</v>
      </c>
      <c r="C62" s="132"/>
      <c r="D62" s="38">
        <v>588.0</v>
      </c>
      <c r="E62" s="38">
        <v>782.0</v>
      </c>
      <c r="F62" s="38">
        <v>163.0</v>
      </c>
      <c r="G62" s="38">
        <v>42.0</v>
      </c>
      <c r="H62" s="38">
        <v>85.0</v>
      </c>
      <c r="I62" s="39">
        <f t="shared" si="45"/>
        <v>1533</v>
      </c>
      <c r="J62" s="39">
        <f t="shared" si="46"/>
        <v>1660</v>
      </c>
      <c r="K62" s="49">
        <f t="shared" si="47"/>
        <v>0.3835616438</v>
      </c>
      <c r="L62" s="49">
        <f t="shared" si="48"/>
        <v>0.5101108937</v>
      </c>
      <c r="M62" s="49">
        <f t="shared" si="49"/>
        <v>0.1063274625</v>
      </c>
      <c r="N62" s="39" t="str">
        <f t="shared" si="50"/>
        <v>Mal. Lott</v>
      </c>
      <c r="O62" s="133" t="s">
        <v>77</v>
      </c>
      <c r="P62" s="38">
        <v>832.0</v>
      </c>
      <c r="Q62" s="38">
        <v>498.0</v>
      </c>
      <c r="R62" s="38">
        <v>156.0</v>
      </c>
      <c r="S62" s="38">
        <v>111.0</v>
      </c>
      <c r="T62" s="38">
        <v>63.0</v>
      </c>
      <c r="U62" s="39">
        <f t="shared" si="51"/>
        <v>1486</v>
      </c>
      <c r="V62" s="39">
        <f t="shared" si="52"/>
        <v>1660</v>
      </c>
      <c r="W62" s="49">
        <f t="shared" si="53"/>
        <v>0.5598923284</v>
      </c>
      <c r="X62" s="49">
        <f t="shared" si="54"/>
        <v>0.33512786</v>
      </c>
      <c r="Y62" s="49">
        <f t="shared" si="55"/>
        <v>0.1049798116</v>
      </c>
      <c r="Z62" s="39" t="str">
        <f t="shared" si="56"/>
        <v>Jango</v>
      </c>
      <c r="AA62" s="133" t="s">
        <v>77</v>
      </c>
      <c r="AB62" s="38">
        <v>2159.0</v>
      </c>
      <c r="AC62" s="39">
        <f t="shared" si="57"/>
        <v>499</v>
      </c>
      <c r="AD62" s="51">
        <f t="shared" si="58"/>
        <v>0.7688744789</v>
      </c>
      <c r="AE62" s="134"/>
    </row>
    <row r="63">
      <c r="A63" s="45" t="s">
        <v>501</v>
      </c>
      <c r="B63" s="46" t="s">
        <v>1988</v>
      </c>
      <c r="C63" s="132"/>
      <c r="D63" s="38">
        <v>624.0</v>
      </c>
      <c r="E63" s="38">
        <v>754.0</v>
      </c>
      <c r="F63" s="38">
        <v>132.0</v>
      </c>
      <c r="G63" s="38">
        <v>42.0</v>
      </c>
      <c r="H63" s="38">
        <v>51.0</v>
      </c>
      <c r="I63" s="39">
        <f t="shared" si="45"/>
        <v>1510</v>
      </c>
      <c r="J63" s="39">
        <f t="shared" si="46"/>
        <v>1603</v>
      </c>
      <c r="K63" s="49">
        <f t="shared" si="47"/>
        <v>0.4132450331</v>
      </c>
      <c r="L63" s="49">
        <f t="shared" si="48"/>
        <v>0.4993377483</v>
      </c>
      <c r="M63" s="49">
        <f t="shared" si="49"/>
        <v>0.08741721854</v>
      </c>
      <c r="N63" s="39" t="str">
        <f t="shared" si="50"/>
        <v>Mal. Lott</v>
      </c>
      <c r="O63" s="133" t="s">
        <v>77</v>
      </c>
      <c r="P63" s="38">
        <v>817.0</v>
      </c>
      <c r="Q63" s="38">
        <v>579.0</v>
      </c>
      <c r="R63" s="38">
        <v>101.0</v>
      </c>
      <c r="S63" s="38">
        <v>71.0</v>
      </c>
      <c r="T63" s="38">
        <v>35.0</v>
      </c>
      <c r="U63" s="39">
        <f t="shared" si="51"/>
        <v>1497</v>
      </c>
      <c r="V63" s="39">
        <f t="shared" si="52"/>
        <v>1603</v>
      </c>
      <c r="W63" s="49">
        <f t="shared" si="53"/>
        <v>0.545758183</v>
      </c>
      <c r="X63" s="49">
        <f t="shared" si="54"/>
        <v>0.3867735471</v>
      </c>
      <c r="Y63" s="49">
        <f t="shared" si="55"/>
        <v>0.06746826987</v>
      </c>
      <c r="Z63" s="39" t="str">
        <f t="shared" si="56"/>
        <v>Jango</v>
      </c>
      <c r="AA63" s="133" t="s">
        <v>77</v>
      </c>
      <c r="AB63" s="38">
        <v>1847.0</v>
      </c>
      <c r="AC63" s="39">
        <f t="shared" si="57"/>
        <v>244</v>
      </c>
      <c r="AD63" s="51">
        <f t="shared" si="58"/>
        <v>0.867893882</v>
      </c>
      <c r="AE63" s="134"/>
    </row>
    <row r="64">
      <c r="A64" s="45" t="s">
        <v>504</v>
      </c>
      <c r="B64" s="46" t="s">
        <v>1989</v>
      </c>
      <c r="C64" s="132"/>
      <c r="D64" s="38">
        <v>967.0</v>
      </c>
      <c r="E64" s="38">
        <v>1131.0</v>
      </c>
      <c r="F64" s="38">
        <v>115.0</v>
      </c>
      <c r="G64" s="38">
        <v>55.0</v>
      </c>
      <c r="H64" s="38">
        <v>73.0</v>
      </c>
      <c r="I64" s="39">
        <f t="shared" si="45"/>
        <v>2213</v>
      </c>
      <c r="J64" s="39">
        <f t="shared" si="46"/>
        <v>2341</v>
      </c>
      <c r="K64" s="49">
        <f t="shared" si="47"/>
        <v>0.4369633981</v>
      </c>
      <c r="L64" s="49">
        <f t="shared" si="48"/>
        <v>0.5110709444</v>
      </c>
      <c r="M64" s="49">
        <f t="shared" si="49"/>
        <v>0.05196565748</v>
      </c>
      <c r="N64" s="39" t="str">
        <f t="shared" si="50"/>
        <v>Mal. Lott</v>
      </c>
      <c r="O64" s="133" t="s">
        <v>77</v>
      </c>
      <c r="P64" s="38">
        <v>1210.0</v>
      </c>
      <c r="Q64" s="38">
        <v>805.0</v>
      </c>
      <c r="R64" s="38">
        <v>180.0</v>
      </c>
      <c r="S64" s="38">
        <v>89.0</v>
      </c>
      <c r="T64" s="38">
        <v>57.0</v>
      </c>
      <c r="U64" s="39">
        <f t="shared" si="51"/>
        <v>2195</v>
      </c>
      <c r="V64" s="39">
        <f t="shared" si="52"/>
        <v>2341</v>
      </c>
      <c r="W64" s="49">
        <f t="shared" si="53"/>
        <v>0.5512528474</v>
      </c>
      <c r="X64" s="49">
        <f t="shared" si="54"/>
        <v>0.3667425968</v>
      </c>
      <c r="Y64" s="49">
        <f t="shared" si="55"/>
        <v>0.08200455581</v>
      </c>
      <c r="Z64" s="39" t="str">
        <f t="shared" si="56"/>
        <v>Jango</v>
      </c>
      <c r="AA64" s="133" t="s">
        <v>77</v>
      </c>
      <c r="AB64" s="38">
        <v>2669.0</v>
      </c>
      <c r="AC64" s="39">
        <f t="shared" si="57"/>
        <v>328</v>
      </c>
      <c r="AD64" s="51">
        <f t="shared" si="58"/>
        <v>0.8771075309</v>
      </c>
      <c r="AE64" s="134"/>
    </row>
    <row r="65">
      <c r="A65" s="45" t="s">
        <v>506</v>
      </c>
      <c r="B65" s="46" t="s">
        <v>1990</v>
      </c>
      <c r="C65" s="132"/>
      <c r="D65" s="38">
        <v>664.0</v>
      </c>
      <c r="E65" s="38">
        <v>969.0</v>
      </c>
      <c r="F65" s="38">
        <v>288.0</v>
      </c>
      <c r="G65" s="38">
        <v>58.0</v>
      </c>
      <c r="H65" s="38">
        <v>84.0</v>
      </c>
      <c r="I65" s="39">
        <f t="shared" si="45"/>
        <v>1921</v>
      </c>
      <c r="J65" s="39">
        <f t="shared" si="46"/>
        <v>2063</v>
      </c>
      <c r="K65" s="49">
        <f t="shared" si="47"/>
        <v>0.3456533056</v>
      </c>
      <c r="L65" s="49">
        <f t="shared" si="48"/>
        <v>0.5044247788</v>
      </c>
      <c r="M65" s="49">
        <f t="shared" si="49"/>
        <v>0.1499219157</v>
      </c>
      <c r="N65" s="39" t="str">
        <f t="shared" si="50"/>
        <v>Mal. Lott</v>
      </c>
      <c r="O65" s="133" t="s">
        <v>77</v>
      </c>
      <c r="P65" s="38">
        <v>1162.0</v>
      </c>
      <c r="Q65" s="38">
        <v>494.0</v>
      </c>
      <c r="R65" s="38">
        <v>139.0</v>
      </c>
      <c r="S65" s="38">
        <v>207.0</v>
      </c>
      <c r="T65" s="38">
        <v>61.0</v>
      </c>
      <c r="U65" s="39">
        <f t="shared" si="51"/>
        <v>1795</v>
      </c>
      <c r="V65" s="39">
        <f t="shared" si="52"/>
        <v>2063</v>
      </c>
      <c r="W65" s="49">
        <f t="shared" si="53"/>
        <v>0.6473537604</v>
      </c>
      <c r="X65" s="49">
        <f t="shared" si="54"/>
        <v>0.2752089136</v>
      </c>
      <c r="Y65" s="49">
        <f t="shared" si="55"/>
        <v>0.07743732591</v>
      </c>
      <c r="Z65" s="39" t="str">
        <f t="shared" si="56"/>
        <v>Jango</v>
      </c>
      <c r="AA65" s="133" t="s">
        <v>77</v>
      </c>
      <c r="AB65" s="38">
        <v>2348.0</v>
      </c>
      <c r="AC65" s="39">
        <f t="shared" si="57"/>
        <v>285</v>
      </c>
      <c r="AD65" s="51">
        <f t="shared" si="58"/>
        <v>0.8786201022</v>
      </c>
      <c r="AE65" s="134"/>
    </row>
    <row r="66">
      <c r="A66" s="45" t="s">
        <v>509</v>
      </c>
      <c r="B66" s="46" t="s">
        <v>1991</v>
      </c>
      <c r="C66" s="132"/>
      <c r="D66" s="38">
        <v>1089.0</v>
      </c>
      <c r="E66" s="38">
        <v>982.0</v>
      </c>
      <c r="F66" s="38">
        <v>484.0</v>
      </c>
      <c r="G66" s="38">
        <v>128.0</v>
      </c>
      <c r="H66" s="38">
        <v>75.0</v>
      </c>
      <c r="I66" s="39">
        <f t="shared" si="45"/>
        <v>2555</v>
      </c>
      <c r="J66" s="39">
        <f t="shared" si="46"/>
        <v>2758</v>
      </c>
      <c r="K66" s="49">
        <f t="shared" si="47"/>
        <v>0.426223092</v>
      </c>
      <c r="L66" s="49">
        <f t="shared" si="48"/>
        <v>0.3843444227</v>
      </c>
      <c r="M66" s="49">
        <f t="shared" si="49"/>
        <v>0.1894324853</v>
      </c>
      <c r="N66" s="39" t="str">
        <f t="shared" si="50"/>
        <v>Jânio</v>
      </c>
      <c r="O66" s="133" t="s">
        <v>77</v>
      </c>
      <c r="P66" s="38">
        <v>943.0</v>
      </c>
      <c r="Q66" s="38">
        <v>915.0</v>
      </c>
      <c r="R66" s="38">
        <v>634.0</v>
      </c>
      <c r="S66" s="38">
        <v>192.0</v>
      </c>
      <c r="T66" s="38">
        <v>74.0</v>
      </c>
      <c r="U66" s="39">
        <f t="shared" si="51"/>
        <v>2492</v>
      </c>
      <c r="V66" s="39">
        <f t="shared" si="52"/>
        <v>2758</v>
      </c>
      <c r="W66" s="49">
        <f t="shared" si="53"/>
        <v>0.3784109149</v>
      </c>
      <c r="X66" s="49">
        <f t="shared" si="54"/>
        <v>0.3671749599</v>
      </c>
      <c r="Y66" s="49">
        <f t="shared" si="55"/>
        <v>0.2544141252</v>
      </c>
      <c r="Z66" s="39" t="str">
        <f t="shared" si="56"/>
        <v>Jango</v>
      </c>
      <c r="AA66" s="133" t="s">
        <v>77</v>
      </c>
      <c r="AB66" s="38">
        <v>3442.0</v>
      </c>
      <c r="AC66" s="39">
        <f t="shared" si="57"/>
        <v>684</v>
      </c>
      <c r="AD66" s="51">
        <f t="shared" si="58"/>
        <v>0.8012783266</v>
      </c>
      <c r="AE66" s="134"/>
    </row>
    <row r="67">
      <c r="A67" s="45" t="s">
        <v>512</v>
      </c>
      <c r="B67" s="46" t="s">
        <v>1992</v>
      </c>
      <c r="C67" s="132"/>
      <c r="D67" s="38">
        <v>1177.0</v>
      </c>
      <c r="E67" s="38">
        <v>1016.0</v>
      </c>
      <c r="F67" s="38">
        <v>294.0</v>
      </c>
      <c r="G67" s="38">
        <v>112.0</v>
      </c>
      <c r="H67" s="38">
        <v>101.0</v>
      </c>
      <c r="I67" s="39">
        <f t="shared" si="45"/>
        <v>2487</v>
      </c>
      <c r="J67" s="39">
        <f t="shared" si="46"/>
        <v>2700</v>
      </c>
      <c r="K67" s="49">
        <f t="shared" si="47"/>
        <v>0.473260957</v>
      </c>
      <c r="L67" s="49">
        <f t="shared" si="48"/>
        <v>0.4085243265</v>
      </c>
      <c r="M67" s="49">
        <f t="shared" si="49"/>
        <v>0.1182147165</v>
      </c>
      <c r="N67" s="39" t="str">
        <f t="shared" si="50"/>
        <v>Jânio</v>
      </c>
      <c r="O67" s="133" t="s">
        <v>77</v>
      </c>
      <c r="P67" s="38">
        <v>1094.0</v>
      </c>
      <c r="Q67" s="38">
        <v>1089.0</v>
      </c>
      <c r="R67" s="38">
        <v>266.0</v>
      </c>
      <c r="S67" s="38">
        <v>137.0</v>
      </c>
      <c r="T67" s="38">
        <v>114.0</v>
      </c>
      <c r="U67" s="39">
        <f t="shared" si="51"/>
        <v>2449</v>
      </c>
      <c r="V67" s="39">
        <f t="shared" si="52"/>
        <v>2700</v>
      </c>
      <c r="W67" s="49">
        <f t="shared" si="53"/>
        <v>0.4467129441</v>
      </c>
      <c r="X67" s="49">
        <f t="shared" si="54"/>
        <v>0.4446712944</v>
      </c>
      <c r="Y67" s="49">
        <f t="shared" si="55"/>
        <v>0.1086157615</v>
      </c>
      <c r="Z67" s="39" t="str">
        <f t="shared" si="56"/>
        <v>Jango</v>
      </c>
      <c r="AA67" s="133" t="s">
        <v>77</v>
      </c>
      <c r="AB67" s="38">
        <v>3553.0</v>
      </c>
      <c r="AC67" s="39">
        <f t="shared" si="57"/>
        <v>853</v>
      </c>
      <c r="AD67" s="51">
        <f t="shared" si="58"/>
        <v>0.7599211934</v>
      </c>
      <c r="AE67" s="134"/>
    </row>
    <row r="68">
      <c r="A68" s="45" t="s">
        <v>514</v>
      </c>
      <c r="B68" s="46" t="s">
        <v>1993</v>
      </c>
      <c r="C68" s="132"/>
      <c r="D68" s="38">
        <v>1019.0</v>
      </c>
      <c r="E68" s="38">
        <v>1114.0</v>
      </c>
      <c r="F68" s="38">
        <v>613.0</v>
      </c>
      <c r="G68" s="38">
        <v>89.0</v>
      </c>
      <c r="H68" s="38">
        <v>199.0</v>
      </c>
      <c r="I68" s="39">
        <f t="shared" si="45"/>
        <v>2746</v>
      </c>
      <c r="J68" s="39">
        <f t="shared" si="46"/>
        <v>3034</v>
      </c>
      <c r="K68" s="49">
        <f t="shared" si="47"/>
        <v>0.3710852149</v>
      </c>
      <c r="L68" s="49">
        <f t="shared" si="48"/>
        <v>0.4056809905</v>
      </c>
      <c r="M68" s="49">
        <f t="shared" si="49"/>
        <v>0.2232337946</v>
      </c>
      <c r="N68" s="39" t="str">
        <f t="shared" si="50"/>
        <v>Mal. Lott</v>
      </c>
      <c r="O68" s="133" t="s">
        <v>77</v>
      </c>
      <c r="P68" s="38">
        <v>1179.0</v>
      </c>
      <c r="Q68" s="38">
        <v>966.0</v>
      </c>
      <c r="R68" s="38">
        <v>507.0</v>
      </c>
      <c r="S68" s="38">
        <v>222.0</v>
      </c>
      <c r="T68" s="38">
        <v>160.0</v>
      </c>
      <c r="U68" s="39">
        <f t="shared" si="51"/>
        <v>2652</v>
      </c>
      <c r="V68" s="39">
        <f t="shared" si="52"/>
        <v>3034</v>
      </c>
      <c r="W68" s="49">
        <f t="shared" si="53"/>
        <v>0.4445701357</v>
      </c>
      <c r="X68" s="49">
        <f t="shared" si="54"/>
        <v>0.3642533937</v>
      </c>
      <c r="Y68" s="49">
        <f t="shared" si="55"/>
        <v>0.1911764706</v>
      </c>
      <c r="Z68" s="39" t="str">
        <f t="shared" si="56"/>
        <v>Jango</v>
      </c>
      <c r="AA68" s="133" t="s">
        <v>77</v>
      </c>
      <c r="AB68" s="38">
        <v>3362.0</v>
      </c>
      <c r="AC68" s="39">
        <f t="shared" si="57"/>
        <v>328</v>
      </c>
      <c r="AD68" s="51">
        <f t="shared" si="58"/>
        <v>0.9024390244</v>
      </c>
      <c r="AE68" s="134"/>
    </row>
    <row r="69">
      <c r="A69" s="45" t="s">
        <v>516</v>
      </c>
      <c r="B69" s="46" t="s">
        <v>1994</v>
      </c>
      <c r="C69" s="132"/>
      <c r="D69" s="38">
        <v>375.0</v>
      </c>
      <c r="E69" s="38">
        <v>748.0</v>
      </c>
      <c r="F69" s="38">
        <v>250.0</v>
      </c>
      <c r="G69" s="38">
        <v>66.0</v>
      </c>
      <c r="H69" s="38">
        <v>83.0</v>
      </c>
      <c r="I69" s="39">
        <f t="shared" si="45"/>
        <v>1373</v>
      </c>
      <c r="J69" s="39">
        <f t="shared" si="46"/>
        <v>1522</v>
      </c>
      <c r="K69" s="49">
        <f t="shared" si="47"/>
        <v>0.2731245448</v>
      </c>
      <c r="L69" s="49">
        <f t="shared" si="48"/>
        <v>0.5447924253</v>
      </c>
      <c r="M69" s="49">
        <f t="shared" si="49"/>
        <v>0.1820830299</v>
      </c>
      <c r="N69" s="39" t="str">
        <f t="shared" si="50"/>
        <v>Mal. Lott</v>
      </c>
      <c r="O69" s="133" t="s">
        <v>77</v>
      </c>
      <c r="P69" s="38">
        <v>889.0</v>
      </c>
      <c r="Q69" s="38">
        <v>315.0</v>
      </c>
      <c r="R69" s="38">
        <v>120.0</v>
      </c>
      <c r="S69" s="38">
        <v>131.0</v>
      </c>
      <c r="T69" s="38">
        <v>67.0</v>
      </c>
      <c r="U69" s="39">
        <f t="shared" si="51"/>
        <v>1324</v>
      </c>
      <c r="V69" s="39">
        <f t="shared" si="52"/>
        <v>1522</v>
      </c>
      <c r="W69" s="49">
        <f t="shared" si="53"/>
        <v>0.6714501511</v>
      </c>
      <c r="X69" s="49">
        <f t="shared" si="54"/>
        <v>0.2379154079</v>
      </c>
      <c r="Y69" s="49">
        <f t="shared" si="55"/>
        <v>0.09063444109</v>
      </c>
      <c r="Z69" s="39" t="str">
        <f t="shared" si="56"/>
        <v>Jango</v>
      </c>
      <c r="AA69" s="133" t="s">
        <v>77</v>
      </c>
      <c r="AB69" s="38">
        <v>2096.0</v>
      </c>
      <c r="AC69" s="39">
        <f t="shared" si="57"/>
        <v>574</v>
      </c>
      <c r="AD69" s="51">
        <f t="shared" si="58"/>
        <v>0.7261450382</v>
      </c>
      <c r="AE69" s="134"/>
    </row>
    <row r="70">
      <c r="A70" s="45" t="s">
        <v>518</v>
      </c>
      <c r="B70" s="46" t="s">
        <v>1995</v>
      </c>
      <c r="C70" s="132"/>
      <c r="D70" s="38">
        <v>628.0</v>
      </c>
      <c r="E70" s="38">
        <v>641.0</v>
      </c>
      <c r="F70" s="38">
        <v>128.0</v>
      </c>
      <c r="G70" s="38">
        <v>70.0</v>
      </c>
      <c r="H70" s="38">
        <v>87.0</v>
      </c>
      <c r="I70" s="39">
        <f t="shared" si="45"/>
        <v>1397</v>
      </c>
      <c r="J70" s="39">
        <f t="shared" si="46"/>
        <v>1554</v>
      </c>
      <c r="K70" s="49">
        <f t="shared" si="47"/>
        <v>0.4495347173</v>
      </c>
      <c r="L70" s="49">
        <f t="shared" si="48"/>
        <v>0.4588403722</v>
      </c>
      <c r="M70" s="49">
        <f t="shared" si="49"/>
        <v>0.09162491052</v>
      </c>
      <c r="N70" s="39" t="str">
        <f t="shared" si="50"/>
        <v>Mal. Lott</v>
      </c>
      <c r="O70" s="133" t="s">
        <v>77</v>
      </c>
      <c r="P70" s="38">
        <v>643.0</v>
      </c>
      <c r="Q70" s="38">
        <v>572.0</v>
      </c>
      <c r="R70" s="38">
        <v>141.0</v>
      </c>
      <c r="S70" s="38">
        <v>143.0</v>
      </c>
      <c r="T70" s="38">
        <v>55.0</v>
      </c>
      <c r="U70" s="39">
        <f t="shared" si="51"/>
        <v>1356</v>
      </c>
      <c r="V70" s="39">
        <f t="shared" si="52"/>
        <v>1554</v>
      </c>
      <c r="W70" s="49">
        <f t="shared" si="53"/>
        <v>0.4741887906</v>
      </c>
      <c r="X70" s="49">
        <f t="shared" si="54"/>
        <v>0.4218289086</v>
      </c>
      <c r="Y70" s="49">
        <f t="shared" si="55"/>
        <v>0.1039823009</v>
      </c>
      <c r="Z70" s="39" t="str">
        <f t="shared" si="56"/>
        <v>Jango</v>
      </c>
      <c r="AA70" s="133" t="s">
        <v>77</v>
      </c>
      <c r="AB70" s="38">
        <v>2054.0</v>
      </c>
      <c r="AC70" s="39">
        <f t="shared" si="57"/>
        <v>500</v>
      </c>
      <c r="AD70" s="51">
        <f t="shared" si="58"/>
        <v>0.7565725414</v>
      </c>
      <c r="AE70" s="134"/>
    </row>
    <row r="71">
      <c r="A71" s="45" t="s">
        <v>522</v>
      </c>
      <c r="B71" s="46" t="s">
        <v>1996</v>
      </c>
      <c r="C71" s="132"/>
      <c r="D71" s="38">
        <v>832.0</v>
      </c>
      <c r="E71" s="38">
        <v>964.0</v>
      </c>
      <c r="F71" s="38">
        <v>183.0</v>
      </c>
      <c r="G71" s="38">
        <v>116.0</v>
      </c>
      <c r="H71" s="38">
        <v>113.0</v>
      </c>
      <c r="I71" s="39">
        <f t="shared" si="45"/>
        <v>1979</v>
      </c>
      <c r="J71" s="39">
        <f t="shared" si="46"/>
        <v>2208</v>
      </c>
      <c r="K71" s="49">
        <f t="shared" si="47"/>
        <v>0.4204143507</v>
      </c>
      <c r="L71" s="49">
        <f t="shared" si="48"/>
        <v>0.4871147044</v>
      </c>
      <c r="M71" s="49">
        <f t="shared" si="49"/>
        <v>0.09247094492</v>
      </c>
      <c r="N71" s="39" t="str">
        <f t="shared" si="50"/>
        <v>Mal. Lott</v>
      </c>
      <c r="O71" s="133" t="s">
        <v>77</v>
      </c>
      <c r="P71" s="38">
        <v>1043.0</v>
      </c>
      <c r="Q71" s="38">
        <v>747.0</v>
      </c>
      <c r="R71" s="38">
        <v>130.0</v>
      </c>
      <c r="S71" s="38">
        <v>198.0</v>
      </c>
      <c r="T71" s="38">
        <v>90.0</v>
      </c>
      <c r="U71" s="39">
        <f t="shared" si="51"/>
        <v>1920</v>
      </c>
      <c r="V71" s="39">
        <f t="shared" si="52"/>
        <v>2208</v>
      </c>
      <c r="W71" s="49">
        <f t="shared" si="53"/>
        <v>0.5432291667</v>
      </c>
      <c r="X71" s="49">
        <f t="shared" si="54"/>
        <v>0.3890625</v>
      </c>
      <c r="Y71" s="49">
        <f t="shared" si="55"/>
        <v>0.06770833333</v>
      </c>
      <c r="Z71" s="39" t="str">
        <f t="shared" si="56"/>
        <v>Jango</v>
      </c>
      <c r="AA71" s="133" t="s">
        <v>77</v>
      </c>
      <c r="AB71" s="38">
        <v>2814.0</v>
      </c>
      <c r="AC71" s="39">
        <f t="shared" si="57"/>
        <v>606</v>
      </c>
      <c r="AD71" s="51">
        <f t="shared" si="58"/>
        <v>0.7846481876</v>
      </c>
      <c r="AE71" s="134"/>
    </row>
    <row r="72">
      <c r="A72" s="45" t="s">
        <v>524</v>
      </c>
      <c r="B72" s="46" t="s">
        <v>1997</v>
      </c>
      <c r="C72" s="132"/>
      <c r="D72" s="38">
        <v>584.0</v>
      </c>
      <c r="E72" s="38">
        <v>797.0</v>
      </c>
      <c r="F72" s="38">
        <v>72.0</v>
      </c>
      <c r="G72" s="38">
        <v>27.0</v>
      </c>
      <c r="H72" s="38">
        <v>60.0</v>
      </c>
      <c r="I72" s="39">
        <f t="shared" si="45"/>
        <v>1453</v>
      </c>
      <c r="J72" s="39">
        <f t="shared" si="46"/>
        <v>1540</v>
      </c>
      <c r="K72" s="49">
        <f t="shared" si="47"/>
        <v>0.4019270475</v>
      </c>
      <c r="L72" s="49">
        <f t="shared" si="48"/>
        <v>0.5485203028</v>
      </c>
      <c r="M72" s="49">
        <f t="shared" si="49"/>
        <v>0.04955264969</v>
      </c>
      <c r="N72" s="39" t="str">
        <f t="shared" si="50"/>
        <v>Mal. Lott</v>
      </c>
      <c r="O72" s="133" t="s">
        <v>77</v>
      </c>
      <c r="P72" s="38">
        <v>816.0</v>
      </c>
      <c r="Q72" s="38">
        <v>515.0</v>
      </c>
      <c r="R72" s="38">
        <v>82.0</v>
      </c>
      <c r="S72" s="38">
        <v>65.0</v>
      </c>
      <c r="T72" s="38">
        <v>62.0</v>
      </c>
      <c r="U72" s="39">
        <f t="shared" si="51"/>
        <v>1413</v>
      </c>
      <c r="V72" s="39">
        <f t="shared" si="52"/>
        <v>1540</v>
      </c>
      <c r="W72" s="49">
        <f t="shared" si="53"/>
        <v>0.5774946921</v>
      </c>
      <c r="X72" s="49">
        <f t="shared" si="54"/>
        <v>0.364472753</v>
      </c>
      <c r="Y72" s="49">
        <f t="shared" si="55"/>
        <v>0.05803255485</v>
      </c>
      <c r="Z72" s="39" t="str">
        <f t="shared" si="56"/>
        <v>Jango</v>
      </c>
      <c r="AA72" s="133" t="s">
        <v>77</v>
      </c>
      <c r="AB72" s="38">
        <v>2260.0</v>
      </c>
      <c r="AC72" s="39">
        <f t="shared" si="57"/>
        <v>720</v>
      </c>
      <c r="AD72" s="51">
        <f t="shared" si="58"/>
        <v>0.6814159292</v>
      </c>
      <c r="AE72" s="134"/>
    </row>
    <row r="73">
      <c r="A73" s="45" t="s">
        <v>526</v>
      </c>
      <c r="B73" s="46" t="s">
        <v>1998</v>
      </c>
      <c r="C73" s="132"/>
      <c r="D73" s="38">
        <v>960.0</v>
      </c>
      <c r="E73" s="38">
        <v>1477.0</v>
      </c>
      <c r="F73" s="38">
        <v>645.0</v>
      </c>
      <c r="G73" s="38">
        <v>83.0</v>
      </c>
      <c r="H73" s="38">
        <v>134.0</v>
      </c>
      <c r="I73" s="39">
        <f t="shared" si="45"/>
        <v>3082</v>
      </c>
      <c r="J73" s="39">
        <f t="shared" si="46"/>
        <v>3299</v>
      </c>
      <c r="K73" s="49">
        <f t="shared" si="47"/>
        <v>0.311486048</v>
      </c>
      <c r="L73" s="49">
        <f t="shared" si="48"/>
        <v>0.4792342635</v>
      </c>
      <c r="M73" s="49">
        <f t="shared" si="49"/>
        <v>0.2092796885</v>
      </c>
      <c r="N73" s="39" t="str">
        <f t="shared" si="50"/>
        <v>Mal. Lott</v>
      </c>
      <c r="O73" s="133" t="s">
        <v>77</v>
      </c>
      <c r="P73" s="38">
        <v>1638.0</v>
      </c>
      <c r="Q73" s="38">
        <v>1061.0</v>
      </c>
      <c r="R73" s="38">
        <v>308.0</v>
      </c>
      <c r="S73" s="38">
        <v>210.0</v>
      </c>
      <c r="T73" s="38">
        <v>82.0</v>
      </c>
      <c r="U73" s="39">
        <f t="shared" si="51"/>
        <v>3007</v>
      </c>
      <c r="V73" s="39">
        <f t="shared" si="52"/>
        <v>3299</v>
      </c>
      <c r="W73" s="49">
        <f t="shared" si="53"/>
        <v>0.5447289657</v>
      </c>
      <c r="X73" s="49">
        <f t="shared" si="54"/>
        <v>0.3528433655</v>
      </c>
      <c r="Y73" s="49">
        <f t="shared" si="55"/>
        <v>0.1024276688</v>
      </c>
      <c r="Z73" s="39" t="str">
        <f t="shared" si="56"/>
        <v>Jango</v>
      </c>
      <c r="AA73" s="133" t="s">
        <v>77</v>
      </c>
      <c r="AB73" s="38">
        <v>4135.0</v>
      </c>
      <c r="AC73" s="39">
        <f t="shared" si="57"/>
        <v>836</v>
      </c>
      <c r="AD73" s="51">
        <f t="shared" si="58"/>
        <v>0.7978234583</v>
      </c>
      <c r="AE73" s="134"/>
    </row>
    <row r="74">
      <c r="A74" s="45" t="s">
        <v>529</v>
      </c>
      <c r="B74" s="46" t="s">
        <v>1999</v>
      </c>
      <c r="C74" s="132"/>
      <c r="D74" s="38">
        <v>1200.0</v>
      </c>
      <c r="E74" s="38">
        <v>1304.0</v>
      </c>
      <c r="F74" s="38">
        <v>358.0</v>
      </c>
      <c r="G74" s="38">
        <v>146.0</v>
      </c>
      <c r="H74" s="38">
        <v>197.0</v>
      </c>
      <c r="I74" s="39">
        <f t="shared" si="45"/>
        <v>2862</v>
      </c>
      <c r="J74" s="39">
        <f t="shared" si="46"/>
        <v>3205</v>
      </c>
      <c r="K74" s="49">
        <f t="shared" si="47"/>
        <v>0.4192872117</v>
      </c>
      <c r="L74" s="49">
        <f t="shared" si="48"/>
        <v>0.4556254368</v>
      </c>
      <c r="M74" s="49">
        <f t="shared" si="49"/>
        <v>0.1250873515</v>
      </c>
      <c r="N74" s="39" t="str">
        <f t="shared" si="50"/>
        <v>Mal. Lott</v>
      </c>
      <c r="O74" s="133" t="s">
        <v>77</v>
      </c>
      <c r="P74" s="38">
        <v>1561.0</v>
      </c>
      <c r="Q74" s="38">
        <v>984.0</v>
      </c>
      <c r="R74" s="38">
        <v>229.0</v>
      </c>
      <c r="S74" s="38">
        <v>254.0</v>
      </c>
      <c r="T74" s="38">
        <v>177.0</v>
      </c>
      <c r="U74" s="39">
        <f t="shared" si="51"/>
        <v>2774</v>
      </c>
      <c r="V74" s="39">
        <f t="shared" si="52"/>
        <v>3205</v>
      </c>
      <c r="W74" s="49">
        <f t="shared" si="53"/>
        <v>0.5627253064</v>
      </c>
      <c r="X74" s="49">
        <f t="shared" si="54"/>
        <v>0.3547224225</v>
      </c>
      <c r="Y74" s="49">
        <f t="shared" si="55"/>
        <v>0.08255227109</v>
      </c>
      <c r="Z74" s="39" t="str">
        <f t="shared" si="56"/>
        <v>Jango</v>
      </c>
      <c r="AA74" s="133" t="s">
        <v>77</v>
      </c>
      <c r="AB74" s="38">
        <v>4270.0</v>
      </c>
      <c r="AC74" s="39">
        <f t="shared" si="57"/>
        <v>1065</v>
      </c>
      <c r="AD74" s="51">
        <f t="shared" si="58"/>
        <v>0.7505854801</v>
      </c>
      <c r="AE74" s="134"/>
    </row>
    <row r="75">
      <c r="A75" s="45" t="s">
        <v>531</v>
      </c>
      <c r="B75" s="46" t="s">
        <v>2000</v>
      </c>
      <c r="C75" s="132"/>
      <c r="D75" s="38">
        <v>684.0</v>
      </c>
      <c r="E75" s="38">
        <v>726.0</v>
      </c>
      <c r="F75" s="38">
        <v>99.0</v>
      </c>
      <c r="G75" s="38">
        <v>63.0</v>
      </c>
      <c r="H75" s="38">
        <v>73.0</v>
      </c>
      <c r="I75" s="39">
        <f t="shared" si="45"/>
        <v>1509</v>
      </c>
      <c r="J75" s="39">
        <f t="shared" si="46"/>
        <v>1645</v>
      </c>
      <c r="K75" s="49">
        <f t="shared" si="47"/>
        <v>0.4532803181</v>
      </c>
      <c r="L75" s="49">
        <f t="shared" si="48"/>
        <v>0.4811133201</v>
      </c>
      <c r="M75" s="49">
        <f t="shared" si="49"/>
        <v>0.06560636183</v>
      </c>
      <c r="N75" s="39" t="str">
        <f t="shared" si="50"/>
        <v>Mal. Lott</v>
      </c>
      <c r="O75" s="133" t="s">
        <v>77</v>
      </c>
      <c r="P75" s="38">
        <v>835.0</v>
      </c>
      <c r="Q75" s="38">
        <v>553.0</v>
      </c>
      <c r="R75" s="38">
        <v>99.0</v>
      </c>
      <c r="S75" s="38">
        <v>102.0</v>
      </c>
      <c r="T75" s="38">
        <v>56.0</v>
      </c>
      <c r="U75" s="39">
        <f t="shared" si="51"/>
        <v>1487</v>
      </c>
      <c r="V75" s="39">
        <f t="shared" si="52"/>
        <v>1645</v>
      </c>
      <c r="W75" s="49">
        <f t="shared" si="53"/>
        <v>0.5615332885</v>
      </c>
      <c r="X75" s="49">
        <f t="shared" si="54"/>
        <v>0.3718897108</v>
      </c>
      <c r="Y75" s="49">
        <f t="shared" si="55"/>
        <v>0.06657700067</v>
      </c>
      <c r="Z75" s="39" t="str">
        <f t="shared" si="56"/>
        <v>Jango</v>
      </c>
      <c r="AA75" s="133" t="s">
        <v>77</v>
      </c>
      <c r="AB75" s="38">
        <v>1997.0</v>
      </c>
      <c r="AC75" s="39">
        <f t="shared" si="57"/>
        <v>352</v>
      </c>
      <c r="AD75" s="51">
        <f t="shared" si="58"/>
        <v>0.8237356034</v>
      </c>
      <c r="AE75" s="134"/>
    </row>
    <row r="76">
      <c r="A76" s="45" t="s">
        <v>533</v>
      </c>
      <c r="B76" s="46" t="s">
        <v>2001</v>
      </c>
      <c r="C76" s="132"/>
      <c r="D76" s="38">
        <v>438.0</v>
      </c>
      <c r="E76" s="38">
        <v>485.0</v>
      </c>
      <c r="F76" s="38">
        <v>1085.0</v>
      </c>
      <c r="G76" s="38">
        <v>37.0</v>
      </c>
      <c r="H76" s="38">
        <v>78.0</v>
      </c>
      <c r="I76" s="39">
        <f t="shared" si="45"/>
        <v>2008</v>
      </c>
      <c r="J76" s="39">
        <f t="shared" si="46"/>
        <v>2123</v>
      </c>
      <c r="K76" s="49">
        <f t="shared" si="47"/>
        <v>0.21812749</v>
      </c>
      <c r="L76" s="49">
        <f t="shared" si="48"/>
        <v>0.2415338645</v>
      </c>
      <c r="M76" s="49">
        <f t="shared" si="49"/>
        <v>0.5403386454</v>
      </c>
      <c r="N76" s="39" t="str">
        <f t="shared" si="50"/>
        <v>Adhemar</v>
      </c>
      <c r="O76" s="133" t="s">
        <v>77</v>
      </c>
      <c r="P76" s="38">
        <v>1156.0</v>
      </c>
      <c r="Q76" s="38">
        <v>471.0</v>
      </c>
      <c r="R76" s="38">
        <v>295.0</v>
      </c>
      <c r="S76" s="38">
        <v>168.0</v>
      </c>
      <c r="T76" s="38">
        <v>33.0</v>
      </c>
      <c r="U76" s="39">
        <f t="shared" si="51"/>
        <v>1922</v>
      </c>
      <c r="V76" s="39">
        <f t="shared" si="52"/>
        <v>2123</v>
      </c>
      <c r="W76" s="49">
        <f t="shared" si="53"/>
        <v>0.6014568158</v>
      </c>
      <c r="X76" s="49">
        <f t="shared" si="54"/>
        <v>0.245057232</v>
      </c>
      <c r="Y76" s="49">
        <f t="shared" si="55"/>
        <v>0.1534859521</v>
      </c>
      <c r="Z76" s="39" t="str">
        <f t="shared" si="56"/>
        <v>Jango</v>
      </c>
      <c r="AA76" s="133" t="s">
        <v>77</v>
      </c>
      <c r="AB76" s="38">
        <v>2432.0</v>
      </c>
      <c r="AC76" s="39">
        <f t="shared" si="57"/>
        <v>309</v>
      </c>
      <c r="AD76" s="51">
        <f t="shared" si="58"/>
        <v>0.8729440789</v>
      </c>
      <c r="AE76" s="134"/>
    </row>
    <row r="77">
      <c r="A77" s="69" t="s">
        <v>54</v>
      </c>
      <c r="B77" s="13"/>
      <c r="C77" s="132"/>
      <c r="D77" s="39">
        <f t="shared" ref="D77:H77" si="59">SUM(D12:D76)</f>
        <v>245655</v>
      </c>
      <c r="E77" s="39">
        <f t="shared" si="59"/>
        <v>249707</v>
      </c>
      <c r="F77" s="39">
        <f t="shared" si="59"/>
        <v>146485</v>
      </c>
      <c r="G77" s="39">
        <f t="shared" si="59"/>
        <v>15320</v>
      </c>
      <c r="H77" s="39">
        <f t="shared" si="59"/>
        <v>29705</v>
      </c>
      <c r="I77" s="39">
        <f t="shared" si="45"/>
        <v>641847</v>
      </c>
      <c r="J77" s="39">
        <f t="shared" si="46"/>
        <v>686872</v>
      </c>
      <c r="K77" s="49">
        <f t="shared" si="47"/>
        <v>0.3827313986</v>
      </c>
      <c r="L77" s="49">
        <f t="shared" si="48"/>
        <v>0.3890444296</v>
      </c>
      <c r="M77" s="49">
        <f t="shared" si="49"/>
        <v>0.2282241718</v>
      </c>
      <c r="N77" s="39" t="str">
        <f t="shared" si="50"/>
        <v>Mal. Lott</v>
      </c>
      <c r="O77" s="133"/>
      <c r="P77" s="39">
        <f t="shared" ref="P77:T77" si="60">SUM(P12:P76)</f>
        <v>272434</v>
      </c>
      <c r="Q77" s="39">
        <f t="shared" si="60"/>
        <v>223103</v>
      </c>
      <c r="R77" s="39">
        <f t="shared" si="60"/>
        <v>133208</v>
      </c>
      <c r="S77" s="39">
        <f t="shared" si="60"/>
        <v>35605</v>
      </c>
      <c r="T77" s="39">
        <f t="shared" si="60"/>
        <v>22522</v>
      </c>
      <c r="U77" s="39">
        <f t="shared" si="51"/>
        <v>628745</v>
      </c>
      <c r="V77" s="39">
        <f t="shared" si="52"/>
        <v>686872</v>
      </c>
      <c r="W77" s="49">
        <f t="shared" si="53"/>
        <v>0.4332980779</v>
      </c>
      <c r="X77" s="49">
        <f t="shared" si="54"/>
        <v>0.3548386071</v>
      </c>
      <c r="Y77" s="49">
        <f t="shared" si="55"/>
        <v>0.211863315</v>
      </c>
      <c r="Z77" s="39" t="str">
        <f t="shared" si="56"/>
        <v>Jango</v>
      </c>
      <c r="AA77" s="133"/>
      <c r="AB77" s="55">
        <v>827338.0</v>
      </c>
      <c r="AC77" s="39">
        <f t="shared" si="57"/>
        <v>140466</v>
      </c>
      <c r="AD77" s="51">
        <f t="shared" si="58"/>
        <v>0.8302193299</v>
      </c>
      <c r="AE77" s="134"/>
    </row>
    <row r="78">
      <c r="O78" s="73"/>
    </row>
    <row r="79">
      <c r="B79" s="74" t="s">
        <v>138</v>
      </c>
      <c r="D79" s="75"/>
      <c r="E79" s="75"/>
      <c r="F79" s="75"/>
      <c r="G79" s="75"/>
    </row>
    <row r="80">
      <c r="B80" s="76" t="s">
        <v>139</v>
      </c>
      <c r="C80" s="33"/>
      <c r="D80" s="29"/>
      <c r="E80" s="29"/>
      <c r="F80" s="77"/>
      <c r="G80" s="77"/>
    </row>
    <row r="81">
      <c r="B81" s="76" t="s">
        <v>139</v>
      </c>
      <c r="D81" s="29"/>
      <c r="E81" s="29"/>
      <c r="F81" s="77"/>
      <c r="G81" s="77"/>
    </row>
    <row r="82">
      <c r="D82" s="29"/>
      <c r="E82" s="29"/>
      <c r="F82" s="77"/>
      <c r="G82" s="77"/>
    </row>
  </sheetData>
  <mergeCells count="95">
    <mergeCell ref="S19:S20"/>
    <mergeCell ref="T19:T20"/>
    <mergeCell ref="U19:U20"/>
    <mergeCell ref="V19:V20"/>
    <mergeCell ref="W19:W20"/>
    <mergeCell ref="X19:X20"/>
    <mergeCell ref="Y19:Y20"/>
    <mergeCell ref="Z19:Z20"/>
    <mergeCell ref="AA19:AA20"/>
    <mergeCell ref="AB19:AB20"/>
    <mergeCell ref="AC19:AC20"/>
    <mergeCell ref="AD19:AD20"/>
    <mergeCell ref="AE19:AE20"/>
    <mergeCell ref="D2:G2"/>
    <mergeCell ref="A10:C10"/>
    <mergeCell ref="D10:N10"/>
    <mergeCell ref="P10:Z10"/>
    <mergeCell ref="AA10:AD10"/>
    <mergeCell ref="B19:B20"/>
    <mergeCell ref="D19:D20"/>
    <mergeCell ref="G34:G35"/>
    <mergeCell ref="H34:H35"/>
    <mergeCell ref="I34:I35"/>
    <mergeCell ref="J34:J35"/>
    <mergeCell ref="K34:K35"/>
    <mergeCell ref="L34:L35"/>
    <mergeCell ref="M34:M35"/>
    <mergeCell ref="X34:X35"/>
    <mergeCell ref="Y34:Y35"/>
    <mergeCell ref="Z34:Z35"/>
    <mergeCell ref="AA34:AA35"/>
    <mergeCell ref="AB34:AB35"/>
    <mergeCell ref="AC34:AC35"/>
    <mergeCell ref="AD34:AD35"/>
    <mergeCell ref="AE34:AE35"/>
    <mergeCell ref="N34:N35"/>
    <mergeCell ref="O34:O35"/>
    <mergeCell ref="S34:S35"/>
    <mergeCell ref="T34:T35"/>
    <mergeCell ref="U34:U35"/>
    <mergeCell ref="V34:V35"/>
    <mergeCell ref="W34:W35"/>
    <mergeCell ref="B39:B40"/>
    <mergeCell ref="D39:D40"/>
    <mergeCell ref="E39:E40"/>
    <mergeCell ref="F39:F40"/>
    <mergeCell ref="G39:G40"/>
    <mergeCell ref="H39:H40"/>
    <mergeCell ref="I39:I40"/>
    <mergeCell ref="J39:J40"/>
    <mergeCell ref="K39:K40"/>
    <mergeCell ref="L39:L40"/>
    <mergeCell ref="M39:M40"/>
    <mergeCell ref="N39:N40"/>
    <mergeCell ref="O39:O40"/>
    <mergeCell ref="P39:P40"/>
    <mergeCell ref="X39:X40"/>
    <mergeCell ref="Y39:Y40"/>
    <mergeCell ref="Z39:Z40"/>
    <mergeCell ref="AA39:AA40"/>
    <mergeCell ref="AB39:AB40"/>
    <mergeCell ref="AC39:AC40"/>
    <mergeCell ref="AD39:AD40"/>
    <mergeCell ref="AE39:AE40"/>
    <mergeCell ref="Q39:Q40"/>
    <mergeCell ref="R39:R40"/>
    <mergeCell ref="S39:S40"/>
    <mergeCell ref="T39:T40"/>
    <mergeCell ref="U39:U40"/>
    <mergeCell ref="V39:V40"/>
    <mergeCell ref="W39:W40"/>
    <mergeCell ref="G19:G20"/>
    <mergeCell ref="H19:H20"/>
    <mergeCell ref="I19:I20"/>
    <mergeCell ref="J19:J20"/>
    <mergeCell ref="K19:K20"/>
    <mergeCell ref="L19:L20"/>
    <mergeCell ref="M19:M20"/>
    <mergeCell ref="N19:N20"/>
    <mergeCell ref="O19:O20"/>
    <mergeCell ref="P19:P20"/>
    <mergeCell ref="P34:P35"/>
    <mergeCell ref="Q34:Q35"/>
    <mergeCell ref="R34:R35"/>
    <mergeCell ref="Q19:Q20"/>
    <mergeCell ref="R19:R20"/>
    <mergeCell ref="A52:A53"/>
    <mergeCell ref="A77:B77"/>
    <mergeCell ref="E19:E20"/>
    <mergeCell ref="F19:F20"/>
    <mergeCell ref="A25:A26"/>
    <mergeCell ref="B34:B35"/>
    <mergeCell ref="D34:D35"/>
    <mergeCell ref="E34:E35"/>
    <mergeCell ref="F34:F35"/>
  </mergeCells>
  <conditionalFormatting sqref="K12:M78 W12:Y78">
    <cfRule type="colorScale" priority="1">
      <colorScale>
        <cfvo type="percent" val="0"/>
        <cfvo type="percent" val="100"/>
        <color rgb="FFFFFFFF"/>
        <color rgb="FF57BB8A"/>
      </colorScale>
    </cfRule>
  </conditionalFormatting>
  <conditionalFormatting sqref="W12:Y35 W39:Y40">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6" si="1">IF(COUNTIF($N$18:$N$520,D3)=0,"-",COUNTIF($N$18:$N$520,D3))</f>
        <v>470</v>
      </c>
      <c r="F3" s="32" t="s">
        <v>47</v>
      </c>
      <c r="G3" s="22">
        <f t="shared" ref="G3:G6" si="2">IF(COUNTIF($Z$18:$Z$520,F3)=0,"-",COUNTIF($Z$18:$Z$520,F3))</f>
        <v>102</v>
      </c>
    </row>
    <row r="4">
      <c r="D4" s="32" t="s">
        <v>48</v>
      </c>
      <c r="E4" s="22" t="str">
        <f t="shared" si="1"/>
        <v>-</v>
      </c>
      <c r="F4" s="32" t="s">
        <v>49</v>
      </c>
      <c r="G4" s="22">
        <f t="shared" si="2"/>
        <v>353</v>
      </c>
    </row>
    <row r="5">
      <c r="D5" s="32" t="s">
        <v>50</v>
      </c>
      <c r="E5" s="22">
        <f t="shared" si="1"/>
        <v>30</v>
      </c>
      <c r="F5" s="32" t="s">
        <v>51</v>
      </c>
      <c r="G5" s="22">
        <f t="shared" si="2"/>
        <v>46</v>
      </c>
    </row>
    <row r="6">
      <c r="D6" s="32" t="s">
        <v>52</v>
      </c>
      <c r="E6" s="22">
        <f t="shared" si="1"/>
        <v>1</v>
      </c>
      <c r="F6" s="32" t="s">
        <v>52</v>
      </c>
      <c r="G6" s="22" t="str">
        <f t="shared" si="2"/>
        <v>-</v>
      </c>
    </row>
    <row r="7">
      <c r="D7" s="32" t="s">
        <v>54</v>
      </c>
      <c r="E7" s="32">
        <f>SUM(E3:E6)</f>
        <v>501</v>
      </c>
      <c r="F7" s="32" t="s">
        <v>54</v>
      </c>
      <c r="G7" s="32">
        <f>SUM(G3:G6)</f>
        <v>501</v>
      </c>
    </row>
    <row r="8">
      <c r="D8" s="109"/>
      <c r="E8" s="109"/>
      <c r="F8" s="109"/>
      <c r="G8" s="109"/>
      <c r="P8" s="135"/>
      <c r="Q8" s="135"/>
      <c r="R8" s="135"/>
    </row>
    <row r="10">
      <c r="A10" s="34"/>
      <c r="B10" s="12"/>
      <c r="C10" s="13"/>
      <c r="D10" s="35" t="s">
        <v>55</v>
      </c>
      <c r="E10" s="12"/>
      <c r="F10" s="12"/>
      <c r="G10" s="12"/>
      <c r="H10" s="12"/>
      <c r="I10" s="12"/>
      <c r="J10" s="12"/>
      <c r="K10" s="12"/>
      <c r="L10" s="12"/>
      <c r="M10" s="12"/>
      <c r="N10" s="13"/>
      <c r="O10" s="36"/>
      <c r="P10" s="35" t="s">
        <v>56</v>
      </c>
      <c r="Q10" s="12"/>
      <c r="R10" s="12"/>
      <c r="S10" s="12"/>
      <c r="T10" s="12"/>
      <c r="U10" s="12"/>
      <c r="V10" s="12"/>
      <c r="W10" s="12"/>
      <c r="X10" s="12"/>
      <c r="Y10" s="12"/>
      <c r="Z10" s="13"/>
      <c r="AA10" s="37"/>
      <c r="AB10" s="12"/>
      <c r="AC10" s="12"/>
      <c r="AD10" s="13"/>
    </row>
    <row r="11">
      <c r="A11" s="38" t="s">
        <v>57</v>
      </c>
      <c r="B11" s="39" t="s">
        <v>58</v>
      </c>
      <c r="C11" s="40"/>
      <c r="D11" s="38" t="s">
        <v>46</v>
      </c>
      <c r="E11" s="38" t="s">
        <v>48</v>
      </c>
      <c r="F11" s="38" t="s">
        <v>50</v>
      </c>
      <c r="G11" s="38" t="s">
        <v>59</v>
      </c>
      <c r="H11" s="38" t="s">
        <v>60</v>
      </c>
      <c r="I11" s="41" t="s">
        <v>61</v>
      </c>
      <c r="J11" s="41" t="s">
        <v>62</v>
      </c>
      <c r="K11" s="38" t="s">
        <v>63</v>
      </c>
      <c r="L11" s="38" t="s">
        <v>64</v>
      </c>
      <c r="M11" s="38" t="s">
        <v>65</v>
      </c>
      <c r="N11" s="38" t="s">
        <v>66</v>
      </c>
      <c r="O11" s="42"/>
      <c r="P11" s="38" t="s">
        <v>47</v>
      </c>
      <c r="Q11" s="38" t="s">
        <v>49</v>
      </c>
      <c r="R11" s="38" t="s">
        <v>51</v>
      </c>
      <c r="S11" s="38" t="s">
        <v>59</v>
      </c>
      <c r="T11" s="38" t="s">
        <v>60</v>
      </c>
      <c r="U11" s="41" t="s">
        <v>61</v>
      </c>
      <c r="V11" s="41" t="s">
        <v>62</v>
      </c>
      <c r="W11" s="43" t="s">
        <v>67</v>
      </c>
      <c r="X11" s="43" t="s">
        <v>68</v>
      </c>
      <c r="Y11" s="43" t="s">
        <v>69</v>
      </c>
      <c r="Z11" s="38" t="s">
        <v>66</v>
      </c>
      <c r="AA11" s="44"/>
      <c r="AB11" s="41" t="s">
        <v>70</v>
      </c>
      <c r="AC11" s="41" t="s">
        <v>71</v>
      </c>
      <c r="AD11" s="41" t="s">
        <v>72</v>
      </c>
    </row>
    <row r="12">
      <c r="A12" s="110" t="s">
        <v>73</v>
      </c>
      <c r="B12" s="46" t="s">
        <v>2002</v>
      </c>
      <c r="C12" s="47"/>
      <c r="D12" s="38">
        <v>101517.0</v>
      </c>
      <c r="E12" s="38">
        <v>36000.0</v>
      </c>
      <c r="F12" s="38">
        <v>51887.0</v>
      </c>
      <c r="G12" s="38">
        <v>2431.0</v>
      </c>
      <c r="H12" s="38">
        <v>5329.0</v>
      </c>
      <c r="I12" s="48">
        <f t="shared" ref="I12:I357" si="3">SUM(D12:F12)</f>
        <v>189404</v>
      </c>
      <c r="J12" s="48">
        <f t="shared" ref="J12:J357" si="4">SUM(G12:I12)</f>
        <v>197164</v>
      </c>
      <c r="K12" s="49">
        <f t="shared" ref="K12:K357" si="5">D12/I12</f>
        <v>0.5359812887</v>
      </c>
      <c r="L12" s="49">
        <f t="shared" ref="L12:L357" si="6">E12/I12</f>
        <v>0.1900699035</v>
      </c>
      <c r="M12" s="49">
        <f t="shared" ref="M12:M357" si="7">F12/I12</f>
        <v>0.2739488078</v>
      </c>
      <c r="N12" s="32" t="str">
        <f t="shared" ref="N12:N357" si="8">IF(LARGE(D12:F12,1)=0,#REF!,IF(LARGE(D12:F12,1)=LARGE(D12:F12,2),$D$6,IF(LARGE(D12:F12,1)=D12,$D$3,IF(LARGE(D12:F12,1)=E12,$D$4,IF(LARGE(D12:F12,1)=F12,$D$5)))))</f>
        <v>Jânio</v>
      </c>
      <c r="O12" s="50"/>
      <c r="P12" s="38">
        <v>61272.0</v>
      </c>
      <c r="Q12" s="38">
        <v>92918.0</v>
      </c>
      <c r="R12" s="38">
        <v>27144.0</v>
      </c>
      <c r="S12" s="38">
        <v>11477.0</v>
      </c>
      <c r="T12" s="38">
        <v>4353.0</v>
      </c>
      <c r="U12" s="48">
        <f t="shared" ref="U12:U357" si="9">SUM(P12:R12)</f>
        <v>181334</v>
      </c>
      <c r="V12" s="48">
        <f t="shared" ref="V12:V357" si="10">SUM(S12:U12)</f>
        <v>197164</v>
      </c>
      <c r="W12" s="49">
        <f t="shared" ref="W12:W357" si="11">P12/U12</f>
        <v>0.3378958166</v>
      </c>
      <c r="X12" s="49">
        <f t="shared" ref="X12:X357" si="12">Q12/U12</f>
        <v>0.5124135573</v>
      </c>
      <c r="Y12" s="49">
        <f t="shared" ref="Y12:Y357" si="13">R12/U12</f>
        <v>0.1496906261</v>
      </c>
      <c r="Z12" s="32" t="str">
        <f t="shared" ref="Z12:Z357" si="14">IF(LARGE(P12:R12,1)=0,#REF!,IF(LARGE(P12:R12,1)=LARGE(P12:R12,2),$F$6,IF(LARGE(P12:R12,1)=P12,$F$3,IF(LARGE(P12:R12,1)=Q12,$F$4,IF(LARGE(P12:R12,1)=R12,$F$5)))))</f>
        <v>Milton</v>
      </c>
      <c r="AA12" s="50"/>
      <c r="AB12" s="38">
        <v>228466.0</v>
      </c>
      <c r="AC12" s="48">
        <f t="shared" ref="AC12:AC18" si="15">AB12-V12</f>
        <v>31302</v>
      </c>
      <c r="AD12" s="51">
        <f t="shared" ref="AD12:AD18" si="16">V12/AB12</f>
        <v>0.8629905544</v>
      </c>
    </row>
    <row r="13">
      <c r="A13" s="110" t="s">
        <v>75</v>
      </c>
      <c r="B13" s="46" t="s">
        <v>2003</v>
      </c>
      <c r="C13" s="47"/>
      <c r="D13" s="38">
        <v>109438.0</v>
      </c>
      <c r="E13" s="38">
        <v>32617.0</v>
      </c>
      <c r="F13" s="38">
        <v>52598.0</v>
      </c>
      <c r="G13" s="38">
        <v>2706.0</v>
      </c>
      <c r="H13" s="38">
        <v>5251.0</v>
      </c>
      <c r="I13" s="48">
        <f t="shared" si="3"/>
        <v>194653</v>
      </c>
      <c r="J13" s="48">
        <f t="shared" si="4"/>
        <v>202610</v>
      </c>
      <c r="K13" s="49">
        <f t="shared" si="5"/>
        <v>0.5622209778</v>
      </c>
      <c r="L13" s="49">
        <f t="shared" si="6"/>
        <v>0.1675648462</v>
      </c>
      <c r="M13" s="49">
        <f t="shared" si="7"/>
        <v>0.270214176</v>
      </c>
      <c r="N13" s="32" t="str">
        <f t="shared" si="8"/>
        <v>Jânio</v>
      </c>
      <c r="O13" s="50"/>
      <c r="P13" s="38">
        <v>61427.0</v>
      </c>
      <c r="Q13" s="38">
        <v>97460.0</v>
      </c>
      <c r="R13" s="38">
        <v>27178.0</v>
      </c>
      <c r="S13" s="38">
        <v>11385.0</v>
      </c>
      <c r="T13" s="38">
        <v>5160.0</v>
      </c>
      <c r="U13" s="48">
        <f t="shared" si="9"/>
        <v>186065</v>
      </c>
      <c r="V13" s="48">
        <f t="shared" si="10"/>
        <v>202610</v>
      </c>
      <c r="W13" s="49">
        <f t="shared" si="11"/>
        <v>0.3301373176</v>
      </c>
      <c r="X13" s="49">
        <f t="shared" si="12"/>
        <v>0.5237954478</v>
      </c>
      <c r="Y13" s="49">
        <f t="shared" si="13"/>
        <v>0.1460672346</v>
      </c>
      <c r="Z13" s="32" t="str">
        <f t="shared" si="14"/>
        <v>Milton</v>
      </c>
      <c r="AA13" s="50"/>
      <c r="AB13" s="38">
        <v>222865.0</v>
      </c>
      <c r="AC13" s="48">
        <f t="shared" si="15"/>
        <v>20255</v>
      </c>
      <c r="AD13" s="51">
        <f t="shared" si="16"/>
        <v>0.9091153838</v>
      </c>
    </row>
    <row r="14">
      <c r="A14" s="110" t="s">
        <v>79</v>
      </c>
      <c r="B14" s="46" t="s">
        <v>2004</v>
      </c>
      <c r="C14" s="47"/>
      <c r="D14" s="38">
        <v>79559.0</v>
      </c>
      <c r="E14" s="38">
        <v>21052.0</v>
      </c>
      <c r="F14" s="38">
        <v>37139.0</v>
      </c>
      <c r="G14" s="38">
        <v>1860.0</v>
      </c>
      <c r="H14" s="38">
        <v>4330.0</v>
      </c>
      <c r="I14" s="48">
        <f t="shared" si="3"/>
        <v>137750</v>
      </c>
      <c r="J14" s="48">
        <f t="shared" si="4"/>
        <v>143940</v>
      </c>
      <c r="K14" s="49">
        <f t="shared" si="5"/>
        <v>0.5775607985</v>
      </c>
      <c r="L14" s="49">
        <f t="shared" si="6"/>
        <v>0.1528275862</v>
      </c>
      <c r="M14" s="49">
        <f t="shared" si="7"/>
        <v>0.2696116152</v>
      </c>
      <c r="N14" s="32" t="str">
        <f t="shared" si="8"/>
        <v>Jânio</v>
      </c>
      <c r="O14" s="50"/>
      <c r="P14" s="38">
        <v>43883.0</v>
      </c>
      <c r="Q14" s="38">
        <v>67830.0</v>
      </c>
      <c r="R14" s="38">
        <v>19781.0</v>
      </c>
      <c r="S14" s="38">
        <v>8784.0</v>
      </c>
      <c r="T14" s="38">
        <v>3662.0</v>
      </c>
      <c r="U14" s="48">
        <f t="shared" si="9"/>
        <v>131494</v>
      </c>
      <c r="V14" s="48">
        <f t="shared" si="10"/>
        <v>143940</v>
      </c>
      <c r="W14" s="49">
        <f t="shared" si="11"/>
        <v>0.3337262537</v>
      </c>
      <c r="X14" s="49">
        <f t="shared" si="12"/>
        <v>0.515841027</v>
      </c>
      <c r="Y14" s="49">
        <f t="shared" si="13"/>
        <v>0.1504327194</v>
      </c>
      <c r="Z14" s="32" t="str">
        <f t="shared" si="14"/>
        <v>Milton</v>
      </c>
      <c r="AA14" s="50"/>
      <c r="AB14" s="38">
        <v>159410.0</v>
      </c>
      <c r="AC14" s="48">
        <f t="shared" si="15"/>
        <v>15470</v>
      </c>
      <c r="AD14" s="51">
        <f t="shared" si="16"/>
        <v>0.9029546453</v>
      </c>
    </row>
    <row r="15">
      <c r="A15" s="110" t="s">
        <v>85</v>
      </c>
      <c r="B15" s="46" t="s">
        <v>2005</v>
      </c>
      <c r="C15" s="47"/>
      <c r="D15" s="38">
        <v>129085.0</v>
      </c>
      <c r="E15" s="38">
        <v>33142.0</v>
      </c>
      <c r="F15" s="38">
        <v>62232.0</v>
      </c>
      <c r="G15" s="38">
        <v>3974.0</v>
      </c>
      <c r="H15" s="38">
        <v>9538.0</v>
      </c>
      <c r="I15" s="48">
        <f t="shared" si="3"/>
        <v>224459</v>
      </c>
      <c r="J15" s="48">
        <f t="shared" si="4"/>
        <v>237971</v>
      </c>
      <c r="K15" s="49">
        <f t="shared" si="5"/>
        <v>0.5750938924</v>
      </c>
      <c r="L15" s="49">
        <f t="shared" si="6"/>
        <v>0.1476528007</v>
      </c>
      <c r="M15" s="49">
        <f t="shared" si="7"/>
        <v>0.2772533068</v>
      </c>
      <c r="N15" s="32" t="str">
        <f t="shared" si="8"/>
        <v>Jânio</v>
      </c>
      <c r="O15" s="50"/>
      <c r="P15" s="38">
        <v>74712.0</v>
      </c>
      <c r="Q15" s="38">
        <v>109265.0</v>
      </c>
      <c r="R15" s="38">
        <v>28144.0</v>
      </c>
      <c r="S15" s="38">
        <v>17488.0</v>
      </c>
      <c r="T15" s="38">
        <v>8362.0</v>
      </c>
      <c r="U15" s="48">
        <f t="shared" si="9"/>
        <v>212121</v>
      </c>
      <c r="V15" s="48">
        <f t="shared" si="10"/>
        <v>237971</v>
      </c>
      <c r="W15" s="49">
        <f t="shared" si="11"/>
        <v>0.3522140665</v>
      </c>
      <c r="X15" s="49">
        <f t="shared" si="12"/>
        <v>0.5151069437</v>
      </c>
      <c r="Y15" s="49">
        <f t="shared" si="13"/>
        <v>0.1326789898</v>
      </c>
      <c r="Z15" s="32" t="str">
        <f t="shared" si="14"/>
        <v>Milton</v>
      </c>
      <c r="AA15" s="50"/>
      <c r="AB15" s="38">
        <v>263679.0</v>
      </c>
      <c r="AC15" s="48">
        <f t="shared" si="15"/>
        <v>25708</v>
      </c>
      <c r="AD15" s="51">
        <f t="shared" si="16"/>
        <v>0.9025026642</v>
      </c>
    </row>
    <row r="16">
      <c r="A16" s="110" t="s">
        <v>90</v>
      </c>
      <c r="B16" s="46" t="s">
        <v>2006</v>
      </c>
      <c r="C16" s="47"/>
      <c r="D16" s="38">
        <v>74565.0</v>
      </c>
      <c r="E16" s="38">
        <v>21420.0</v>
      </c>
      <c r="F16" s="38">
        <v>35960.0</v>
      </c>
      <c r="G16" s="38">
        <v>2032.0</v>
      </c>
      <c r="H16" s="38">
        <v>4162.0</v>
      </c>
      <c r="I16" s="48">
        <f t="shared" si="3"/>
        <v>131945</v>
      </c>
      <c r="J16" s="48">
        <f t="shared" si="4"/>
        <v>138139</v>
      </c>
      <c r="K16" s="49">
        <f t="shared" si="5"/>
        <v>0.5651218311</v>
      </c>
      <c r="L16" s="49">
        <f t="shared" si="6"/>
        <v>0.1623403691</v>
      </c>
      <c r="M16" s="49">
        <f t="shared" si="7"/>
        <v>0.2725377998</v>
      </c>
      <c r="N16" s="32" t="str">
        <f t="shared" si="8"/>
        <v>Jânio</v>
      </c>
      <c r="O16" s="50"/>
      <c r="P16" s="38">
        <v>40808.0</v>
      </c>
      <c r="Q16" s="38">
        <v>66568.0</v>
      </c>
      <c r="R16" s="38">
        <v>17763.0</v>
      </c>
      <c r="S16" s="38">
        <v>9655.0</v>
      </c>
      <c r="T16" s="38">
        <v>3345.0</v>
      </c>
      <c r="U16" s="48">
        <f t="shared" si="9"/>
        <v>125139</v>
      </c>
      <c r="V16" s="48">
        <f t="shared" si="10"/>
        <v>138139</v>
      </c>
      <c r="W16" s="49">
        <f t="shared" si="11"/>
        <v>0.3261013753</v>
      </c>
      <c r="X16" s="49">
        <f t="shared" si="12"/>
        <v>0.5319524689</v>
      </c>
      <c r="Y16" s="49">
        <f t="shared" si="13"/>
        <v>0.1419461559</v>
      </c>
      <c r="Z16" s="32" t="str">
        <f t="shared" si="14"/>
        <v>Milton</v>
      </c>
      <c r="AA16" s="50"/>
      <c r="AB16" s="38">
        <v>207090.0</v>
      </c>
      <c r="AC16" s="48">
        <f t="shared" si="15"/>
        <v>68951</v>
      </c>
      <c r="AD16" s="51">
        <f t="shared" si="16"/>
        <v>0.6670481433</v>
      </c>
    </row>
    <row r="17">
      <c r="A17" s="110" t="s">
        <v>92</v>
      </c>
      <c r="B17" s="46" t="s">
        <v>2007</v>
      </c>
      <c r="C17" s="47"/>
      <c r="D17" s="38">
        <v>96539.0</v>
      </c>
      <c r="E17" s="38">
        <v>24926.0</v>
      </c>
      <c r="F17" s="38">
        <v>44104.0</v>
      </c>
      <c r="G17" s="38">
        <v>2450.0</v>
      </c>
      <c r="H17" s="38">
        <v>5100.0</v>
      </c>
      <c r="I17" s="48">
        <f t="shared" si="3"/>
        <v>165569</v>
      </c>
      <c r="J17" s="48">
        <f t="shared" si="4"/>
        <v>173119</v>
      </c>
      <c r="K17" s="49">
        <f t="shared" si="5"/>
        <v>0.5830741262</v>
      </c>
      <c r="L17" s="49">
        <f t="shared" si="6"/>
        <v>0.1505475059</v>
      </c>
      <c r="M17" s="49">
        <f t="shared" si="7"/>
        <v>0.2663783679</v>
      </c>
      <c r="N17" s="32" t="str">
        <f t="shared" si="8"/>
        <v>Jânio</v>
      </c>
      <c r="O17" s="50"/>
      <c r="P17" s="38">
        <v>52898.0</v>
      </c>
      <c r="Q17" s="38">
        <v>82013.0</v>
      </c>
      <c r="R17" s="38">
        <v>22045.0</v>
      </c>
      <c r="S17" s="38">
        <v>11813.0</v>
      </c>
      <c r="T17" s="38">
        <v>4350.0</v>
      </c>
      <c r="U17" s="48">
        <f t="shared" si="9"/>
        <v>156956</v>
      </c>
      <c r="V17" s="48">
        <f t="shared" si="10"/>
        <v>173119</v>
      </c>
      <c r="W17" s="49">
        <f t="shared" si="11"/>
        <v>0.337024389</v>
      </c>
      <c r="X17" s="49">
        <f t="shared" si="12"/>
        <v>0.5225222355</v>
      </c>
      <c r="Y17" s="49">
        <f t="shared" si="13"/>
        <v>0.1404533755</v>
      </c>
      <c r="Z17" s="32" t="str">
        <f t="shared" si="14"/>
        <v>Milton</v>
      </c>
      <c r="AA17" s="50"/>
      <c r="AB17" s="38">
        <v>189813.0</v>
      </c>
      <c r="AC17" s="48">
        <f t="shared" si="15"/>
        <v>16694</v>
      </c>
      <c r="AD17" s="51">
        <f t="shared" si="16"/>
        <v>0.9120502811</v>
      </c>
    </row>
    <row r="18">
      <c r="A18" s="110" t="s">
        <v>77</v>
      </c>
      <c r="B18" s="46" t="s">
        <v>2008</v>
      </c>
      <c r="C18" s="47"/>
      <c r="D18" s="38">
        <v>590703.0</v>
      </c>
      <c r="E18" s="38">
        <v>169157.0</v>
      </c>
      <c r="F18" s="38">
        <v>283920.0</v>
      </c>
      <c r="G18" s="38">
        <v>15453.0</v>
      </c>
      <c r="H18" s="38">
        <v>33710.0</v>
      </c>
      <c r="I18" s="48">
        <f t="shared" si="3"/>
        <v>1043780</v>
      </c>
      <c r="J18" s="48">
        <f t="shared" si="4"/>
        <v>1092943</v>
      </c>
      <c r="K18" s="49">
        <f t="shared" si="5"/>
        <v>0.5659267279</v>
      </c>
      <c r="L18" s="49">
        <f t="shared" si="6"/>
        <v>0.1620619288</v>
      </c>
      <c r="M18" s="49">
        <f t="shared" si="7"/>
        <v>0.2720113434</v>
      </c>
      <c r="N18" s="32" t="str">
        <f t="shared" si="8"/>
        <v>Jânio</v>
      </c>
      <c r="O18" s="50" t="s">
        <v>77</v>
      </c>
      <c r="P18" s="48">
        <v>335000.0</v>
      </c>
      <c r="Q18" s="48">
        <v>516054.0</v>
      </c>
      <c r="R18" s="48">
        <v>142055.0</v>
      </c>
      <c r="S18" s="48">
        <v>70602.0</v>
      </c>
      <c r="T18" s="48">
        <v>29232.0</v>
      </c>
      <c r="U18" s="48">
        <f t="shared" si="9"/>
        <v>993109</v>
      </c>
      <c r="V18" s="48">
        <f t="shared" si="10"/>
        <v>1092943</v>
      </c>
      <c r="W18" s="49">
        <f t="shared" si="11"/>
        <v>0.3373245032</v>
      </c>
      <c r="X18" s="49">
        <f t="shared" si="12"/>
        <v>0.5196348034</v>
      </c>
      <c r="Y18" s="49">
        <f t="shared" si="13"/>
        <v>0.1430406934</v>
      </c>
      <c r="Z18" s="32" t="str">
        <f t="shared" si="14"/>
        <v>Milton</v>
      </c>
      <c r="AA18" s="50" t="s">
        <v>77</v>
      </c>
      <c r="AB18" s="55">
        <v>1202012.0</v>
      </c>
      <c r="AC18" s="48">
        <f t="shared" si="15"/>
        <v>109069</v>
      </c>
      <c r="AD18" s="51">
        <f t="shared" si="16"/>
        <v>0.9092613052</v>
      </c>
    </row>
    <row r="19">
      <c r="A19" s="61" t="s">
        <v>73</v>
      </c>
      <c r="B19" s="46" t="s">
        <v>2009</v>
      </c>
      <c r="C19" s="47"/>
      <c r="D19" s="38">
        <v>722.0</v>
      </c>
      <c r="E19" s="38">
        <v>130.0</v>
      </c>
      <c r="F19" s="38">
        <v>804.0</v>
      </c>
      <c r="G19" s="38">
        <v>39.0</v>
      </c>
      <c r="H19" s="38">
        <v>90.0</v>
      </c>
      <c r="I19" s="48">
        <f t="shared" si="3"/>
        <v>1656</v>
      </c>
      <c r="J19" s="48">
        <f t="shared" si="4"/>
        <v>1785</v>
      </c>
      <c r="K19" s="49">
        <f t="shared" si="5"/>
        <v>0.4359903382</v>
      </c>
      <c r="L19" s="49">
        <f t="shared" si="6"/>
        <v>0.07850241546</v>
      </c>
      <c r="M19" s="49">
        <f t="shared" si="7"/>
        <v>0.4855072464</v>
      </c>
      <c r="N19" s="32" t="str">
        <f t="shared" si="8"/>
        <v>Adhemar</v>
      </c>
      <c r="O19" s="50" t="s">
        <v>77</v>
      </c>
      <c r="P19" s="48">
        <v>706.0</v>
      </c>
      <c r="Q19" s="48">
        <v>617.0</v>
      </c>
      <c r="R19" s="48">
        <v>187.0</v>
      </c>
      <c r="S19" s="48">
        <v>224.0</v>
      </c>
      <c r="T19" s="48">
        <v>51.0</v>
      </c>
      <c r="U19" s="48">
        <f t="shared" si="9"/>
        <v>1510</v>
      </c>
      <c r="V19" s="48">
        <f t="shared" si="10"/>
        <v>1785</v>
      </c>
      <c r="W19" s="49">
        <f t="shared" si="11"/>
        <v>0.4675496689</v>
      </c>
      <c r="X19" s="49">
        <f t="shared" si="12"/>
        <v>0.4086092715</v>
      </c>
      <c r="Y19" s="49">
        <f t="shared" si="13"/>
        <v>0.1238410596</v>
      </c>
      <c r="Z19" s="32" t="str">
        <f t="shared" si="14"/>
        <v>Jango</v>
      </c>
      <c r="AA19" s="50" t="s">
        <v>77</v>
      </c>
      <c r="AB19" s="38" t="s">
        <v>77</v>
      </c>
      <c r="AC19" s="38" t="s">
        <v>77</v>
      </c>
      <c r="AD19" s="38" t="s">
        <v>77</v>
      </c>
    </row>
    <row r="20">
      <c r="A20" s="23"/>
      <c r="B20" s="46" t="s">
        <v>2010</v>
      </c>
      <c r="C20" s="47"/>
      <c r="D20" s="38">
        <v>553.0</v>
      </c>
      <c r="E20" s="38">
        <v>82.0</v>
      </c>
      <c r="F20" s="38">
        <v>372.0</v>
      </c>
      <c r="G20" s="38">
        <v>23.0</v>
      </c>
      <c r="H20" s="38">
        <v>69.0</v>
      </c>
      <c r="I20" s="48">
        <f t="shared" si="3"/>
        <v>1007</v>
      </c>
      <c r="J20" s="48">
        <f t="shared" si="4"/>
        <v>1099</v>
      </c>
      <c r="K20" s="49">
        <f t="shared" si="5"/>
        <v>0.5491559086</v>
      </c>
      <c r="L20" s="49">
        <f t="shared" si="6"/>
        <v>0.08142999007</v>
      </c>
      <c r="M20" s="49">
        <f t="shared" si="7"/>
        <v>0.3694141013</v>
      </c>
      <c r="N20" s="32" t="str">
        <f t="shared" si="8"/>
        <v>Jânio</v>
      </c>
      <c r="O20" s="50" t="s">
        <v>77</v>
      </c>
      <c r="P20" s="48">
        <v>344.0</v>
      </c>
      <c r="Q20" s="48">
        <v>380.0</v>
      </c>
      <c r="R20" s="48">
        <v>224.0</v>
      </c>
      <c r="S20" s="48">
        <v>107.0</v>
      </c>
      <c r="T20" s="48">
        <v>44.0</v>
      </c>
      <c r="U20" s="48">
        <f t="shared" si="9"/>
        <v>948</v>
      </c>
      <c r="V20" s="48">
        <f t="shared" si="10"/>
        <v>1099</v>
      </c>
      <c r="W20" s="49">
        <f t="shared" si="11"/>
        <v>0.3628691983</v>
      </c>
      <c r="X20" s="49">
        <f t="shared" si="12"/>
        <v>0.4008438819</v>
      </c>
      <c r="Y20" s="49">
        <f t="shared" si="13"/>
        <v>0.2362869198</v>
      </c>
      <c r="Z20" s="32" t="str">
        <f t="shared" si="14"/>
        <v>Milton</v>
      </c>
      <c r="AA20" s="50" t="s">
        <v>77</v>
      </c>
      <c r="AB20" s="55">
        <v>1221.0</v>
      </c>
      <c r="AC20" s="48">
        <f t="shared" ref="AC20:AC321" si="17">AB20-V20</f>
        <v>122</v>
      </c>
      <c r="AD20" s="51">
        <f t="shared" ref="AD20:AD321" si="18">V20/AB20</f>
        <v>0.9000819001</v>
      </c>
    </row>
    <row r="21">
      <c r="A21" s="24"/>
      <c r="B21" s="46" t="s">
        <v>2011</v>
      </c>
      <c r="C21" s="47"/>
      <c r="D21" s="38">
        <v>1485.0</v>
      </c>
      <c r="E21" s="38">
        <v>309.0</v>
      </c>
      <c r="F21" s="38">
        <v>1040.0</v>
      </c>
      <c r="G21" s="38">
        <v>63.0</v>
      </c>
      <c r="H21" s="38">
        <v>181.0</v>
      </c>
      <c r="I21" s="48">
        <f t="shared" si="3"/>
        <v>2834</v>
      </c>
      <c r="J21" s="48">
        <f t="shared" si="4"/>
        <v>3078</v>
      </c>
      <c r="K21" s="49">
        <f t="shared" si="5"/>
        <v>0.5239943543</v>
      </c>
      <c r="L21" s="49">
        <f t="shared" si="6"/>
        <v>0.1090331687</v>
      </c>
      <c r="M21" s="49">
        <f t="shared" si="7"/>
        <v>0.3669724771</v>
      </c>
      <c r="N21" s="32" t="str">
        <f t="shared" si="8"/>
        <v>Jânio</v>
      </c>
      <c r="O21" s="50" t="s">
        <v>77</v>
      </c>
      <c r="P21" s="48">
        <v>1122.0</v>
      </c>
      <c r="Q21" s="48">
        <v>970.0</v>
      </c>
      <c r="R21" s="48">
        <v>439.0</v>
      </c>
      <c r="S21" s="48">
        <v>452.0</v>
      </c>
      <c r="T21" s="48">
        <v>95.0</v>
      </c>
      <c r="U21" s="48">
        <f t="shared" si="9"/>
        <v>2531</v>
      </c>
      <c r="V21" s="48">
        <f t="shared" si="10"/>
        <v>3078</v>
      </c>
      <c r="W21" s="49">
        <f t="shared" si="11"/>
        <v>0.4433030423</v>
      </c>
      <c r="X21" s="49">
        <f t="shared" si="12"/>
        <v>0.3832477282</v>
      </c>
      <c r="Y21" s="49">
        <f t="shared" si="13"/>
        <v>0.1734492296</v>
      </c>
      <c r="Z21" s="32" t="str">
        <f t="shared" si="14"/>
        <v>Jango</v>
      </c>
      <c r="AA21" s="50" t="s">
        <v>77</v>
      </c>
      <c r="AB21" s="55">
        <v>3397.0</v>
      </c>
      <c r="AC21" s="48">
        <f t="shared" si="17"/>
        <v>319</v>
      </c>
      <c r="AD21" s="51">
        <f t="shared" si="18"/>
        <v>0.906093612</v>
      </c>
    </row>
    <row r="22">
      <c r="A22" s="61" t="s">
        <v>90</v>
      </c>
      <c r="B22" s="46" t="s">
        <v>2012</v>
      </c>
      <c r="C22" s="47"/>
      <c r="D22" s="38">
        <v>3505.0</v>
      </c>
      <c r="E22" s="38">
        <v>753.0</v>
      </c>
      <c r="F22" s="38">
        <v>1955.0</v>
      </c>
      <c r="G22" s="38">
        <v>111.0</v>
      </c>
      <c r="H22" s="38">
        <v>322.0</v>
      </c>
      <c r="I22" s="48">
        <f t="shared" si="3"/>
        <v>6213</v>
      </c>
      <c r="J22" s="48">
        <f t="shared" si="4"/>
        <v>6646</v>
      </c>
      <c r="K22" s="49">
        <f t="shared" si="5"/>
        <v>0.5641397071</v>
      </c>
      <c r="L22" s="49">
        <f t="shared" si="6"/>
        <v>0.1211974891</v>
      </c>
      <c r="M22" s="49">
        <f t="shared" si="7"/>
        <v>0.3146628038</v>
      </c>
      <c r="N22" s="32" t="str">
        <f t="shared" si="8"/>
        <v>Jânio</v>
      </c>
      <c r="O22" s="50" t="s">
        <v>77</v>
      </c>
      <c r="P22" s="48">
        <v>2381.0</v>
      </c>
      <c r="Q22" s="48">
        <v>2525.0</v>
      </c>
      <c r="R22" s="48">
        <v>800.0</v>
      </c>
      <c r="S22" s="48">
        <v>669.0</v>
      </c>
      <c r="T22" s="48">
        <v>271.0</v>
      </c>
      <c r="U22" s="48">
        <f t="shared" si="9"/>
        <v>5706</v>
      </c>
      <c r="V22" s="48">
        <f t="shared" si="10"/>
        <v>6646</v>
      </c>
      <c r="W22" s="49">
        <f t="shared" si="11"/>
        <v>0.4172800561</v>
      </c>
      <c r="X22" s="49">
        <f t="shared" si="12"/>
        <v>0.4425166491</v>
      </c>
      <c r="Y22" s="49">
        <f t="shared" si="13"/>
        <v>0.1402032948</v>
      </c>
      <c r="Z22" s="32" t="str">
        <f t="shared" si="14"/>
        <v>Milton</v>
      </c>
      <c r="AA22" s="50" t="s">
        <v>77</v>
      </c>
      <c r="AB22" s="55">
        <v>7342.0</v>
      </c>
      <c r="AC22" s="48">
        <f t="shared" si="17"/>
        <v>696</v>
      </c>
      <c r="AD22" s="51">
        <f t="shared" si="18"/>
        <v>0.905202942</v>
      </c>
    </row>
    <row r="23">
      <c r="A23" s="23"/>
      <c r="B23" s="46" t="s">
        <v>2013</v>
      </c>
      <c r="C23" s="47"/>
      <c r="D23" s="38">
        <v>1359.0</v>
      </c>
      <c r="E23" s="38">
        <v>206.0</v>
      </c>
      <c r="F23" s="38">
        <v>320.0</v>
      </c>
      <c r="G23" s="38">
        <v>29.0</v>
      </c>
      <c r="H23" s="38">
        <v>101.0</v>
      </c>
      <c r="I23" s="48">
        <f t="shared" si="3"/>
        <v>1885</v>
      </c>
      <c r="J23" s="48">
        <f t="shared" si="4"/>
        <v>2015</v>
      </c>
      <c r="K23" s="49">
        <f t="shared" si="5"/>
        <v>0.7209549072</v>
      </c>
      <c r="L23" s="49">
        <f t="shared" si="6"/>
        <v>0.1092838196</v>
      </c>
      <c r="M23" s="49">
        <f t="shared" si="7"/>
        <v>0.1697612732</v>
      </c>
      <c r="N23" s="32" t="str">
        <f t="shared" si="8"/>
        <v>Jânio</v>
      </c>
      <c r="O23" s="50" t="s">
        <v>77</v>
      </c>
      <c r="P23" s="48">
        <v>423.0</v>
      </c>
      <c r="Q23" s="48">
        <v>1079.0</v>
      </c>
      <c r="R23" s="48">
        <v>301.0</v>
      </c>
      <c r="S23" s="48">
        <v>122.0</v>
      </c>
      <c r="T23" s="48">
        <v>90.0</v>
      </c>
      <c r="U23" s="48">
        <f t="shared" si="9"/>
        <v>1803</v>
      </c>
      <c r="V23" s="48">
        <f t="shared" si="10"/>
        <v>2015</v>
      </c>
      <c r="W23" s="49">
        <f t="shared" si="11"/>
        <v>0.234608985</v>
      </c>
      <c r="X23" s="49">
        <f t="shared" si="12"/>
        <v>0.5984470327</v>
      </c>
      <c r="Y23" s="49">
        <f t="shared" si="13"/>
        <v>0.1669439823</v>
      </c>
      <c r="Z23" s="32" t="str">
        <f t="shared" si="14"/>
        <v>Milton</v>
      </c>
      <c r="AA23" s="50" t="s">
        <v>77</v>
      </c>
      <c r="AB23" s="55">
        <v>2108.0</v>
      </c>
      <c r="AC23" s="48">
        <f t="shared" si="17"/>
        <v>93</v>
      </c>
      <c r="AD23" s="51">
        <f t="shared" si="18"/>
        <v>0.9558823529</v>
      </c>
    </row>
    <row r="24">
      <c r="A24" s="23"/>
      <c r="B24" s="46" t="s">
        <v>2014</v>
      </c>
      <c r="C24" s="47"/>
      <c r="D24" s="38">
        <v>820.0</v>
      </c>
      <c r="E24" s="38">
        <v>116.0</v>
      </c>
      <c r="F24" s="38">
        <v>184.0</v>
      </c>
      <c r="G24" s="38">
        <v>37.0</v>
      </c>
      <c r="H24" s="38">
        <v>49.0</v>
      </c>
      <c r="I24" s="48">
        <f t="shared" si="3"/>
        <v>1120</v>
      </c>
      <c r="J24" s="48">
        <f t="shared" si="4"/>
        <v>1206</v>
      </c>
      <c r="K24" s="49">
        <f t="shared" si="5"/>
        <v>0.7321428571</v>
      </c>
      <c r="L24" s="49">
        <f t="shared" si="6"/>
        <v>0.1035714286</v>
      </c>
      <c r="M24" s="49">
        <f t="shared" si="7"/>
        <v>0.1642857143</v>
      </c>
      <c r="N24" s="32" t="str">
        <f t="shared" si="8"/>
        <v>Jânio</v>
      </c>
      <c r="O24" s="50" t="s">
        <v>77</v>
      </c>
      <c r="P24" s="48">
        <v>403.0</v>
      </c>
      <c r="Q24" s="48">
        <v>382.0</v>
      </c>
      <c r="R24" s="48">
        <v>247.0</v>
      </c>
      <c r="S24" s="48">
        <v>136.0</v>
      </c>
      <c r="T24" s="48">
        <v>38.0</v>
      </c>
      <c r="U24" s="48">
        <f t="shared" si="9"/>
        <v>1032</v>
      </c>
      <c r="V24" s="48">
        <f t="shared" si="10"/>
        <v>1206</v>
      </c>
      <c r="W24" s="49">
        <f t="shared" si="11"/>
        <v>0.390503876</v>
      </c>
      <c r="X24" s="49">
        <f t="shared" si="12"/>
        <v>0.3701550388</v>
      </c>
      <c r="Y24" s="49">
        <f t="shared" si="13"/>
        <v>0.2393410853</v>
      </c>
      <c r="Z24" s="32" t="str">
        <f t="shared" si="14"/>
        <v>Jango</v>
      </c>
      <c r="AA24" s="50" t="s">
        <v>77</v>
      </c>
      <c r="AB24" s="55">
        <v>1309.0</v>
      </c>
      <c r="AC24" s="48">
        <f t="shared" si="17"/>
        <v>103</v>
      </c>
      <c r="AD24" s="51">
        <f t="shared" si="18"/>
        <v>0.9213139801</v>
      </c>
    </row>
    <row r="25">
      <c r="A25" s="23"/>
      <c r="B25" s="46" t="s">
        <v>2015</v>
      </c>
      <c r="C25" s="47"/>
      <c r="D25" s="38">
        <v>1584.0</v>
      </c>
      <c r="E25" s="38">
        <v>268.0</v>
      </c>
      <c r="F25" s="38">
        <v>1306.0</v>
      </c>
      <c r="G25" s="38">
        <v>59.0</v>
      </c>
      <c r="H25" s="38">
        <v>112.0</v>
      </c>
      <c r="I25" s="48">
        <f t="shared" si="3"/>
        <v>3158</v>
      </c>
      <c r="J25" s="48">
        <f t="shared" si="4"/>
        <v>3329</v>
      </c>
      <c r="K25" s="49">
        <f t="shared" si="5"/>
        <v>0.5015832806</v>
      </c>
      <c r="L25" s="49">
        <f t="shared" si="6"/>
        <v>0.08486383787</v>
      </c>
      <c r="M25" s="49">
        <f t="shared" si="7"/>
        <v>0.4135528816</v>
      </c>
      <c r="N25" s="32" t="str">
        <f t="shared" si="8"/>
        <v>Jânio</v>
      </c>
      <c r="O25" s="50" t="s">
        <v>77</v>
      </c>
      <c r="P25" s="48">
        <v>1203.0</v>
      </c>
      <c r="Q25" s="48">
        <v>1127.0</v>
      </c>
      <c r="R25" s="48">
        <v>488.0</v>
      </c>
      <c r="S25" s="48">
        <v>460.0</v>
      </c>
      <c r="T25" s="48">
        <v>51.0</v>
      </c>
      <c r="U25" s="48">
        <f t="shared" si="9"/>
        <v>2818</v>
      </c>
      <c r="V25" s="48">
        <f t="shared" si="10"/>
        <v>3329</v>
      </c>
      <c r="W25" s="49">
        <f t="shared" si="11"/>
        <v>0.4268985096</v>
      </c>
      <c r="X25" s="49">
        <f t="shared" si="12"/>
        <v>0.3999290277</v>
      </c>
      <c r="Y25" s="49">
        <f t="shared" si="13"/>
        <v>0.1731724627</v>
      </c>
      <c r="Z25" s="32" t="str">
        <f t="shared" si="14"/>
        <v>Jango</v>
      </c>
      <c r="AA25" s="50" t="s">
        <v>77</v>
      </c>
      <c r="AB25" s="55">
        <v>3625.0</v>
      </c>
      <c r="AC25" s="48">
        <f t="shared" si="17"/>
        <v>296</v>
      </c>
      <c r="AD25" s="51">
        <f t="shared" si="18"/>
        <v>0.9183448276</v>
      </c>
    </row>
    <row r="26">
      <c r="A26" s="23"/>
      <c r="B26" s="46" t="s">
        <v>2016</v>
      </c>
      <c r="C26" s="47"/>
      <c r="D26" s="38">
        <v>2040.0</v>
      </c>
      <c r="E26" s="38">
        <v>854.0</v>
      </c>
      <c r="F26" s="38">
        <v>1208.0</v>
      </c>
      <c r="G26" s="38">
        <v>110.0</v>
      </c>
      <c r="H26" s="38">
        <v>301.0</v>
      </c>
      <c r="I26" s="48">
        <f t="shared" si="3"/>
        <v>4102</v>
      </c>
      <c r="J26" s="48">
        <f t="shared" si="4"/>
        <v>4513</v>
      </c>
      <c r="K26" s="49">
        <f t="shared" si="5"/>
        <v>0.4973183813</v>
      </c>
      <c r="L26" s="49">
        <f t="shared" si="6"/>
        <v>0.2081911263</v>
      </c>
      <c r="M26" s="49">
        <f t="shared" si="7"/>
        <v>0.2944904924</v>
      </c>
      <c r="N26" s="32" t="str">
        <f t="shared" si="8"/>
        <v>Jânio</v>
      </c>
      <c r="O26" s="50" t="s">
        <v>77</v>
      </c>
      <c r="P26" s="48">
        <v>1683.0</v>
      </c>
      <c r="Q26" s="48">
        <v>1571.0</v>
      </c>
      <c r="R26" s="48">
        <v>507.0</v>
      </c>
      <c r="S26" s="48">
        <v>561.0</v>
      </c>
      <c r="T26" s="48">
        <v>191.0</v>
      </c>
      <c r="U26" s="48">
        <f t="shared" si="9"/>
        <v>3761</v>
      </c>
      <c r="V26" s="48">
        <f t="shared" si="10"/>
        <v>4513</v>
      </c>
      <c r="W26" s="49">
        <f t="shared" si="11"/>
        <v>0.4474873704</v>
      </c>
      <c r="X26" s="49">
        <f t="shared" si="12"/>
        <v>0.4177080564</v>
      </c>
      <c r="Y26" s="49">
        <f t="shared" si="13"/>
        <v>0.1348045733</v>
      </c>
      <c r="Z26" s="32" t="str">
        <f t="shared" si="14"/>
        <v>Jango</v>
      </c>
      <c r="AA26" s="50" t="s">
        <v>77</v>
      </c>
      <c r="AB26" s="55">
        <v>4740.0</v>
      </c>
      <c r="AC26" s="48">
        <f t="shared" si="17"/>
        <v>227</v>
      </c>
      <c r="AD26" s="51">
        <f t="shared" si="18"/>
        <v>0.9521097046</v>
      </c>
    </row>
    <row r="27">
      <c r="A27" s="23"/>
      <c r="B27" s="46" t="s">
        <v>2017</v>
      </c>
      <c r="C27" s="47"/>
      <c r="D27" s="38">
        <v>943.0</v>
      </c>
      <c r="E27" s="38">
        <v>226.0</v>
      </c>
      <c r="F27" s="38">
        <v>648.0</v>
      </c>
      <c r="G27" s="38">
        <v>35.0</v>
      </c>
      <c r="H27" s="38">
        <v>115.0</v>
      </c>
      <c r="I27" s="48">
        <f t="shared" si="3"/>
        <v>1817</v>
      </c>
      <c r="J27" s="48">
        <f t="shared" si="4"/>
        <v>1967</v>
      </c>
      <c r="K27" s="49">
        <f t="shared" si="5"/>
        <v>0.5189873418</v>
      </c>
      <c r="L27" s="49">
        <f t="shared" si="6"/>
        <v>0.1243808476</v>
      </c>
      <c r="M27" s="49">
        <f t="shared" si="7"/>
        <v>0.3566318107</v>
      </c>
      <c r="N27" s="32" t="str">
        <f t="shared" si="8"/>
        <v>Jânio</v>
      </c>
      <c r="O27" s="50" t="s">
        <v>77</v>
      </c>
      <c r="P27" s="48">
        <v>665.0</v>
      </c>
      <c r="Q27" s="48">
        <v>425.0</v>
      </c>
      <c r="R27" s="48">
        <v>625.0</v>
      </c>
      <c r="S27" s="48">
        <v>183.0</v>
      </c>
      <c r="T27" s="48">
        <v>69.0</v>
      </c>
      <c r="U27" s="48">
        <f t="shared" si="9"/>
        <v>1715</v>
      </c>
      <c r="V27" s="48">
        <f t="shared" si="10"/>
        <v>1967</v>
      </c>
      <c r="W27" s="49">
        <f t="shared" si="11"/>
        <v>0.387755102</v>
      </c>
      <c r="X27" s="49">
        <f t="shared" si="12"/>
        <v>0.2478134111</v>
      </c>
      <c r="Y27" s="49">
        <f t="shared" si="13"/>
        <v>0.3644314869</v>
      </c>
      <c r="Z27" s="32" t="str">
        <f t="shared" si="14"/>
        <v>Jango</v>
      </c>
      <c r="AA27" s="50" t="s">
        <v>77</v>
      </c>
      <c r="AB27" s="55">
        <v>2169.0</v>
      </c>
      <c r="AC27" s="48">
        <f t="shared" si="17"/>
        <v>202</v>
      </c>
      <c r="AD27" s="51">
        <f t="shared" si="18"/>
        <v>0.9068695251</v>
      </c>
    </row>
    <row r="28">
      <c r="A28" s="23"/>
      <c r="B28" s="46" t="s">
        <v>2018</v>
      </c>
      <c r="C28" s="47"/>
      <c r="D28" s="38">
        <v>1017.0</v>
      </c>
      <c r="E28" s="38">
        <v>133.0</v>
      </c>
      <c r="F28" s="38">
        <v>720.0</v>
      </c>
      <c r="G28" s="38">
        <v>52.0</v>
      </c>
      <c r="H28" s="38">
        <v>108.0</v>
      </c>
      <c r="I28" s="48">
        <f t="shared" si="3"/>
        <v>1870</v>
      </c>
      <c r="J28" s="48">
        <f t="shared" si="4"/>
        <v>2030</v>
      </c>
      <c r="K28" s="49">
        <f t="shared" si="5"/>
        <v>0.5438502674</v>
      </c>
      <c r="L28" s="49">
        <f t="shared" si="6"/>
        <v>0.07112299465</v>
      </c>
      <c r="M28" s="49">
        <f t="shared" si="7"/>
        <v>0.385026738</v>
      </c>
      <c r="N28" s="32" t="str">
        <f t="shared" si="8"/>
        <v>Jânio</v>
      </c>
      <c r="O28" s="50" t="s">
        <v>77</v>
      </c>
      <c r="P28" s="48">
        <v>549.0</v>
      </c>
      <c r="Q28" s="48">
        <v>611.0</v>
      </c>
      <c r="R28" s="48">
        <v>448.0</v>
      </c>
      <c r="S28" s="48">
        <v>365.0</v>
      </c>
      <c r="T28" s="48">
        <v>57.0</v>
      </c>
      <c r="U28" s="48">
        <f t="shared" si="9"/>
        <v>1608</v>
      </c>
      <c r="V28" s="48">
        <f t="shared" si="10"/>
        <v>2030</v>
      </c>
      <c r="W28" s="49">
        <f t="shared" si="11"/>
        <v>0.3414179104</v>
      </c>
      <c r="X28" s="49">
        <f t="shared" si="12"/>
        <v>0.3799751244</v>
      </c>
      <c r="Y28" s="49">
        <f t="shared" si="13"/>
        <v>0.2786069652</v>
      </c>
      <c r="Z28" s="32" t="str">
        <f t="shared" si="14"/>
        <v>Milton</v>
      </c>
      <c r="AA28" s="50" t="s">
        <v>77</v>
      </c>
      <c r="AB28" s="55">
        <v>2188.0</v>
      </c>
      <c r="AC28" s="48">
        <f t="shared" si="17"/>
        <v>158</v>
      </c>
      <c r="AD28" s="51">
        <f t="shared" si="18"/>
        <v>0.9277879342</v>
      </c>
    </row>
    <row r="29">
      <c r="A29" s="23"/>
      <c r="B29" s="46" t="s">
        <v>2019</v>
      </c>
      <c r="C29" s="47"/>
      <c r="D29" s="38">
        <v>390.0</v>
      </c>
      <c r="E29" s="38">
        <v>33.0</v>
      </c>
      <c r="F29" s="38">
        <v>243.0</v>
      </c>
      <c r="G29" s="38">
        <v>11.0</v>
      </c>
      <c r="H29" s="38">
        <v>44.0</v>
      </c>
      <c r="I29" s="48">
        <f t="shared" si="3"/>
        <v>666</v>
      </c>
      <c r="J29" s="48">
        <f t="shared" si="4"/>
        <v>721</v>
      </c>
      <c r="K29" s="49">
        <f t="shared" si="5"/>
        <v>0.5855855856</v>
      </c>
      <c r="L29" s="49">
        <f t="shared" si="6"/>
        <v>0.04954954955</v>
      </c>
      <c r="M29" s="49">
        <f t="shared" si="7"/>
        <v>0.3648648649</v>
      </c>
      <c r="N29" s="32" t="str">
        <f t="shared" si="8"/>
        <v>Jânio</v>
      </c>
      <c r="O29" s="50" t="s">
        <v>77</v>
      </c>
      <c r="P29" s="48">
        <v>186.0</v>
      </c>
      <c r="Q29" s="48">
        <v>370.0</v>
      </c>
      <c r="R29" s="48">
        <v>68.0</v>
      </c>
      <c r="S29" s="48">
        <v>66.0</v>
      </c>
      <c r="T29" s="48">
        <v>31.0</v>
      </c>
      <c r="U29" s="48">
        <f t="shared" si="9"/>
        <v>624</v>
      </c>
      <c r="V29" s="48">
        <f t="shared" si="10"/>
        <v>721</v>
      </c>
      <c r="W29" s="49">
        <f t="shared" si="11"/>
        <v>0.2980769231</v>
      </c>
      <c r="X29" s="49">
        <f t="shared" si="12"/>
        <v>0.5929487179</v>
      </c>
      <c r="Y29" s="49">
        <f t="shared" si="13"/>
        <v>0.108974359</v>
      </c>
      <c r="Z29" s="32" t="str">
        <f t="shared" si="14"/>
        <v>Milton</v>
      </c>
      <c r="AA29" s="50" t="s">
        <v>77</v>
      </c>
      <c r="AB29" s="55">
        <v>790.0</v>
      </c>
      <c r="AC29" s="48">
        <f t="shared" si="17"/>
        <v>69</v>
      </c>
      <c r="AD29" s="51">
        <f t="shared" si="18"/>
        <v>0.9126582278</v>
      </c>
    </row>
    <row r="30">
      <c r="A30" s="23"/>
      <c r="B30" s="46" t="s">
        <v>2020</v>
      </c>
      <c r="C30" s="47"/>
      <c r="D30" s="38">
        <v>571.0</v>
      </c>
      <c r="E30" s="38">
        <v>74.0</v>
      </c>
      <c r="F30" s="38">
        <v>292.0</v>
      </c>
      <c r="G30" s="38">
        <v>26.0</v>
      </c>
      <c r="H30" s="38">
        <v>44.0</v>
      </c>
      <c r="I30" s="48">
        <f t="shared" si="3"/>
        <v>937</v>
      </c>
      <c r="J30" s="48">
        <f t="shared" si="4"/>
        <v>1007</v>
      </c>
      <c r="K30" s="49">
        <f t="shared" si="5"/>
        <v>0.6093916756</v>
      </c>
      <c r="L30" s="49">
        <f t="shared" si="6"/>
        <v>0.07897545358</v>
      </c>
      <c r="M30" s="49">
        <f t="shared" si="7"/>
        <v>0.3116328709</v>
      </c>
      <c r="N30" s="32" t="str">
        <f t="shared" si="8"/>
        <v>Jânio</v>
      </c>
      <c r="O30" s="50" t="s">
        <v>77</v>
      </c>
      <c r="P30" s="48">
        <v>352.0</v>
      </c>
      <c r="Q30" s="48">
        <v>330.0</v>
      </c>
      <c r="R30" s="48">
        <v>205.0</v>
      </c>
      <c r="S30" s="48">
        <v>90.0</v>
      </c>
      <c r="T30" s="48">
        <v>30.0</v>
      </c>
      <c r="U30" s="48">
        <f t="shared" si="9"/>
        <v>887</v>
      </c>
      <c r="V30" s="48">
        <f t="shared" si="10"/>
        <v>1007</v>
      </c>
      <c r="W30" s="49">
        <f t="shared" si="11"/>
        <v>0.396843292</v>
      </c>
      <c r="X30" s="49">
        <f t="shared" si="12"/>
        <v>0.3720405862</v>
      </c>
      <c r="Y30" s="49">
        <f t="shared" si="13"/>
        <v>0.2311161218</v>
      </c>
      <c r="Z30" s="32" t="str">
        <f t="shared" si="14"/>
        <v>Jango</v>
      </c>
      <c r="AA30" s="50" t="s">
        <v>77</v>
      </c>
      <c r="AB30" s="55">
        <v>1130.0</v>
      </c>
      <c r="AC30" s="48">
        <f t="shared" si="17"/>
        <v>123</v>
      </c>
      <c r="AD30" s="51">
        <f t="shared" si="18"/>
        <v>0.8911504425</v>
      </c>
    </row>
    <row r="31">
      <c r="A31" s="24"/>
      <c r="B31" s="46" t="s">
        <v>2021</v>
      </c>
      <c r="C31" s="47"/>
      <c r="D31" s="38">
        <v>12697.0</v>
      </c>
      <c r="E31" s="38">
        <v>3664.0</v>
      </c>
      <c r="F31" s="38">
        <v>7840.0</v>
      </c>
      <c r="G31" s="38">
        <v>485.0</v>
      </c>
      <c r="H31" s="38">
        <v>890.0</v>
      </c>
      <c r="I31" s="48">
        <f t="shared" si="3"/>
        <v>24201</v>
      </c>
      <c r="J31" s="48">
        <f t="shared" si="4"/>
        <v>25576</v>
      </c>
      <c r="K31" s="49">
        <f t="shared" si="5"/>
        <v>0.5246477418</v>
      </c>
      <c r="L31" s="49">
        <f t="shared" si="6"/>
        <v>0.1513987025</v>
      </c>
      <c r="M31" s="49">
        <f t="shared" si="7"/>
        <v>0.3239535556</v>
      </c>
      <c r="N31" s="32" t="str">
        <f t="shared" si="8"/>
        <v>Jânio</v>
      </c>
      <c r="O31" s="50" t="s">
        <v>77</v>
      </c>
      <c r="P31" s="48">
        <v>9444.0</v>
      </c>
      <c r="Q31" s="48">
        <v>9825.0</v>
      </c>
      <c r="R31" s="48">
        <v>3010.0</v>
      </c>
      <c r="S31" s="48">
        <v>2730.0</v>
      </c>
      <c r="T31" s="48">
        <v>567.0</v>
      </c>
      <c r="U31" s="48">
        <f t="shared" si="9"/>
        <v>22279</v>
      </c>
      <c r="V31" s="48">
        <f t="shared" si="10"/>
        <v>25576</v>
      </c>
      <c r="W31" s="49">
        <f t="shared" si="11"/>
        <v>0.4238969433</v>
      </c>
      <c r="X31" s="49">
        <f t="shared" si="12"/>
        <v>0.4409982495</v>
      </c>
      <c r="Y31" s="49">
        <f t="shared" si="13"/>
        <v>0.1351048072</v>
      </c>
      <c r="Z31" s="32" t="str">
        <f t="shared" si="14"/>
        <v>Milton</v>
      </c>
      <c r="AA31" s="50" t="s">
        <v>77</v>
      </c>
      <c r="AB31" s="55">
        <v>28749.0</v>
      </c>
      <c r="AC31" s="48">
        <f t="shared" si="17"/>
        <v>3173</v>
      </c>
      <c r="AD31" s="51">
        <f t="shared" si="18"/>
        <v>0.8896309437</v>
      </c>
    </row>
    <row r="32">
      <c r="A32" s="110" t="s">
        <v>94</v>
      </c>
      <c r="B32" s="46" t="s">
        <v>2022</v>
      </c>
      <c r="C32" s="47"/>
      <c r="D32" s="38">
        <v>1760.0</v>
      </c>
      <c r="E32" s="38">
        <v>441.0</v>
      </c>
      <c r="F32" s="38">
        <v>1080.0</v>
      </c>
      <c r="G32" s="38">
        <v>75.0</v>
      </c>
      <c r="H32" s="38">
        <v>88.0</v>
      </c>
      <c r="I32" s="48">
        <f t="shared" si="3"/>
        <v>3281</v>
      </c>
      <c r="J32" s="48">
        <f t="shared" si="4"/>
        <v>3444</v>
      </c>
      <c r="K32" s="49">
        <f t="shared" si="5"/>
        <v>0.5364218226</v>
      </c>
      <c r="L32" s="49">
        <f t="shared" si="6"/>
        <v>0.1344102408</v>
      </c>
      <c r="M32" s="49">
        <f t="shared" si="7"/>
        <v>0.3291679366</v>
      </c>
      <c r="N32" s="32" t="str">
        <f t="shared" si="8"/>
        <v>Jânio</v>
      </c>
      <c r="O32" s="50" t="s">
        <v>77</v>
      </c>
      <c r="P32" s="48">
        <v>1222.0</v>
      </c>
      <c r="Q32" s="48">
        <v>1022.0</v>
      </c>
      <c r="R32" s="48">
        <v>855.0</v>
      </c>
      <c r="S32" s="48">
        <v>287.0</v>
      </c>
      <c r="T32" s="48">
        <v>58.0</v>
      </c>
      <c r="U32" s="48">
        <f t="shared" si="9"/>
        <v>3099</v>
      </c>
      <c r="V32" s="48">
        <f t="shared" si="10"/>
        <v>3444</v>
      </c>
      <c r="W32" s="49">
        <f t="shared" si="11"/>
        <v>0.3943207486</v>
      </c>
      <c r="X32" s="49">
        <f t="shared" si="12"/>
        <v>0.3297838012</v>
      </c>
      <c r="Y32" s="49">
        <f t="shared" si="13"/>
        <v>0.2758954501</v>
      </c>
      <c r="Z32" s="32" t="str">
        <f t="shared" si="14"/>
        <v>Jango</v>
      </c>
      <c r="AA32" s="50" t="s">
        <v>77</v>
      </c>
      <c r="AB32" s="38">
        <v>3929.0</v>
      </c>
      <c r="AC32" s="48">
        <f t="shared" si="17"/>
        <v>485</v>
      </c>
      <c r="AD32" s="51">
        <f t="shared" si="18"/>
        <v>0.8765589208</v>
      </c>
    </row>
    <row r="33">
      <c r="A33" s="61" t="s">
        <v>97</v>
      </c>
      <c r="B33" s="46" t="s">
        <v>2023</v>
      </c>
      <c r="C33" s="47"/>
      <c r="D33" s="38">
        <v>3563.0</v>
      </c>
      <c r="E33" s="38">
        <v>1146.0</v>
      </c>
      <c r="F33" s="38">
        <v>1707.0</v>
      </c>
      <c r="G33" s="38">
        <v>197.0</v>
      </c>
      <c r="H33" s="38">
        <v>493.0</v>
      </c>
      <c r="I33" s="48">
        <f t="shared" si="3"/>
        <v>6416</v>
      </c>
      <c r="J33" s="48">
        <f t="shared" si="4"/>
        <v>7106</v>
      </c>
      <c r="K33" s="49">
        <f t="shared" si="5"/>
        <v>0.5553304239</v>
      </c>
      <c r="L33" s="49">
        <f t="shared" si="6"/>
        <v>0.1786159601</v>
      </c>
      <c r="M33" s="49">
        <f t="shared" si="7"/>
        <v>0.266053616</v>
      </c>
      <c r="N33" s="32" t="str">
        <f t="shared" si="8"/>
        <v>Jânio</v>
      </c>
      <c r="O33" s="50" t="s">
        <v>77</v>
      </c>
      <c r="P33" s="48">
        <v>2351.0</v>
      </c>
      <c r="Q33" s="48">
        <v>3286.0</v>
      </c>
      <c r="R33" s="48">
        <v>481.0</v>
      </c>
      <c r="S33" s="48">
        <v>525.0</v>
      </c>
      <c r="T33" s="48">
        <v>463.0</v>
      </c>
      <c r="U33" s="48">
        <f t="shared" si="9"/>
        <v>6118</v>
      </c>
      <c r="V33" s="48">
        <f t="shared" si="10"/>
        <v>7106</v>
      </c>
      <c r="W33" s="49">
        <f t="shared" si="11"/>
        <v>0.3842759072</v>
      </c>
      <c r="X33" s="49">
        <f t="shared" si="12"/>
        <v>0.5371036286</v>
      </c>
      <c r="Y33" s="49">
        <f t="shared" si="13"/>
        <v>0.0786204642</v>
      </c>
      <c r="Z33" s="32" t="str">
        <f t="shared" si="14"/>
        <v>Milton</v>
      </c>
      <c r="AA33" s="50" t="s">
        <v>77</v>
      </c>
      <c r="AB33" s="38">
        <v>7598.0</v>
      </c>
      <c r="AC33" s="48">
        <f t="shared" si="17"/>
        <v>492</v>
      </c>
      <c r="AD33" s="51">
        <f t="shared" si="18"/>
        <v>0.9352461174</v>
      </c>
    </row>
    <row r="34">
      <c r="A34" s="23"/>
      <c r="B34" s="46" t="s">
        <v>2024</v>
      </c>
      <c r="C34" s="47"/>
      <c r="D34" s="38">
        <v>610.0</v>
      </c>
      <c r="E34" s="38">
        <v>65.0</v>
      </c>
      <c r="F34" s="38">
        <v>168.0</v>
      </c>
      <c r="G34" s="38">
        <v>18.0</v>
      </c>
      <c r="H34" s="38">
        <v>59.0</v>
      </c>
      <c r="I34" s="48">
        <f t="shared" si="3"/>
        <v>843</v>
      </c>
      <c r="J34" s="48">
        <f t="shared" si="4"/>
        <v>920</v>
      </c>
      <c r="K34" s="49">
        <f t="shared" si="5"/>
        <v>0.7236061684</v>
      </c>
      <c r="L34" s="49">
        <f t="shared" si="6"/>
        <v>0.07710557533</v>
      </c>
      <c r="M34" s="49">
        <f t="shared" si="7"/>
        <v>0.1992882562</v>
      </c>
      <c r="N34" s="32" t="str">
        <f t="shared" si="8"/>
        <v>Jânio</v>
      </c>
      <c r="O34" s="50" t="s">
        <v>77</v>
      </c>
      <c r="P34" s="48">
        <v>97.0</v>
      </c>
      <c r="Q34" s="48">
        <v>499.0</v>
      </c>
      <c r="R34" s="48">
        <v>225.0</v>
      </c>
      <c r="S34" s="48">
        <v>44.0</v>
      </c>
      <c r="T34" s="48">
        <v>55.0</v>
      </c>
      <c r="U34" s="48">
        <f t="shared" si="9"/>
        <v>821</v>
      </c>
      <c r="V34" s="48">
        <f t="shared" si="10"/>
        <v>920</v>
      </c>
      <c r="W34" s="49">
        <f t="shared" si="11"/>
        <v>0.1181485993</v>
      </c>
      <c r="X34" s="49">
        <f t="shared" si="12"/>
        <v>0.6077953715</v>
      </c>
      <c r="Y34" s="49">
        <f t="shared" si="13"/>
        <v>0.2740560292</v>
      </c>
      <c r="Z34" s="32" t="str">
        <f t="shared" si="14"/>
        <v>Milton</v>
      </c>
      <c r="AA34" s="50" t="s">
        <v>77</v>
      </c>
      <c r="AB34" s="38">
        <v>1001.0</v>
      </c>
      <c r="AC34" s="48">
        <f t="shared" si="17"/>
        <v>81</v>
      </c>
      <c r="AD34" s="51">
        <f t="shared" si="18"/>
        <v>0.9190809191</v>
      </c>
    </row>
    <row r="35">
      <c r="A35" s="24"/>
      <c r="B35" s="46" t="s">
        <v>233</v>
      </c>
      <c r="C35" s="47"/>
      <c r="D35" s="38">
        <v>1903.0</v>
      </c>
      <c r="E35" s="38">
        <v>287.0</v>
      </c>
      <c r="F35" s="38">
        <v>536.0</v>
      </c>
      <c r="G35" s="38">
        <v>49.0</v>
      </c>
      <c r="H35" s="38">
        <v>177.0</v>
      </c>
      <c r="I35" s="48">
        <f t="shared" si="3"/>
        <v>2726</v>
      </c>
      <c r="J35" s="48">
        <f t="shared" si="4"/>
        <v>2952</v>
      </c>
      <c r="K35" s="49">
        <f t="shared" si="5"/>
        <v>0.6980924431</v>
      </c>
      <c r="L35" s="49">
        <f t="shared" si="6"/>
        <v>0.1052824652</v>
      </c>
      <c r="M35" s="49">
        <f t="shared" si="7"/>
        <v>0.1966250917</v>
      </c>
      <c r="N35" s="32" t="str">
        <f t="shared" si="8"/>
        <v>Jânio</v>
      </c>
      <c r="O35" s="50" t="s">
        <v>77</v>
      </c>
      <c r="P35" s="48">
        <v>732.0</v>
      </c>
      <c r="Q35" s="48">
        <v>1475.0</v>
      </c>
      <c r="R35" s="48">
        <v>346.0</v>
      </c>
      <c r="S35" s="48">
        <v>244.0</v>
      </c>
      <c r="T35" s="48">
        <v>155.0</v>
      </c>
      <c r="U35" s="48">
        <f t="shared" si="9"/>
        <v>2553</v>
      </c>
      <c r="V35" s="48">
        <f t="shared" si="10"/>
        <v>2952</v>
      </c>
      <c r="W35" s="49">
        <f t="shared" si="11"/>
        <v>0.2867215041</v>
      </c>
      <c r="X35" s="49">
        <f t="shared" si="12"/>
        <v>0.5777516647</v>
      </c>
      <c r="Y35" s="49">
        <f t="shared" si="13"/>
        <v>0.1355268312</v>
      </c>
      <c r="Z35" s="32" t="str">
        <f t="shared" si="14"/>
        <v>Milton</v>
      </c>
      <c r="AA35" s="50" t="s">
        <v>77</v>
      </c>
      <c r="AB35" s="38">
        <v>3222.0</v>
      </c>
      <c r="AC35" s="48">
        <f t="shared" si="17"/>
        <v>270</v>
      </c>
      <c r="AD35" s="51">
        <f t="shared" si="18"/>
        <v>0.9162011173</v>
      </c>
    </row>
    <row r="36">
      <c r="A36" s="61" t="s">
        <v>99</v>
      </c>
      <c r="B36" s="46" t="s">
        <v>2025</v>
      </c>
      <c r="C36" s="47"/>
      <c r="D36" s="38">
        <v>3102.0</v>
      </c>
      <c r="E36" s="38">
        <v>1804.0</v>
      </c>
      <c r="F36" s="38">
        <v>891.0</v>
      </c>
      <c r="G36" s="38">
        <v>168.0</v>
      </c>
      <c r="H36" s="38">
        <v>158.0</v>
      </c>
      <c r="I36" s="48">
        <f t="shared" si="3"/>
        <v>5797</v>
      </c>
      <c r="J36" s="48">
        <f t="shared" si="4"/>
        <v>6123</v>
      </c>
      <c r="K36" s="49">
        <f t="shared" si="5"/>
        <v>0.5351043643</v>
      </c>
      <c r="L36" s="49">
        <f t="shared" si="6"/>
        <v>0.3111954459</v>
      </c>
      <c r="M36" s="49">
        <f t="shared" si="7"/>
        <v>0.1537001898</v>
      </c>
      <c r="N36" s="32" t="str">
        <f t="shared" si="8"/>
        <v>Jânio</v>
      </c>
      <c r="O36" s="50" t="s">
        <v>77</v>
      </c>
      <c r="P36" s="48">
        <v>2353.0</v>
      </c>
      <c r="Q36" s="48">
        <v>2727.0</v>
      </c>
      <c r="R36" s="48">
        <v>420.0</v>
      </c>
      <c r="S36" s="48">
        <v>503.0</v>
      </c>
      <c r="T36" s="48">
        <v>120.0</v>
      </c>
      <c r="U36" s="48">
        <f t="shared" si="9"/>
        <v>5500</v>
      </c>
      <c r="V36" s="48">
        <f t="shared" si="10"/>
        <v>6123</v>
      </c>
      <c r="W36" s="49">
        <f t="shared" si="11"/>
        <v>0.4278181818</v>
      </c>
      <c r="X36" s="49">
        <f t="shared" si="12"/>
        <v>0.4958181818</v>
      </c>
      <c r="Y36" s="49">
        <f t="shared" si="13"/>
        <v>0.07636363636</v>
      </c>
      <c r="Z36" s="32" t="str">
        <f t="shared" si="14"/>
        <v>Milton</v>
      </c>
      <c r="AA36" s="50" t="s">
        <v>77</v>
      </c>
      <c r="AB36" s="38">
        <v>7546.0</v>
      </c>
      <c r="AC36" s="48">
        <f t="shared" si="17"/>
        <v>1423</v>
      </c>
      <c r="AD36" s="51">
        <f t="shared" si="18"/>
        <v>0.8114232706</v>
      </c>
    </row>
    <row r="37">
      <c r="A37" s="23"/>
      <c r="B37" s="46" t="s">
        <v>2026</v>
      </c>
      <c r="C37" s="47"/>
      <c r="D37" s="38">
        <v>505.0</v>
      </c>
      <c r="E37" s="38">
        <v>325.0</v>
      </c>
      <c r="F37" s="38">
        <v>376.0</v>
      </c>
      <c r="G37" s="38">
        <v>45.0</v>
      </c>
      <c r="H37" s="38">
        <v>77.0</v>
      </c>
      <c r="I37" s="48">
        <f t="shared" si="3"/>
        <v>1206</v>
      </c>
      <c r="J37" s="48">
        <f t="shared" si="4"/>
        <v>1328</v>
      </c>
      <c r="K37" s="49">
        <f t="shared" si="5"/>
        <v>0.4187396352</v>
      </c>
      <c r="L37" s="49">
        <f t="shared" si="6"/>
        <v>0.2694859038</v>
      </c>
      <c r="M37" s="49">
        <f t="shared" si="7"/>
        <v>0.311774461</v>
      </c>
      <c r="N37" s="32" t="str">
        <f t="shared" si="8"/>
        <v>Jânio</v>
      </c>
      <c r="O37" s="50" t="s">
        <v>77</v>
      </c>
      <c r="P37" s="48">
        <v>580.0</v>
      </c>
      <c r="Q37" s="48">
        <v>367.0</v>
      </c>
      <c r="R37" s="48">
        <v>112.0</v>
      </c>
      <c r="S37" s="48">
        <v>226.0</v>
      </c>
      <c r="T37" s="48">
        <v>43.0</v>
      </c>
      <c r="U37" s="48">
        <f t="shared" si="9"/>
        <v>1059</v>
      </c>
      <c r="V37" s="48">
        <f t="shared" si="10"/>
        <v>1328</v>
      </c>
      <c r="W37" s="49">
        <f t="shared" si="11"/>
        <v>0.5476864967</v>
      </c>
      <c r="X37" s="49">
        <f t="shared" si="12"/>
        <v>0.3465533522</v>
      </c>
      <c r="Y37" s="49">
        <f t="shared" si="13"/>
        <v>0.1057601511</v>
      </c>
      <c r="Z37" s="32" t="str">
        <f t="shared" si="14"/>
        <v>Jango</v>
      </c>
      <c r="AA37" s="50" t="s">
        <v>77</v>
      </c>
      <c r="AB37" s="38">
        <v>1751.0</v>
      </c>
      <c r="AC37" s="48">
        <f t="shared" si="17"/>
        <v>423</v>
      </c>
      <c r="AD37" s="51">
        <f t="shared" si="18"/>
        <v>0.7584237579</v>
      </c>
    </row>
    <row r="38">
      <c r="A38" s="23"/>
      <c r="B38" s="46" t="s">
        <v>2027</v>
      </c>
      <c r="C38" s="47"/>
      <c r="D38" s="38">
        <v>927.0</v>
      </c>
      <c r="E38" s="38">
        <v>243.0</v>
      </c>
      <c r="F38" s="38">
        <v>460.0</v>
      </c>
      <c r="G38" s="38">
        <v>40.0</v>
      </c>
      <c r="H38" s="38">
        <v>49.0</v>
      </c>
      <c r="I38" s="48">
        <f t="shared" si="3"/>
        <v>1630</v>
      </c>
      <c r="J38" s="48">
        <f t="shared" si="4"/>
        <v>1719</v>
      </c>
      <c r="K38" s="49">
        <f t="shared" si="5"/>
        <v>0.5687116564</v>
      </c>
      <c r="L38" s="49">
        <f t="shared" si="6"/>
        <v>0.1490797546</v>
      </c>
      <c r="M38" s="49">
        <f t="shared" si="7"/>
        <v>0.282208589</v>
      </c>
      <c r="N38" s="32" t="str">
        <f t="shared" si="8"/>
        <v>Jânio</v>
      </c>
      <c r="O38" s="50" t="s">
        <v>77</v>
      </c>
      <c r="P38" s="48">
        <v>512.0</v>
      </c>
      <c r="Q38" s="48">
        <v>570.0</v>
      </c>
      <c r="R38" s="48">
        <v>336.0</v>
      </c>
      <c r="S38" s="48">
        <v>275.0</v>
      </c>
      <c r="T38" s="48">
        <v>26.0</v>
      </c>
      <c r="U38" s="48">
        <f t="shared" si="9"/>
        <v>1418</v>
      </c>
      <c r="V38" s="48">
        <f t="shared" si="10"/>
        <v>1719</v>
      </c>
      <c r="W38" s="49">
        <f t="shared" si="11"/>
        <v>0.3610719323</v>
      </c>
      <c r="X38" s="49">
        <f t="shared" si="12"/>
        <v>0.4019746121</v>
      </c>
      <c r="Y38" s="49">
        <f t="shared" si="13"/>
        <v>0.2369534556</v>
      </c>
      <c r="Z38" s="32" t="str">
        <f t="shared" si="14"/>
        <v>Milton</v>
      </c>
      <c r="AA38" s="50" t="s">
        <v>77</v>
      </c>
      <c r="AB38" s="38">
        <v>2223.0</v>
      </c>
      <c r="AC38" s="48">
        <f t="shared" si="17"/>
        <v>504</v>
      </c>
      <c r="AD38" s="51">
        <f t="shared" si="18"/>
        <v>0.7732793522</v>
      </c>
    </row>
    <row r="39">
      <c r="A39" s="24"/>
      <c r="B39" s="46" t="s">
        <v>2028</v>
      </c>
      <c r="C39" s="47"/>
      <c r="D39" s="38">
        <v>577.0</v>
      </c>
      <c r="E39" s="38">
        <v>174.0</v>
      </c>
      <c r="F39" s="38">
        <v>423.0</v>
      </c>
      <c r="G39" s="38">
        <v>33.0</v>
      </c>
      <c r="H39" s="38">
        <v>57.0</v>
      </c>
      <c r="I39" s="48">
        <f t="shared" si="3"/>
        <v>1174</v>
      </c>
      <c r="J39" s="48">
        <f t="shared" si="4"/>
        <v>1264</v>
      </c>
      <c r="K39" s="49">
        <f t="shared" si="5"/>
        <v>0.4914821124</v>
      </c>
      <c r="L39" s="49">
        <f t="shared" si="6"/>
        <v>0.1482112436</v>
      </c>
      <c r="M39" s="49">
        <f t="shared" si="7"/>
        <v>0.360306644</v>
      </c>
      <c r="N39" s="32" t="str">
        <f t="shared" si="8"/>
        <v>Jânio</v>
      </c>
      <c r="O39" s="50" t="s">
        <v>77</v>
      </c>
      <c r="P39" s="48">
        <v>372.0</v>
      </c>
      <c r="Q39" s="48">
        <v>536.0</v>
      </c>
      <c r="R39" s="48">
        <v>153.0</v>
      </c>
      <c r="S39" s="48">
        <v>174.0</v>
      </c>
      <c r="T39" s="48">
        <v>29.0</v>
      </c>
      <c r="U39" s="48">
        <f t="shared" si="9"/>
        <v>1061</v>
      </c>
      <c r="V39" s="48">
        <f t="shared" si="10"/>
        <v>1264</v>
      </c>
      <c r="W39" s="49">
        <f t="shared" si="11"/>
        <v>0.3506126296</v>
      </c>
      <c r="X39" s="49">
        <f t="shared" si="12"/>
        <v>0.5051837889</v>
      </c>
      <c r="Y39" s="49">
        <f t="shared" si="13"/>
        <v>0.1442035815</v>
      </c>
      <c r="Z39" s="32" t="str">
        <f t="shared" si="14"/>
        <v>Milton</v>
      </c>
      <c r="AA39" s="50" t="s">
        <v>77</v>
      </c>
      <c r="AB39" s="38">
        <v>1466.0</v>
      </c>
      <c r="AC39" s="48">
        <f t="shared" si="17"/>
        <v>202</v>
      </c>
      <c r="AD39" s="51">
        <f t="shared" si="18"/>
        <v>0.8622100955</v>
      </c>
    </row>
    <row r="40">
      <c r="A40" s="61" t="s">
        <v>104</v>
      </c>
      <c r="B40" s="46" t="s">
        <v>2029</v>
      </c>
      <c r="C40" s="47"/>
      <c r="D40" s="38">
        <v>1365.0</v>
      </c>
      <c r="E40" s="38">
        <v>228.0</v>
      </c>
      <c r="F40" s="38">
        <v>900.0</v>
      </c>
      <c r="G40" s="38">
        <v>46.0</v>
      </c>
      <c r="H40" s="38">
        <v>135.0</v>
      </c>
      <c r="I40" s="48">
        <f t="shared" si="3"/>
        <v>2493</v>
      </c>
      <c r="J40" s="48">
        <f t="shared" si="4"/>
        <v>2674</v>
      </c>
      <c r="K40" s="49">
        <f t="shared" si="5"/>
        <v>0.5475330927</v>
      </c>
      <c r="L40" s="49">
        <f t="shared" si="6"/>
        <v>0.09145607702</v>
      </c>
      <c r="M40" s="49">
        <f t="shared" si="7"/>
        <v>0.3610108303</v>
      </c>
      <c r="N40" s="32" t="str">
        <f t="shared" si="8"/>
        <v>Jânio</v>
      </c>
      <c r="O40" s="50" t="s">
        <v>77</v>
      </c>
      <c r="P40" s="48">
        <v>1049.0</v>
      </c>
      <c r="Q40" s="48">
        <v>864.0</v>
      </c>
      <c r="R40" s="48">
        <v>236.0</v>
      </c>
      <c r="S40" s="48">
        <v>491.0</v>
      </c>
      <c r="T40" s="48">
        <v>34.0</v>
      </c>
      <c r="U40" s="48">
        <f t="shared" si="9"/>
        <v>2149</v>
      </c>
      <c r="V40" s="48">
        <f t="shared" si="10"/>
        <v>2674</v>
      </c>
      <c r="W40" s="49">
        <f t="shared" si="11"/>
        <v>0.4881340158</v>
      </c>
      <c r="X40" s="49">
        <f t="shared" si="12"/>
        <v>0.4020474639</v>
      </c>
      <c r="Y40" s="49">
        <f t="shared" si="13"/>
        <v>0.1098185202</v>
      </c>
      <c r="Z40" s="32" t="str">
        <f t="shared" si="14"/>
        <v>Jango</v>
      </c>
      <c r="AA40" s="50" t="s">
        <v>77</v>
      </c>
      <c r="AB40" s="38">
        <v>3094.0</v>
      </c>
      <c r="AC40" s="48">
        <f t="shared" si="17"/>
        <v>420</v>
      </c>
      <c r="AD40" s="51">
        <f t="shared" si="18"/>
        <v>0.8642533937</v>
      </c>
    </row>
    <row r="41">
      <c r="A41" s="23"/>
      <c r="B41" s="46" t="s">
        <v>2030</v>
      </c>
      <c r="C41" s="47"/>
      <c r="D41" s="38">
        <v>288.0</v>
      </c>
      <c r="E41" s="38">
        <v>30.0</v>
      </c>
      <c r="F41" s="38">
        <v>267.0</v>
      </c>
      <c r="G41" s="38">
        <v>14.0</v>
      </c>
      <c r="H41" s="38">
        <v>26.0</v>
      </c>
      <c r="I41" s="48">
        <f t="shared" si="3"/>
        <v>585</v>
      </c>
      <c r="J41" s="48">
        <f t="shared" si="4"/>
        <v>625</v>
      </c>
      <c r="K41" s="49">
        <f t="shared" si="5"/>
        <v>0.4923076923</v>
      </c>
      <c r="L41" s="49">
        <f t="shared" si="6"/>
        <v>0.05128205128</v>
      </c>
      <c r="M41" s="49">
        <f t="shared" si="7"/>
        <v>0.4564102564</v>
      </c>
      <c r="N41" s="32" t="str">
        <f t="shared" si="8"/>
        <v>Jânio</v>
      </c>
      <c r="O41" s="50" t="s">
        <v>77</v>
      </c>
      <c r="P41" s="48">
        <v>167.0</v>
      </c>
      <c r="Q41" s="48">
        <v>226.0</v>
      </c>
      <c r="R41" s="48">
        <v>55.0</v>
      </c>
      <c r="S41" s="48">
        <v>173.0</v>
      </c>
      <c r="T41" s="48">
        <v>4.0</v>
      </c>
      <c r="U41" s="48">
        <f t="shared" si="9"/>
        <v>448</v>
      </c>
      <c r="V41" s="48">
        <f t="shared" si="10"/>
        <v>625</v>
      </c>
      <c r="W41" s="49">
        <f t="shared" si="11"/>
        <v>0.3727678571</v>
      </c>
      <c r="X41" s="49">
        <f t="shared" si="12"/>
        <v>0.5044642857</v>
      </c>
      <c r="Y41" s="49">
        <f t="shared" si="13"/>
        <v>0.1227678571</v>
      </c>
      <c r="Z41" s="32" t="str">
        <f t="shared" si="14"/>
        <v>Milton</v>
      </c>
      <c r="AA41" s="50" t="s">
        <v>77</v>
      </c>
      <c r="AB41" s="38">
        <v>753.0</v>
      </c>
      <c r="AC41" s="48">
        <f t="shared" si="17"/>
        <v>128</v>
      </c>
      <c r="AD41" s="51">
        <f t="shared" si="18"/>
        <v>0.8300132802</v>
      </c>
    </row>
    <row r="42">
      <c r="A42" s="24"/>
      <c r="B42" s="46" t="s">
        <v>2031</v>
      </c>
      <c r="C42" s="47"/>
      <c r="D42" s="38">
        <v>374.0</v>
      </c>
      <c r="E42" s="38">
        <v>23.0</v>
      </c>
      <c r="F42" s="38">
        <v>352.0</v>
      </c>
      <c r="G42" s="38">
        <v>21.0</v>
      </c>
      <c r="H42" s="38">
        <v>35.0</v>
      </c>
      <c r="I42" s="48">
        <f t="shared" si="3"/>
        <v>749</v>
      </c>
      <c r="J42" s="48">
        <f t="shared" si="4"/>
        <v>805</v>
      </c>
      <c r="K42" s="49">
        <f t="shared" si="5"/>
        <v>0.4993324433</v>
      </c>
      <c r="L42" s="49">
        <f t="shared" si="6"/>
        <v>0.03070761015</v>
      </c>
      <c r="M42" s="49">
        <f t="shared" si="7"/>
        <v>0.4699599466</v>
      </c>
      <c r="N42" s="32" t="str">
        <f t="shared" si="8"/>
        <v>Jânio</v>
      </c>
      <c r="O42" s="50" t="s">
        <v>77</v>
      </c>
      <c r="P42" s="48">
        <v>338.0</v>
      </c>
      <c r="Q42" s="48">
        <v>305.0</v>
      </c>
      <c r="R42" s="48">
        <v>56.0</v>
      </c>
      <c r="S42" s="48">
        <v>99.0</v>
      </c>
      <c r="T42" s="48">
        <v>7.0</v>
      </c>
      <c r="U42" s="48">
        <f t="shared" si="9"/>
        <v>699</v>
      </c>
      <c r="V42" s="48">
        <f t="shared" si="10"/>
        <v>805</v>
      </c>
      <c r="W42" s="49">
        <f t="shared" si="11"/>
        <v>0.4835479256</v>
      </c>
      <c r="X42" s="49">
        <f t="shared" si="12"/>
        <v>0.4363376252</v>
      </c>
      <c r="Y42" s="49">
        <f t="shared" si="13"/>
        <v>0.08011444921</v>
      </c>
      <c r="Z42" s="32" t="str">
        <f t="shared" si="14"/>
        <v>Jango</v>
      </c>
      <c r="AA42" s="50" t="s">
        <v>77</v>
      </c>
      <c r="AB42" s="38">
        <v>970.0</v>
      </c>
      <c r="AC42" s="48">
        <f t="shared" si="17"/>
        <v>165</v>
      </c>
      <c r="AD42" s="51">
        <f t="shared" si="18"/>
        <v>0.8298969072</v>
      </c>
    </row>
    <row r="43">
      <c r="A43" s="110" t="s">
        <v>107</v>
      </c>
      <c r="B43" s="46" t="s">
        <v>2032</v>
      </c>
      <c r="C43" s="47"/>
      <c r="D43" s="38">
        <v>8455.0</v>
      </c>
      <c r="E43" s="38">
        <v>3682.0</v>
      </c>
      <c r="F43" s="38">
        <v>5464.0</v>
      </c>
      <c r="G43" s="38">
        <v>348.0</v>
      </c>
      <c r="H43" s="38">
        <v>802.0</v>
      </c>
      <c r="I43" s="48">
        <f t="shared" si="3"/>
        <v>17601</v>
      </c>
      <c r="J43" s="48">
        <f t="shared" si="4"/>
        <v>18751</v>
      </c>
      <c r="K43" s="49">
        <f t="shared" si="5"/>
        <v>0.4803704335</v>
      </c>
      <c r="L43" s="49">
        <f t="shared" si="6"/>
        <v>0.2091926595</v>
      </c>
      <c r="M43" s="49">
        <f t="shared" si="7"/>
        <v>0.310436907</v>
      </c>
      <c r="N43" s="32" t="str">
        <f t="shared" si="8"/>
        <v>Jânio</v>
      </c>
      <c r="O43" s="50" t="s">
        <v>77</v>
      </c>
      <c r="P43" s="48">
        <v>6230.0</v>
      </c>
      <c r="Q43" s="48">
        <v>8059.0</v>
      </c>
      <c r="R43" s="48">
        <v>2346.0</v>
      </c>
      <c r="S43" s="48">
        <v>1522.0</v>
      </c>
      <c r="T43" s="48">
        <v>594.0</v>
      </c>
      <c r="U43" s="48">
        <f t="shared" si="9"/>
        <v>16635</v>
      </c>
      <c r="V43" s="48">
        <f t="shared" si="10"/>
        <v>18751</v>
      </c>
      <c r="W43" s="49">
        <f t="shared" si="11"/>
        <v>0.374511572</v>
      </c>
      <c r="X43" s="49">
        <f t="shared" si="12"/>
        <v>0.4844604749</v>
      </c>
      <c r="Y43" s="49">
        <f t="shared" si="13"/>
        <v>0.1410279531</v>
      </c>
      <c r="Z43" s="32" t="str">
        <f t="shared" si="14"/>
        <v>Milton</v>
      </c>
      <c r="AA43" s="50" t="s">
        <v>77</v>
      </c>
      <c r="AB43" s="38">
        <v>21891.0</v>
      </c>
      <c r="AC43" s="48">
        <f t="shared" si="17"/>
        <v>3140</v>
      </c>
      <c r="AD43" s="51">
        <f t="shared" si="18"/>
        <v>0.8565620575</v>
      </c>
    </row>
    <row r="44">
      <c r="A44" s="61" t="s">
        <v>111</v>
      </c>
      <c r="B44" s="46" t="s">
        <v>2033</v>
      </c>
      <c r="C44" s="47"/>
      <c r="D44" s="38">
        <v>2355.0</v>
      </c>
      <c r="E44" s="38">
        <v>527.0</v>
      </c>
      <c r="F44" s="38">
        <v>1857.0</v>
      </c>
      <c r="G44" s="38">
        <v>72.0</v>
      </c>
      <c r="H44" s="38">
        <v>81.0</v>
      </c>
      <c r="I44" s="48">
        <f t="shared" si="3"/>
        <v>4739</v>
      </c>
      <c r="J44" s="48">
        <f t="shared" si="4"/>
        <v>4892</v>
      </c>
      <c r="K44" s="49">
        <f t="shared" si="5"/>
        <v>0.4969402828</v>
      </c>
      <c r="L44" s="49">
        <f t="shared" si="6"/>
        <v>0.1112048955</v>
      </c>
      <c r="M44" s="49">
        <f t="shared" si="7"/>
        <v>0.3918548217</v>
      </c>
      <c r="N44" s="32" t="str">
        <f t="shared" si="8"/>
        <v>Jânio</v>
      </c>
      <c r="O44" s="50" t="s">
        <v>77</v>
      </c>
      <c r="P44" s="48">
        <v>1807.0</v>
      </c>
      <c r="Q44" s="48">
        <v>1787.0</v>
      </c>
      <c r="R44" s="48">
        <v>865.0</v>
      </c>
      <c r="S44" s="48">
        <v>374.0</v>
      </c>
      <c r="T44" s="48">
        <v>59.0</v>
      </c>
      <c r="U44" s="48">
        <f t="shared" si="9"/>
        <v>4459</v>
      </c>
      <c r="V44" s="48">
        <f t="shared" si="10"/>
        <v>4892</v>
      </c>
      <c r="W44" s="49">
        <f t="shared" si="11"/>
        <v>0.4052478134</v>
      </c>
      <c r="X44" s="49">
        <f t="shared" si="12"/>
        <v>0.4007625028</v>
      </c>
      <c r="Y44" s="49">
        <f t="shared" si="13"/>
        <v>0.1939896838</v>
      </c>
      <c r="Z44" s="32" t="str">
        <f t="shared" si="14"/>
        <v>Jango</v>
      </c>
      <c r="AA44" s="50" t="s">
        <v>77</v>
      </c>
      <c r="AB44" s="38">
        <v>5559.0</v>
      </c>
      <c r="AC44" s="48">
        <f t="shared" si="17"/>
        <v>667</v>
      </c>
      <c r="AD44" s="51">
        <f t="shared" si="18"/>
        <v>0.8800143911</v>
      </c>
    </row>
    <row r="45">
      <c r="A45" s="23"/>
      <c r="B45" s="46" t="s">
        <v>2034</v>
      </c>
      <c r="C45" s="47"/>
      <c r="D45" s="38">
        <v>532.0</v>
      </c>
      <c r="E45" s="38">
        <v>77.0</v>
      </c>
      <c r="F45" s="38">
        <v>217.0</v>
      </c>
      <c r="G45" s="38">
        <v>13.0</v>
      </c>
      <c r="H45" s="38">
        <v>30.0</v>
      </c>
      <c r="I45" s="48">
        <f t="shared" si="3"/>
        <v>826</v>
      </c>
      <c r="J45" s="48">
        <f t="shared" si="4"/>
        <v>869</v>
      </c>
      <c r="K45" s="49">
        <f t="shared" si="5"/>
        <v>0.6440677966</v>
      </c>
      <c r="L45" s="49">
        <f t="shared" si="6"/>
        <v>0.09322033898</v>
      </c>
      <c r="M45" s="49">
        <f t="shared" si="7"/>
        <v>0.2627118644</v>
      </c>
      <c r="N45" s="32" t="str">
        <f t="shared" si="8"/>
        <v>Jânio</v>
      </c>
      <c r="O45" s="50" t="s">
        <v>77</v>
      </c>
      <c r="P45" s="38">
        <v>222.0</v>
      </c>
      <c r="Q45" s="38">
        <v>440.0</v>
      </c>
      <c r="R45" s="38">
        <v>77.0</v>
      </c>
      <c r="S45" s="38">
        <v>120.0</v>
      </c>
      <c r="T45" s="38">
        <v>10.0</v>
      </c>
      <c r="U45" s="48">
        <f t="shared" si="9"/>
        <v>739</v>
      </c>
      <c r="V45" s="48">
        <f t="shared" si="10"/>
        <v>869</v>
      </c>
      <c r="W45" s="49">
        <f t="shared" si="11"/>
        <v>0.300405954</v>
      </c>
      <c r="X45" s="49">
        <f t="shared" si="12"/>
        <v>0.5953991881</v>
      </c>
      <c r="Y45" s="49">
        <f t="shared" si="13"/>
        <v>0.1041948579</v>
      </c>
      <c r="Z45" s="32" t="str">
        <f t="shared" si="14"/>
        <v>Milton</v>
      </c>
      <c r="AA45" s="50" t="s">
        <v>77</v>
      </c>
      <c r="AB45" s="38">
        <v>1043.0</v>
      </c>
      <c r="AC45" s="48">
        <f t="shared" si="17"/>
        <v>174</v>
      </c>
      <c r="AD45" s="51">
        <f t="shared" si="18"/>
        <v>0.8331735379</v>
      </c>
    </row>
    <row r="46">
      <c r="A46" s="23"/>
      <c r="B46" s="46" t="s">
        <v>2035</v>
      </c>
      <c r="C46" s="47"/>
      <c r="D46" s="38">
        <v>891.0</v>
      </c>
      <c r="E46" s="38">
        <v>202.0</v>
      </c>
      <c r="F46" s="38">
        <v>835.0</v>
      </c>
      <c r="G46" s="38">
        <v>67.0</v>
      </c>
      <c r="H46" s="38">
        <v>84.0</v>
      </c>
      <c r="I46" s="48">
        <f t="shared" si="3"/>
        <v>1928</v>
      </c>
      <c r="J46" s="48">
        <f t="shared" si="4"/>
        <v>2079</v>
      </c>
      <c r="K46" s="49">
        <f t="shared" si="5"/>
        <v>0.4621369295</v>
      </c>
      <c r="L46" s="49">
        <f t="shared" si="6"/>
        <v>0.1047717842</v>
      </c>
      <c r="M46" s="49">
        <f t="shared" si="7"/>
        <v>0.4330912863</v>
      </c>
      <c r="N46" s="32" t="str">
        <f t="shared" si="8"/>
        <v>Jânio</v>
      </c>
      <c r="O46" s="50" t="s">
        <v>77</v>
      </c>
      <c r="P46" s="38">
        <v>764.0</v>
      </c>
      <c r="Q46" s="38">
        <v>626.0</v>
      </c>
      <c r="R46" s="38">
        <v>307.0</v>
      </c>
      <c r="S46" s="38">
        <v>335.0</v>
      </c>
      <c r="T46" s="38">
        <v>47.0</v>
      </c>
      <c r="U46" s="48">
        <f t="shared" si="9"/>
        <v>1697</v>
      </c>
      <c r="V46" s="48">
        <f t="shared" si="10"/>
        <v>2079</v>
      </c>
      <c r="W46" s="49">
        <f t="shared" si="11"/>
        <v>0.4502062463</v>
      </c>
      <c r="X46" s="49">
        <f t="shared" si="12"/>
        <v>0.3688862699</v>
      </c>
      <c r="Y46" s="49">
        <f t="shared" si="13"/>
        <v>0.1809074838</v>
      </c>
      <c r="Z46" s="32" t="str">
        <f t="shared" si="14"/>
        <v>Jango</v>
      </c>
      <c r="AA46" s="50" t="s">
        <v>77</v>
      </c>
      <c r="AB46" s="38">
        <v>2450.0</v>
      </c>
      <c r="AC46" s="48">
        <f t="shared" si="17"/>
        <v>371</v>
      </c>
      <c r="AD46" s="51">
        <f t="shared" si="18"/>
        <v>0.8485714286</v>
      </c>
    </row>
    <row r="47">
      <c r="A47" s="24"/>
      <c r="B47" s="46" t="s">
        <v>2036</v>
      </c>
      <c r="C47" s="47"/>
      <c r="D47" s="38">
        <v>473.0</v>
      </c>
      <c r="E47" s="38">
        <v>57.0</v>
      </c>
      <c r="F47" s="38">
        <v>195.0</v>
      </c>
      <c r="G47" s="38">
        <v>11.0</v>
      </c>
      <c r="H47" s="38">
        <v>20.0</v>
      </c>
      <c r="I47" s="48">
        <f t="shared" si="3"/>
        <v>725</v>
      </c>
      <c r="J47" s="48">
        <f t="shared" si="4"/>
        <v>756</v>
      </c>
      <c r="K47" s="49">
        <f t="shared" si="5"/>
        <v>0.6524137931</v>
      </c>
      <c r="L47" s="49">
        <f t="shared" si="6"/>
        <v>0.07862068966</v>
      </c>
      <c r="M47" s="49">
        <f t="shared" si="7"/>
        <v>0.2689655172</v>
      </c>
      <c r="N47" s="32" t="str">
        <f t="shared" si="8"/>
        <v>Jânio</v>
      </c>
      <c r="O47" s="50" t="s">
        <v>77</v>
      </c>
      <c r="P47" s="38">
        <v>172.0</v>
      </c>
      <c r="Q47" s="38">
        <v>393.0</v>
      </c>
      <c r="R47" s="38">
        <v>61.0</v>
      </c>
      <c r="S47" s="38">
        <v>117.0</v>
      </c>
      <c r="T47" s="38">
        <v>13.0</v>
      </c>
      <c r="U47" s="48">
        <f t="shared" si="9"/>
        <v>626</v>
      </c>
      <c r="V47" s="48">
        <f t="shared" si="10"/>
        <v>756</v>
      </c>
      <c r="W47" s="49">
        <f t="shared" si="11"/>
        <v>0.2747603834</v>
      </c>
      <c r="X47" s="49">
        <f t="shared" si="12"/>
        <v>0.6277955272</v>
      </c>
      <c r="Y47" s="49">
        <f t="shared" si="13"/>
        <v>0.09744408946</v>
      </c>
      <c r="Z47" s="32" t="str">
        <f t="shared" si="14"/>
        <v>Milton</v>
      </c>
      <c r="AA47" s="50" t="s">
        <v>77</v>
      </c>
      <c r="AB47" s="38">
        <v>946.0</v>
      </c>
      <c r="AC47" s="48">
        <f t="shared" si="17"/>
        <v>190</v>
      </c>
      <c r="AD47" s="51">
        <f t="shared" si="18"/>
        <v>0.799154334</v>
      </c>
    </row>
    <row r="48">
      <c r="A48" s="61" t="s">
        <v>114</v>
      </c>
      <c r="B48" s="46" t="s">
        <v>2037</v>
      </c>
      <c r="C48" s="47"/>
      <c r="D48" s="38">
        <v>10913.0</v>
      </c>
      <c r="E48" s="38">
        <v>3292.0</v>
      </c>
      <c r="F48" s="38">
        <v>7707.0</v>
      </c>
      <c r="G48" s="38">
        <v>367.0</v>
      </c>
      <c r="H48" s="38">
        <v>701.0</v>
      </c>
      <c r="I48" s="48">
        <f t="shared" si="3"/>
        <v>21912</v>
      </c>
      <c r="J48" s="48">
        <f t="shared" si="4"/>
        <v>22980</v>
      </c>
      <c r="K48" s="49">
        <f t="shared" si="5"/>
        <v>0.498037605</v>
      </c>
      <c r="L48" s="49">
        <f t="shared" si="6"/>
        <v>0.1502373129</v>
      </c>
      <c r="M48" s="49">
        <f t="shared" si="7"/>
        <v>0.3517250821</v>
      </c>
      <c r="N48" s="32" t="str">
        <f t="shared" si="8"/>
        <v>Jânio</v>
      </c>
      <c r="O48" s="50" t="s">
        <v>77</v>
      </c>
      <c r="P48" s="38">
        <v>8148.0</v>
      </c>
      <c r="Q48" s="38">
        <v>8116.0</v>
      </c>
      <c r="R48" s="38">
        <v>4372.0</v>
      </c>
      <c r="S48" s="38">
        <v>1820.0</v>
      </c>
      <c r="T48" s="38">
        <v>524.0</v>
      </c>
      <c r="U48" s="48">
        <f t="shared" si="9"/>
        <v>20636</v>
      </c>
      <c r="V48" s="48">
        <f t="shared" si="10"/>
        <v>22980</v>
      </c>
      <c r="W48" s="49">
        <f t="shared" si="11"/>
        <v>0.394843962</v>
      </c>
      <c r="X48" s="49">
        <f t="shared" si="12"/>
        <v>0.3932932739</v>
      </c>
      <c r="Y48" s="49">
        <f t="shared" si="13"/>
        <v>0.2118627641</v>
      </c>
      <c r="Z48" s="32" t="str">
        <f t="shared" si="14"/>
        <v>Jango</v>
      </c>
      <c r="AA48" s="50" t="s">
        <v>77</v>
      </c>
      <c r="AB48" s="38">
        <v>24601.0</v>
      </c>
      <c r="AC48" s="48">
        <f t="shared" si="17"/>
        <v>1621</v>
      </c>
      <c r="AD48" s="51">
        <f t="shared" si="18"/>
        <v>0.9341083696</v>
      </c>
    </row>
    <row r="49">
      <c r="A49" s="23"/>
      <c r="B49" s="46" t="s">
        <v>2038</v>
      </c>
      <c r="C49" s="47"/>
      <c r="D49" s="38">
        <v>593.0</v>
      </c>
      <c r="E49" s="38">
        <v>127.0</v>
      </c>
      <c r="F49" s="38">
        <v>517.0</v>
      </c>
      <c r="G49" s="38">
        <v>41.0</v>
      </c>
      <c r="H49" s="38">
        <v>95.0</v>
      </c>
      <c r="I49" s="48">
        <f t="shared" si="3"/>
        <v>1237</v>
      </c>
      <c r="J49" s="48">
        <f t="shared" si="4"/>
        <v>1373</v>
      </c>
      <c r="K49" s="49">
        <f t="shared" si="5"/>
        <v>0.4793856103</v>
      </c>
      <c r="L49" s="49">
        <f t="shared" si="6"/>
        <v>0.1026677445</v>
      </c>
      <c r="M49" s="49">
        <f t="shared" si="7"/>
        <v>0.4179466451</v>
      </c>
      <c r="N49" s="32" t="str">
        <f t="shared" si="8"/>
        <v>Jânio</v>
      </c>
      <c r="O49" s="50" t="s">
        <v>77</v>
      </c>
      <c r="P49" s="38">
        <v>545.0</v>
      </c>
      <c r="Q49" s="38">
        <v>318.0</v>
      </c>
      <c r="R49" s="38">
        <v>275.0</v>
      </c>
      <c r="S49" s="38">
        <v>166.0</v>
      </c>
      <c r="T49" s="38">
        <v>69.0</v>
      </c>
      <c r="U49" s="48">
        <f t="shared" si="9"/>
        <v>1138</v>
      </c>
      <c r="V49" s="48">
        <f t="shared" si="10"/>
        <v>1373</v>
      </c>
      <c r="W49" s="49">
        <f t="shared" si="11"/>
        <v>0.4789103691</v>
      </c>
      <c r="X49" s="49">
        <f t="shared" si="12"/>
        <v>0.2794376098</v>
      </c>
      <c r="Y49" s="49">
        <f t="shared" si="13"/>
        <v>0.2416520211</v>
      </c>
      <c r="Z49" s="32" t="str">
        <f t="shared" si="14"/>
        <v>Jango</v>
      </c>
      <c r="AA49" s="50" t="s">
        <v>77</v>
      </c>
      <c r="AB49" s="38">
        <v>1497.0</v>
      </c>
      <c r="AC49" s="48">
        <f t="shared" si="17"/>
        <v>124</v>
      </c>
      <c r="AD49" s="51">
        <f t="shared" si="18"/>
        <v>0.9171676687</v>
      </c>
    </row>
    <row r="50">
      <c r="A50" s="24"/>
      <c r="B50" s="46" t="s">
        <v>2039</v>
      </c>
      <c r="C50" s="47"/>
      <c r="D50" s="38">
        <v>393.0</v>
      </c>
      <c r="E50" s="38">
        <v>65.0</v>
      </c>
      <c r="F50" s="38">
        <v>348.0</v>
      </c>
      <c r="G50" s="38">
        <v>26.0</v>
      </c>
      <c r="H50" s="38">
        <v>30.0</v>
      </c>
      <c r="I50" s="48">
        <f t="shared" si="3"/>
        <v>806</v>
      </c>
      <c r="J50" s="48">
        <f t="shared" si="4"/>
        <v>862</v>
      </c>
      <c r="K50" s="49">
        <f t="shared" si="5"/>
        <v>0.4875930521</v>
      </c>
      <c r="L50" s="49">
        <f t="shared" si="6"/>
        <v>0.08064516129</v>
      </c>
      <c r="M50" s="49">
        <f t="shared" si="7"/>
        <v>0.4317617866</v>
      </c>
      <c r="N50" s="32" t="str">
        <f t="shared" si="8"/>
        <v>Jânio</v>
      </c>
      <c r="O50" s="50" t="s">
        <v>77</v>
      </c>
      <c r="P50" s="38">
        <v>318.0</v>
      </c>
      <c r="Q50" s="38">
        <v>241.0</v>
      </c>
      <c r="R50" s="38">
        <v>99.0</v>
      </c>
      <c r="S50" s="38">
        <v>187.0</v>
      </c>
      <c r="T50" s="38">
        <v>17.0</v>
      </c>
      <c r="U50" s="48">
        <f t="shared" si="9"/>
        <v>658</v>
      </c>
      <c r="V50" s="48">
        <f t="shared" si="10"/>
        <v>862</v>
      </c>
      <c r="W50" s="49">
        <f t="shared" si="11"/>
        <v>0.4832826748</v>
      </c>
      <c r="X50" s="49">
        <f t="shared" si="12"/>
        <v>0.3662613982</v>
      </c>
      <c r="Y50" s="49">
        <f t="shared" si="13"/>
        <v>0.1504559271</v>
      </c>
      <c r="Z50" s="32" t="str">
        <f t="shared" si="14"/>
        <v>Jango</v>
      </c>
      <c r="AA50" s="50" t="s">
        <v>77</v>
      </c>
      <c r="AB50" s="38">
        <v>948.0</v>
      </c>
      <c r="AC50" s="48">
        <f t="shared" si="17"/>
        <v>86</v>
      </c>
      <c r="AD50" s="51">
        <f t="shared" si="18"/>
        <v>0.9092827004</v>
      </c>
    </row>
    <row r="51">
      <c r="A51" s="61" t="s">
        <v>117</v>
      </c>
      <c r="B51" s="46" t="s">
        <v>2040</v>
      </c>
      <c r="C51" s="47"/>
      <c r="D51" s="38">
        <v>3279.0</v>
      </c>
      <c r="E51" s="38">
        <v>472.0</v>
      </c>
      <c r="F51" s="38">
        <v>3760.0</v>
      </c>
      <c r="G51" s="38">
        <v>111.0</v>
      </c>
      <c r="H51" s="38">
        <v>183.0</v>
      </c>
      <c r="I51" s="48">
        <f t="shared" si="3"/>
        <v>7511</v>
      </c>
      <c r="J51" s="48">
        <f t="shared" si="4"/>
        <v>7805</v>
      </c>
      <c r="K51" s="49">
        <f t="shared" si="5"/>
        <v>0.4365597124</v>
      </c>
      <c r="L51" s="49">
        <f t="shared" si="6"/>
        <v>0.06284116629</v>
      </c>
      <c r="M51" s="49">
        <f t="shared" si="7"/>
        <v>0.5005991213</v>
      </c>
      <c r="N51" s="32" t="str">
        <f t="shared" si="8"/>
        <v>Adhemar</v>
      </c>
      <c r="O51" s="50" t="s">
        <v>77</v>
      </c>
      <c r="P51" s="38">
        <v>2508.0</v>
      </c>
      <c r="Q51" s="38">
        <v>3275.0</v>
      </c>
      <c r="R51" s="38">
        <v>1112.0</v>
      </c>
      <c r="S51" s="38">
        <v>812.0</v>
      </c>
      <c r="T51" s="38">
        <v>98.0</v>
      </c>
      <c r="U51" s="48">
        <f t="shared" si="9"/>
        <v>6895</v>
      </c>
      <c r="V51" s="48">
        <f t="shared" si="10"/>
        <v>7805</v>
      </c>
      <c r="W51" s="49">
        <f t="shared" si="11"/>
        <v>0.3637418419</v>
      </c>
      <c r="X51" s="49">
        <f t="shared" si="12"/>
        <v>0.4749818709</v>
      </c>
      <c r="Y51" s="49">
        <f t="shared" si="13"/>
        <v>0.1612762872</v>
      </c>
      <c r="Z51" s="32" t="str">
        <f t="shared" si="14"/>
        <v>Milton</v>
      </c>
      <c r="AA51" s="50" t="s">
        <v>77</v>
      </c>
      <c r="AB51" s="38">
        <v>8234.0</v>
      </c>
      <c r="AC51" s="48">
        <f t="shared" si="17"/>
        <v>429</v>
      </c>
      <c r="AD51" s="51">
        <f t="shared" si="18"/>
        <v>0.9478989556</v>
      </c>
    </row>
    <row r="52">
      <c r="A52" s="24"/>
      <c r="B52" s="46" t="s">
        <v>2041</v>
      </c>
      <c r="C52" s="47"/>
      <c r="D52" s="38">
        <v>3036.0</v>
      </c>
      <c r="E52" s="38">
        <v>347.0</v>
      </c>
      <c r="F52" s="38">
        <v>993.0</v>
      </c>
      <c r="G52" s="38">
        <v>71.0</v>
      </c>
      <c r="H52" s="38">
        <v>132.0</v>
      </c>
      <c r="I52" s="48">
        <f t="shared" si="3"/>
        <v>4376</v>
      </c>
      <c r="J52" s="48">
        <f t="shared" si="4"/>
        <v>4579</v>
      </c>
      <c r="K52" s="49">
        <f t="shared" si="5"/>
        <v>0.6937842779</v>
      </c>
      <c r="L52" s="49">
        <f t="shared" si="6"/>
        <v>0.07929616088</v>
      </c>
      <c r="M52" s="49">
        <f t="shared" si="7"/>
        <v>0.2269195612</v>
      </c>
      <c r="N52" s="32" t="str">
        <f t="shared" si="8"/>
        <v>Jânio</v>
      </c>
      <c r="O52" s="50" t="s">
        <v>77</v>
      </c>
      <c r="P52" s="38">
        <v>866.0</v>
      </c>
      <c r="Q52" s="38">
        <v>2231.0</v>
      </c>
      <c r="R52" s="38">
        <v>1091.0</v>
      </c>
      <c r="S52" s="38">
        <v>287.0</v>
      </c>
      <c r="T52" s="38">
        <v>104.0</v>
      </c>
      <c r="U52" s="48">
        <f t="shared" si="9"/>
        <v>4188</v>
      </c>
      <c r="V52" s="48">
        <f t="shared" si="10"/>
        <v>4579</v>
      </c>
      <c r="W52" s="49">
        <f t="shared" si="11"/>
        <v>0.2067812798</v>
      </c>
      <c r="X52" s="49">
        <f t="shared" si="12"/>
        <v>0.5327125119</v>
      </c>
      <c r="Y52" s="49">
        <f t="shared" si="13"/>
        <v>0.2605062082</v>
      </c>
      <c r="Z52" s="32" t="str">
        <f t="shared" si="14"/>
        <v>Milton</v>
      </c>
      <c r="AA52" s="50" t="s">
        <v>77</v>
      </c>
      <c r="AB52" s="38">
        <v>4831.0</v>
      </c>
      <c r="AC52" s="48">
        <f t="shared" si="17"/>
        <v>252</v>
      </c>
      <c r="AD52" s="51">
        <f t="shared" si="18"/>
        <v>0.9478368868</v>
      </c>
    </row>
    <row r="53">
      <c r="A53" s="61" t="s">
        <v>119</v>
      </c>
      <c r="B53" s="46" t="s">
        <v>2042</v>
      </c>
      <c r="C53" s="47"/>
      <c r="D53" s="38">
        <v>6668.0</v>
      </c>
      <c r="E53" s="38">
        <v>1333.0</v>
      </c>
      <c r="F53" s="38">
        <v>3939.0</v>
      </c>
      <c r="G53" s="38">
        <v>175.0</v>
      </c>
      <c r="H53" s="38">
        <v>337.0</v>
      </c>
      <c r="I53" s="48">
        <f t="shared" si="3"/>
        <v>11940</v>
      </c>
      <c r="J53" s="48">
        <f t="shared" si="4"/>
        <v>12452</v>
      </c>
      <c r="K53" s="49">
        <f t="shared" si="5"/>
        <v>0.5584589615</v>
      </c>
      <c r="L53" s="49">
        <f t="shared" si="6"/>
        <v>0.111641541</v>
      </c>
      <c r="M53" s="49">
        <f t="shared" si="7"/>
        <v>0.3298994975</v>
      </c>
      <c r="N53" s="32" t="str">
        <f t="shared" si="8"/>
        <v>Jânio</v>
      </c>
      <c r="O53" s="50" t="s">
        <v>77</v>
      </c>
      <c r="P53" s="38">
        <v>4020.0</v>
      </c>
      <c r="Q53" s="38">
        <v>5502.0</v>
      </c>
      <c r="R53" s="38">
        <v>1784.0</v>
      </c>
      <c r="S53" s="38">
        <v>967.0</v>
      </c>
      <c r="T53" s="38">
        <v>179.0</v>
      </c>
      <c r="U53" s="48">
        <f t="shared" si="9"/>
        <v>11306</v>
      </c>
      <c r="V53" s="48">
        <f t="shared" si="10"/>
        <v>12452</v>
      </c>
      <c r="W53" s="49">
        <f t="shared" si="11"/>
        <v>0.3555634177</v>
      </c>
      <c r="X53" s="49">
        <f t="shared" si="12"/>
        <v>0.4866442597</v>
      </c>
      <c r="Y53" s="49">
        <f t="shared" si="13"/>
        <v>0.1577923227</v>
      </c>
      <c r="Z53" s="32" t="str">
        <f t="shared" si="14"/>
        <v>Milton</v>
      </c>
      <c r="AA53" s="50" t="s">
        <v>77</v>
      </c>
      <c r="AB53" s="38">
        <v>14084.0</v>
      </c>
      <c r="AC53" s="48">
        <f t="shared" si="17"/>
        <v>1632</v>
      </c>
      <c r="AD53" s="51">
        <f t="shared" si="18"/>
        <v>0.8841238285</v>
      </c>
    </row>
    <row r="54">
      <c r="A54" s="23"/>
      <c r="B54" s="46" t="s">
        <v>2043</v>
      </c>
      <c r="C54" s="47"/>
      <c r="D54" s="38">
        <v>2044.0</v>
      </c>
      <c r="E54" s="38">
        <v>272.0</v>
      </c>
      <c r="F54" s="38">
        <v>1321.0</v>
      </c>
      <c r="G54" s="38">
        <v>100.0</v>
      </c>
      <c r="H54" s="38">
        <v>135.0</v>
      </c>
      <c r="I54" s="48">
        <f t="shared" si="3"/>
        <v>3637</v>
      </c>
      <c r="J54" s="48">
        <f t="shared" si="4"/>
        <v>3872</v>
      </c>
      <c r="K54" s="49">
        <f t="shared" si="5"/>
        <v>0.5620016497</v>
      </c>
      <c r="L54" s="49">
        <f t="shared" si="6"/>
        <v>0.07478691229</v>
      </c>
      <c r="M54" s="49">
        <f t="shared" si="7"/>
        <v>0.363211438</v>
      </c>
      <c r="N54" s="32" t="str">
        <f t="shared" si="8"/>
        <v>Jânio</v>
      </c>
      <c r="O54" s="50" t="s">
        <v>77</v>
      </c>
      <c r="P54" s="38">
        <v>1121.0</v>
      </c>
      <c r="Q54" s="38">
        <v>1815.0</v>
      </c>
      <c r="R54" s="38">
        <v>326.0</v>
      </c>
      <c r="S54" s="38">
        <v>529.0</v>
      </c>
      <c r="T54" s="38">
        <v>81.0</v>
      </c>
      <c r="U54" s="48">
        <f t="shared" si="9"/>
        <v>3262</v>
      </c>
      <c r="V54" s="48">
        <f t="shared" si="10"/>
        <v>3872</v>
      </c>
      <c r="W54" s="49">
        <f t="shared" si="11"/>
        <v>0.3436541999</v>
      </c>
      <c r="X54" s="49">
        <f t="shared" si="12"/>
        <v>0.5564071122</v>
      </c>
      <c r="Y54" s="49">
        <f t="shared" si="13"/>
        <v>0.09993868792</v>
      </c>
      <c r="Z54" s="32" t="str">
        <f t="shared" si="14"/>
        <v>Milton</v>
      </c>
      <c r="AA54" s="50" t="s">
        <v>77</v>
      </c>
      <c r="AB54" s="38">
        <v>4321.0</v>
      </c>
      <c r="AC54" s="48">
        <f t="shared" si="17"/>
        <v>449</v>
      </c>
      <c r="AD54" s="51">
        <f t="shared" si="18"/>
        <v>0.8960888683</v>
      </c>
    </row>
    <row r="55">
      <c r="A55" s="24"/>
      <c r="B55" s="46" t="s">
        <v>2044</v>
      </c>
      <c r="C55" s="47"/>
      <c r="D55" s="38">
        <v>554.0</v>
      </c>
      <c r="E55" s="38">
        <v>288.0</v>
      </c>
      <c r="F55" s="38">
        <v>461.0</v>
      </c>
      <c r="G55" s="38">
        <v>36.0</v>
      </c>
      <c r="H55" s="38">
        <v>52.0</v>
      </c>
      <c r="I55" s="48">
        <f t="shared" si="3"/>
        <v>1303</v>
      </c>
      <c r="J55" s="48">
        <f t="shared" si="4"/>
        <v>1391</v>
      </c>
      <c r="K55" s="49">
        <f t="shared" si="5"/>
        <v>0.4251726784</v>
      </c>
      <c r="L55" s="49">
        <f t="shared" si="6"/>
        <v>0.221028396</v>
      </c>
      <c r="M55" s="49">
        <f t="shared" si="7"/>
        <v>0.3537989256</v>
      </c>
      <c r="N55" s="32" t="str">
        <f t="shared" si="8"/>
        <v>Jânio</v>
      </c>
      <c r="O55" s="50" t="s">
        <v>77</v>
      </c>
      <c r="P55" s="38">
        <v>526.0</v>
      </c>
      <c r="Q55" s="38">
        <v>462.0</v>
      </c>
      <c r="R55" s="38">
        <v>143.0</v>
      </c>
      <c r="S55" s="38">
        <v>239.0</v>
      </c>
      <c r="T55" s="38">
        <v>21.0</v>
      </c>
      <c r="U55" s="48">
        <f t="shared" si="9"/>
        <v>1131</v>
      </c>
      <c r="V55" s="48">
        <f t="shared" si="10"/>
        <v>1391</v>
      </c>
      <c r="W55" s="49">
        <f t="shared" si="11"/>
        <v>0.4650751547</v>
      </c>
      <c r="X55" s="49">
        <f t="shared" si="12"/>
        <v>0.4084880637</v>
      </c>
      <c r="Y55" s="49">
        <f t="shared" si="13"/>
        <v>0.1264367816</v>
      </c>
      <c r="Z55" s="32" t="str">
        <f t="shared" si="14"/>
        <v>Jango</v>
      </c>
      <c r="AA55" s="50" t="s">
        <v>77</v>
      </c>
      <c r="AB55" s="38">
        <v>1711.0</v>
      </c>
      <c r="AC55" s="48">
        <f t="shared" si="17"/>
        <v>320</v>
      </c>
      <c r="AD55" s="51">
        <f t="shared" si="18"/>
        <v>0.8129748685</v>
      </c>
    </row>
    <row r="56">
      <c r="A56" s="61" t="s">
        <v>123</v>
      </c>
      <c r="B56" s="46" t="s">
        <v>2045</v>
      </c>
      <c r="C56" s="47"/>
      <c r="D56" s="38">
        <v>3457.0</v>
      </c>
      <c r="E56" s="38">
        <v>644.0</v>
      </c>
      <c r="F56" s="38">
        <v>1800.0</v>
      </c>
      <c r="G56" s="38">
        <v>164.0</v>
      </c>
      <c r="H56" s="38">
        <v>279.0</v>
      </c>
      <c r="I56" s="48">
        <f t="shared" si="3"/>
        <v>5901</v>
      </c>
      <c r="J56" s="48">
        <f t="shared" si="4"/>
        <v>6344</v>
      </c>
      <c r="K56" s="49">
        <f t="shared" si="5"/>
        <v>0.5858329097</v>
      </c>
      <c r="L56" s="49">
        <f t="shared" si="6"/>
        <v>0.1091340451</v>
      </c>
      <c r="M56" s="49">
        <f t="shared" si="7"/>
        <v>0.3050330452</v>
      </c>
      <c r="N56" s="32" t="str">
        <f t="shared" si="8"/>
        <v>Jânio</v>
      </c>
      <c r="O56" s="50" t="s">
        <v>77</v>
      </c>
      <c r="P56" s="38">
        <v>1426.0</v>
      </c>
      <c r="Q56" s="38">
        <v>2652.0</v>
      </c>
      <c r="R56" s="38">
        <v>1382.0</v>
      </c>
      <c r="S56" s="38">
        <v>683.0</v>
      </c>
      <c r="T56" s="38">
        <v>201.0</v>
      </c>
      <c r="U56" s="48">
        <f t="shared" si="9"/>
        <v>5460</v>
      </c>
      <c r="V56" s="48">
        <f t="shared" si="10"/>
        <v>6344</v>
      </c>
      <c r="W56" s="49">
        <f t="shared" si="11"/>
        <v>0.2611721612</v>
      </c>
      <c r="X56" s="49">
        <f t="shared" si="12"/>
        <v>0.4857142857</v>
      </c>
      <c r="Y56" s="49">
        <f t="shared" si="13"/>
        <v>0.2531135531</v>
      </c>
      <c r="Z56" s="32" t="str">
        <f t="shared" si="14"/>
        <v>Milton</v>
      </c>
      <c r="AA56" s="50" t="s">
        <v>77</v>
      </c>
      <c r="AB56" s="38">
        <v>6960.0</v>
      </c>
      <c r="AC56" s="48">
        <f t="shared" si="17"/>
        <v>616</v>
      </c>
      <c r="AD56" s="51">
        <f t="shared" si="18"/>
        <v>0.9114942529</v>
      </c>
    </row>
    <row r="57">
      <c r="A57" s="23"/>
      <c r="B57" s="46" t="s">
        <v>2046</v>
      </c>
      <c r="C57" s="47"/>
      <c r="D57" s="38">
        <v>297.0</v>
      </c>
      <c r="E57" s="38">
        <v>47.0</v>
      </c>
      <c r="F57" s="38">
        <v>166.0</v>
      </c>
      <c r="G57" s="38">
        <v>19.0</v>
      </c>
      <c r="H57" s="38">
        <v>42.0</v>
      </c>
      <c r="I57" s="48">
        <f t="shared" si="3"/>
        <v>510</v>
      </c>
      <c r="J57" s="48">
        <f t="shared" si="4"/>
        <v>571</v>
      </c>
      <c r="K57" s="49">
        <f t="shared" si="5"/>
        <v>0.5823529412</v>
      </c>
      <c r="L57" s="49">
        <f t="shared" si="6"/>
        <v>0.09215686275</v>
      </c>
      <c r="M57" s="49">
        <f t="shared" si="7"/>
        <v>0.3254901961</v>
      </c>
      <c r="N57" s="32" t="str">
        <f t="shared" si="8"/>
        <v>Jânio</v>
      </c>
      <c r="O57" s="50" t="s">
        <v>77</v>
      </c>
      <c r="P57" s="38">
        <v>179.0</v>
      </c>
      <c r="Q57" s="38">
        <v>176.0</v>
      </c>
      <c r="R57" s="38">
        <v>87.0</v>
      </c>
      <c r="S57" s="38">
        <v>107.0</v>
      </c>
      <c r="T57" s="38">
        <v>22.0</v>
      </c>
      <c r="U57" s="48">
        <f t="shared" si="9"/>
        <v>442</v>
      </c>
      <c r="V57" s="48">
        <f t="shared" si="10"/>
        <v>571</v>
      </c>
      <c r="W57" s="49">
        <f t="shared" si="11"/>
        <v>0.4049773756</v>
      </c>
      <c r="X57" s="49">
        <f t="shared" si="12"/>
        <v>0.3981900452</v>
      </c>
      <c r="Y57" s="49">
        <f t="shared" si="13"/>
        <v>0.1968325792</v>
      </c>
      <c r="Z57" s="32" t="str">
        <f t="shared" si="14"/>
        <v>Jango</v>
      </c>
      <c r="AA57" s="50" t="s">
        <v>77</v>
      </c>
      <c r="AB57" s="38">
        <v>640.0</v>
      </c>
      <c r="AC57" s="48">
        <f t="shared" si="17"/>
        <v>69</v>
      </c>
      <c r="AD57" s="51">
        <f t="shared" si="18"/>
        <v>0.8921875</v>
      </c>
    </row>
    <row r="58">
      <c r="A58" s="23"/>
      <c r="B58" s="46" t="s">
        <v>2047</v>
      </c>
      <c r="C58" s="47"/>
      <c r="D58" s="38">
        <v>523.0</v>
      </c>
      <c r="E58" s="38">
        <v>250.0</v>
      </c>
      <c r="F58" s="38">
        <v>96.0</v>
      </c>
      <c r="G58" s="38">
        <v>39.0</v>
      </c>
      <c r="H58" s="38">
        <v>46.0</v>
      </c>
      <c r="I58" s="48">
        <f t="shared" si="3"/>
        <v>869</v>
      </c>
      <c r="J58" s="48">
        <f t="shared" si="4"/>
        <v>954</v>
      </c>
      <c r="K58" s="49">
        <f t="shared" si="5"/>
        <v>0.6018411968</v>
      </c>
      <c r="L58" s="49">
        <f t="shared" si="6"/>
        <v>0.2876869965</v>
      </c>
      <c r="M58" s="49">
        <f t="shared" si="7"/>
        <v>0.1104718067</v>
      </c>
      <c r="N58" s="32" t="str">
        <f t="shared" si="8"/>
        <v>Jânio</v>
      </c>
      <c r="O58" s="50" t="s">
        <v>77</v>
      </c>
      <c r="P58" s="38">
        <v>286.0</v>
      </c>
      <c r="Q58" s="38">
        <v>455.0</v>
      </c>
      <c r="R58" s="38">
        <v>59.0</v>
      </c>
      <c r="S58" s="38">
        <v>113.0</v>
      </c>
      <c r="T58" s="38">
        <v>41.0</v>
      </c>
      <c r="U58" s="48">
        <f t="shared" si="9"/>
        <v>800</v>
      </c>
      <c r="V58" s="48">
        <f t="shared" si="10"/>
        <v>954</v>
      </c>
      <c r="W58" s="49">
        <f t="shared" si="11"/>
        <v>0.3575</v>
      </c>
      <c r="X58" s="49">
        <f t="shared" si="12"/>
        <v>0.56875</v>
      </c>
      <c r="Y58" s="49">
        <f t="shared" si="13"/>
        <v>0.07375</v>
      </c>
      <c r="Z58" s="32" t="str">
        <f t="shared" si="14"/>
        <v>Milton</v>
      </c>
      <c r="AA58" s="50" t="s">
        <v>77</v>
      </c>
      <c r="AB58" s="38">
        <v>1015.0</v>
      </c>
      <c r="AC58" s="48">
        <f t="shared" si="17"/>
        <v>61</v>
      </c>
      <c r="AD58" s="51">
        <f t="shared" si="18"/>
        <v>0.9399014778</v>
      </c>
    </row>
    <row r="59">
      <c r="A59" s="24"/>
      <c r="B59" s="46" t="s">
        <v>2048</v>
      </c>
      <c r="C59" s="47"/>
      <c r="D59" s="38">
        <v>604.0</v>
      </c>
      <c r="E59" s="38">
        <v>89.0</v>
      </c>
      <c r="F59" s="38">
        <v>254.0</v>
      </c>
      <c r="G59" s="38">
        <v>33.0</v>
      </c>
      <c r="H59" s="38">
        <v>58.0</v>
      </c>
      <c r="I59" s="48">
        <f t="shared" si="3"/>
        <v>947</v>
      </c>
      <c r="J59" s="48">
        <f t="shared" si="4"/>
        <v>1038</v>
      </c>
      <c r="K59" s="49">
        <f t="shared" si="5"/>
        <v>0.6378035903</v>
      </c>
      <c r="L59" s="49">
        <f t="shared" si="6"/>
        <v>0.09398099261</v>
      </c>
      <c r="M59" s="49">
        <f t="shared" si="7"/>
        <v>0.2682154171</v>
      </c>
      <c r="N59" s="32" t="str">
        <f t="shared" si="8"/>
        <v>Jânio</v>
      </c>
      <c r="O59" s="50" t="s">
        <v>77</v>
      </c>
      <c r="P59" s="38">
        <v>140.0</v>
      </c>
      <c r="Q59" s="38">
        <v>413.0</v>
      </c>
      <c r="R59" s="38">
        <v>259.0</v>
      </c>
      <c r="S59" s="38">
        <v>189.0</v>
      </c>
      <c r="T59" s="38">
        <v>37.0</v>
      </c>
      <c r="U59" s="48">
        <f t="shared" si="9"/>
        <v>812</v>
      </c>
      <c r="V59" s="48">
        <f t="shared" si="10"/>
        <v>1038</v>
      </c>
      <c r="W59" s="49">
        <f t="shared" si="11"/>
        <v>0.1724137931</v>
      </c>
      <c r="X59" s="49">
        <f t="shared" si="12"/>
        <v>0.5086206897</v>
      </c>
      <c r="Y59" s="49">
        <f t="shared" si="13"/>
        <v>0.3189655172</v>
      </c>
      <c r="Z59" s="32" t="str">
        <f t="shared" si="14"/>
        <v>Milton</v>
      </c>
      <c r="AA59" s="50" t="s">
        <v>77</v>
      </c>
      <c r="AB59" s="38">
        <v>1279.0</v>
      </c>
      <c r="AC59" s="48">
        <f t="shared" si="17"/>
        <v>241</v>
      </c>
      <c r="AD59" s="51">
        <f t="shared" si="18"/>
        <v>0.8115715403</v>
      </c>
    </row>
    <row r="60">
      <c r="A60" s="61" t="s">
        <v>125</v>
      </c>
      <c r="B60" s="46" t="s">
        <v>2049</v>
      </c>
      <c r="C60" s="47"/>
      <c r="D60" s="38">
        <v>4372.0</v>
      </c>
      <c r="E60" s="38">
        <v>1084.0</v>
      </c>
      <c r="F60" s="38">
        <v>2448.0</v>
      </c>
      <c r="G60" s="38">
        <v>121.0</v>
      </c>
      <c r="H60" s="38">
        <v>308.0</v>
      </c>
      <c r="I60" s="48">
        <f t="shared" si="3"/>
        <v>7904</v>
      </c>
      <c r="J60" s="48">
        <f t="shared" si="4"/>
        <v>8333</v>
      </c>
      <c r="K60" s="49">
        <f t="shared" si="5"/>
        <v>0.5531376518</v>
      </c>
      <c r="L60" s="49">
        <f t="shared" si="6"/>
        <v>0.137145749</v>
      </c>
      <c r="M60" s="49">
        <f t="shared" si="7"/>
        <v>0.3097165992</v>
      </c>
      <c r="N60" s="32" t="str">
        <f t="shared" si="8"/>
        <v>Jânio</v>
      </c>
      <c r="O60" s="50" t="s">
        <v>77</v>
      </c>
      <c r="P60" s="38">
        <v>2883.0</v>
      </c>
      <c r="Q60" s="38">
        <v>4031.0</v>
      </c>
      <c r="R60" s="38">
        <v>616.0</v>
      </c>
      <c r="S60" s="38">
        <v>581.0</v>
      </c>
      <c r="T60" s="38">
        <v>222.0</v>
      </c>
      <c r="U60" s="48">
        <f t="shared" si="9"/>
        <v>7530</v>
      </c>
      <c r="V60" s="48">
        <f t="shared" si="10"/>
        <v>8333</v>
      </c>
      <c r="W60" s="49">
        <f t="shared" si="11"/>
        <v>0.3828685259</v>
      </c>
      <c r="X60" s="49">
        <f t="shared" si="12"/>
        <v>0.5353253652</v>
      </c>
      <c r="Y60" s="49">
        <f t="shared" si="13"/>
        <v>0.0818061089</v>
      </c>
      <c r="Z60" s="32" t="str">
        <f t="shared" si="14"/>
        <v>Milton</v>
      </c>
      <c r="AA60" s="50" t="s">
        <v>77</v>
      </c>
      <c r="AB60" s="38">
        <v>9107.0</v>
      </c>
      <c r="AC60" s="48">
        <f t="shared" si="17"/>
        <v>774</v>
      </c>
      <c r="AD60" s="51">
        <f t="shared" si="18"/>
        <v>0.9150104315</v>
      </c>
    </row>
    <row r="61">
      <c r="A61" s="23"/>
      <c r="B61" s="46" t="s">
        <v>2050</v>
      </c>
      <c r="C61" s="47"/>
      <c r="D61" s="38">
        <v>1055.0</v>
      </c>
      <c r="E61" s="38">
        <v>288.0</v>
      </c>
      <c r="F61" s="38">
        <v>762.0</v>
      </c>
      <c r="G61" s="38">
        <v>43.0</v>
      </c>
      <c r="H61" s="38">
        <v>85.0</v>
      </c>
      <c r="I61" s="48">
        <f t="shared" si="3"/>
        <v>2105</v>
      </c>
      <c r="J61" s="48">
        <f t="shared" si="4"/>
        <v>2233</v>
      </c>
      <c r="K61" s="49">
        <f t="shared" si="5"/>
        <v>0.5011876485</v>
      </c>
      <c r="L61" s="49">
        <f t="shared" si="6"/>
        <v>0.1368171021</v>
      </c>
      <c r="M61" s="49">
        <f t="shared" si="7"/>
        <v>0.3619952494</v>
      </c>
      <c r="N61" s="32" t="str">
        <f t="shared" si="8"/>
        <v>Jânio</v>
      </c>
      <c r="O61" s="50" t="s">
        <v>77</v>
      </c>
      <c r="P61" s="38">
        <v>759.0</v>
      </c>
      <c r="Q61" s="38">
        <v>919.0</v>
      </c>
      <c r="R61" s="38">
        <v>236.0</v>
      </c>
      <c r="S61" s="38">
        <v>259.0</v>
      </c>
      <c r="T61" s="38">
        <v>60.0</v>
      </c>
      <c r="U61" s="48">
        <f t="shared" si="9"/>
        <v>1914</v>
      </c>
      <c r="V61" s="48">
        <f t="shared" si="10"/>
        <v>2233</v>
      </c>
      <c r="W61" s="49">
        <f t="shared" si="11"/>
        <v>0.3965517241</v>
      </c>
      <c r="X61" s="49">
        <f t="shared" si="12"/>
        <v>0.4801462905</v>
      </c>
      <c r="Y61" s="49">
        <f t="shared" si="13"/>
        <v>0.1233019854</v>
      </c>
      <c r="Z61" s="32" t="str">
        <f t="shared" si="14"/>
        <v>Milton</v>
      </c>
      <c r="AA61" s="50" t="s">
        <v>77</v>
      </c>
      <c r="AB61" s="38">
        <v>2512.0</v>
      </c>
      <c r="AC61" s="48">
        <f t="shared" si="17"/>
        <v>279</v>
      </c>
      <c r="AD61" s="51">
        <f t="shared" si="18"/>
        <v>0.888933121</v>
      </c>
    </row>
    <row r="62">
      <c r="A62" s="23"/>
      <c r="B62" s="46" t="s">
        <v>2051</v>
      </c>
      <c r="C62" s="47"/>
      <c r="D62" s="38">
        <v>834.0</v>
      </c>
      <c r="E62" s="38">
        <v>75.0</v>
      </c>
      <c r="F62" s="38">
        <v>546.0</v>
      </c>
      <c r="G62" s="38">
        <v>34.0</v>
      </c>
      <c r="H62" s="38">
        <v>46.0</v>
      </c>
      <c r="I62" s="48">
        <f t="shared" si="3"/>
        <v>1455</v>
      </c>
      <c r="J62" s="48">
        <f t="shared" si="4"/>
        <v>1535</v>
      </c>
      <c r="K62" s="49">
        <f t="shared" si="5"/>
        <v>0.5731958763</v>
      </c>
      <c r="L62" s="49">
        <f t="shared" si="6"/>
        <v>0.05154639175</v>
      </c>
      <c r="M62" s="49">
        <f t="shared" si="7"/>
        <v>0.375257732</v>
      </c>
      <c r="N62" s="32" t="str">
        <f t="shared" si="8"/>
        <v>Jânio</v>
      </c>
      <c r="O62" s="50" t="s">
        <v>77</v>
      </c>
      <c r="P62" s="38">
        <v>462.0</v>
      </c>
      <c r="Q62" s="38">
        <v>662.0</v>
      </c>
      <c r="R62" s="38">
        <v>102.0</v>
      </c>
      <c r="S62" s="38">
        <v>285.0</v>
      </c>
      <c r="T62" s="38">
        <v>24.0</v>
      </c>
      <c r="U62" s="48">
        <f t="shared" si="9"/>
        <v>1226</v>
      </c>
      <c r="V62" s="48">
        <f t="shared" si="10"/>
        <v>1535</v>
      </c>
      <c r="W62" s="49">
        <f t="shared" si="11"/>
        <v>0.3768352365</v>
      </c>
      <c r="X62" s="49">
        <f t="shared" si="12"/>
        <v>0.5399673736</v>
      </c>
      <c r="Y62" s="49">
        <f t="shared" si="13"/>
        <v>0.08319738989</v>
      </c>
      <c r="Z62" s="32" t="str">
        <f t="shared" si="14"/>
        <v>Milton</v>
      </c>
      <c r="AA62" s="50" t="s">
        <v>77</v>
      </c>
      <c r="AB62" s="38">
        <v>1714.0</v>
      </c>
      <c r="AC62" s="48">
        <f t="shared" si="17"/>
        <v>179</v>
      </c>
      <c r="AD62" s="51">
        <f t="shared" si="18"/>
        <v>0.8955659277</v>
      </c>
    </row>
    <row r="63">
      <c r="A63" s="23"/>
      <c r="B63" s="46" t="s">
        <v>2052</v>
      </c>
      <c r="C63" s="47"/>
      <c r="D63" s="38">
        <v>631.0</v>
      </c>
      <c r="E63" s="38">
        <v>38.0</v>
      </c>
      <c r="F63" s="38">
        <v>431.0</v>
      </c>
      <c r="G63" s="38">
        <v>13.0</v>
      </c>
      <c r="H63" s="38">
        <v>39.0</v>
      </c>
      <c r="I63" s="48">
        <f t="shared" si="3"/>
        <v>1100</v>
      </c>
      <c r="J63" s="48">
        <f t="shared" si="4"/>
        <v>1152</v>
      </c>
      <c r="K63" s="49">
        <f t="shared" si="5"/>
        <v>0.5736363636</v>
      </c>
      <c r="L63" s="49">
        <f t="shared" si="6"/>
        <v>0.03454545455</v>
      </c>
      <c r="M63" s="49">
        <f t="shared" si="7"/>
        <v>0.3918181818</v>
      </c>
      <c r="N63" s="32" t="str">
        <f t="shared" si="8"/>
        <v>Jânio</v>
      </c>
      <c r="O63" s="50" t="s">
        <v>77</v>
      </c>
      <c r="P63" s="38">
        <v>264.0</v>
      </c>
      <c r="Q63" s="38">
        <v>174.0</v>
      </c>
      <c r="R63" s="38">
        <v>500.0</v>
      </c>
      <c r="S63" s="38">
        <v>198.0</v>
      </c>
      <c r="T63" s="38">
        <v>16.0</v>
      </c>
      <c r="U63" s="48">
        <f t="shared" si="9"/>
        <v>938</v>
      </c>
      <c r="V63" s="48">
        <f t="shared" si="10"/>
        <v>1152</v>
      </c>
      <c r="W63" s="49">
        <f t="shared" si="11"/>
        <v>0.2814498934</v>
      </c>
      <c r="X63" s="49">
        <f t="shared" si="12"/>
        <v>0.1855010661</v>
      </c>
      <c r="Y63" s="49">
        <f t="shared" si="13"/>
        <v>0.5330490405</v>
      </c>
      <c r="Z63" s="32" t="str">
        <f t="shared" si="14"/>
        <v>Ferrari</v>
      </c>
      <c r="AA63" s="50" t="s">
        <v>77</v>
      </c>
      <c r="AB63" s="38">
        <v>1266.0</v>
      </c>
      <c r="AC63" s="48">
        <f t="shared" si="17"/>
        <v>114</v>
      </c>
      <c r="AD63" s="51">
        <f t="shared" si="18"/>
        <v>0.9099526066</v>
      </c>
    </row>
    <row r="64">
      <c r="A64" s="24"/>
      <c r="B64" s="46" t="s">
        <v>2053</v>
      </c>
      <c r="C64" s="47"/>
      <c r="D64" s="38">
        <v>413.0</v>
      </c>
      <c r="E64" s="38">
        <v>369.0</v>
      </c>
      <c r="F64" s="55">
        <v>307.0</v>
      </c>
      <c r="G64" s="38">
        <v>29.0</v>
      </c>
      <c r="H64" s="38">
        <v>61.0</v>
      </c>
      <c r="I64" s="48">
        <f t="shared" si="3"/>
        <v>1089</v>
      </c>
      <c r="J64" s="114">
        <f t="shared" si="4"/>
        <v>1179</v>
      </c>
      <c r="K64" s="49">
        <f t="shared" si="5"/>
        <v>0.3792470156</v>
      </c>
      <c r="L64" s="49">
        <f t="shared" si="6"/>
        <v>0.3388429752</v>
      </c>
      <c r="M64" s="49">
        <f t="shared" si="7"/>
        <v>0.2819100092</v>
      </c>
      <c r="N64" s="32" t="str">
        <f t="shared" si="8"/>
        <v>Jânio</v>
      </c>
      <c r="O64" s="50" t="s">
        <v>77</v>
      </c>
      <c r="P64" s="38">
        <v>123.0</v>
      </c>
      <c r="Q64" s="38">
        <v>374.0</v>
      </c>
      <c r="R64" s="38">
        <v>538.0</v>
      </c>
      <c r="S64" s="38">
        <v>105.0</v>
      </c>
      <c r="T64" s="38">
        <v>39.0</v>
      </c>
      <c r="U64" s="48">
        <f t="shared" si="9"/>
        <v>1035</v>
      </c>
      <c r="V64" s="48">
        <f t="shared" si="10"/>
        <v>1179</v>
      </c>
      <c r="W64" s="49">
        <f t="shared" si="11"/>
        <v>0.1188405797</v>
      </c>
      <c r="X64" s="49">
        <f t="shared" si="12"/>
        <v>0.361352657</v>
      </c>
      <c r="Y64" s="49">
        <f t="shared" si="13"/>
        <v>0.5198067633</v>
      </c>
      <c r="Z64" s="32" t="str">
        <f t="shared" si="14"/>
        <v>Ferrari</v>
      </c>
      <c r="AA64" s="50" t="s">
        <v>77</v>
      </c>
      <c r="AB64" s="38">
        <v>1353.0</v>
      </c>
      <c r="AC64" s="48">
        <f t="shared" si="17"/>
        <v>174</v>
      </c>
      <c r="AD64" s="51">
        <f t="shared" si="18"/>
        <v>0.8713968958</v>
      </c>
    </row>
    <row r="65">
      <c r="A65" s="110" t="s">
        <v>127</v>
      </c>
      <c r="B65" s="46" t="s">
        <v>2054</v>
      </c>
      <c r="C65" s="47"/>
      <c r="D65" s="38">
        <v>1098.0</v>
      </c>
      <c r="E65" s="38">
        <v>286.0</v>
      </c>
      <c r="F65" s="38">
        <v>617.0</v>
      </c>
      <c r="G65" s="38">
        <v>33.0</v>
      </c>
      <c r="H65" s="38">
        <v>103.0</v>
      </c>
      <c r="I65" s="48">
        <f t="shared" si="3"/>
        <v>2001</v>
      </c>
      <c r="J65" s="48">
        <f t="shared" si="4"/>
        <v>2137</v>
      </c>
      <c r="K65" s="49">
        <f t="shared" si="5"/>
        <v>0.5487256372</v>
      </c>
      <c r="L65" s="49">
        <f t="shared" si="6"/>
        <v>0.1429285357</v>
      </c>
      <c r="M65" s="49">
        <f t="shared" si="7"/>
        <v>0.3083458271</v>
      </c>
      <c r="N65" s="32" t="str">
        <f t="shared" si="8"/>
        <v>Jânio</v>
      </c>
      <c r="O65" s="50" t="s">
        <v>77</v>
      </c>
      <c r="P65" s="38">
        <v>802.0</v>
      </c>
      <c r="Q65" s="38">
        <v>963.0</v>
      </c>
      <c r="R65" s="38">
        <v>139.0</v>
      </c>
      <c r="S65" s="38">
        <v>167.0</v>
      </c>
      <c r="T65" s="38">
        <v>66.0</v>
      </c>
      <c r="U65" s="48">
        <f t="shared" si="9"/>
        <v>1904</v>
      </c>
      <c r="V65" s="48">
        <f t="shared" si="10"/>
        <v>2137</v>
      </c>
      <c r="W65" s="49">
        <f t="shared" si="11"/>
        <v>0.4212184874</v>
      </c>
      <c r="X65" s="49">
        <f t="shared" si="12"/>
        <v>0.5057773109</v>
      </c>
      <c r="Y65" s="49">
        <f t="shared" si="13"/>
        <v>0.07300420168</v>
      </c>
      <c r="Z65" s="32" t="str">
        <f t="shared" si="14"/>
        <v>Milton</v>
      </c>
      <c r="AA65" s="50" t="s">
        <v>77</v>
      </c>
      <c r="AB65" s="38">
        <v>2455.0</v>
      </c>
      <c r="AC65" s="48">
        <f t="shared" si="17"/>
        <v>318</v>
      </c>
      <c r="AD65" s="51">
        <f t="shared" si="18"/>
        <v>0.8704684318</v>
      </c>
    </row>
    <row r="66">
      <c r="A66" s="61" t="s">
        <v>129</v>
      </c>
      <c r="B66" s="46" t="s">
        <v>2055</v>
      </c>
      <c r="C66" s="47"/>
      <c r="D66" s="38">
        <v>2034.0</v>
      </c>
      <c r="E66" s="38">
        <v>312.0</v>
      </c>
      <c r="F66" s="38">
        <v>1537.0</v>
      </c>
      <c r="G66" s="38">
        <v>116.0</v>
      </c>
      <c r="H66" s="38">
        <v>133.0</v>
      </c>
      <c r="I66" s="48">
        <f t="shared" si="3"/>
        <v>3883</v>
      </c>
      <c r="J66" s="48">
        <f t="shared" si="4"/>
        <v>4132</v>
      </c>
      <c r="K66" s="49">
        <f t="shared" si="5"/>
        <v>0.5238217873</v>
      </c>
      <c r="L66" s="49">
        <f t="shared" si="6"/>
        <v>0.08035024466</v>
      </c>
      <c r="M66" s="49">
        <f t="shared" si="7"/>
        <v>0.3958279681</v>
      </c>
      <c r="N66" s="32" t="str">
        <f t="shared" si="8"/>
        <v>Jânio</v>
      </c>
      <c r="O66" s="50" t="s">
        <v>77</v>
      </c>
      <c r="P66" s="38">
        <v>1080.0</v>
      </c>
      <c r="Q66" s="38">
        <v>1604.0</v>
      </c>
      <c r="R66" s="38">
        <v>1067.0</v>
      </c>
      <c r="S66" s="38">
        <v>272.0</v>
      </c>
      <c r="T66" s="38">
        <v>109.0</v>
      </c>
      <c r="U66" s="48">
        <f t="shared" si="9"/>
        <v>3751</v>
      </c>
      <c r="V66" s="48">
        <f t="shared" si="10"/>
        <v>4132</v>
      </c>
      <c r="W66" s="49">
        <f t="shared" si="11"/>
        <v>0.2879232205</v>
      </c>
      <c r="X66" s="49">
        <f t="shared" si="12"/>
        <v>0.4276193015</v>
      </c>
      <c r="Y66" s="49">
        <f t="shared" si="13"/>
        <v>0.284457478</v>
      </c>
      <c r="Z66" s="32" t="str">
        <f t="shared" si="14"/>
        <v>Milton</v>
      </c>
      <c r="AA66" s="50" t="s">
        <v>77</v>
      </c>
      <c r="AB66" s="38">
        <v>4698.0</v>
      </c>
      <c r="AC66" s="48">
        <f t="shared" si="17"/>
        <v>566</v>
      </c>
      <c r="AD66" s="51">
        <f t="shared" si="18"/>
        <v>0.8795232014</v>
      </c>
    </row>
    <row r="67">
      <c r="A67" s="24"/>
      <c r="B67" s="46" t="s">
        <v>2056</v>
      </c>
      <c r="C67" s="47"/>
      <c r="D67" s="38">
        <v>403.0</v>
      </c>
      <c r="E67" s="38">
        <v>53.0</v>
      </c>
      <c r="F67" s="38">
        <v>170.0</v>
      </c>
      <c r="G67" s="38">
        <v>29.0</v>
      </c>
      <c r="H67" s="38">
        <v>45.0</v>
      </c>
      <c r="I67" s="48">
        <f t="shared" si="3"/>
        <v>626</v>
      </c>
      <c r="J67" s="48">
        <f t="shared" si="4"/>
        <v>700</v>
      </c>
      <c r="K67" s="49">
        <f t="shared" si="5"/>
        <v>0.6437699681</v>
      </c>
      <c r="L67" s="49">
        <f t="shared" si="6"/>
        <v>0.08466453674</v>
      </c>
      <c r="M67" s="49">
        <f t="shared" si="7"/>
        <v>0.2715654952</v>
      </c>
      <c r="N67" s="32" t="str">
        <f t="shared" si="8"/>
        <v>Jânio</v>
      </c>
      <c r="O67" s="50" t="s">
        <v>77</v>
      </c>
      <c r="P67" s="38">
        <v>194.0</v>
      </c>
      <c r="Q67" s="38">
        <v>276.0</v>
      </c>
      <c r="R67" s="38">
        <v>88.0</v>
      </c>
      <c r="S67" s="38">
        <v>104.0</v>
      </c>
      <c r="T67" s="38">
        <v>38.0</v>
      </c>
      <c r="U67" s="48">
        <f t="shared" si="9"/>
        <v>558</v>
      </c>
      <c r="V67" s="48">
        <f t="shared" si="10"/>
        <v>700</v>
      </c>
      <c r="W67" s="49">
        <f t="shared" si="11"/>
        <v>0.3476702509</v>
      </c>
      <c r="X67" s="49">
        <f t="shared" si="12"/>
        <v>0.4946236559</v>
      </c>
      <c r="Y67" s="49">
        <f t="shared" si="13"/>
        <v>0.1577060932</v>
      </c>
      <c r="Z67" s="32" t="str">
        <f t="shared" si="14"/>
        <v>Milton</v>
      </c>
      <c r="AA67" s="50" t="s">
        <v>77</v>
      </c>
      <c r="AB67" s="38">
        <v>817.0</v>
      </c>
      <c r="AC67" s="48">
        <f t="shared" si="17"/>
        <v>117</v>
      </c>
      <c r="AD67" s="51">
        <f t="shared" si="18"/>
        <v>0.8567931457</v>
      </c>
    </row>
    <row r="68">
      <c r="A68" s="110" t="s">
        <v>131</v>
      </c>
      <c r="B68" s="46" t="s">
        <v>2057</v>
      </c>
      <c r="C68" s="47"/>
      <c r="D68" s="38">
        <v>493.0</v>
      </c>
      <c r="E68" s="38">
        <v>172.0</v>
      </c>
      <c r="F68" s="38">
        <v>173.0</v>
      </c>
      <c r="G68" s="38">
        <v>22.0</v>
      </c>
      <c r="H68" s="38">
        <v>25.0</v>
      </c>
      <c r="I68" s="48">
        <f t="shared" si="3"/>
        <v>838</v>
      </c>
      <c r="J68" s="48">
        <f t="shared" si="4"/>
        <v>885</v>
      </c>
      <c r="K68" s="49">
        <f t="shared" si="5"/>
        <v>0.5883054893</v>
      </c>
      <c r="L68" s="49">
        <f t="shared" si="6"/>
        <v>0.2052505967</v>
      </c>
      <c r="M68" s="49">
        <f t="shared" si="7"/>
        <v>0.2064439141</v>
      </c>
      <c r="N68" s="32" t="str">
        <f t="shared" si="8"/>
        <v>Jânio</v>
      </c>
      <c r="O68" s="50" t="s">
        <v>77</v>
      </c>
      <c r="P68" s="38">
        <v>197.0</v>
      </c>
      <c r="Q68" s="38">
        <v>358.0</v>
      </c>
      <c r="R68" s="38">
        <v>225.0</v>
      </c>
      <c r="S68" s="38">
        <v>84.0</v>
      </c>
      <c r="T68" s="38">
        <v>21.0</v>
      </c>
      <c r="U68" s="48">
        <f t="shared" si="9"/>
        <v>780</v>
      </c>
      <c r="V68" s="48">
        <f t="shared" si="10"/>
        <v>885</v>
      </c>
      <c r="W68" s="49">
        <f t="shared" si="11"/>
        <v>0.2525641026</v>
      </c>
      <c r="X68" s="49">
        <f t="shared" si="12"/>
        <v>0.458974359</v>
      </c>
      <c r="Y68" s="49">
        <f t="shared" si="13"/>
        <v>0.2884615385</v>
      </c>
      <c r="Z68" s="32" t="str">
        <f t="shared" si="14"/>
        <v>Milton</v>
      </c>
      <c r="AA68" s="50" t="s">
        <v>77</v>
      </c>
      <c r="AB68" s="38">
        <v>1024.0</v>
      </c>
      <c r="AC68" s="48">
        <f t="shared" si="17"/>
        <v>139</v>
      </c>
      <c r="AD68" s="51">
        <f t="shared" si="18"/>
        <v>0.8642578125</v>
      </c>
    </row>
    <row r="69">
      <c r="A69" s="61" t="s">
        <v>133</v>
      </c>
      <c r="B69" s="46" t="s">
        <v>2058</v>
      </c>
      <c r="C69" s="47"/>
      <c r="D69" s="38">
        <v>8608.0</v>
      </c>
      <c r="E69" s="38">
        <v>3161.0</v>
      </c>
      <c r="F69" s="38">
        <v>3393.0</v>
      </c>
      <c r="G69" s="38">
        <v>308.0</v>
      </c>
      <c r="H69" s="38">
        <v>380.0</v>
      </c>
      <c r="I69" s="48">
        <f t="shared" si="3"/>
        <v>15162</v>
      </c>
      <c r="J69" s="48">
        <f t="shared" si="4"/>
        <v>15850</v>
      </c>
      <c r="K69" s="49">
        <f t="shared" si="5"/>
        <v>0.5677351273</v>
      </c>
      <c r="L69" s="49">
        <f t="shared" si="6"/>
        <v>0.2084817306</v>
      </c>
      <c r="M69" s="49">
        <f t="shared" si="7"/>
        <v>0.2237831421</v>
      </c>
      <c r="N69" s="32" t="str">
        <f t="shared" si="8"/>
        <v>Jânio</v>
      </c>
      <c r="O69" s="50" t="s">
        <v>77</v>
      </c>
      <c r="P69" s="38">
        <v>4538.0</v>
      </c>
      <c r="Q69" s="38">
        <v>5868.0</v>
      </c>
      <c r="R69" s="38">
        <v>4273.0</v>
      </c>
      <c r="S69" s="38">
        <v>896.0</v>
      </c>
      <c r="T69" s="38">
        <v>275.0</v>
      </c>
      <c r="U69" s="48">
        <f t="shared" si="9"/>
        <v>14679</v>
      </c>
      <c r="V69" s="48">
        <f t="shared" si="10"/>
        <v>15850</v>
      </c>
      <c r="W69" s="49">
        <f t="shared" si="11"/>
        <v>0.3091491246</v>
      </c>
      <c r="X69" s="49">
        <f t="shared" si="12"/>
        <v>0.3997547517</v>
      </c>
      <c r="Y69" s="49">
        <f t="shared" si="13"/>
        <v>0.2910961237</v>
      </c>
      <c r="Z69" s="32" t="str">
        <f t="shared" si="14"/>
        <v>Milton</v>
      </c>
      <c r="AA69" s="50" t="s">
        <v>77</v>
      </c>
      <c r="AB69" s="38">
        <v>18032.0</v>
      </c>
      <c r="AC69" s="48">
        <f t="shared" si="17"/>
        <v>2182</v>
      </c>
      <c r="AD69" s="51">
        <f t="shared" si="18"/>
        <v>0.8789929015</v>
      </c>
    </row>
    <row r="70">
      <c r="A70" s="23"/>
      <c r="B70" s="46" t="s">
        <v>2059</v>
      </c>
      <c r="C70" s="47"/>
      <c r="D70" s="38">
        <v>1275.0</v>
      </c>
      <c r="E70" s="38">
        <v>439.0</v>
      </c>
      <c r="F70" s="38">
        <v>714.0</v>
      </c>
      <c r="G70" s="38">
        <v>65.0</v>
      </c>
      <c r="H70" s="38">
        <v>106.0</v>
      </c>
      <c r="I70" s="48">
        <f t="shared" si="3"/>
        <v>2428</v>
      </c>
      <c r="J70" s="48">
        <f t="shared" si="4"/>
        <v>2599</v>
      </c>
      <c r="K70" s="49">
        <f t="shared" si="5"/>
        <v>0.5251235585</v>
      </c>
      <c r="L70" s="49">
        <f t="shared" si="6"/>
        <v>0.1808072488</v>
      </c>
      <c r="M70" s="49">
        <f t="shared" si="7"/>
        <v>0.2940691928</v>
      </c>
      <c r="N70" s="32" t="str">
        <f t="shared" si="8"/>
        <v>Jânio</v>
      </c>
      <c r="O70" s="50" t="s">
        <v>77</v>
      </c>
      <c r="P70" s="38">
        <v>641.0</v>
      </c>
      <c r="Q70" s="38">
        <v>780.0</v>
      </c>
      <c r="R70" s="38">
        <v>840.0</v>
      </c>
      <c r="S70" s="38">
        <v>250.0</v>
      </c>
      <c r="T70" s="38">
        <v>88.0</v>
      </c>
      <c r="U70" s="48">
        <f t="shared" si="9"/>
        <v>2261</v>
      </c>
      <c r="V70" s="48">
        <f t="shared" si="10"/>
        <v>2599</v>
      </c>
      <c r="W70" s="49">
        <f t="shared" si="11"/>
        <v>0.2835028748</v>
      </c>
      <c r="X70" s="49">
        <f t="shared" si="12"/>
        <v>0.3449800973</v>
      </c>
      <c r="Y70" s="49">
        <f t="shared" si="13"/>
        <v>0.3715170279</v>
      </c>
      <c r="Z70" s="32" t="str">
        <f t="shared" si="14"/>
        <v>Ferrari</v>
      </c>
      <c r="AA70" s="50" t="s">
        <v>77</v>
      </c>
      <c r="AB70" s="38">
        <v>3054.0</v>
      </c>
      <c r="AC70" s="48">
        <f t="shared" si="17"/>
        <v>455</v>
      </c>
      <c r="AD70" s="51">
        <f t="shared" si="18"/>
        <v>0.8510150622</v>
      </c>
    </row>
    <row r="71">
      <c r="A71" s="23"/>
      <c r="B71" s="46" t="s">
        <v>2060</v>
      </c>
      <c r="C71" s="47"/>
      <c r="D71" s="38">
        <v>287.0</v>
      </c>
      <c r="E71" s="38">
        <v>73.0</v>
      </c>
      <c r="F71" s="38">
        <v>123.0</v>
      </c>
      <c r="G71" s="38">
        <v>17.0</v>
      </c>
      <c r="H71" s="38">
        <v>19.0</v>
      </c>
      <c r="I71" s="48">
        <f t="shared" si="3"/>
        <v>483</v>
      </c>
      <c r="J71" s="48">
        <f t="shared" si="4"/>
        <v>519</v>
      </c>
      <c r="K71" s="49">
        <f t="shared" si="5"/>
        <v>0.5942028986</v>
      </c>
      <c r="L71" s="49">
        <f t="shared" si="6"/>
        <v>0.1511387164</v>
      </c>
      <c r="M71" s="49">
        <f t="shared" si="7"/>
        <v>0.2546583851</v>
      </c>
      <c r="N71" s="32" t="str">
        <f t="shared" si="8"/>
        <v>Jânio</v>
      </c>
      <c r="O71" s="50" t="s">
        <v>77</v>
      </c>
      <c r="P71" s="38">
        <v>117.0</v>
      </c>
      <c r="Q71" s="38">
        <v>228.0</v>
      </c>
      <c r="R71" s="38">
        <v>68.0</v>
      </c>
      <c r="S71" s="38">
        <v>95.0</v>
      </c>
      <c r="T71" s="38">
        <v>11.0</v>
      </c>
      <c r="U71" s="48">
        <f t="shared" si="9"/>
        <v>413</v>
      </c>
      <c r="V71" s="48">
        <f t="shared" si="10"/>
        <v>519</v>
      </c>
      <c r="W71" s="49">
        <f t="shared" si="11"/>
        <v>0.2832929782</v>
      </c>
      <c r="X71" s="49">
        <f t="shared" si="12"/>
        <v>0.5520581114</v>
      </c>
      <c r="Y71" s="49">
        <f t="shared" si="13"/>
        <v>0.1646489104</v>
      </c>
      <c r="Z71" s="32" t="str">
        <f t="shared" si="14"/>
        <v>Milton</v>
      </c>
      <c r="AA71" s="50" t="s">
        <v>77</v>
      </c>
      <c r="AB71" s="38">
        <v>643.0</v>
      </c>
      <c r="AC71" s="48">
        <f t="shared" si="17"/>
        <v>124</v>
      </c>
      <c r="AD71" s="51">
        <f t="shared" si="18"/>
        <v>0.8071539658</v>
      </c>
    </row>
    <row r="72">
      <c r="A72" s="24"/>
      <c r="B72" s="46" t="s">
        <v>2061</v>
      </c>
      <c r="C72" s="47"/>
      <c r="D72" s="38">
        <v>919.0</v>
      </c>
      <c r="E72" s="38">
        <v>183.0</v>
      </c>
      <c r="F72" s="38">
        <v>256.0</v>
      </c>
      <c r="G72" s="38">
        <v>34.0</v>
      </c>
      <c r="H72" s="38">
        <v>41.0</v>
      </c>
      <c r="I72" s="48">
        <f t="shared" si="3"/>
        <v>1358</v>
      </c>
      <c r="J72" s="48">
        <f t="shared" si="4"/>
        <v>1433</v>
      </c>
      <c r="K72" s="49">
        <f t="shared" si="5"/>
        <v>0.676730486</v>
      </c>
      <c r="L72" s="49">
        <f t="shared" si="6"/>
        <v>0.1347569956</v>
      </c>
      <c r="M72" s="49">
        <f t="shared" si="7"/>
        <v>0.1885125184</v>
      </c>
      <c r="N72" s="32" t="str">
        <f t="shared" si="8"/>
        <v>Jânio</v>
      </c>
      <c r="O72" s="50" t="s">
        <v>77</v>
      </c>
      <c r="P72" s="38">
        <v>344.0</v>
      </c>
      <c r="Q72" s="38">
        <v>776.0</v>
      </c>
      <c r="R72" s="38">
        <v>179.0</v>
      </c>
      <c r="S72" s="38">
        <v>109.0</v>
      </c>
      <c r="T72" s="38">
        <v>25.0</v>
      </c>
      <c r="U72" s="48">
        <f t="shared" si="9"/>
        <v>1299</v>
      </c>
      <c r="V72" s="48">
        <f t="shared" si="10"/>
        <v>1433</v>
      </c>
      <c r="W72" s="49">
        <f t="shared" si="11"/>
        <v>0.2648190916</v>
      </c>
      <c r="X72" s="49">
        <f t="shared" si="12"/>
        <v>0.597382602</v>
      </c>
      <c r="Y72" s="49">
        <f t="shared" si="13"/>
        <v>0.1377983064</v>
      </c>
      <c r="Z72" s="32" t="str">
        <f t="shared" si="14"/>
        <v>Milton</v>
      </c>
      <c r="AA72" s="50" t="s">
        <v>77</v>
      </c>
      <c r="AB72" s="38">
        <v>1686.0</v>
      </c>
      <c r="AC72" s="48">
        <f t="shared" si="17"/>
        <v>253</v>
      </c>
      <c r="AD72" s="51">
        <f t="shared" si="18"/>
        <v>0.849940688</v>
      </c>
    </row>
    <row r="73">
      <c r="A73" s="61" t="s">
        <v>135</v>
      </c>
      <c r="B73" s="46" t="s">
        <v>2062</v>
      </c>
      <c r="C73" s="47"/>
      <c r="D73" s="38">
        <v>3476.0</v>
      </c>
      <c r="E73" s="38">
        <v>829.0</v>
      </c>
      <c r="F73" s="38">
        <v>1497.0</v>
      </c>
      <c r="G73" s="38">
        <v>99.0</v>
      </c>
      <c r="H73" s="38">
        <v>160.0</v>
      </c>
      <c r="I73" s="48">
        <f t="shared" si="3"/>
        <v>5802</v>
      </c>
      <c r="J73" s="48">
        <f t="shared" si="4"/>
        <v>6061</v>
      </c>
      <c r="K73" s="49">
        <f t="shared" si="5"/>
        <v>0.5991037573</v>
      </c>
      <c r="L73" s="49">
        <f t="shared" si="6"/>
        <v>0.1428817649</v>
      </c>
      <c r="M73" s="49">
        <f t="shared" si="7"/>
        <v>0.2580144778</v>
      </c>
      <c r="N73" s="32" t="str">
        <f t="shared" si="8"/>
        <v>Jânio</v>
      </c>
      <c r="O73" s="50" t="s">
        <v>77</v>
      </c>
      <c r="P73" s="38">
        <v>1651.0</v>
      </c>
      <c r="Q73" s="38">
        <v>2880.0</v>
      </c>
      <c r="R73" s="38">
        <v>851.0</v>
      </c>
      <c r="S73" s="38">
        <v>512.0</v>
      </c>
      <c r="T73" s="38">
        <v>167.0</v>
      </c>
      <c r="U73" s="48">
        <f t="shared" si="9"/>
        <v>5382</v>
      </c>
      <c r="V73" s="48">
        <f t="shared" si="10"/>
        <v>6061</v>
      </c>
      <c r="W73" s="49">
        <f t="shared" si="11"/>
        <v>0.306763285</v>
      </c>
      <c r="X73" s="49">
        <f t="shared" si="12"/>
        <v>0.5351170569</v>
      </c>
      <c r="Y73" s="49">
        <f t="shared" si="13"/>
        <v>0.1581196581</v>
      </c>
      <c r="Z73" s="32" t="str">
        <f t="shared" si="14"/>
        <v>Milton</v>
      </c>
      <c r="AA73" s="50" t="s">
        <v>77</v>
      </c>
      <c r="AB73" s="38">
        <v>6783.0</v>
      </c>
      <c r="AC73" s="48">
        <f t="shared" si="17"/>
        <v>722</v>
      </c>
      <c r="AD73" s="51">
        <f t="shared" si="18"/>
        <v>0.893557423</v>
      </c>
    </row>
    <row r="74">
      <c r="A74" s="23"/>
      <c r="B74" s="46" t="s">
        <v>2063</v>
      </c>
      <c r="C74" s="47"/>
      <c r="D74" s="38">
        <v>1297.0</v>
      </c>
      <c r="E74" s="38">
        <v>1136.0</v>
      </c>
      <c r="F74" s="38">
        <v>180.0</v>
      </c>
      <c r="G74" s="38">
        <v>59.0</v>
      </c>
      <c r="H74" s="38">
        <v>60.0</v>
      </c>
      <c r="I74" s="48">
        <f t="shared" si="3"/>
        <v>2613</v>
      </c>
      <c r="J74" s="48">
        <f t="shared" si="4"/>
        <v>2732</v>
      </c>
      <c r="K74" s="49">
        <f t="shared" si="5"/>
        <v>0.4963643322</v>
      </c>
      <c r="L74" s="49">
        <f t="shared" si="6"/>
        <v>0.4347493303</v>
      </c>
      <c r="M74" s="49">
        <f t="shared" si="7"/>
        <v>0.06888633754</v>
      </c>
      <c r="N74" s="32" t="str">
        <f t="shared" si="8"/>
        <v>Jânio</v>
      </c>
      <c r="O74" s="50" t="s">
        <v>77</v>
      </c>
      <c r="P74" s="38">
        <v>1178.0</v>
      </c>
      <c r="Q74" s="38">
        <v>1046.0</v>
      </c>
      <c r="R74" s="38">
        <v>281.0</v>
      </c>
      <c r="S74" s="38">
        <v>180.0</v>
      </c>
      <c r="T74" s="38">
        <v>47.0</v>
      </c>
      <c r="U74" s="48">
        <f t="shared" si="9"/>
        <v>2505</v>
      </c>
      <c r="V74" s="48">
        <f t="shared" si="10"/>
        <v>2732</v>
      </c>
      <c r="W74" s="49">
        <f t="shared" si="11"/>
        <v>0.470259481</v>
      </c>
      <c r="X74" s="49">
        <f t="shared" si="12"/>
        <v>0.4175648703</v>
      </c>
      <c r="Y74" s="49">
        <f t="shared" si="13"/>
        <v>0.1121756487</v>
      </c>
      <c r="Z74" s="32" t="str">
        <f t="shared" si="14"/>
        <v>Jango</v>
      </c>
      <c r="AA74" s="50" t="s">
        <v>77</v>
      </c>
      <c r="AB74" s="38">
        <v>3018.0</v>
      </c>
      <c r="AC74" s="48">
        <f t="shared" si="17"/>
        <v>286</v>
      </c>
      <c r="AD74" s="51">
        <f t="shared" si="18"/>
        <v>0.9052352551</v>
      </c>
    </row>
    <row r="75">
      <c r="A75" s="23"/>
      <c r="B75" s="46" t="s">
        <v>2064</v>
      </c>
      <c r="C75" s="47"/>
      <c r="D75" s="38">
        <v>1940.0</v>
      </c>
      <c r="E75" s="38">
        <v>568.0</v>
      </c>
      <c r="F75" s="38">
        <v>702.0</v>
      </c>
      <c r="G75" s="38">
        <v>130.0</v>
      </c>
      <c r="H75" s="38">
        <v>223.0</v>
      </c>
      <c r="I75" s="48">
        <f t="shared" si="3"/>
        <v>3210</v>
      </c>
      <c r="J75" s="48">
        <f t="shared" si="4"/>
        <v>3563</v>
      </c>
      <c r="K75" s="49">
        <f t="shared" si="5"/>
        <v>0.6043613707</v>
      </c>
      <c r="L75" s="49">
        <f t="shared" si="6"/>
        <v>0.1769470405</v>
      </c>
      <c r="M75" s="49">
        <f t="shared" si="7"/>
        <v>0.2186915888</v>
      </c>
      <c r="N75" s="32" t="str">
        <f t="shared" si="8"/>
        <v>Jânio</v>
      </c>
      <c r="O75" s="50" t="s">
        <v>77</v>
      </c>
      <c r="P75" s="38">
        <v>916.0</v>
      </c>
      <c r="Q75" s="38">
        <v>760.0</v>
      </c>
      <c r="R75" s="38">
        <v>1336.0</v>
      </c>
      <c r="S75" s="38">
        <v>431.0</v>
      </c>
      <c r="T75" s="38">
        <v>120.0</v>
      </c>
      <c r="U75" s="48">
        <f t="shared" si="9"/>
        <v>3012</v>
      </c>
      <c r="V75" s="48">
        <f t="shared" si="10"/>
        <v>3563</v>
      </c>
      <c r="W75" s="49">
        <f t="shared" si="11"/>
        <v>0.3041168659</v>
      </c>
      <c r="X75" s="49">
        <f t="shared" si="12"/>
        <v>0.2523240372</v>
      </c>
      <c r="Y75" s="49">
        <f t="shared" si="13"/>
        <v>0.4435590969</v>
      </c>
      <c r="Z75" s="32" t="str">
        <f t="shared" si="14"/>
        <v>Ferrari</v>
      </c>
      <c r="AA75" s="50" t="s">
        <v>77</v>
      </c>
      <c r="AB75" s="38">
        <v>4204.0</v>
      </c>
      <c r="AC75" s="48">
        <f t="shared" si="17"/>
        <v>641</v>
      </c>
      <c r="AD75" s="51">
        <f t="shared" si="18"/>
        <v>0.8475261656</v>
      </c>
    </row>
    <row r="76">
      <c r="A76" s="24"/>
      <c r="B76" s="46" t="s">
        <v>2065</v>
      </c>
      <c r="C76" s="47"/>
      <c r="D76" s="38">
        <v>844.0</v>
      </c>
      <c r="E76" s="38">
        <v>108.0</v>
      </c>
      <c r="F76" s="38">
        <v>346.0</v>
      </c>
      <c r="G76" s="38">
        <v>29.0</v>
      </c>
      <c r="H76" s="38">
        <v>58.0</v>
      </c>
      <c r="I76" s="48">
        <f t="shared" si="3"/>
        <v>1298</v>
      </c>
      <c r="J76" s="48">
        <f t="shared" si="4"/>
        <v>1385</v>
      </c>
      <c r="K76" s="49">
        <f t="shared" si="5"/>
        <v>0.6502311248</v>
      </c>
      <c r="L76" s="49">
        <f t="shared" si="6"/>
        <v>0.08320493066</v>
      </c>
      <c r="M76" s="49">
        <f t="shared" si="7"/>
        <v>0.2665639445</v>
      </c>
      <c r="N76" s="32" t="str">
        <f t="shared" si="8"/>
        <v>Jânio</v>
      </c>
      <c r="O76" s="50" t="s">
        <v>77</v>
      </c>
      <c r="P76" s="38">
        <v>309.0</v>
      </c>
      <c r="Q76" s="38">
        <v>584.0</v>
      </c>
      <c r="R76" s="38">
        <v>283.0</v>
      </c>
      <c r="S76" s="38">
        <v>173.0</v>
      </c>
      <c r="T76" s="38">
        <v>36.0</v>
      </c>
      <c r="U76" s="48">
        <f t="shared" si="9"/>
        <v>1176</v>
      </c>
      <c r="V76" s="48">
        <f t="shared" si="10"/>
        <v>1385</v>
      </c>
      <c r="W76" s="49">
        <f t="shared" si="11"/>
        <v>0.262755102</v>
      </c>
      <c r="X76" s="49">
        <f t="shared" si="12"/>
        <v>0.4965986395</v>
      </c>
      <c r="Y76" s="49">
        <f t="shared" si="13"/>
        <v>0.2406462585</v>
      </c>
      <c r="Z76" s="32" t="str">
        <f t="shared" si="14"/>
        <v>Milton</v>
      </c>
      <c r="AA76" s="50" t="s">
        <v>77</v>
      </c>
      <c r="AB76" s="38">
        <v>1533.0</v>
      </c>
      <c r="AC76" s="48">
        <f t="shared" si="17"/>
        <v>148</v>
      </c>
      <c r="AD76" s="51">
        <f t="shared" si="18"/>
        <v>0.9034572733</v>
      </c>
    </row>
    <row r="77">
      <c r="A77" s="61" t="s">
        <v>193</v>
      </c>
      <c r="B77" s="46" t="s">
        <v>2066</v>
      </c>
      <c r="C77" s="47"/>
      <c r="D77" s="38">
        <v>16556.0</v>
      </c>
      <c r="E77" s="38">
        <v>4732.0</v>
      </c>
      <c r="F77" s="38">
        <v>7538.0</v>
      </c>
      <c r="G77" s="38">
        <v>246.0</v>
      </c>
      <c r="H77" s="38">
        <v>615.0</v>
      </c>
      <c r="I77" s="48">
        <f t="shared" si="3"/>
        <v>28826</v>
      </c>
      <c r="J77" s="48">
        <f t="shared" si="4"/>
        <v>29687</v>
      </c>
      <c r="K77" s="49">
        <f t="shared" si="5"/>
        <v>0.5743426074</v>
      </c>
      <c r="L77" s="49">
        <f t="shared" si="6"/>
        <v>0.1641573579</v>
      </c>
      <c r="M77" s="49">
        <f t="shared" si="7"/>
        <v>0.2615000347</v>
      </c>
      <c r="N77" s="32" t="str">
        <f t="shared" si="8"/>
        <v>Jânio</v>
      </c>
      <c r="O77" s="50" t="s">
        <v>77</v>
      </c>
      <c r="P77" s="38">
        <v>8003.0</v>
      </c>
      <c r="Q77" s="38">
        <v>15043.0</v>
      </c>
      <c r="R77" s="38">
        <v>4856.0</v>
      </c>
      <c r="S77" s="38">
        <v>1344.0</v>
      </c>
      <c r="T77" s="38">
        <v>441.0</v>
      </c>
      <c r="U77" s="48">
        <f t="shared" si="9"/>
        <v>27902</v>
      </c>
      <c r="V77" s="48">
        <f t="shared" si="10"/>
        <v>29687</v>
      </c>
      <c r="W77" s="49">
        <f t="shared" si="11"/>
        <v>0.2868253172</v>
      </c>
      <c r="X77" s="49">
        <f t="shared" si="12"/>
        <v>0.5391369794</v>
      </c>
      <c r="Y77" s="49">
        <f t="shared" si="13"/>
        <v>0.1740377034</v>
      </c>
      <c r="Z77" s="32" t="str">
        <f t="shared" si="14"/>
        <v>Milton</v>
      </c>
      <c r="AA77" s="50" t="s">
        <v>77</v>
      </c>
      <c r="AB77" s="38">
        <v>32864.0</v>
      </c>
      <c r="AC77" s="48">
        <f t="shared" si="17"/>
        <v>3177</v>
      </c>
      <c r="AD77" s="51">
        <f t="shared" si="18"/>
        <v>0.9033288705</v>
      </c>
    </row>
    <row r="78">
      <c r="A78" s="24"/>
      <c r="B78" s="46" t="s">
        <v>2067</v>
      </c>
      <c r="C78" s="47"/>
      <c r="D78" s="38">
        <v>550.0</v>
      </c>
      <c r="E78" s="38">
        <v>75.0</v>
      </c>
      <c r="F78" s="38">
        <v>319.0</v>
      </c>
      <c r="G78" s="38">
        <v>26.0</v>
      </c>
      <c r="H78" s="38">
        <v>31.0</v>
      </c>
      <c r="I78" s="48">
        <f t="shared" si="3"/>
        <v>944</v>
      </c>
      <c r="J78" s="48">
        <f t="shared" si="4"/>
        <v>1001</v>
      </c>
      <c r="K78" s="49">
        <f t="shared" si="5"/>
        <v>0.5826271186</v>
      </c>
      <c r="L78" s="49">
        <f t="shared" si="6"/>
        <v>0.07944915254</v>
      </c>
      <c r="M78" s="49">
        <f t="shared" si="7"/>
        <v>0.3379237288</v>
      </c>
      <c r="N78" s="32" t="str">
        <f t="shared" si="8"/>
        <v>Jânio</v>
      </c>
      <c r="O78" s="50" t="s">
        <v>77</v>
      </c>
      <c r="P78" s="38">
        <v>221.0</v>
      </c>
      <c r="Q78" s="38">
        <v>543.0</v>
      </c>
      <c r="R78" s="38">
        <v>102.0</v>
      </c>
      <c r="S78" s="38">
        <v>122.0</v>
      </c>
      <c r="T78" s="38">
        <v>13.0</v>
      </c>
      <c r="U78" s="48">
        <f t="shared" si="9"/>
        <v>866</v>
      </c>
      <c r="V78" s="48">
        <f t="shared" si="10"/>
        <v>1001</v>
      </c>
      <c r="W78" s="49">
        <f t="shared" si="11"/>
        <v>0.2551963048</v>
      </c>
      <c r="X78" s="49">
        <f t="shared" si="12"/>
        <v>0.6270207852</v>
      </c>
      <c r="Y78" s="49">
        <f t="shared" si="13"/>
        <v>0.1177829099</v>
      </c>
      <c r="Z78" s="32" t="str">
        <f t="shared" si="14"/>
        <v>Milton</v>
      </c>
      <c r="AA78" s="50" t="s">
        <v>77</v>
      </c>
      <c r="AB78" s="38">
        <v>1120.0</v>
      </c>
      <c r="AC78" s="48">
        <f t="shared" si="17"/>
        <v>119</v>
      </c>
      <c r="AD78" s="51">
        <f t="shared" si="18"/>
        <v>0.89375</v>
      </c>
    </row>
    <row r="79">
      <c r="A79" s="110" t="s">
        <v>196</v>
      </c>
      <c r="B79" s="46" t="s">
        <v>2068</v>
      </c>
      <c r="C79" s="47"/>
      <c r="D79" s="38">
        <v>3336.0</v>
      </c>
      <c r="E79" s="38">
        <v>943.0</v>
      </c>
      <c r="F79" s="38">
        <v>2364.0</v>
      </c>
      <c r="G79" s="38">
        <v>123.0</v>
      </c>
      <c r="H79" s="38">
        <v>173.0</v>
      </c>
      <c r="I79" s="48">
        <f t="shared" si="3"/>
        <v>6643</v>
      </c>
      <c r="J79" s="48">
        <f t="shared" si="4"/>
        <v>6939</v>
      </c>
      <c r="K79" s="49">
        <f t="shared" si="5"/>
        <v>0.5021827488</v>
      </c>
      <c r="L79" s="49">
        <f t="shared" si="6"/>
        <v>0.1419539365</v>
      </c>
      <c r="M79" s="49">
        <f t="shared" si="7"/>
        <v>0.3558633148</v>
      </c>
      <c r="N79" s="32" t="str">
        <f t="shared" si="8"/>
        <v>Jânio</v>
      </c>
      <c r="O79" s="50" t="s">
        <v>77</v>
      </c>
      <c r="P79" s="38">
        <v>1717.0</v>
      </c>
      <c r="Q79" s="38">
        <v>2930.0</v>
      </c>
      <c r="R79" s="38">
        <v>1798.0</v>
      </c>
      <c r="S79" s="38">
        <v>347.0</v>
      </c>
      <c r="T79" s="38">
        <v>147.0</v>
      </c>
      <c r="U79" s="48">
        <f t="shared" si="9"/>
        <v>6445</v>
      </c>
      <c r="V79" s="48">
        <f t="shared" si="10"/>
        <v>6939</v>
      </c>
      <c r="W79" s="49">
        <f t="shared" si="11"/>
        <v>0.2664080683</v>
      </c>
      <c r="X79" s="49">
        <f t="shared" si="12"/>
        <v>0.4546159814</v>
      </c>
      <c r="Y79" s="49">
        <f t="shared" si="13"/>
        <v>0.2789759503</v>
      </c>
      <c r="Z79" s="32" t="str">
        <f t="shared" si="14"/>
        <v>Milton</v>
      </c>
      <c r="AA79" s="50" t="s">
        <v>77</v>
      </c>
      <c r="AB79" s="38">
        <v>7934.0</v>
      </c>
      <c r="AC79" s="48">
        <f t="shared" si="17"/>
        <v>995</v>
      </c>
      <c r="AD79" s="51">
        <f t="shared" si="18"/>
        <v>0.8745903706</v>
      </c>
    </row>
    <row r="80">
      <c r="A80" s="61" t="s">
        <v>198</v>
      </c>
      <c r="B80" s="46" t="s">
        <v>2069</v>
      </c>
      <c r="C80" s="47"/>
      <c r="D80" s="38">
        <v>3628.0</v>
      </c>
      <c r="E80" s="38">
        <v>787.0</v>
      </c>
      <c r="F80" s="38">
        <v>2285.0</v>
      </c>
      <c r="G80" s="38">
        <v>100.0</v>
      </c>
      <c r="H80" s="38">
        <v>160.0</v>
      </c>
      <c r="I80" s="48">
        <f t="shared" si="3"/>
        <v>6700</v>
      </c>
      <c r="J80" s="48">
        <f t="shared" si="4"/>
        <v>6960</v>
      </c>
      <c r="K80" s="49">
        <f t="shared" si="5"/>
        <v>0.5414925373</v>
      </c>
      <c r="L80" s="49">
        <f t="shared" si="6"/>
        <v>0.1174626866</v>
      </c>
      <c r="M80" s="49">
        <f t="shared" si="7"/>
        <v>0.3410447761</v>
      </c>
      <c r="N80" s="32" t="str">
        <f t="shared" si="8"/>
        <v>Jânio</v>
      </c>
      <c r="O80" s="50" t="s">
        <v>77</v>
      </c>
      <c r="P80" s="38">
        <v>1973.0</v>
      </c>
      <c r="Q80" s="38">
        <v>2689.0</v>
      </c>
      <c r="R80" s="38">
        <v>1710.0</v>
      </c>
      <c r="S80" s="38">
        <v>484.0</v>
      </c>
      <c r="T80" s="38">
        <v>104.0</v>
      </c>
      <c r="U80" s="48">
        <f t="shared" si="9"/>
        <v>6372</v>
      </c>
      <c r="V80" s="48">
        <f t="shared" si="10"/>
        <v>6960</v>
      </c>
      <c r="W80" s="49">
        <f t="shared" si="11"/>
        <v>0.3096359071</v>
      </c>
      <c r="X80" s="49">
        <f t="shared" si="12"/>
        <v>0.422002511</v>
      </c>
      <c r="Y80" s="49">
        <f t="shared" si="13"/>
        <v>0.2683615819</v>
      </c>
      <c r="Z80" s="32" t="str">
        <f t="shared" si="14"/>
        <v>Milton</v>
      </c>
      <c r="AA80" s="50" t="s">
        <v>77</v>
      </c>
      <c r="AB80" s="38">
        <v>8386.0</v>
      </c>
      <c r="AC80" s="48">
        <f t="shared" si="17"/>
        <v>1426</v>
      </c>
      <c r="AD80" s="51">
        <f t="shared" si="18"/>
        <v>0.8299546864</v>
      </c>
    </row>
    <row r="81">
      <c r="A81" s="23"/>
      <c r="B81" s="46" t="s">
        <v>2070</v>
      </c>
      <c r="C81" s="47"/>
      <c r="D81" s="38">
        <v>1053.0</v>
      </c>
      <c r="E81" s="38">
        <v>49.0</v>
      </c>
      <c r="F81" s="38">
        <v>364.0</v>
      </c>
      <c r="G81" s="38">
        <v>38.0</v>
      </c>
      <c r="H81" s="38">
        <v>55.0</v>
      </c>
      <c r="I81" s="48">
        <f t="shared" si="3"/>
        <v>1466</v>
      </c>
      <c r="J81" s="48">
        <f t="shared" si="4"/>
        <v>1559</v>
      </c>
      <c r="K81" s="49">
        <f t="shared" si="5"/>
        <v>0.7182810368</v>
      </c>
      <c r="L81" s="49">
        <f t="shared" si="6"/>
        <v>0.03342428377</v>
      </c>
      <c r="M81" s="49">
        <f t="shared" si="7"/>
        <v>0.2482946794</v>
      </c>
      <c r="N81" s="32" t="str">
        <f t="shared" si="8"/>
        <v>Jânio</v>
      </c>
      <c r="O81" s="50" t="s">
        <v>77</v>
      </c>
      <c r="P81" s="38">
        <v>274.0</v>
      </c>
      <c r="Q81" s="38">
        <v>858.0</v>
      </c>
      <c r="R81" s="38">
        <v>227.0</v>
      </c>
      <c r="S81" s="38">
        <v>171.0</v>
      </c>
      <c r="T81" s="38">
        <v>29.0</v>
      </c>
      <c r="U81" s="48">
        <f t="shared" si="9"/>
        <v>1359</v>
      </c>
      <c r="V81" s="48">
        <f t="shared" si="10"/>
        <v>1559</v>
      </c>
      <c r="W81" s="49">
        <f t="shared" si="11"/>
        <v>0.2016188374</v>
      </c>
      <c r="X81" s="49">
        <f t="shared" si="12"/>
        <v>0.6313465784</v>
      </c>
      <c r="Y81" s="49">
        <f t="shared" si="13"/>
        <v>0.1670345843</v>
      </c>
      <c r="Z81" s="32" t="str">
        <f t="shared" si="14"/>
        <v>Milton</v>
      </c>
      <c r="AA81" s="50" t="s">
        <v>77</v>
      </c>
      <c r="AB81" s="38">
        <v>2147.0</v>
      </c>
      <c r="AC81" s="48">
        <f t="shared" si="17"/>
        <v>588</v>
      </c>
      <c r="AD81" s="51">
        <f t="shared" si="18"/>
        <v>0.726129483</v>
      </c>
    </row>
    <row r="82">
      <c r="A82" s="23"/>
      <c r="B82" s="46" t="s">
        <v>2071</v>
      </c>
      <c r="C82" s="47"/>
      <c r="D82" s="38">
        <v>549.0</v>
      </c>
      <c r="E82" s="38">
        <v>56.0</v>
      </c>
      <c r="F82" s="38">
        <v>264.0</v>
      </c>
      <c r="G82" s="38">
        <v>26.0</v>
      </c>
      <c r="H82" s="38">
        <v>32.0</v>
      </c>
      <c r="I82" s="48">
        <f t="shared" si="3"/>
        <v>869</v>
      </c>
      <c r="J82" s="48">
        <f t="shared" si="4"/>
        <v>927</v>
      </c>
      <c r="K82" s="49">
        <f t="shared" si="5"/>
        <v>0.6317606444</v>
      </c>
      <c r="L82" s="49">
        <f t="shared" si="6"/>
        <v>0.06444188723</v>
      </c>
      <c r="M82" s="49">
        <f t="shared" si="7"/>
        <v>0.3037974684</v>
      </c>
      <c r="N82" s="32" t="str">
        <f t="shared" si="8"/>
        <v>Jânio</v>
      </c>
      <c r="O82" s="50" t="s">
        <v>77</v>
      </c>
      <c r="P82" s="38">
        <v>144.0</v>
      </c>
      <c r="Q82" s="38">
        <v>360.0</v>
      </c>
      <c r="R82" s="38">
        <v>275.0</v>
      </c>
      <c r="S82" s="38">
        <v>132.0</v>
      </c>
      <c r="T82" s="38">
        <v>16.0</v>
      </c>
      <c r="U82" s="48">
        <f t="shared" si="9"/>
        <v>779</v>
      </c>
      <c r="V82" s="48">
        <f t="shared" si="10"/>
        <v>927</v>
      </c>
      <c r="W82" s="49">
        <f t="shared" si="11"/>
        <v>0.1848523748</v>
      </c>
      <c r="X82" s="49">
        <f t="shared" si="12"/>
        <v>0.4621309371</v>
      </c>
      <c r="Y82" s="49">
        <f t="shared" si="13"/>
        <v>0.3530166881</v>
      </c>
      <c r="Z82" s="32" t="str">
        <f t="shared" si="14"/>
        <v>Milton</v>
      </c>
      <c r="AA82" s="50" t="s">
        <v>77</v>
      </c>
      <c r="AB82" s="38">
        <v>1157.0</v>
      </c>
      <c r="AC82" s="48">
        <f t="shared" si="17"/>
        <v>230</v>
      </c>
      <c r="AD82" s="51">
        <f t="shared" si="18"/>
        <v>0.8012100259</v>
      </c>
    </row>
    <row r="83">
      <c r="A83" s="23"/>
      <c r="B83" s="46" t="s">
        <v>2072</v>
      </c>
      <c r="C83" s="47"/>
      <c r="D83" s="38">
        <v>451.0</v>
      </c>
      <c r="E83" s="38">
        <v>74.0</v>
      </c>
      <c r="F83" s="38">
        <v>475.0</v>
      </c>
      <c r="G83" s="38">
        <v>35.0</v>
      </c>
      <c r="H83" s="38">
        <v>42.0</v>
      </c>
      <c r="I83" s="48">
        <f t="shared" si="3"/>
        <v>1000</v>
      </c>
      <c r="J83" s="48">
        <f t="shared" si="4"/>
        <v>1077</v>
      </c>
      <c r="K83" s="49">
        <f t="shared" si="5"/>
        <v>0.451</v>
      </c>
      <c r="L83" s="49">
        <f t="shared" si="6"/>
        <v>0.074</v>
      </c>
      <c r="M83" s="49">
        <f t="shared" si="7"/>
        <v>0.475</v>
      </c>
      <c r="N83" s="32" t="str">
        <f t="shared" si="8"/>
        <v>Adhemar</v>
      </c>
      <c r="O83" s="50" t="s">
        <v>77</v>
      </c>
      <c r="P83" s="38">
        <v>377.0</v>
      </c>
      <c r="Q83" s="38">
        <v>307.0</v>
      </c>
      <c r="R83" s="38">
        <v>183.0</v>
      </c>
      <c r="S83" s="38">
        <v>190.0</v>
      </c>
      <c r="T83" s="38">
        <v>20.0</v>
      </c>
      <c r="U83" s="48">
        <f t="shared" si="9"/>
        <v>867</v>
      </c>
      <c r="V83" s="48">
        <f t="shared" si="10"/>
        <v>1077</v>
      </c>
      <c r="W83" s="49">
        <f t="shared" si="11"/>
        <v>0.4348327566</v>
      </c>
      <c r="X83" s="49">
        <f t="shared" si="12"/>
        <v>0.354094579</v>
      </c>
      <c r="Y83" s="49">
        <f t="shared" si="13"/>
        <v>0.2110726644</v>
      </c>
      <c r="Z83" s="32" t="str">
        <f t="shared" si="14"/>
        <v>Jango</v>
      </c>
      <c r="AA83" s="50" t="s">
        <v>77</v>
      </c>
      <c r="AB83" s="38">
        <v>1311.0</v>
      </c>
      <c r="AC83" s="48">
        <f t="shared" si="17"/>
        <v>234</v>
      </c>
      <c r="AD83" s="51">
        <f t="shared" si="18"/>
        <v>0.8215102975</v>
      </c>
    </row>
    <row r="84">
      <c r="A84" s="23"/>
      <c r="B84" s="46" t="s">
        <v>2073</v>
      </c>
      <c r="C84" s="47"/>
      <c r="D84" s="38">
        <v>439.0</v>
      </c>
      <c r="E84" s="38">
        <v>29.0</v>
      </c>
      <c r="F84" s="38">
        <v>319.0</v>
      </c>
      <c r="G84" s="38">
        <v>22.0</v>
      </c>
      <c r="H84" s="38">
        <v>53.0</v>
      </c>
      <c r="I84" s="48">
        <f t="shared" si="3"/>
        <v>787</v>
      </c>
      <c r="J84" s="48">
        <f t="shared" si="4"/>
        <v>862</v>
      </c>
      <c r="K84" s="49">
        <f t="shared" si="5"/>
        <v>0.5578144854</v>
      </c>
      <c r="L84" s="49">
        <f t="shared" si="6"/>
        <v>0.03684879288</v>
      </c>
      <c r="M84" s="49">
        <f t="shared" si="7"/>
        <v>0.4053367217</v>
      </c>
      <c r="N84" s="32" t="str">
        <f t="shared" si="8"/>
        <v>Jânio</v>
      </c>
      <c r="O84" s="50" t="s">
        <v>77</v>
      </c>
      <c r="P84" s="38">
        <v>144.0</v>
      </c>
      <c r="Q84" s="38">
        <v>341.0</v>
      </c>
      <c r="R84" s="38">
        <v>155.0</v>
      </c>
      <c r="S84" s="38">
        <v>201.0</v>
      </c>
      <c r="T84" s="38">
        <v>21.0</v>
      </c>
      <c r="U84" s="48">
        <f t="shared" si="9"/>
        <v>640</v>
      </c>
      <c r="V84" s="48">
        <f t="shared" si="10"/>
        <v>862</v>
      </c>
      <c r="W84" s="49">
        <f t="shared" si="11"/>
        <v>0.225</v>
      </c>
      <c r="X84" s="49">
        <f t="shared" si="12"/>
        <v>0.5328125</v>
      </c>
      <c r="Y84" s="49">
        <f t="shared" si="13"/>
        <v>0.2421875</v>
      </c>
      <c r="Z84" s="32" t="str">
        <f t="shared" si="14"/>
        <v>Milton</v>
      </c>
      <c r="AA84" s="50" t="s">
        <v>77</v>
      </c>
      <c r="AB84" s="38">
        <v>1176.0</v>
      </c>
      <c r="AC84" s="48">
        <f t="shared" si="17"/>
        <v>314</v>
      </c>
      <c r="AD84" s="51">
        <f t="shared" si="18"/>
        <v>0.7329931973</v>
      </c>
    </row>
    <row r="85">
      <c r="A85" s="23"/>
      <c r="B85" s="46" t="s">
        <v>2074</v>
      </c>
      <c r="C85" s="47"/>
      <c r="D85" s="38">
        <v>476.0</v>
      </c>
      <c r="E85" s="38">
        <v>86.0</v>
      </c>
      <c r="F85" s="38">
        <v>602.0</v>
      </c>
      <c r="G85" s="38">
        <v>45.0</v>
      </c>
      <c r="H85" s="38">
        <v>59.0</v>
      </c>
      <c r="I85" s="48">
        <f t="shared" si="3"/>
        <v>1164</v>
      </c>
      <c r="J85" s="48">
        <f t="shared" si="4"/>
        <v>1268</v>
      </c>
      <c r="K85" s="49">
        <f t="shared" si="5"/>
        <v>0.4089347079</v>
      </c>
      <c r="L85" s="49">
        <f t="shared" si="6"/>
        <v>0.07388316151</v>
      </c>
      <c r="M85" s="49">
        <f t="shared" si="7"/>
        <v>0.5171821306</v>
      </c>
      <c r="N85" s="32" t="str">
        <f t="shared" si="8"/>
        <v>Adhemar</v>
      </c>
      <c r="O85" s="50" t="s">
        <v>77</v>
      </c>
      <c r="P85" s="38">
        <v>401.0</v>
      </c>
      <c r="Q85" s="38">
        <v>278.0</v>
      </c>
      <c r="R85" s="38">
        <v>223.0</v>
      </c>
      <c r="S85" s="38">
        <v>331.0</v>
      </c>
      <c r="T85" s="38">
        <v>35.0</v>
      </c>
      <c r="U85" s="48">
        <f t="shared" si="9"/>
        <v>902</v>
      </c>
      <c r="V85" s="48">
        <f t="shared" si="10"/>
        <v>1268</v>
      </c>
      <c r="W85" s="49">
        <f t="shared" si="11"/>
        <v>0.4445676275</v>
      </c>
      <c r="X85" s="49">
        <f t="shared" si="12"/>
        <v>0.3082039911</v>
      </c>
      <c r="Y85" s="49">
        <f t="shared" si="13"/>
        <v>0.2472283814</v>
      </c>
      <c r="Z85" s="32" t="str">
        <f t="shared" si="14"/>
        <v>Jango</v>
      </c>
      <c r="AA85" s="50" t="s">
        <v>77</v>
      </c>
      <c r="AB85" s="38">
        <v>1843.0</v>
      </c>
      <c r="AC85" s="48">
        <f t="shared" si="17"/>
        <v>575</v>
      </c>
      <c r="AD85" s="51">
        <f t="shared" si="18"/>
        <v>0.6880086815</v>
      </c>
    </row>
    <row r="86">
      <c r="A86" s="24"/>
      <c r="B86" s="46" t="s">
        <v>2075</v>
      </c>
      <c r="C86" s="47"/>
      <c r="D86" s="38">
        <v>581.0</v>
      </c>
      <c r="E86" s="38">
        <v>83.0</v>
      </c>
      <c r="F86" s="38">
        <v>309.0</v>
      </c>
      <c r="G86" s="38">
        <v>36.0</v>
      </c>
      <c r="H86" s="38">
        <v>89.0</v>
      </c>
      <c r="I86" s="48">
        <f t="shared" si="3"/>
        <v>973</v>
      </c>
      <c r="J86" s="48">
        <f t="shared" si="4"/>
        <v>1098</v>
      </c>
      <c r="K86" s="49">
        <f t="shared" si="5"/>
        <v>0.5971223022</v>
      </c>
      <c r="L86" s="49">
        <f t="shared" si="6"/>
        <v>0.08530318602</v>
      </c>
      <c r="M86" s="49">
        <f t="shared" si="7"/>
        <v>0.3175745118</v>
      </c>
      <c r="N86" s="32" t="str">
        <f t="shared" si="8"/>
        <v>Jânio</v>
      </c>
      <c r="O86" s="50" t="s">
        <v>77</v>
      </c>
      <c r="P86" s="38">
        <v>253.0</v>
      </c>
      <c r="Q86" s="38">
        <v>258.0</v>
      </c>
      <c r="R86" s="38">
        <v>272.0</v>
      </c>
      <c r="S86" s="38">
        <v>283.0</v>
      </c>
      <c r="T86" s="38">
        <v>32.0</v>
      </c>
      <c r="U86" s="48">
        <f t="shared" si="9"/>
        <v>783</v>
      </c>
      <c r="V86" s="48">
        <f t="shared" si="10"/>
        <v>1098</v>
      </c>
      <c r="W86" s="49">
        <f t="shared" si="11"/>
        <v>0.3231162197</v>
      </c>
      <c r="X86" s="49">
        <f t="shared" si="12"/>
        <v>0.3295019157</v>
      </c>
      <c r="Y86" s="49">
        <f t="shared" si="13"/>
        <v>0.3473818646</v>
      </c>
      <c r="Z86" s="32" t="str">
        <f t="shared" si="14"/>
        <v>Ferrari</v>
      </c>
      <c r="AA86" s="50" t="s">
        <v>77</v>
      </c>
      <c r="AB86" s="38">
        <v>1476.0</v>
      </c>
      <c r="AC86" s="48">
        <f t="shared" si="17"/>
        <v>378</v>
      </c>
      <c r="AD86" s="51">
        <f t="shared" si="18"/>
        <v>0.743902439</v>
      </c>
    </row>
    <row r="87">
      <c r="A87" s="61" t="s">
        <v>202</v>
      </c>
      <c r="B87" s="46" t="s">
        <v>2076</v>
      </c>
      <c r="C87" s="47"/>
      <c r="D87" s="38">
        <v>7839.0</v>
      </c>
      <c r="E87" s="38">
        <v>1294.0</v>
      </c>
      <c r="F87" s="38">
        <v>3646.0</v>
      </c>
      <c r="G87" s="38">
        <v>110.0</v>
      </c>
      <c r="H87" s="38">
        <v>247.0</v>
      </c>
      <c r="I87" s="48">
        <f t="shared" si="3"/>
        <v>12779</v>
      </c>
      <c r="J87" s="48">
        <f t="shared" si="4"/>
        <v>13136</v>
      </c>
      <c r="K87" s="49">
        <f t="shared" si="5"/>
        <v>0.6134282808</v>
      </c>
      <c r="L87" s="49">
        <f t="shared" si="6"/>
        <v>0.1012598795</v>
      </c>
      <c r="M87" s="49">
        <f t="shared" si="7"/>
        <v>0.2853118397</v>
      </c>
      <c r="N87" s="32" t="str">
        <f t="shared" si="8"/>
        <v>Jânio</v>
      </c>
      <c r="O87" s="50" t="s">
        <v>77</v>
      </c>
      <c r="P87" s="38">
        <v>3514.0</v>
      </c>
      <c r="Q87" s="38">
        <v>5950.0</v>
      </c>
      <c r="R87" s="38">
        <v>2886.0</v>
      </c>
      <c r="S87" s="38">
        <v>625.0</v>
      </c>
      <c r="T87" s="38">
        <v>161.0</v>
      </c>
      <c r="U87" s="48">
        <f t="shared" si="9"/>
        <v>12350</v>
      </c>
      <c r="V87" s="48">
        <f t="shared" si="10"/>
        <v>13136</v>
      </c>
      <c r="W87" s="49">
        <f t="shared" si="11"/>
        <v>0.284534413</v>
      </c>
      <c r="X87" s="49">
        <f t="shared" si="12"/>
        <v>0.4817813765</v>
      </c>
      <c r="Y87" s="49">
        <f t="shared" si="13"/>
        <v>0.2336842105</v>
      </c>
      <c r="Z87" s="32" t="str">
        <f t="shared" si="14"/>
        <v>Milton</v>
      </c>
      <c r="AA87" s="50" t="s">
        <v>77</v>
      </c>
      <c r="AB87" s="38">
        <v>13967.0</v>
      </c>
      <c r="AC87" s="48">
        <f t="shared" si="17"/>
        <v>831</v>
      </c>
      <c r="AD87" s="51">
        <f t="shared" si="18"/>
        <v>0.9405026133</v>
      </c>
    </row>
    <row r="88">
      <c r="A88" s="23"/>
      <c r="B88" s="46" t="s">
        <v>2077</v>
      </c>
      <c r="C88" s="47"/>
      <c r="D88" s="38">
        <v>646.0</v>
      </c>
      <c r="E88" s="38">
        <v>269.0</v>
      </c>
      <c r="F88" s="38">
        <v>406.0</v>
      </c>
      <c r="G88" s="38">
        <v>32.0</v>
      </c>
      <c r="H88" s="38">
        <v>24.0</v>
      </c>
      <c r="I88" s="48">
        <f t="shared" si="3"/>
        <v>1321</v>
      </c>
      <c r="J88" s="48">
        <f t="shared" si="4"/>
        <v>1377</v>
      </c>
      <c r="K88" s="49">
        <f t="shared" si="5"/>
        <v>0.4890234671</v>
      </c>
      <c r="L88" s="49">
        <f t="shared" si="6"/>
        <v>0.2036336109</v>
      </c>
      <c r="M88" s="49">
        <f t="shared" si="7"/>
        <v>0.307342922</v>
      </c>
      <c r="N88" s="32" t="str">
        <f t="shared" si="8"/>
        <v>Jânio</v>
      </c>
      <c r="O88" s="50" t="s">
        <v>77</v>
      </c>
      <c r="P88" s="38">
        <v>512.0</v>
      </c>
      <c r="Q88" s="38">
        <v>568.0</v>
      </c>
      <c r="R88" s="38">
        <v>100.0</v>
      </c>
      <c r="S88" s="38">
        <v>173.0</v>
      </c>
      <c r="T88" s="38">
        <v>24.0</v>
      </c>
      <c r="U88" s="48">
        <f t="shared" si="9"/>
        <v>1180</v>
      </c>
      <c r="V88" s="48">
        <f t="shared" si="10"/>
        <v>1377</v>
      </c>
      <c r="W88" s="49">
        <f t="shared" si="11"/>
        <v>0.4338983051</v>
      </c>
      <c r="X88" s="49">
        <f t="shared" si="12"/>
        <v>0.4813559322</v>
      </c>
      <c r="Y88" s="49">
        <f t="shared" si="13"/>
        <v>0.08474576271</v>
      </c>
      <c r="Z88" s="32" t="str">
        <f t="shared" si="14"/>
        <v>Milton</v>
      </c>
      <c r="AA88" s="50" t="s">
        <v>77</v>
      </c>
      <c r="AB88" s="38">
        <v>1557.0</v>
      </c>
      <c r="AC88" s="48">
        <f t="shared" si="17"/>
        <v>180</v>
      </c>
      <c r="AD88" s="51">
        <f t="shared" si="18"/>
        <v>0.8843930636</v>
      </c>
    </row>
    <row r="89">
      <c r="A89" s="24"/>
      <c r="B89" s="46" t="s">
        <v>2078</v>
      </c>
      <c r="C89" s="47"/>
      <c r="D89" s="38">
        <v>246.0</v>
      </c>
      <c r="E89" s="38">
        <v>39.0</v>
      </c>
      <c r="F89" s="38">
        <v>265.0</v>
      </c>
      <c r="G89" s="38">
        <v>7.0</v>
      </c>
      <c r="H89" s="38">
        <v>14.0</v>
      </c>
      <c r="I89" s="48">
        <f t="shared" si="3"/>
        <v>550</v>
      </c>
      <c r="J89" s="48">
        <f t="shared" si="4"/>
        <v>571</v>
      </c>
      <c r="K89" s="49">
        <f t="shared" si="5"/>
        <v>0.4472727273</v>
      </c>
      <c r="L89" s="49">
        <f t="shared" si="6"/>
        <v>0.07090909091</v>
      </c>
      <c r="M89" s="49">
        <f t="shared" si="7"/>
        <v>0.4818181818</v>
      </c>
      <c r="N89" s="32" t="str">
        <f t="shared" si="8"/>
        <v>Adhemar</v>
      </c>
      <c r="O89" s="50" t="s">
        <v>77</v>
      </c>
      <c r="P89" s="38">
        <v>288.0</v>
      </c>
      <c r="Q89" s="38">
        <v>204.0</v>
      </c>
      <c r="R89" s="38">
        <v>25.0</v>
      </c>
      <c r="S89" s="38">
        <v>45.0</v>
      </c>
      <c r="T89" s="38">
        <v>9.0</v>
      </c>
      <c r="U89" s="48">
        <f t="shared" si="9"/>
        <v>517</v>
      </c>
      <c r="V89" s="48">
        <f t="shared" si="10"/>
        <v>571</v>
      </c>
      <c r="W89" s="49">
        <f t="shared" si="11"/>
        <v>0.5570599613</v>
      </c>
      <c r="X89" s="49">
        <f t="shared" si="12"/>
        <v>0.3945841393</v>
      </c>
      <c r="Y89" s="49">
        <f t="shared" si="13"/>
        <v>0.04835589942</v>
      </c>
      <c r="Z89" s="32" t="str">
        <f t="shared" si="14"/>
        <v>Jango</v>
      </c>
      <c r="AA89" s="50" t="s">
        <v>77</v>
      </c>
      <c r="AB89" s="38">
        <v>708.0</v>
      </c>
      <c r="AC89" s="48">
        <f t="shared" si="17"/>
        <v>137</v>
      </c>
      <c r="AD89" s="51">
        <f t="shared" si="18"/>
        <v>0.8064971751</v>
      </c>
    </row>
    <row r="90">
      <c r="A90" s="110" t="s">
        <v>205</v>
      </c>
      <c r="B90" s="46" t="s">
        <v>2079</v>
      </c>
      <c r="C90" s="47"/>
      <c r="D90" s="38">
        <v>5481.0</v>
      </c>
      <c r="E90" s="38">
        <v>1234.0</v>
      </c>
      <c r="F90" s="38">
        <v>3244.0</v>
      </c>
      <c r="G90" s="38">
        <v>169.0</v>
      </c>
      <c r="H90" s="38">
        <v>445.0</v>
      </c>
      <c r="I90" s="48">
        <f t="shared" si="3"/>
        <v>9959</v>
      </c>
      <c r="J90" s="48">
        <f t="shared" si="4"/>
        <v>10573</v>
      </c>
      <c r="K90" s="49">
        <f t="shared" si="5"/>
        <v>0.5503564615</v>
      </c>
      <c r="L90" s="49">
        <f t="shared" si="6"/>
        <v>0.1239080229</v>
      </c>
      <c r="M90" s="49">
        <f t="shared" si="7"/>
        <v>0.3257355156</v>
      </c>
      <c r="N90" s="32" t="str">
        <f t="shared" si="8"/>
        <v>Jânio</v>
      </c>
      <c r="O90" s="50" t="s">
        <v>77</v>
      </c>
      <c r="P90" s="38">
        <v>3160.0</v>
      </c>
      <c r="Q90" s="38">
        <v>4633.0</v>
      </c>
      <c r="R90" s="38">
        <v>1583.0</v>
      </c>
      <c r="S90" s="38">
        <v>744.0</v>
      </c>
      <c r="T90" s="38">
        <v>453.0</v>
      </c>
      <c r="U90" s="48">
        <f t="shared" si="9"/>
        <v>9376</v>
      </c>
      <c r="V90" s="48">
        <f t="shared" si="10"/>
        <v>10573</v>
      </c>
      <c r="W90" s="49">
        <f t="shared" si="11"/>
        <v>0.3370307167</v>
      </c>
      <c r="X90" s="49">
        <f t="shared" si="12"/>
        <v>0.494133959</v>
      </c>
      <c r="Y90" s="49">
        <f t="shared" si="13"/>
        <v>0.1688353242</v>
      </c>
      <c r="Z90" s="32" t="str">
        <f t="shared" si="14"/>
        <v>Milton</v>
      </c>
      <c r="AA90" s="50" t="s">
        <v>77</v>
      </c>
      <c r="AB90" s="38">
        <v>11358.0</v>
      </c>
      <c r="AC90" s="48">
        <f t="shared" si="17"/>
        <v>785</v>
      </c>
      <c r="AD90" s="51">
        <f t="shared" si="18"/>
        <v>0.9308857193</v>
      </c>
    </row>
    <row r="91">
      <c r="A91" s="61" t="s">
        <v>141</v>
      </c>
      <c r="B91" s="46" t="s">
        <v>2080</v>
      </c>
      <c r="C91" s="47"/>
      <c r="D91" s="38">
        <v>1095.0</v>
      </c>
      <c r="E91" s="38">
        <v>289.0</v>
      </c>
      <c r="F91" s="38">
        <v>862.0</v>
      </c>
      <c r="G91" s="38">
        <v>72.0</v>
      </c>
      <c r="H91" s="38">
        <v>130.0</v>
      </c>
      <c r="I91" s="48">
        <f t="shared" si="3"/>
        <v>2246</v>
      </c>
      <c r="J91" s="48">
        <f t="shared" si="4"/>
        <v>2448</v>
      </c>
      <c r="K91" s="49">
        <f t="shared" si="5"/>
        <v>0.4875333927</v>
      </c>
      <c r="L91" s="49">
        <f t="shared" si="6"/>
        <v>0.1286731968</v>
      </c>
      <c r="M91" s="49">
        <f t="shared" si="7"/>
        <v>0.3837934105</v>
      </c>
      <c r="N91" s="32" t="str">
        <f t="shared" si="8"/>
        <v>Jânio</v>
      </c>
      <c r="O91" s="50" t="s">
        <v>77</v>
      </c>
      <c r="P91" s="38">
        <v>724.0</v>
      </c>
      <c r="Q91" s="38">
        <v>663.0</v>
      </c>
      <c r="R91" s="38">
        <v>608.0</v>
      </c>
      <c r="S91" s="38">
        <v>353.0</v>
      </c>
      <c r="T91" s="38">
        <v>100.0</v>
      </c>
      <c r="U91" s="48">
        <f t="shared" si="9"/>
        <v>1995</v>
      </c>
      <c r="V91" s="48">
        <f t="shared" si="10"/>
        <v>2448</v>
      </c>
      <c r="W91" s="49">
        <f t="shared" si="11"/>
        <v>0.3629072682</v>
      </c>
      <c r="X91" s="49">
        <f t="shared" si="12"/>
        <v>0.3323308271</v>
      </c>
      <c r="Y91" s="49">
        <f t="shared" si="13"/>
        <v>0.3047619048</v>
      </c>
      <c r="Z91" s="32" t="str">
        <f t="shared" si="14"/>
        <v>Jango</v>
      </c>
      <c r="AA91" s="50" t="s">
        <v>77</v>
      </c>
      <c r="AB91" s="38">
        <v>2805.0</v>
      </c>
      <c r="AC91" s="48">
        <f t="shared" si="17"/>
        <v>357</v>
      </c>
      <c r="AD91" s="51">
        <f t="shared" si="18"/>
        <v>0.8727272727</v>
      </c>
    </row>
    <row r="92">
      <c r="A92" s="24"/>
      <c r="B92" s="46" t="s">
        <v>2081</v>
      </c>
      <c r="C92" s="47"/>
      <c r="D92" s="38">
        <v>990.0</v>
      </c>
      <c r="E92" s="38">
        <v>315.0</v>
      </c>
      <c r="F92" s="38">
        <v>466.0</v>
      </c>
      <c r="G92" s="38">
        <v>22.0</v>
      </c>
      <c r="H92" s="38">
        <v>102.0</v>
      </c>
      <c r="I92" s="48">
        <f t="shared" si="3"/>
        <v>1771</v>
      </c>
      <c r="J92" s="48">
        <f t="shared" si="4"/>
        <v>1895</v>
      </c>
      <c r="K92" s="49">
        <f t="shared" si="5"/>
        <v>0.5590062112</v>
      </c>
      <c r="L92" s="49">
        <f t="shared" si="6"/>
        <v>0.1778656126</v>
      </c>
      <c r="M92" s="49">
        <f t="shared" si="7"/>
        <v>0.2631281762</v>
      </c>
      <c r="N92" s="32" t="str">
        <f t="shared" si="8"/>
        <v>Jânio</v>
      </c>
      <c r="O92" s="50" t="s">
        <v>77</v>
      </c>
      <c r="P92" s="38">
        <v>506.0</v>
      </c>
      <c r="Q92" s="38">
        <v>856.0</v>
      </c>
      <c r="R92" s="38">
        <v>264.0</v>
      </c>
      <c r="S92" s="38">
        <v>189.0</v>
      </c>
      <c r="T92" s="38">
        <v>80.0</v>
      </c>
      <c r="U92" s="48">
        <f t="shared" si="9"/>
        <v>1626</v>
      </c>
      <c r="V92" s="48">
        <f t="shared" si="10"/>
        <v>1895</v>
      </c>
      <c r="W92" s="49">
        <f t="shared" si="11"/>
        <v>0.3111931119</v>
      </c>
      <c r="X92" s="49">
        <f t="shared" si="12"/>
        <v>0.5264452645</v>
      </c>
      <c r="Y92" s="49">
        <f t="shared" si="13"/>
        <v>0.1623616236</v>
      </c>
      <c r="Z92" s="32" t="str">
        <f t="shared" si="14"/>
        <v>Milton</v>
      </c>
      <c r="AA92" s="50" t="s">
        <v>77</v>
      </c>
      <c r="AB92" s="38">
        <v>2075.0</v>
      </c>
      <c r="AC92" s="48">
        <f t="shared" si="17"/>
        <v>180</v>
      </c>
      <c r="AD92" s="51">
        <f t="shared" si="18"/>
        <v>0.913253012</v>
      </c>
    </row>
    <row r="93">
      <c r="A93" s="61" t="s">
        <v>143</v>
      </c>
      <c r="B93" s="46" t="s">
        <v>2082</v>
      </c>
      <c r="C93" s="47"/>
      <c r="D93" s="38">
        <v>2025.0</v>
      </c>
      <c r="E93" s="38">
        <v>663.0</v>
      </c>
      <c r="F93" s="38">
        <v>1744.0</v>
      </c>
      <c r="G93" s="38">
        <v>43.0</v>
      </c>
      <c r="H93" s="38">
        <v>104.0</v>
      </c>
      <c r="I93" s="48">
        <f t="shared" si="3"/>
        <v>4432</v>
      </c>
      <c r="J93" s="48">
        <f t="shared" si="4"/>
        <v>4579</v>
      </c>
      <c r="K93" s="49">
        <f t="shared" si="5"/>
        <v>0.4569043321</v>
      </c>
      <c r="L93" s="49">
        <f t="shared" si="6"/>
        <v>0.1495938628</v>
      </c>
      <c r="M93" s="49">
        <f t="shared" si="7"/>
        <v>0.3935018051</v>
      </c>
      <c r="N93" s="32" t="str">
        <f t="shared" si="8"/>
        <v>Jânio</v>
      </c>
      <c r="O93" s="50" t="s">
        <v>77</v>
      </c>
      <c r="P93" s="38">
        <v>1515.0</v>
      </c>
      <c r="Q93" s="38">
        <v>1853.0</v>
      </c>
      <c r="R93" s="38">
        <v>871.0</v>
      </c>
      <c r="S93" s="38">
        <v>268.0</v>
      </c>
      <c r="T93" s="38">
        <v>72.0</v>
      </c>
      <c r="U93" s="48">
        <f t="shared" si="9"/>
        <v>4239</v>
      </c>
      <c r="V93" s="48">
        <f t="shared" si="10"/>
        <v>4579</v>
      </c>
      <c r="W93" s="49">
        <f t="shared" si="11"/>
        <v>0.3573956122</v>
      </c>
      <c r="X93" s="49">
        <f t="shared" si="12"/>
        <v>0.4371313989</v>
      </c>
      <c r="Y93" s="49">
        <f t="shared" si="13"/>
        <v>0.2054729889</v>
      </c>
      <c r="Z93" s="32" t="str">
        <f t="shared" si="14"/>
        <v>Milton</v>
      </c>
      <c r="AA93" s="50" t="s">
        <v>77</v>
      </c>
      <c r="AB93" s="38">
        <v>4925.0</v>
      </c>
      <c r="AC93" s="48">
        <f t="shared" si="17"/>
        <v>346</v>
      </c>
      <c r="AD93" s="51">
        <f t="shared" si="18"/>
        <v>0.9297461929</v>
      </c>
    </row>
    <row r="94">
      <c r="A94" s="24"/>
      <c r="B94" s="46" t="s">
        <v>2083</v>
      </c>
      <c r="C94" s="47"/>
      <c r="D94" s="38">
        <v>332.0</v>
      </c>
      <c r="E94" s="38">
        <v>33.0</v>
      </c>
      <c r="F94" s="38">
        <v>128.0</v>
      </c>
      <c r="G94" s="38">
        <v>10.0</v>
      </c>
      <c r="H94" s="38">
        <v>25.0</v>
      </c>
      <c r="I94" s="48">
        <f t="shared" si="3"/>
        <v>493</v>
      </c>
      <c r="J94" s="48">
        <f t="shared" si="4"/>
        <v>528</v>
      </c>
      <c r="K94" s="49">
        <f t="shared" si="5"/>
        <v>0.6734279919</v>
      </c>
      <c r="L94" s="49">
        <f t="shared" si="6"/>
        <v>0.06693711968</v>
      </c>
      <c r="M94" s="49">
        <f t="shared" si="7"/>
        <v>0.2596348884</v>
      </c>
      <c r="N94" s="32" t="str">
        <f t="shared" si="8"/>
        <v>Jânio</v>
      </c>
      <c r="O94" s="50" t="s">
        <v>77</v>
      </c>
      <c r="P94" s="38">
        <v>150.0</v>
      </c>
      <c r="Q94" s="38">
        <v>246.0</v>
      </c>
      <c r="R94" s="55">
        <v>64.0</v>
      </c>
      <c r="S94" s="38">
        <v>56.0</v>
      </c>
      <c r="T94" s="38">
        <v>12.0</v>
      </c>
      <c r="U94" s="48">
        <f t="shared" si="9"/>
        <v>460</v>
      </c>
      <c r="V94" s="114">
        <f t="shared" si="10"/>
        <v>528</v>
      </c>
      <c r="W94" s="49">
        <f t="shared" si="11"/>
        <v>0.3260869565</v>
      </c>
      <c r="X94" s="49">
        <f t="shared" si="12"/>
        <v>0.5347826087</v>
      </c>
      <c r="Y94" s="49">
        <f t="shared" si="13"/>
        <v>0.1391304348</v>
      </c>
      <c r="Z94" s="32" t="str">
        <f t="shared" si="14"/>
        <v>Milton</v>
      </c>
      <c r="AA94" s="50" t="s">
        <v>77</v>
      </c>
      <c r="AB94" s="38">
        <v>591.0</v>
      </c>
      <c r="AC94" s="48">
        <f t="shared" si="17"/>
        <v>63</v>
      </c>
      <c r="AD94" s="51">
        <f t="shared" si="18"/>
        <v>0.8934010152</v>
      </c>
    </row>
    <row r="95">
      <c r="A95" s="61" t="s">
        <v>145</v>
      </c>
      <c r="B95" s="46" t="s">
        <v>2084</v>
      </c>
      <c r="C95" s="47"/>
      <c r="D95" s="38">
        <v>1472.0</v>
      </c>
      <c r="E95" s="38">
        <v>532.0</v>
      </c>
      <c r="F95" s="38">
        <v>749.0</v>
      </c>
      <c r="G95" s="38">
        <v>115.0</v>
      </c>
      <c r="H95" s="38">
        <v>195.0</v>
      </c>
      <c r="I95" s="48">
        <f t="shared" si="3"/>
        <v>2753</v>
      </c>
      <c r="J95" s="48">
        <f t="shared" si="4"/>
        <v>3063</v>
      </c>
      <c r="K95" s="49">
        <f t="shared" si="5"/>
        <v>0.5346894297</v>
      </c>
      <c r="L95" s="49">
        <f t="shared" si="6"/>
        <v>0.1932437341</v>
      </c>
      <c r="M95" s="49">
        <f t="shared" si="7"/>
        <v>0.2720668362</v>
      </c>
      <c r="N95" s="32" t="str">
        <f t="shared" si="8"/>
        <v>Jânio</v>
      </c>
      <c r="O95" s="50" t="s">
        <v>77</v>
      </c>
      <c r="P95" s="38">
        <v>836.0</v>
      </c>
      <c r="Q95" s="38">
        <v>963.0</v>
      </c>
      <c r="R95" s="38">
        <v>661.0</v>
      </c>
      <c r="S95" s="38">
        <v>508.0</v>
      </c>
      <c r="T95" s="38">
        <v>95.0</v>
      </c>
      <c r="U95" s="48">
        <f t="shared" si="9"/>
        <v>2460</v>
      </c>
      <c r="V95" s="48">
        <f t="shared" si="10"/>
        <v>3063</v>
      </c>
      <c r="W95" s="49">
        <f t="shared" si="11"/>
        <v>0.3398373984</v>
      </c>
      <c r="X95" s="49">
        <f t="shared" si="12"/>
        <v>0.3914634146</v>
      </c>
      <c r="Y95" s="49">
        <f t="shared" si="13"/>
        <v>0.268699187</v>
      </c>
      <c r="Z95" s="32" t="str">
        <f t="shared" si="14"/>
        <v>Milton</v>
      </c>
      <c r="AA95" s="50" t="s">
        <v>77</v>
      </c>
      <c r="AB95" s="38">
        <v>3645.0</v>
      </c>
      <c r="AC95" s="48">
        <f t="shared" si="17"/>
        <v>582</v>
      </c>
      <c r="AD95" s="51">
        <f t="shared" si="18"/>
        <v>0.8403292181</v>
      </c>
    </row>
    <row r="96">
      <c r="A96" s="24"/>
      <c r="B96" s="46" t="s">
        <v>2085</v>
      </c>
      <c r="C96" s="47"/>
      <c r="D96" s="38">
        <v>742.0</v>
      </c>
      <c r="E96" s="38">
        <v>561.0</v>
      </c>
      <c r="F96" s="38">
        <v>309.0</v>
      </c>
      <c r="G96" s="38">
        <v>84.0</v>
      </c>
      <c r="H96" s="38">
        <v>90.0</v>
      </c>
      <c r="I96" s="48">
        <f t="shared" si="3"/>
        <v>1612</v>
      </c>
      <c r="J96" s="48">
        <f t="shared" si="4"/>
        <v>1786</v>
      </c>
      <c r="K96" s="49">
        <f t="shared" si="5"/>
        <v>0.4602977667</v>
      </c>
      <c r="L96" s="49">
        <f t="shared" si="6"/>
        <v>0.3480148883</v>
      </c>
      <c r="M96" s="49">
        <f t="shared" si="7"/>
        <v>0.1916873449</v>
      </c>
      <c r="N96" s="32" t="str">
        <f t="shared" si="8"/>
        <v>Jânio</v>
      </c>
      <c r="O96" s="50" t="s">
        <v>77</v>
      </c>
      <c r="P96" s="38">
        <v>770.0</v>
      </c>
      <c r="Q96" s="38">
        <v>500.0</v>
      </c>
      <c r="R96" s="38">
        <v>158.0</v>
      </c>
      <c r="S96" s="38">
        <v>306.0</v>
      </c>
      <c r="T96" s="38">
        <v>52.0</v>
      </c>
      <c r="U96" s="48">
        <f t="shared" si="9"/>
        <v>1428</v>
      </c>
      <c r="V96" s="48">
        <f t="shared" si="10"/>
        <v>1786</v>
      </c>
      <c r="W96" s="49">
        <f t="shared" si="11"/>
        <v>0.5392156863</v>
      </c>
      <c r="X96" s="49">
        <f t="shared" si="12"/>
        <v>0.350140056</v>
      </c>
      <c r="Y96" s="49">
        <f t="shared" si="13"/>
        <v>0.1106442577</v>
      </c>
      <c r="Z96" s="32" t="str">
        <f t="shared" si="14"/>
        <v>Jango</v>
      </c>
      <c r="AA96" s="50" t="s">
        <v>77</v>
      </c>
      <c r="AB96" s="38">
        <v>2168.0</v>
      </c>
      <c r="AC96" s="48">
        <f t="shared" si="17"/>
        <v>382</v>
      </c>
      <c r="AD96" s="51">
        <f t="shared" si="18"/>
        <v>0.823800738</v>
      </c>
    </row>
    <row r="97">
      <c r="A97" s="61" t="s">
        <v>207</v>
      </c>
      <c r="B97" s="46" t="s">
        <v>2086</v>
      </c>
      <c r="C97" s="47"/>
      <c r="D97" s="38">
        <v>1902.0</v>
      </c>
      <c r="E97" s="38">
        <v>342.0</v>
      </c>
      <c r="F97" s="38">
        <v>1329.0</v>
      </c>
      <c r="G97" s="38">
        <v>71.0</v>
      </c>
      <c r="H97" s="38">
        <v>126.0</v>
      </c>
      <c r="I97" s="48">
        <f t="shared" si="3"/>
        <v>3573</v>
      </c>
      <c r="J97" s="48">
        <f t="shared" si="4"/>
        <v>3770</v>
      </c>
      <c r="K97" s="49">
        <f t="shared" si="5"/>
        <v>0.5323257767</v>
      </c>
      <c r="L97" s="49">
        <f t="shared" si="6"/>
        <v>0.09571788413</v>
      </c>
      <c r="M97" s="49">
        <f t="shared" si="7"/>
        <v>0.3719563392</v>
      </c>
      <c r="N97" s="32" t="str">
        <f t="shared" si="8"/>
        <v>Jânio</v>
      </c>
      <c r="O97" s="50" t="s">
        <v>77</v>
      </c>
      <c r="P97" s="38">
        <v>1026.0</v>
      </c>
      <c r="Q97" s="38">
        <v>1437.0</v>
      </c>
      <c r="R97" s="38">
        <v>824.0</v>
      </c>
      <c r="S97" s="38">
        <v>436.0</v>
      </c>
      <c r="T97" s="38">
        <v>47.0</v>
      </c>
      <c r="U97" s="48">
        <f t="shared" si="9"/>
        <v>3287</v>
      </c>
      <c r="V97" s="48">
        <f t="shared" si="10"/>
        <v>3770</v>
      </c>
      <c r="W97" s="49">
        <f t="shared" si="11"/>
        <v>0.3121387283</v>
      </c>
      <c r="X97" s="49">
        <f t="shared" si="12"/>
        <v>0.4371767569</v>
      </c>
      <c r="Y97" s="49">
        <f t="shared" si="13"/>
        <v>0.2506845148</v>
      </c>
      <c r="Z97" s="32" t="str">
        <f t="shared" si="14"/>
        <v>Milton</v>
      </c>
      <c r="AA97" s="50" t="s">
        <v>77</v>
      </c>
      <c r="AB97" s="38">
        <v>4601.0</v>
      </c>
      <c r="AC97" s="48">
        <f t="shared" si="17"/>
        <v>831</v>
      </c>
      <c r="AD97" s="51">
        <f t="shared" si="18"/>
        <v>0.8193870898</v>
      </c>
    </row>
    <row r="98">
      <c r="A98" s="24"/>
      <c r="B98" s="46" t="s">
        <v>2087</v>
      </c>
      <c r="C98" s="47"/>
      <c r="D98" s="38">
        <v>241.0</v>
      </c>
      <c r="E98" s="38">
        <v>165.0</v>
      </c>
      <c r="F98" s="38">
        <v>219.0</v>
      </c>
      <c r="G98" s="38">
        <v>19.0</v>
      </c>
      <c r="H98" s="38">
        <v>27.0</v>
      </c>
      <c r="I98" s="48">
        <f t="shared" si="3"/>
        <v>625</v>
      </c>
      <c r="J98" s="48">
        <f t="shared" si="4"/>
        <v>671</v>
      </c>
      <c r="K98" s="49">
        <f t="shared" si="5"/>
        <v>0.3856</v>
      </c>
      <c r="L98" s="49">
        <f t="shared" si="6"/>
        <v>0.264</v>
      </c>
      <c r="M98" s="49">
        <f t="shared" si="7"/>
        <v>0.3504</v>
      </c>
      <c r="N98" s="32" t="str">
        <f t="shared" si="8"/>
        <v>Jânio</v>
      </c>
      <c r="O98" s="50" t="s">
        <v>77</v>
      </c>
      <c r="P98" s="38">
        <v>309.0</v>
      </c>
      <c r="Q98" s="38">
        <v>196.0</v>
      </c>
      <c r="R98" s="38">
        <v>72.0</v>
      </c>
      <c r="S98" s="38">
        <v>77.0</v>
      </c>
      <c r="T98" s="38">
        <v>17.0</v>
      </c>
      <c r="U98" s="48">
        <f t="shared" si="9"/>
        <v>577</v>
      </c>
      <c r="V98" s="48">
        <f t="shared" si="10"/>
        <v>671</v>
      </c>
      <c r="W98" s="49">
        <f t="shared" si="11"/>
        <v>0.5355285962</v>
      </c>
      <c r="X98" s="49">
        <f t="shared" si="12"/>
        <v>0.3396880416</v>
      </c>
      <c r="Y98" s="49">
        <f t="shared" si="13"/>
        <v>0.1247833622</v>
      </c>
      <c r="Z98" s="32" t="str">
        <f t="shared" si="14"/>
        <v>Jango</v>
      </c>
      <c r="AA98" s="50" t="s">
        <v>77</v>
      </c>
      <c r="AB98" s="38">
        <v>880.0</v>
      </c>
      <c r="AC98" s="48">
        <f t="shared" si="17"/>
        <v>209</v>
      </c>
      <c r="AD98" s="51">
        <f t="shared" si="18"/>
        <v>0.7625</v>
      </c>
    </row>
    <row r="99">
      <c r="A99" s="61" t="s">
        <v>209</v>
      </c>
      <c r="B99" s="46" t="s">
        <v>2088</v>
      </c>
      <c r="C99" s="47"/>
      <c r="D99" s="38">
        <v>1745.0</v>
      </c>
      <c r="E99" s="38">
        <v>229.0</v>
      </c>
      <c r="F99" s="38">
        <v>1013.0</v>
      </c>
      <c r="G99" s="38">
        <v>70.0</v>
      </c>
      <c r="H99" s="38">
        <v>150.0</v>
      </c>
      <c r="I99" s="48">
        <f t="shared" si="3"/>
        <v>2987</v>
      </c>
      <c r="J99" s="48">
        <f t="shared" si="4"/>
        <v>3207</v>
      </c>
      <c r="K99" s="49">
        <f t="shared" si="5"/>
        <v>0.5841981922</v>
      </c>
      <c r="L99" s="49">
        <f t="shared" si="6"/>
        <v>0.07666555072</v>
      </c>
      <c r="M99" s="49">
        <f t="shared" si="7"/>
        <v>0.3391362571</v>
      </c>
      <c r="N99" s="32" t="str">
        <f t="shared" si="8"/>
        <v>Jânio</v>
      </c>
      <c r="O99" s="50" t="s">
        <v>77</v>
      </c>
      <c r="P99" s="38">
        <v>795.0</v>
      </c>
      <c r="Q99" s="38">
        <v>1269.0</v>
      </c>
      <c r="R99" s="38">
        <v>542.0</v>
      </c>
      <c r="S99" s="38">
        <v>523.0</v>
      </c>
      <c r="T99" s="38">
        <v>78.0</v>
      </c>
      <c r="U99" s="48">
        <f t="shared" si="9"/>
        <v>2606</v>
      </c>
      <c r="V99" s="48">
        <f t="shared" si="10"/>
        <v>3207</v>
      </c>
      <c r="W99" s="49">
        <f t="shared" si="11"/>
        <v>0.3050652341</v>
      </c>
      <c r="X99" s="49">
        <f t="shared" si="12"/>
        <v>0.486953185</v>
      </c>
      <c r="Y99" s="49">
        <f t="shared" si="13"/>
        <v>0.207981581</v>
      </c>
      <c r="Z99" s="32" t="str">
        <f t="shared" si="14"/>
        <v>Milton</v>
      </c>
      <c r="AA99" s="50" t="s">
        <v>77</v>
      </c>
      <c r="AB99" s="38">
        <v>3851.0</v>
      </c>
      <c r="AC99" s="48">
        <f t="shared" si="17"/>
        <v>644</v>
      </c>
      <c r="AD99" s="51">
        <f t="shared" si="18"/>
        <v>0.8327707089</v>
      </c>
    </row>
    <row r="100">
      <c r="A100" s="23"/>
      <c r="B100" s="46" t="s">
        <v>2089</v>
      </c>
      <c r="C100" s="47"/>
      <c r="D100" s="38">
        <v>373.0</v>
      </c>
      <c r="E100" s="38">
        <v>26.0</v>
      </c>
      <c r="F100" s="38">
        <v>293.0</v>
      </c>
      <c r="G100" s="38">
        <v>14.0</v>
      </c>
      <c r="H100" s="38">
        <v>32.0</v>
      </c>
      <c r="I100" s="48">
        <f t="shared" si="3"/>
        <v>692</v>
      </c>
      <c r="J100" s="48">
        <f t="shared" si="4"/>
        <v>738</v>
      </c>
      <c r="K100" s="49">
        <f t="shared" si="5"/>
        <v>0.539017341</v>
      </c>
      <c r="L100" s="49">
        <f t="shared" si="6"/>
        <v>0.03757225434</v>
      </c>
      <c r="M100" s="49">
        <f t="shared" si="7"/>
        <v>0.4234104046</v>
      </c>
      <c r="N100" s="32" t="str">
        <f t="shared" si="8"/>
        <v>Jânio</v>
      </c>
      <c r="O100" s="50" t="s">
        <v>77</v>
      </c>
      <c r="P100" s="38">
        <v>341.0</v>
      </c>
      <c r="Q100" s="38">
        <v>80.0</v>
      </c>
      <c r="R100" s="38">
        <v>60.0</v>
      </c>
      <c r="S100" s="38">
        <v>244.0</v>
      </c>
      <c r="T100" s="38">
        <v>13.0</v>
      </c>
      <c r="U100" s="48">
        <f t="shared" si="9"/>
        <v>481</v>
      </c>
      <c r="V100" s="48">
        <f t="shared" si="10"/>
        <v>738</v>
      </c>
      <c r="W100" s="49">
        <f t="shared" si="11"/>
        <v>0.7089397089</v>
      </c>
      <c r="X100" s="49">
        <f t="shared" si="12"/>
        <v>0.1663201663</v>
      </c>
      <c r="Y100" s="49">
        <f t="shared" si="13"/>
        <v>0.1247401247</v>
      </c>
      <c r="Z100" s="32" t="str">
        <f t="shared" si="14"/>
        <v>Jango</v>
      </c>
      <c r="AA100" s="50" t="s">
        <v>77</v>
      </c>
      <c r="AB100" s="38">
        <v>937.0</v>
      </c>
      <c r="AC100" s="48">
        <f t="shared" si="17"/>
        <v>199</v>
      </c>
      <c r="AD100" s="51">
        <f t="shared" si="18"/>
        <v>0.787620064</v>
      </c>
    </row>
    <row r="101">
      <c r="A101" s="24"/>
      <c r="B101" s="46" t="s">
        <v>2090</v>
      </c>
      <c r="C101" s="47"/>
      <c r="D101" s="38">
        <v>658.0</v>
      </c>
      <c r="E101" s="38">
        <v>70.0</v>
      </c>
      <c r="F101" s="38">
        <v>305.0</v>
      </c>
      <c r="G101" s="38">
        <v>15.0</v>
      </c>
      <c r="H101" s="38">
        <v>24.0</v>
      </c>
      <c r="I101" s="48">
        <f t="shared" si="3"/>
        <v>1033</v>
      </c>
      <c r="J101" s="48">
        <f t="shared" si="4"/>
        <v>1072</v>
      </c>
      <c r="K101" s="49">
        <f t="shared" si="5"/>
        <v>0.6369796709</v>
      </c>
      <c r="L101" s="49">
        <f t="shared" si="6"/>
        <v>0.06776379477</v>
      </c>
      <c r="M101" s="49">
        <f t="shared" si="7"/>
        <v>0.2952565344</v>
      </c>
      <c r="N101" s="32" t="str">
        <f t="shared" si="8"/>
        <v>Jânio</v>
      </c>
      <c r="O101" s="50" t="s">
        <v>77</v>
      </c>
      <c r="P101" s="38">
        <v>189.0</v>
      </c>
      <c r="Q101" s="38">
        <v>558.0</v>
      </c>
      <c r="R101" s="38">
        <v>153.0</v>
      </c>
      <c r="S101" s="38">
        <v>160.0</v>
      </c>
      <c r="T101" s="38">
        <v>12.0</v>
      </c>
      <c r="U101" s="48">
        <f t="shared" si="9"/>
        <v>900</v>
      </c>
      <c r="V101" s="48">
        <f t="shared" si="10"/>
        <v>1072</v>
      </c>
      <c r="W101" s="49">
        <f t="shared" si="11"/>
        <v>0.21</v>
      </c>
      <c r="X101" s="49">
        <f t="shared" si="12"/>
        <v>0.62</v>
      </c>
      <c r="Y101" s="49">
        <f t="shared" si="13"/>
        <v>0.17</v>
      </c>
      <c r="Z101" s="32" t="str">
        <f t="shared" si="14"/>
        <v>Milton</v>
      </c>
      <c r="AA101" s="50" t="s">
        <v>77</v>
      </c>
      <c r="AB101" s="38">
        <v>1212.0</v>
      </c>
      <c r="AC101" s="48">
        <f t="shared" si="17"/>
        <v>140</v>
      </c>
      <c r="AD101" s="51">
        <f t="shared" si="18"/>
        <v>0.8844884488</v>
      </c>
    </row>
    <row r="102">
      <c r="A102" s="110" t="s">
        <v>211</v>
      </c>
      <c r="B102" s="46" t="s">
        <v>2091</v>
      </c>
      <c r="C102" s="47"/>
      <c r="D102" s="38">
        <v>36844.0</v>
      </c>
      <c r="E102" s="38">
        <v>7566.0</v>
      </c>
      <c r="F102" s="38">
        <v>14714.0</v>
      </c>
      <c r="G102" s="38">
        <v>524.0</v>
      </c>
      <c r="H102" s="38">
        <v>1165.0</v>
      </c>
      <c r="I102" s="48">
        <f t="shared" si="3"/>
        <v>59124</v>
      </c>
      <c r="J102" s="48">
        <f t="shared" si="4"/>
        <v>60813</v>
      </c>
      <c r="K102" s="49">
        <f t="shared" si="5"/>
        <v>0.6231648738</v>
      </c>
      <c r="L102" s="49">
        <f t="shared" si="6"/>
        <v>0.1279683377</v>
      </c>
      <c r="M102" s="49">
        <f t="shared" si="7"/>
        <v>0.2488667884</v>
      </c>
      <c r="N102" s="32" t="str">
        <f t="shared" si="8"/>
        <v>Jânio</v>
      </c>
      <c r="O102" s="50" t="s">
        <v>77</v>
      </c>
      <c r="P102" s="38">
        <v>16455.0</v>
      </c>
      <c r="Q102" s="38">
        <v>29073.0</v>
      </c>
      <c r="R102" s="38">
        <v>11982.0</v>
      </c>
      <c r="S102" s="38">
        <v>2398.0</v>
      </c>
      <c r="T102" s="38">
        <v>905.0</v>
      </c>
      <c r="U102" s="48">
        <f t="shared" si="9"/>
        <v>57510</v>
      </c>
      <c r="V102" s="48">
        <f t="shared" si="10"/>
        <v>60813</v>
      </c>
      <c r="W102" s="49">
        <f t="shared" si="11"/>
        <v>0.2861241523</v>
      </c>
      <c r="X102" s="49">
        <f t="shared" si="12"/>
        <v>0.5055294731</v>
      </c>
      <c r="Y102" s="49">
        <f t="shared" si="13"/>
        <v>0.2083463745</v>
      </c>
      <c r="Z102" s="32" t="str">
        <f t="shared" si="14"/>
        <v>Milton</v>
      </c>
      <c r="AA102" s="50" t="s">
        <v>77</v>
      </c>
      <c r="AB102" s="38">
        <v>63303.0</v>
      </c>
      <c r="AC102" s="48">
        <f t="shared" si="17"/>
        <v>2490</v>
      </c>
      <c r="AD102" s="51">
        <f t="shared" si="18"/>
        <v>0.9606653713</v>
      </c>
    </row>
    <row r="103">
      <c r="A103" s="61" t="s">
        <v>213</v>
      </c>
      <c r="B103" s="46" t="s">
        <v>2092</v>
      </c>
      <c r="C103" s="47"/>
      <c r="D103" s="38">
        <v>699.0</v>
      </c>
      <c r="E103" s="38">
        <v>171.0</v>
      </c>
      <c r="F103" s="38">
        <v>424.0</v>
      </c>
      <c r="G103" s="38">
        <v>54.0</v>
      </c>
      <c r="H103" s="38">
        <v>41.0</v>
      </c>
      <c r="I103" s="48">
        <f t="shared" si="3"/>
        <v>1294</v>
      </c>
      <c r="J103" s="48">
        <f t="shared" si="4"/>
        <v>1389</v>
      </c>
      <c r="K103" s="49">
        <f t="shared" si="5"/>
        <v>0.5401854714</v>
      </c>
      <c r="L103" s="49">
        <f t="shared" si="6"/>
        <v>0.1321483771</v>
      </c>
      <c r="M103" s="49">
        <f t="shared" si="7"/>
        <v>0.3276661515</v>
      </c>
      <c r="N103" s="32" t="str">
        <f t="shared" si="8"/>
        <v>Jânio</v>
      </c>
      <c r="O103" s="50" t="s">
        <v>77</v>
      </c>
      <c r="P103" s="38">
        <v>512.0</v>
      </c>
      <c r="Q103" s="38">
        <v>637.0</v>
      </c>
      <c r="R103" s="38">
        <v>112.0</v>
      </c>
      <c r="S103" s="38">
        <v>99.0</v>
      </c>
      <c r="T103" s="38">
        <v>29.0</v>
      </c>
      <c r="U103" s="48">
        <f t="shared" si="9"/>
        <v>1261</v>
      </c>
      <c r="V103" s="48">
        <f t="shared" si="10"/>
        <v>1389</v>
      </c>
      <c r="W103" s="49">
        <f t="shared" si="11"/>
        <v>0.4060269627</v>
      </c>
      <c r="X103" s="49">
        <f t="shared" si="12"/>
        <v>0.5051546392</v>
      </c>
      <c r="Y103" s="49">
        <f t="shared" si="13"/>
        <v>0.0888183981</v>
      </c>
      <c r="Z103" s="32" t="str">
        <f t="shared" si="14"/>
        <v>Milton</v>
      </c>
      <c r="AA103" s="50" t="s">
        <v>77</v>
      </c>
      <c r="AB103" s="38">
        <v>1931.0</v>
      </c>
      <c r="AC103" s="48">
        <f t="shared" si="17"/>
        <v>542</v>
      </c>
      <c r="AD103" s="51">
        <f t="shared" si="18"/>
        <v>0.7193164164</v>
      </c>
    </row>
    <row r="104">
      <c r="A104" s="23"/>
      <c r="B104" s="46" t="s">
        <v>2093</v>
      </c>
      <c r="C104" s="47"/>
      <c r="D104" s="38">
        <v>1131.0</v>
      </c>
      <c r="E104" s="38">
        <v>155.0</v>
      </c>
      <c r="F104" s="38">
        <v>577.0</v>
      </c>
      <c r="G104" s="38">
        <v>25.0</v>
      </c>
      <c r="H104" s="38">
        <v>52.0</v>
      </c>
      <c r="I104" s="48">
        <f t="shared" si="3"/>
        <v>1863</v>
      </c>
      <c r="J104" s="48">
        <f t="shared" si="4"/>
        <v>1940</v>
      </c>
      <c r="K104" s="49">
        <f t="shared" si="5"/>
        <v>0.6070853462</v>
      </c>
      <c r="L104" s="49">
        <f t="shared" si="6"/>
        <v>0.08319914117</v>
      </c>
      <c r="M104" s="49">
        <f t="shared" si="7"/>
        <v>0.3097155126</v>
      </c>
      <c r="N104" s="32" t="str">
        <f t="shared" si="8"/>
        <v>Jânio</v>
      </c>
      <c r="O104" s="50" t="s">
        <v>77</v>
      </c>
      <c r="P104" s="38">
        <v>531.0</v>
      </c>
      <c r="Q104" s="38">
        <v>897.0</v>
      </c>
      <c r="R104" s="38">
        <v>321.0</v>
      </c>
      <c r="S104" s="38">
        <v>139.0</v>
      </c>
      <c r="T104" s="38">
        <v>52.0</v>
      </c>
      <c r="U104" s="48">
        <f t="shared" si="9"/>
        <v>1749</v>
      </c>
      <c r="V104" s="48">
        <f t="shared" si="10"/>
        <v>1940</v>
      </c>
      <c r="W104" s="49">
        <f t="shared" si="11"/>
        <v>0.3036020583</v>
      </c>
      <c r="X104" s="49">
        <f t="shared" si="12"/>
        <v>0.512864494</v>
      </c>
      <c r="Y104" s="49">
        <f t="shared" si="13"/>
        <v>0.1835334477</v>
      </c>
      <c r="Z104" s="32" t="str">
        <f t="shared" si="14"/>
        <v>Milton</v>
      </c>
      <c r="AA104" s="50" t="s">
        <v>77</v>
      </c>
      <c r="AB104" s="38">
        <v>2884.0</v>
      </c>
      <c r="AC104" s="48">
        <f t="shared" si="17"/>
        <v>944</v>
      </c>
      <c r="AD104" s="51">
        <f t="shared" si="18"/>
        <v>0.6726768377</v>
      </c>
    </row>
    <row r="105">
      <c r="A105" s="24"/>
      <c r="B105" s="46" t="s">
        <v>2094</v>
      </c>
      <c r="C105" s="47"/>
      <c r="D105" s="38">
        <v>1515.0</v>
      </c>
      <c r="E105" s="38">
        <v>1159.0</v>
      </c>
      <c r="F105" s="38">
        <v>1652.0</v>
      </c>
      <c r="G105" s="38">
        <v>143.0</v>
      </c>
      <c r="H105" s="38">
        <v>163.0</v>
      </c>
      <c r="I105" s="48">
        <f t="shared" si="3"/>
        <v>4326</v>
      </c>
      <c r="J105" s="48">
        <f t="shared" si="4"/>
        <v>4632</v>
      </c>
      <c r="K105" s="49">
        <f t="shared" si="5"/>
        <v>0.3502080444</v>
      </c>
      <c r="L105" s="49">
        <f t="shared" si="6"/>
        <v>0.267914933</v>
      </c>
      <c r="M105" s="49">
        <f t="shared" si="7"/>
        <v>0.3818770227</v>
      </c>
      <c r="N105" s="32" t="str">
        <f t="shared" si="8"/>
        <v>Adhemar</v>
      </c>
      <c r="O105" s="50" t="s">
        <v>77</v>
      </c>
      <c r="P105" s="38">
        <v>2252.0</v>
      </c>
      <c r="Q105" s="38">
        <v>796.0</v>
      </c>
      <c r="R105" s="38">
        <v>1074.0</v>
      </c>
      <c r="S105" s="38">
        <v>371.0</v>
      </c>
      <c r="T105" s="38">
        <v>139.0</v>
      </c>
      <c r="U105" s="48">
        <f t="shared" si="9"/>
        <v>4122</v>
      </c>
      <c r="V105" s="48">
        <f t="shared" si="10"/>
        <v>4632</v>
      </c>
      <c r="W105" s="49">
        <f t="shared" si="11"/>
        <v>0.5463367297</v>
      </c>
      <c r="X105" s="49">
        <f t="shared" si="12"/>
        <v>0.1931101407</v>
      </c>
      <c r="Y105" s="49">
        <f t="shared" si="13"/>
        <v>0.2605531295</v>
      </c>
      <c r="Z105" s="32" t="str">
        <f t="shared" si="14"/>
        <v>Jango</v>
      </c>
      <c r="AA105" s="50" t="s">
        <v>77</v>
      </c>
      <c r="AB105" s="38">
        <v>5538.0</v>
      </c>
      <c r="AC105" s="48">
        <f t="shared" si="17"/>
        <v>906</v>
      </c>
      <c r="AD105" s="51">
        <f t="shared" si="18"/>
        <v>0.8364030336</v>
      </c>
    </row>
    <row r="106">
      <c r="A106" s="110" t="s">
        <v>215</v>
      </c>
      <c r="B106" s="46" t="s">
        <v>2095</v>
      </c>
      <c r="C106" s="47"/>
      <c r="D106" s="38">
        <v>1309.0</v>
      </c>
      <c r="E106" s="38">
        <v>487.0</v>
      </c>
      <c r="F106" s="38">
        <v>1678.0</v>
      </c>
      <c r="G106" s="38">
        <v>26.0</v>
      </c>
      <c r="H106" s="38">
        <v>70.0</v>
      </c>
      <c r="I106" s="48">
        <f t="shared" si="3"/>
        <v>3474</v>
      </c>
      <c r="J106" s="48">
        <f t="shared" si="4"/>
        <v>3570</v>
      </c>
      <c r="K106" s="49">
        <f t="shared" si="5"/>
        <v>0.3767990789</v>
      </c>
      <c r="L106" s="49">
        <f t="shared" si="6"/>
        <v>0.1401842257</v>
      </c>
      <c r="M106" s="49">
        <f t="shared" si="7"/>
        <v>0.4830166955</v>
      </c>
      <c r="N106" s="32" t="str">
        <f t="shared" si="8"/>
        <v>Adhemar</v>
      </c>
      <c r="O106" s="50" t="s">
        <v>77</v>
      </c>
      <c r="P106" s="38">
        <v>1639.0</v>
      </c>
      <c r="Q106" s="38">
        <v>1015.0</v>
      </c>
      <c r="R106" s="38">
        <v>594.0</v>
      </c>
      <c r="S106" s="38">
        <v>288.0</v>
      </c>
      <c r="T106" s="38">
        <v>34.0</v>
      </c>
      <c r="U106" s="48">
        <f t="shared" si="9"/>
        <v>3248</v>
      </c>
      <c r="V106" s="48">
        <f t="shared" si="10"/>
        <v>3570</v>
      </c>
      <c r="W106" s="49">
        <f t="shared" si="11"/>
        <v>0.5046182266</v>
      </c>
      <c r="X106" s="49">
        <f t="shared" si="12"/>
        <v>0.3125</v>
      </c>
      <c r="Y106" s="49">
        <f t="shared" si="13"/>
        <v>0.1828817734</v>
      </c>
      <c r="Z106" s="32" t="str">
        <f t="shared" si="14"/>
        <v>Jango</v>
      </c>
      <c r="AA106" s="50" t="s">
        <v>77</v>
      </c>
      <c r="AB106" s="38">
        <v>4243.0</v>
      </c>
      <c r="AC106" s="48">
        <f t="shared" si="17"/>
        <v>673</v>
      </c>
      <c r="AD106" s="51">
        <f t="shared" si="18"/>
        <v>0.8413858119</v>
      </c>
    </row>
    <row r="107">
      <c r="A107" s="110" t="s">
        <v>218</v>
      </c>
      <c r="B107" s="46" t="s">
        <v>2096</v>
      </c>
      <c r="C107" s="47"/>
      <c r="D107" s="38">
        <v>588.0</v>
      </c>
      <c r="E107" s="38">
        <v>114.0</v>
      </c>
      <c r="F107" s="38">
        <v>175.0</v>
      </c>
      <c r="G107" s="38">
        <v>22.0</v>
      </c>
      <c r="H107" s="38">
        <v>56.0</v>
      </c>
      <c r="I107" s="48">
        <f t="shared" si="3"/>
        <v>877</v>
      </c>
      <c r="J107" s="48">
        <f t="shared" si="4"/>
        <v>955</v>
      </c>
      <c r="K107" s="49">
        <f t="shared" si="5"/>
        <v>0.6704675029</v>
      </c>
      <c r="L107" s="49">
        <f t="shared" si="6"/>
        <v>0.1299885975</v>
      </c>
      <c r="M107" s="49">
        <f t="shared" si="7"/>
        <v>0.1995438997</v>
      </c>
      <c r="N107" s="32" t="str">
        <f t="shared" si="8"/>
        <v>Jânio</v>
      </c>
      <c r="O107" s="50" t="s">
        <v>77</v>
      </c>
      <c r="P107" s="38">
        <v>267.0</v>
      </c>
      <c r="Q107" s="38">
        <v>244.0</v>
      </c>
      <c r="R107" s="38">
        <v>268.0</v>
      </c>
      <c r="S107" s="38">
        <v>132.0</v>
      </c>
      <c r="T107" s="38">
        <v>44.0</v>
      </c>
      <c r="U107" s="48">
        <f t="shared" si="9"/>
        <v>779</v>
      </c>
      <c r="V107" s="48">
        <f t="shared" si="10"/>
        <v>955</v>
      </c>
      <c r="W107" s="49">
        <f t="shared" si="11"/>
        <v>0.3427471117</v>
      </c>
      <c r="X107" s="49">
        <f t="shared" si="12"/>
        <v>0.3132220796</v>
      </c>
      <c r="Y107" s="49">
        <f t="shared" si="13"/>
        <v>0.3440308087</v>
      </c>
      <c r="Z107" s="32" t="str">
        <f t="shared" si="14"/>
        <v>Ferrari</v>
      </c>
      <c r="AA107" s="50" t="s">
        <v>77</v>
      </c>
      <c r="AB107" s="38">
        <v>1108.0</v>
      </c>
      <c r="AC107" s="48">
        <f t="shared" si="17"/>
        <v>153</v>
      </c>
      <c r="AD107" s="51">
        <f t="shared" si="18"/>
        <v>0.8619133574</v>
      </c>
    </row>
    <row r="108">
      <c r="A108" s="61" t="s">
        <v>220</v>
      </c>
      <c r="B108" s="46" t="s">
        <v>2097</v>
      </c>
      <c r="C108" s="47"/>
      <c r="D108" s="38">
        <v>1440.0</v>
      </c>
      <c r="E108" s="38">
        <v>238.0</v>
      </c>
      <c r="F108" s="38">
        <v>1287.0</v>
      </c>
      <c r="G108" s="38">
        <v>71.0</v>
      </c>
      <c r="H108" s="38">
        <v>177.0</v>
      </c>
      <c r="I108" s="48">
        <f t="shared" si="3"/>
        <v>2965</v>
      </c>
      <c r="J108" s="48">
        <f t="shared" si="4"/>
        <v>3213</v>
      </c>
      <c r="K108" s="49">
        <f t="shared" si="5"/>
        <v>0.4856661046</v>
      </c>
      <c r="L108" s="49">
        <f t="shared" si="6"/>
        <v>0.0802698145</v>
      </c>
      <c r="M108" s="49">
        <f t="shared" si="7"/>
        <v>0.4340640809</v>
      </c>
      <c r="N108" s="32" t="str">
        <f t="shared" si="8"/>
        <v>Jânio</v>
      </c>
      <c r="O108" s="50" t="s">
        <v>77</v>
      </c>
      <c r="P108" s="38">
        <v>1066.0</v>
      </c>
      <c r="Q108" s="38">
        <v>1053.0</v>
      </c>
      <c r="R108" s="38">
        <v>398.0</v>
      </c>
      <c r="S108" s="38">
        <v>519.0</v>
      </c>
      <c r="T108" s="38">
        <v>177.0</v>
      </c>
      <c r="U108" s="48">
        <f t="shared" si="9"/>
        <v>2517</v>
      </c>
      <c r="V108" s="48">
        <f t="shared" si="10"/>
        <v>3213</v>
      </c>
      <c r="W108" s="49">
        <f t="shared" si="11"/>
        <v>0.4235200636</v>
      </c>
      <c r="X108" s="49">
        <f t="shared" si="12"/>
        <v>0.4183551847</v>
      </c>
      <c r="Y108" s="49">
        <f t="shared" si="13"/>
        <v>0.1581247517</v>
      </c>
      <c r="Z108" s="32" t="str">
        <f t="shared" si="14"/>
        <v>Jango</v>
      </c>
      <c r="AA108" s="50" t="s">
        <v>77</v>
      </c>
      <c r="AB108" s="38">
        <v>3482.0</v>
      </c>
      <c r="AC108" s="48">
        <f t="shared" si="17"/>
        <v>269</v>
      </c>
      <c r="AD108" s="51">
        <f t="shared" si="18"/>
        <v>0.9227455485</v>
      </c>
    </row>
    <row r="109">
      <c r="A109" s="24"/>
      <c r="B109" s="46" t="s">
        <v>2098</v>
      </c>
      <c r="C109" s="47"/>
      <c r="D109" s="38">
        <v>631.0</v>
      </c>
      <c r="E109" s="38">
        <v>31.0</v>
      </c>
      <c r="F109" s="38">
        <v>602.0</v>
      </c>
      <c r="G109" s="38">
        <v>18.0</v>
      </c>
      <c r="H109" s="38">
        <v>122.0</v>
      </c>
      <c r="I109" s="48">
        <f t="shared" si="3"/>
        <v>1264</v>
      </c>
      <c r="J109" s="48">
        <f t="shared" si="4"/>
        <v>1404</v>
      </c>
      <c r="K109" s="49">
        <f t="shared" si="5"/>
        <v>0.4992088608</v>
      </c>
      <c r="L109" s="49">
        <f t="shared" si="6"/>
        <v>0.02452531646</v>
      </c>
      <c r="M109" s="49">
        <f t="shared" si="7"/>
        <v>0.4762658228</v>
      </c>
      <c r="N109" s="32" t="str">
        <f t="shared" si="8"/>
        <v>Jânio</v>
      </c>
      <c r="O109" s="50" t="s">
        <v>77</v>
      </c>
      <c r="P109" s="38">
        <v>287.0</v>
      </c>
      <c r="Q109" s="38">
        <v>288.0</v>
      </c>
      <c r="R109" s="38">
        <v>486.0</v>
      </c>
      <c r="S109" s="38">
        <v>221.0</v>
      </c>
      <c r="T109" s="38">
        <v>122.0</v>
      </c>
      <c r="U109" s="48">
        <f t="shared" si="9"/>
        <v>1061</v>
      </c>
      <c r="V109" s="48">
        <f t="shared" si="10"/>
        <v>1404</v>
      </c>
      <c r="W109" s="49">
        <f t="shared" si="11"/>
        <v>0.2704995287</v>
      </c>
      <c r="X109" s="49">
        <f t="shared" si="12"/>
        <v>0.2714420358</v>
      </c>
      <c r="Y109" s="49">
        <f t="shared" si="13"/>
        <v>0.4580584354</v>
      </c>
      <c r="Z109" s="32" t="str">
        <f t="shared" si="14"/>
        <v>Ferrari</v>
      </c>
      <c r="AA109" s="50" t="s">
        <v>77</v>
      </c>
      <c r="AB109" s="38">
        <v>1559.0</v>
      </c>
      <c r="AC109" s="48">
        <f t="shared" si="17"/>
        <v>155</v>
      </c>
      <c r="AD109" s="51">
        <f t="shared" si="18"/>
        <v>0.9005772931</v>
      </c>
    </row>
    <row r="110">
      <c r="A110" s="61" t="s">
        <v>295</v>
      </c>
      <c r="B110" s="46" t="s">
        <v>2099</v>
      </c>
      <c r="C110" s="47"/>
      <c r="D110" s="38">
        <v>3118.0</v>
      </c>
      <c r="E110" s="38">
        <v>1606.0</v>
      </c>
      <c r="F110" s="38">
        <v>1264.0</v>
      </c>
      <c r="G110" s="38">
        <v>237.0</v>
      </c>
      <c r="H110" s="38">
        <v>186.0</v>
      </c>
      <c r="I110" s="48">
        <f t="shared" si="3"/>
        <v>5988</v>
      </c>
      <c r="J110" s="48">
        <f t="shared" si="4"/>
        <v>6411</v>
      </c>
      <c r="K110" s="49">
        <f t="shared" si="5"/>
        <v>0.5207080828</v>
      </c>
      <c r="L110" s="49">
        <f t="shared" si="6"/>
        <v>0.2682030728</v>
      </c>
      <c r="M110" s="49">
        <f t="shared" si="7"/>
        <v>0.2110888444</v>
      </c>
      <c r="N110" s="32" t="str">
        <f t="shared" si="8"/>
        <v>Jânio</v>
      </c>
      <c r="O110" s="50" t="s">
        <v>77</v>
      </c>
      <c r="P110" s="38">
        <v>2276.0</v>
      </c>
      <c r="Q110" s="38">
        <v>2383.0</v>
      </c>
      <c r="R110" s="38">
        <v>1015.0</v>
      </c>
      <c r="S110" s="38">
        <v>580.0</v>
      </c>
      <c r="T110" s="38">
        <v>157.0</v>
      </c>
      <c r="U110" s="48">
        <f t="shared" si="9"/>
        <v>5674</v>
      </c>
      <c r="V110" s="48">
        <f t="shared" si="10"/>
        <v>6411</v>
      </c>
      <c r="W110" s="49">
        <f t="shared" si="11"/>
        <v>0.4011279521</v>
      </c>
      <c r="X110" s="49">
        <f t="shared" si="12"/>
        <v>0.4199859006</v>
      </c>
      <c r="Y110" s="49">
        <f t="shared" si="13"/>
        <v>0.1788861473</v>
      </c>
      <c r="Z110" s="32" t="str">
        <f t="shared" si="14"/>
        <v>Milton</v>
      </c>
      <c r="AA110" s="50" t="s">
        <v>77</v>
      </c>
      <c r="AB110" s="38">
        <v>6864.0</v>
      </c>
      <c r="AC110" s="48">
        <f t="shared" si="17"/>
        <v>453</v>
      </c>
      <c r="AD110" s="51">
        <f t="shared" si="18"/>
        <v>0.9340034965</v>
      </c>
    </row>
    <row r="111">
      <c r="A111" s="23"/>
      <c r="B111" s="46" t="s">
        <v>2100</v>
      </c>
      <c r="C111" s="47"/>
      <c r="D111" s="38">
        <v>662.0</v>
      </c>
      <c r="E111" s="38">
        <v>82.0</v>
      </c>
      <c r="F111" s="38">
        <v>283.0</v>
      </c>
      <c r="G111" s="38">
        <v>57.0</v>
      </c>
      <c r="H111" s="38">
        <v>65.0</v>
      </c>
      <c r="I111" s="48">
        <f t="shared" si="3"/>
        <v>1027</v>
      </c>
      <c r="J111" s="48">
        <f t="shared" si="4"/>
        <v>1149</v>
      </c>
      <c r="K111" s="49">
        <f t="shared" si="5"/>
        <v>0.6445959104</v>
      </c>
      <c r="L111" s="49">
        <f t="shared" si="6"/>
        <v>0.07984420643</v>
      </c>
      <c r="M111" s="49">
        <f t="shared" si="7"/>
        <v>0.2755598832</v>
      </c>
      <c r="N111" s="32" t="str">
        <f t="shared" si="8"/>
        <v>Jânio</v>
      </c>
      <c r="O111" s="50" t="s">
        <v>77</v>
      </c>
      <c r="P111" s="38">
        <v>272.0</v>
      </c>
      <c r="Q111" s="38">
        <v>391.0</v>
      </c>
      <c r="R111" s="38">
        <v>261.0</v>
      </c>
      <c r="S111" s="38">
        <v>195.0</v>
      </c>
      <c r="T111" s="38">
        <v>30.0</v>
      </c>
      <c r="U111" s="48">
        <f t="shared" si="9"/>
        <v>924</v>
      </c>
      <c r="V111" s="48">
        <f t="shared" si="10"/>
        <v>1149</v>
      </c>
      <c r="W111" s="49">
        <f t="shared" si="11"/>
        <v>0.2943722944</v>
      </c>
      <c r="X111" s="49">
        <f t="shared" si="12"/>
        <v>0.4231601732</v>
      </c>
      <c r="Y111" s="49">
        <f t="shared" si="13"/>
        <v>0.2824675325</v>
      </c>
      <c r="Z111" s="32" t="str">
        <f t="shared" si="14"/>
        <v>Milton</v>
      </c>
      <c r="AA111" s="50" t="s">
        <v>77</v>
      </c>
      <c r="AB111" s="38">
        <v>1335.0</v>
      </c>
      <c r="AC111" s="48">
        <f t="shared" si="17"/>
        <v>186</v>
      </c>
      <c r="AD111" s="51">
        <f t="shared" si="18"/>
        <v>0.8606741573</v>
      </c>
    </row>
    <row r="112">
      <c r="A112" s="24"/>
      <c r="B112" s="46" t="s">
        <v>2101</v>
      </c>
      <c r="C112" s="47"/>
      <c r="D112" s="38">
        <v>1209.0</v>
      </c>
      <c r="E112" s="38">
        <v>186.0</v>
      </c>
      <c r="F112" s="38">
        <v>580.0</v>
      </c>
      <c r="G112" s="38">
        <v>54.0</v>
      </c>
      <c r="H112" s="38">
        <v>43.0</v>
      </c>
      <c r="I112" s="48">
        <f t="shared" si="3"/>
        <v>1975</v>
      </c>
      <c r="J112" s="48">
        <f t="shared" si="4"/>
        <v>2072</v>
      </c>
      <c r="K112" s="49">
        <f t="shared" si="5"/>
        <v>0.6121518987</v>
      </c>
      <c r="L112" s="49">
        <f t="shared" si="6"/>
        <v>0.09417721519</v>
      </c>
      <c r="M112" s="49">
        <f t="shared" si="7"/>
        <v>0.2936708861</v>
      </c>
      <c r="N112" s="32" t="str">
        <f t="shared" si="8"/>
        <v>Jânio</v>
      </c>
      <c r="O112" s="50" t="s">
        <v>77</v>
      </c>
      <c r="P112" s="38">
        <v>371.0</v>
      </c>
      <c r="Q112" s="38">
        <v>1033.0</v>
      </c>
      <c r="R112" s="38">
        <v>335.0</v>
      </c>
      <c r="S112" s="38">
        <v>315.0</v>
      </c>
      <c r="T112" s="38">
        <v>18.0</v>
      </c>
      <c r="U112" s="48">
        <f t="shared" si="9"/>
        <v>1739</v>
      </c>
      <c r="V112" s="48">
        <f t="shared" si="10"/>
        <v>2072</v>
      </c>
      <c r="W112" s="49">
        <f t="shared" si="11"/>
        <v>0.2133410006</v>
      </c>
      <c r="X112" s="49">
        <f t="shared" si="12"/>
        <v>0.5940195515</v>
      </c>
      <c r="Y112" s="49">
        <f t="shared" si="13"/>
        <v>0.192639448</v>
      </c>
      <c r="Z112" s="32" t="str">
        <f t="shared" si="14"/>
        <v>Milton</v>
      </c>
      <c r="AA112" s="50" t="s">
        <v>77</v>
      </c>
      <c r="AB112" s="38">
        <v>2205.0</v>
      </c>
      <c r="AC112" s="48">
        <f t="shared" si="17"/>
        <v>133</v>
      </c>
      <c r="AD112" s="51">
        <f t="shared" si="18"/>
        <v>0.9396825397</v>
      </c>
    </row>
    <row r="113">
      <c r="A113" s="61" t="s">
        <v>299</v>
      </c>
      <c r="B113" s="46" t="s">
        <v>2102</v>
      </c>
      <c r="C113" s="47"/>
      <c r="D113" s="38">
        <v>2787.0</v>
      </c>
      <c r="E113" s="38">
        <v>704.0</v>
      </c>
      <c r="F113" s="38">
        <v>621.0</v>
      </c>
      <c r="G113" s="38">
        <v>56.0</v>
      </c>
      <c r="H113" s="55">
        <v>102.0</v>
      </c>
      <c r="I113" s="48">
        <f t="shared" si="3"/>
        <v>4112</v>
      </c>
      <c r="J113" s="114">
        <f t="shared" si="4"/>
        <v>4270</v>
      </c>
      <c r="K113" s="49">
        <f t="shared" si="5"/>
        <v>0.6777723735</v>
      </c>
      <c r="L113" s="49">
        <f t="shared" si="6"/>
        <v>0.1712062257</v>
      </c>
      <c r="M113" s="49">
        <f t="shared" si="7"/>
        <v>0.1510214008</v>
      </c>
      <c r="N113" s="32" t="str">
        <f t="shared" si="8"/>
        <v>Jânio</v>
      </c>
      <c r="O113" s="50" t="s">
        <v>77</v>
      </c>
      <c r="P113" s="38">
        <v>1027.0</v>
      </c>
      <c r="Q113" s="38">
        <v>2169.0</v>
      </c>
      <c r="R113" s="38">
        <v>735.0</v>
      </c>
      <c r="S113" s="38">
        <v>273.0</v>
      </c>
      <c r="T113" s="38">
        <v>66.0</v>
      </c>
      <c r="U113" s="48">
        <f t="shared" si="9"/>
        <v>3931</v>
      </c>
      <c r="V113" s="48">
        <f t="shared" si="10"/>
        <v>4270</v>
      </c>
      <c r="W113" s="49">
        <f t="shared" si="11"/>
        <v>0.2612566777</v>
      </c>
      <c r="X113" s="49">
        <f t="shared" si="12"/>
        <v>0.551767998</v>
      </c>
      <c r="Y113" s="49">
        <f t="shared" si="13"/>
        <v>0.1869753243</v>
      </c>
      <c r="Z113" s="32" t="str">
        <f t="shared" si="14"/>
        <v>Milton</v>
      </c>
      <c r="AA113" s="50" t="s">
        <v>77</v>
      </c>
      <c r="AB113" s="38">
        <v>4704.0</v>
      </c>
      <c r="AC113" s="48">
        <f t="shared" si="17"/>
        <v>434</v>
      </c>
      <c r="AD113" s="51">
        <f t="shared" si="18"/>
        <v>0.9077380952</v>
      </c>
    </row>
    <row r="114">
      <c r="A114" s="23"/>
      <c r="B114" s="46" t="s">
        <v>2103</v>
      </c>
      <c r="C114" s="47"/>
      <c r="D114" s="38">
        <v>510.0</v>
      </c>
      <c r="E114" s="38">
        <v>33.0</v>
      </c>
      <c r="F114" s="38">
        <v>222.0</v>
      </c>
      <c r="G114" s="38">
        <v>44.0</v>
      </c>
      <c r="H114" s="38">
        <v>41.0</v>
      </c>
      <c r="I114" s="48">
        <f t="shared" si="3"/>
        <v>765</v>
      </c>
      <c r="J114" s="48">
        <f t="shared" si="4"/>
        <v>850</v>
      </c>
      <c r="K114" s="49">
        <f t="shared" si="5"/>
        <v>0.6666666667</v>
      </c>
      <c r="L114" s="49">
        <f t="shared" si="6"/>
        <v>0.0431372549</v>
      </c>
      <c r="M114" s="49">
        <f t="shared" si="7"/>
        <v>0.2901960784</v>
      </c>
      <c r="N114" s="32" t="str">
        <f t="shared" si="8"/>
        <v>Jânio</v>
      </c>
      <c r="O114" s="50" t="s">
        <v>77</v>
      </c>
      <c r="P114" s="38">
        <v>174.0</v>
      </c>
      <c r="Q114" s="38">
        <v>169.0</v>
      </c>
      <c r="R114" s="38">
        <v>309.0</v>
      </c>
      <c r="S114" s="38">
        <v>148.0</v>
      </c>
      <c r="T114" s="38">
        <v>50.0</v>
      </c>
      <c r="U114" s="48">
        <f t="shared" si="9"/>
        <v>652</v>
      </c>
      <c r="V114" s="48">
        <f t="shared" si="10"/>
        <v>850</v>
      </c>
      <c r="W114" s="49">
        <f t="shared" si="11"/>
        <v>0.2668711656</v>
      </c>
      <c r="X114" s="49">
        <f t="shared" si="12"/>
        <v>0.259202454</v>
      </c>
      <c r="Y114" s="49">
        <f t="shared" si="13"/>
        <v>0.4739263804</v>
      </c>
      <c r="Z114" s="32" t="str">
        <f t="shared" si="14"/>
        <v>Ferrari</v>
      </c>
      <c r="AA114" s="50" t="s">
        <v>77</v>
      </c>
      <c r="AB114" s="38">
        <v>1079.0</v>
      </c>
      <c r="AC114" s="48">
        <f t="shared" si="17"/>
        <v>229</v>
      </c>
      <c r="AD114" s="51">
        <f t="shared" si="18"/>
        <v>0.7877664504</v>
      </c>
    </row>
    <row r="115">
      <c r="A115" s="24"/>
      <c r="B115" s="46" t="s">
        <v>2104</v>
      </c>
      <c r="C115" s="47"/>
      <c r="D115" s="38">
        <v>1277.0</v>
      </c>
      <c r="E115" s="38">
        <v>152.0</v>
      </c>
      <c r="F115" s="38">
        <v>1278.0</v>
      </c>
      <c r="G115" s="38">
        <v>96.0</v>
      </c>
      <c r="H115" s="38">
        <v>140.0</v>
      </c>
      <c r="I115" s="48">
        <f t="shared" si="3"/>
        <v>2707</v>
      </c>
      <c r="J115" s="48">
        <f t="shared" si="4"/>
        <v>2943</v>
      </c>
      <c r="K115" s="49">
        <f t="shared" si="5"/>
        <v>0.4717399335</v>
      </c>
      <c r="L115" s="49">
        <f t="shared" si="6"/>
        <v>0.05615072035</v>
      </c>
      <c r="M115" s="49">
        <f t="shared" si="7"/>
        <v>0.4721093461</v>
      </c>
      <c r="N115" s="32" t="str">
        <f t="shared" si="8"/>
        <v>Adhemar</v>
      </c>
      <c r="O115" s="50" t="s">
        <v>77</v>
      </c>
      <c r="P115" s="38">
        <v>828.0</v>
      </c>
      <c r="Q115" s="38">
        <v>1070.0</v>
      </c>
      <c r="R115" s="38">
        <v>582.0</v>
      </c>
      <c r="S115" s="38">
        <v>378.0</v>
      </c>
      <c r="T115" s="38">
        <v>85.0</v>
      </c>
      <c r="U115" s="48">
        <f t="shared" si="9"/>
        <v>2480</v>
      </c>
      <c r="V115" s="48">
        <f t="shared" si="10"/>
        <v>2943</v>
      </c>
      <c r="W115" s="49">
        <f t="shared" si="11"/>
        <v>0.3338709677</v>
      </c>
      <c r="X115" s="49">
        <f t="shared" si="12"/>
        <v>0.4314516129</v>
      </c>
      <c r="Y115" s="49">
        <f t="shared" si="13"/>
        <v>0.2346774194</v>
      </c>
      <c r="Z115" s="32" t="str">
        <f t="shared" si="14"/>
        <v>Milton</v>
      </c>
      <c r="AA115" s="50" t="s">
        <v>77</v>
      </c>
      <c r="AB115" s="38">
        <v>3174.0</v>
      </c>
      <c r="AC115" s="48">
        <f t="shared" si="17"/>
        <v>231</v>
      </c>
      <c r="AD115" s="51">
        <f t="shared" si="18"/>
        <v>0.927221172</v>
      </c>
    </row>
    <row r="116">
      <c r="A116" s="61" t="s">
        <v>302</v>
      </c>
      <c r="B116" s="46" t="s">
        <v>2105</v>
      </c>
      <c r="C116" s="47"/>
      <c r="D116" s="38">
        <v>5318.0</v>
      </c>
      <c r="E116" s="38">
        <v>1088.0</v>
      </c>
      <c r="F116" s="38">
        <v>3441.0</v>
      </c>
      <c r="G116" s="38">
        <v>172.0</v>
      </c>
      <c r="H116" s="38">
        <v>272.0</v>
      </c>
      <c r="I116" s="48">
        <f t="shared" si="3"/>
        <v>9847</v>
      </c>
      <c r="J116" s="48">
        <f t="shared" si="4"/>
        <v>10291</v>
      </c>
      <c r="K116" s="49">
        <f t="shared" si="5"/>
        <v>0.5400629633</v>
      </c>
      <c r="L116" s="49">
        <f t="shared" si="6"/>
        <v>0.1104905047</v>
      </c>
      <c r="M116" s="49">
        <f t="shared" si="7"/>
        <v>0.3494465319</v>
      </c>
      <c r="N116" s="32" t="str">
        <f t="shared" si="8"/>
        <v>Jânio</v>
      </c>
      <c r="O116" s="50" t="s">
        <v>77</v>
      </c>
      <c r="P116" s="38">
        <v>4272.0</v>
      </c>
      <c r="Q116" s="38">
        <v>4972.0</v>
      </c>
      <c r="R116" s="38">
        <v>399.0</v>
      </c>
      <c r="S116" s="38">
        <v>443.0</v>
      </c>
      <c r="T116" s="38">
        <v>205.0</v>
      </c>
      <c r="U116" s="48">
        <f t="shared" si="9"/>
        <v>9643</v>
      </c>
      <c r="V116" s="48">
        <f t="shared" si="10"/>
        <v>10291</v>
      </c>
      <c r="W116" s="49">
        <f t="shared" si="11"/>
        <v>0.443015659</v>
      </c>
      <c r="X116" s="49">
        <f t="shared" si="12"/>
        <v>0.5156071762</v>
      </c>
      <c r="Y116" s="49">
        <f t="shared" si="13"/>
        <v>0.04137716478</v>
      </c>
      <c r="Z116" s="32" t="str">
        <f t="shared" si="14"/>
        <v>Milton</v>
      </c>
      <c r="AA116" s="50" t="s">
        <v>77</v>
      </c>
      <c r="AB116" s="38">
        <v>11620.0</v>
      </c>
      <c r="AC116" s="48">
        <f t="shared" si="17"/>
        <v>1329</v>
      </c>
      <c r="AD116" s="51">
        <f t="shared" si="18"/>
        <v>0.8856282272</v>
      </c>
    </row>
    <row r="117">
      <c r="A117" s="23"/>
      <c r="B117" s="46" t="s">
        <v>2106</v>
      </c>
      <c r="C117" s="47"/>
      <c r="D117" s="38">
        <v>348.0</v>
      </c>
      <c r="E117" s="38">
        <v>26.0</v>
      </c>
      <c r="F117" s="38">
        <v>351.0</v>
      </c>
      <c r="G117" s="38">
        <v>22.0</v>
      </c>
      <c r="H117" s="38">
        <v>34.0</v>
      </c>
      <c r="I117" s="48">
        <f t="shared" si="3"/>
        <v>725</v>
      </c>
      <c r="J117" s="48">
        <f t="shared" si="4"/>
        <v>781</v>
      </c>
      <c r="K117" s="49">
        <f t="shared" si="5"/>
        <v>0.48</v>
      </c>
      <c r="L117" s="49">
        <f t="shared" si="6"/>
        <v>0.03586206897</v>
      </c>
      <c r="M117" s="49">
        <f t="shared" si="7"/>
        <v>0.484137931</v>
      </c>
      <c r="N117" s="32" t="str">
        <f t="shared" si="8"/>
        <v>Adhemar</v>
      </c>
      <c r="O117" s="50" t="s">
        <v>77</v>
      </c>
      <c r="P117" s="38">
        <v>277.0</v>
      </c>
      <c r="Q117" s="38">
        <v>311.0</v>
      </c>
      <c r="R117" s="38">
        <v>58.0</v>
      </c>
      <c r="S117" s="38">
        <v>117.0</v>
      </c>
      <c r="T117" s="38">
        <v>18.0</v>
      </c>
      <c r="U117" s="48">
        <f t="shared" si="9"/>
        <v>646</v>
      </c>
      <c r="V117" s="48">
        <f t="shared" si="10"/>
        <v>781</v>
      </c>
      <c r="W117" s="49">
        <f t="shared" si="11"/>
        <v>0.4287925697</v>
      </c>
      <c r="X117" s="49">
        <f t="shared" si="12"/>
        <v>0.4814241486</v>
      </c>
      <c r="Y117" s="49">
        <f t="shared" si="13"/>
        <v>0.08978328173</v>
      </c>
      <c r="Z117" s="32" t="str">
        <f t="shared" si="14"/>
        <v>Milton</v>
      </c>
      <c r="AA117" s="50" t="s">
        <v>77</v>
      </c>
      <c r="AB117" s="38">
        <v>949.0</v>
      </c>
      <c r="AC117" s="48">
        <f t="shared" si="17"/>
        <v>168</v>
      </c>
      <c r="AD117" s="51">
        <f t="shared" si="18"/>
        <v>0.822971549</v>
      </c>
    </row>
    <row r="118">
      <c r="A118" s="23"/>
      <c r="B118" s="46" t="s">
        <v>2107</v>
      </c>
      <c r="C118" s="47"/>
      <c r="D118" s="55">
        <v>773.0</v>
      </c>
      <c r="E118" s="38">
        <v>77.0</v>
      </c>
      <c r="F118" s="38">
        <v>847.0</v>
      </c>
      <c r="G118" s="38">
        <v>38.0</v>
      </c>
      <c r="H118" s="38">
        <v>70.0</v>
      </c>
      <c r="I118" s="48">
        <f t="shared" si="3"/>
        <v>1697</v>
      </c>
      <c r="J118" s="114">
        <f t="shared" si="4"/>
        <v>1805</v>
      </c>
      <c r="K118" s="49">
        <f t="shared" si="5"/>
        <v>0.455509723</v>
      </c>
      <c r="L118" s="49">
        <f t="shared" si="6"/>
        <v>0.04537418975</v>
      </c>
      <c r="M118" s="49">
        <f t="shared" si="7"/>
        <v>0.4991160872</v>
      </c>
      <c r="N118" s="32" t="str">
        <f t="shared" si="8"/>
        <v>Adhemar</v>
      </c>
      <c r="O118" s="50" t="s">
        <v>77</v>
      </c>
      <c r="P118" s="38">
        <v>729.0</v>
      </c>
      <c r="Q118" s="38">
        <v>673.0</v>
      </c>
      <c r="R118" s="38">
        <v>117.0</v>
      </c>
      <c r="S118" s="38">
        <v>256.0</v>
      </c>
      <c r="T118" s="38">
        <v>30.0</v>
      </c>
      <c r="U118" s="48">
        <f t="shared" si="9"/>
        <v>1519</v>
      </c>
      <c r="V118" s="48">
        <f t="shared" si="10"/>
        <v>1805</v>
      </c>
      <c r="W118" s="49">
        <f t="shared" si="11"/>
        <v>0.4799210007</v>
      </c>
      <c r="X118" s="49">
        <f t="shared" si="12"/>
        <v>0.4430546412</v>
      </c>
      <c r="Y118" s="49">
        <f t="shared" si="13"/>
        <v>0.07702435813</v>
      </c>
      <c r="Z118" s="32" t="str">
        <f t="shared" si="14"/>
        <v>Jango</v>
      </c>
      <c r="AA118" s="50" t="s">
        <v>77</v>
      </c>
      <c r="AB118" s="38">
        <v>2192.0</v>
      </c>
      <c r="AC118" s="48">
        <f t="shared" si="17"/>
        <v>387</v>
      </c>
      <c r="AD118" s="51">
        <f t="shared" si="18"/>
        <v>0.8234489051</v>
      </c>
    </row>
    <row r="119">
      <c r="A119" s="23"/>
      <c r="B119" s="46" t="s">
        <v>2108</v>
      </c>
      <c r="C119" s="47"/>
      <c r="D119" s="38">
        <v>906.0</v>
      </c>
      <c r="E119" s="38">
        <v>180.0</v>
      </c>
      <c r="F119" s="38">
        <v>656.0</v>
      </c>
      <c r="G119" s="38">
        <v>55.0</v>
      </c>
      <c r="H119" s="38">
        <v>99.0</v>
      </c>
      <c r="I119" s="48">
        <f t="shared" si="3"/>
        <v>1742</v>
      </c>
      <c r="J119" s="48">
        <f t="shared" si="4"/>
        <v>1896</v>
      </c>
      <c r="K119" s="49">
        <f t="shared" si="5"/>
        <v>0.5200918485</v>
      </c>
      <c r="L119" s="49">
        <f t="shared" si="6"/>
        <v>0.1033295063</v>
      </c>
      <c r="M119" s="49">
        <f t="shared" si="7"/>
        <v>0.3765786452</v>
      </c>
      <c r="N119" s="32" t="str">
        <f t="shared" si="8"/>
        <v>Jânio</v>
      </c>
      <c r="O119" s="50" t="s">
        <v>77</v>
      </c>
      <c r="P119" s="38">
        <v>814.0</v>
      </c>
      <c r="Q119" s="38">
        <v>655.0</v>
      </c>
      <c r="R119" s="38">
        <v>168.0</v>
      </c>
      <c r="S119" s="38">
        <v>200.0</v>
      </c>
      <c r="T119" s="38">
        <v>59.0</v>
      </c>
      <c r="U119" s="48">
        <f t="shared" si="9"/>
        <v>1637</v>
      </c>
      <c r="V119" s="48">
        <f t="shared" si="10"/>
        <v>1896</v>
      </c>
      <c r="W119" s="49">
        <f t="shared" si="11"/>
        <v>0.497251069</v>
      </c>
      <c r="X119" s="49">
        <f t="shared" si="12"/>
        <v>0.4001221747</v>
      </c>
      <c r="Y119" s="49">
        <f t="shared" si="13"/>
        <v>0.1026267563</v>
      </c>
      <c r="Z119" s="32" t="str">
        <f t="shared" si="14"/>
        <v>Jango</v>
      </c>
      <c r="AA119" s="50" t="s">
        <v>77</v>
      </c>
      <c r="AB119" s="38">
        <v>2153.0</v>
      </c>
      <c r="AC119" s="48">
        <f t="shared" si="17"/>
        <v>257</v>
      </c>
      <c r="AD119" s="51">
        <f t="shared" si="18"/>
        <v>0.8806316767</v>
      </c>
    </row>
    <row r="120">
      <c r="A120" s="24"/>
      <c r="B120" s="46" t="s">
        <v>2109</v>
      </c>
      <c r="C120" s="47"/>
      <c r="D120" s="38">
        <v>1129.0</v>
      </c>
      <c r="E120" s="38">
        <v>126.0</v>
      </c>
      <c r="F120" s="38">
        <v>1003.0</v>
      </c>
      <c r="G120" s="38">
        <v>86.0</v>
      </c>
      <c r="H120" s="38">
        <v>93.0</v>
      </c>
      <c r="I120" s="48">
        <f t="shared" si="3"/>
        <v>2258</v>
      </c>
      <c r="J120" s="48">
        <f t="shared" si="4"/>
        <v>2437</v>
      </c>
      <c r="K120" s="49">
        <f t="shared" si="5"/>
        <v>0.5</v>
      </c>
      <c r="L120" s="49">
        <f t="shared" si="6"/>
        <v>0.05580159433</v>
      </c>
      <c r="M120" s="49">
        <f t="shared" si="7"/>
        <v>0.4441984057</v>
      </c>
      <c r="N120" s="32" t="str">
        <f t="shared" si="8"/>
        <v>Jânio</v>
      </c>
      <c r="O120" s="50" t="s">
        <v>77</v>
      </c>
      <c r="P120" s="38">
        <v>851.0</v>
      </c>
      <c r="Q120" s="38">
        <v>900.0</v>
      </c>
      <c r="R120" s="38">
        <v>147.0</v>
      </c>
      <c r="S120" s="38">
        <v>484.0</v>
      </c>
      <c r="T120" s="38">
        <v>55.0</v>
      </c>
      <c r="U120" s="48">
        <f t="shared" si="9"/>
        <v>1898</v>
      </c>
      <c r="V120" s="48">
        <f t="shared" si="10"/>
        <v>2437</v>
      </c>
      <c r="W120" s="49">
        <f t="shared" si="11"/>
        <v>0.4483667018</v>
      </c>
      <c r="X120" s="49">
        <f t="shared" si="12"/>
        <v>0.4741833509</v>
      </c>
      <c r="Y120" s="49">
        <f t="shared" si="13"/>
        <v>0.07744994731</v>
      </c>
      <c r="Z120" s="32" t="str">
        <f t="shared" si="14"/>
        <v>Milton</v>
      </c>
      <c r="AA120" s="50" t="s">
        <v>77</v>
      </c>
      <c r="AB120" s="38">
        <v>2874.0</v>
      </c>
      <c r="AC120" s="48">
        <f t="shared" si="17"/>
        <v>437</v>
      </c>
      <c r="AD120" s="51">
        <f t="shared" si="18"/>
        <v>0.847947112</v>
      </c>
    </row>
    <row r="121">
      <c r="A121" s="61" t="s">
        <v>304</v>
      </c>
      <c r="B121" s="46" t="s">
        <v>2110</v>
      </c>
      <c r="C121" s="47"/>
      <c r="D121" s="38">
        <v>1801.0</v>
      </c>
      <c r="E121" s="38">
        <v>125.0</v>
      </c>
      <c r="F121" s="38">
        <v>880.0</v>
      </c>
      <c r="G121" s="38">
        <v>33.0</v>
      </c>
      <c r="H121" s="38">
        <v>97.0</v>
      </c>
      <c r="I121" s="48">
        <f t="shared" si="3"/>
        <v>2806</v>
      </c>
      <c r="J121" s="48">
        <f t="shared" si="4"/>
        <v>2936</v>
      </c>
      <c r="K121" s="49">
        <f t="shared" si="5"/>
        <v>0.6418389166</v>
      </c>
      <c r="L121" s="49">
        <f t="shared" si="6"/>
        <v>0.04454739843</v>
      </c>
      <c r="M121" s="49">
        <f t="shared" si="7"/>
        <v>0.313613685</v>
      </c>
      <c r="N121" s="32" t="str">
        <f t="shared" si="8"/>
        <v>Jânio</v>
      </c>
      <c r="O121" s="50" t="s">
        <v>77</v>
      </c>
      <c r="P121" s="38">
        <v>651.0</v>
      </c>
      <c r="Q121" s="38">
        <v>1558.0</v>
      </c>
      <c r="R121" s="55">
        <v>396.0</v>
      </c>
      <c r="S121" s="38">
        <v>274.0</v>
      </c>
      <c r="T121" s="38">
        <v>57.0</v>
      </c>
      <c r="U121" s="48">
        <f t="shared" si="9"/>
        <v>2605</v>
      </c>
      <c r="V121" s="114">
        <f t="shared" si="10"/>
        <v>2936</v>
      </c>
      <c r="W121" s="49">
        <f t="shared" si="11"/>
        <v>0.2499040307</v>
      </c>
      <c r="X121" s="49">
        <f t="shared" si="12"/>
        <v>0.5980806142</v>
      </c>
      <c r="Y121" s="49">
        <f t="shared" si="13"/>
        <v>0.1520153551</v>
      </c>
      <c r="Z121" s="32" t="str">
        <f t="shared" si="14"/>
        <v>Milton</v>
      </c>
      <c r="AA121" s="50" t="s">
        <v>77</v>
      </c>
      <c r="AB121" s="38">
        <v>3109.0</v>
      </c>
      <c r="AC121" s="48">
        <f t="shared" si="17"/>
        <v>173</v>
      </c>
      <c r="AD121" s="51">
        <f t="shared" si="18"/>
        <v>0.9443550981</v>
      </c>
    </row>
    <row r="122">
      <c r="A122" s="23"/>
      <c r="B122" s="46" t="s">
        <v>2111</v>
      </c>
      <c r="C122" s="47"/>
      <c r="D122" s="38">
        <v>424.0</v>
      </c>
      <c r="E122" s="38">
        <v>62.0</v>
      </c>
      <c r="F122" s="38">
        <v>247.0</v>
      </c>
      <c r="G122" s="38">
        <v>15.0</v>
      </c>
      <c r="H122" s="38">
        <v>53.0</v>
      </c>
      <c r="I122" s="48">
        <f t="shared" si="3"/>
        <v>733</v>
      </c>
      <c r="J122" s="48">
        <f t="shared" si="4"/>
        <v>801</v>
      </c>
      <c r="K122" s="49">
        <f t="shared" si="5"/>
        <v>0.5784447476</v>
      </c>
      <c r="L122" s="49">
        <f t="shared" si="6"/>
        <v>0.08458390177</v>
      </c>
      <c r="M122" s="49">
        <f t="shared" si="7"/>
        <v>0.3369713506</v>
      </c>
      <c r="N122" s="32" t="str">
        <f t="shared" si="8"/>
        <v>Jânio</v>
      </c>
      <c r="O122" s="50" t="s">
        <v>77</v>
      </c>
      <c r="P122" s="38">
        <v>225.0</v>
      </c>
      <c r="Q122" s="38">
        <v>268.0</v>
      </c>
      <c r="R122" s="38">
        <v>131.0</v>
      </c>
      <c r="S122" s="38">
        <v>152.0</v>
      </c>
      <c r="T122" s="38">
        <v>25.0</v>
      </c>
      <c r="U122" s="48">
        <f t="shared" si="9"/>
        <v>624</v>
      </c>
      <c r="V122" s="48">
        <f t="shared" si="10"/>
        <v>801</v>
      </c>
      <c r="W122" s="49">
        <f t="shared" si="11"/>
        <v>0.3605769231</v>
      </c>
      <c r="X122" s="49">
        <f t="shared" si="12"/>
        <v>0.4294871795</v>
      </c>
      <c r="Y122" s="49">
        <f t="shared" si="13"/>
        <v>0.2099358974</v>
      </c>
      <c r="Z122" s="32" t="str">
        <f t="shared" si="14"/>
        <v>Milton</v>
      </c>
      <c r="AA122" s="50" t="s">
        <v>77</v>
      </c>
      <c r="AB122" s="38">
        <v>903.0</v>
      </c>
      <c r="AC122" s="48">
        <f t="shared" si="17"/>
        <v>102</v>
      </c>
      <c r="AD122" s="51">
        <f t="shared" si="18"/>
        <v>0.8870431894</v>
      </c>
    </row>
    <row r="123">
      <c r="A123" s="23"/>
      <c r="B123" s="46" t="s">
        <v>2112</v>
      </c>
      <c r="C123" s="47"/>
      <c r="D123" s="38">
        <v>902.0</v>
      </c>
      <c r="E123" s="38">
        <v>56.0</v>
      </c>
      <c r="F123" s="38">
        <v>290.0</v>
      </c>
      <c r="G123" s="38">
        <v>33.0</v>
      </c>
      <c r="H123" s="38">
        <v>66.0</v>
      </c>
      <c r="I123" s="48">
        <f t="shared" si="3"/>
        <v>1248</v>
      </c>
      <c r="J123" s="48">
        <f t="shared" si="4"/>
        <v>1347</v>
      </c>
      <c r="K123" s="49">
        <f t="shared" si="5"/>
        <v>0.7227564103</v>
      </c>
      <c r="L123" s="49">
        <f t="shared" si="6"/>
        <v>0.04487179487</v>
      </c>
      <c r="M123" s="49">
        <f t="shared" si="7"/>
        <v>0.2323717949</v>
      </c>
      <c r="N123" s="32" t="str">
        <f t="shared" si="8"/>
        <v>Jânio</v>
      </c>
      <c r="O123" s="50" t="s">
        <v>77</v>
      </c>
      <c r="P123" s="38">
        <v>181.0</v>
      </c>
      <c r="Q123" s="38">
        <v>644.0</v>
      </c>
      <c r="R123" s="38">
        <v>232.0</v>
      </c>
      <c r="S123" s="38">
        <v>256.0</v>
      </c>
      <c r="T123" s="38">
        <v>34.0</v>
      </c>
      <c r="U123" s="48">
        <f t="shared" si="9"/>
        <v>1057</v>
      </c>
      <c r="V123" s="48">
        <f t="shared" si="10"/>
        <v>1347</v>
      </c>
      <c r="W123" s="49">
        <f t="shared" si="11"/>
        <v>0.1712393567</v>
      </c>
      <c r="X123" s="49">
        <f t="shared" si="12"/>
        <v>0.6092715232</v>
      </c>
      <c r="Y123" s="49">
        <f t="shared" si="13"/>
        <v>0.2194891202</v>
      </c>
      <c r="Z123" s="32" t="str">
        <f t="shared" si="14"/>
        <v>Milton</v>
      </c>
      <c r="AA123" s="50" t="s">
        <v>77</v>
      </c>
      <c r="AB123" s="38">
        <v>1533.0</v>
      </c>
      <c r="AC123" s="48">
        <f t="shared" si="17"/>
        <v>186</v>
      </c>
      <c r="AD123" s="51">
        <f t="shared" si="18"/>
        <v>0.8786692759</v>
      </c>
    </row>
    <row r="124">
      <c r="A124" s="24"/>
      <c r="B124" s="46" t="s">
        <v>2113</v>
      </c>
      <c r="C124" s="47"/>
      <c r="D124" s="38">
        <v>706.0</v>
      </c>
      <c r="E124" s="38">
        <v>63.0</v>
      </c>
      <c r="F124" s="38">
        <v>405.0</v>
      </c>
      <c r="G124" s="38">
        <v>24.0</v>
      </c>
      <c r="H124" s="38">
        <v>31.0</v>
      </c>
      <c r="I124" s="48">
        <f t="shared" si="3"/>
        <v>1174</v>
      </c>
      <c r="J124" s="48">
        <f t="shared" si="4"/>
        <v>1229</v>
      </c>
      <c r="K124" s="49">
        <f t="shared" si="5"/>
        <v>0.601362862</v>
      </c>
      <c r="L124" s="49">
        <f t="shared" si="6"/>
        <v>0.05366269165</v>
      </c>
      <c r="M124" s="49">
        <f t="shared" si="7"/>
        <v>0.3449744463</v>
      </c>
      <c r="N124" s="32" t="str">
        <f t="shared" si="8"/>
        <v>Jânio</v>
      </c>
      <c r="O124" s="50" t="s">
        <v>77</v>
      </c>
      <c r="P124" s="38">
        <v>178.0</v>
      </c>
      <c r="Q124" s="38">
        <v>726.0</v>
      </c>
      <c r="R124" s="38">
        <v>202.0</v>
      </c>
      <c r="S124" s="38">
        <v>108.0</v>
      </c>
      <c r="T124" s="38">
        <v>15.0</v>
      </c>
      <c r="U124" s="48">
        <f t="shared" si="9"/>
        <v>1106</v>
      </c>
      <c r="V124" s="48">
        <f t="shared" si="10"/>
        <v>1229</v>
      </c>
      <c r="W124" s="49">
        <f t="shared" si="11"/>
        <v>0.1609403255</v>
      </c>
      <c r="X124" s="49">
        <f t="shared" si="12"/>
        <v>0.6564195298</v>
      </c>
      <c r="Y124" s="49">
        <f t="shared" si="13"/>
        <v>0.1826401447</v>
      </c>
      <c r="Z124" s="32" t="str">
        <f t="shared" si="14"/>
        <v>Milton</v>
      </c>
      <c r="AA124" s="50" t="s">
        <v>77</v>
      </c>
      <c r="AB124" s="38">
        <v>1323.0</v>
      </c>
      <c r="AC124" s="48">
        <f t="shared" si="17"/>
        <v>94</v>
      </c>
      <c r="AD124" s="51">
        <f t="shared" si="18"/>
        <v>0.9289493575</v>
      </c>
    </row>
    <row r="125">
      <c r="A125" s="61" t="s">
        <v>308</v>
      </c>
      <c r="B125" s="46" t="s">
        <v>2114</v>
      </c>
      <c r="C125" s="47"/>
      <c r="D125" s="38">
        <v>3561.0</v>
      </c>
      <c r="E125" s="38">
        <v>1099.0</v>
      </c>
      <c r="F125" s="38">
        <v>3247.0</v>
      </c>
      <c r="G125" s="38">
        <v>91.0</v>
      </c>
      <c r="H125" s="38">
        <v>177.0</v>
      </c>
      <c r="I125" s="48">
        <f t="shared" si="3"/>
        <v>7907</v>
      </c>
      <c r="J125" s="48">
        <f t="shared" si="4"/>
        <v>8175</v>
      </c>
      <c r="K125" s="49">
        <f t="shared" si="5"/>
        <v>0.4503604401</v>
      </c>
      <c r="L125" s="49">
        <f t="shared" si="6"/>
        <v>0.1389907677</v>
      </c>
      <c r="M125" s="49">
        <f t="shared" si="7"/>
        <v>0.4106487922</v>
      </c>
      <c r="N125" s="32" t="str">
        <f t="shared" si="8"/>
        <v>Jânio</v>
      </c>
      <c r="O125" s="50" t="s">
        <v>77</v>
      </c>
      <c r="P125" s="38">
        <v>2654.0</v>
      </c>
      <c r="Q125" s="38">
        <v>3659.0</v>
      </c>
      <c r="R125" s="38">
        <v>918.0</v>
      </c>
      <c r="S125" s="38">
        <v>777.0</v>
      </c>
      <c r="T125" s="38">
        <v>167.0</v>
      </c>
      <c r="U125" s="48">
        <f t="shared" si="9"/>
        <v>7231</v>
      </c>
      <c r="V125" s="48">
        <f t="shared" si="10"/>
        <v>8175</v>
      </c>
      <c r="W125" s="49">
        <f t="shared" si="11"/>
        <v>0.3670308394</v>
      </c>
      <c r="X125" s="49">
        <f t="shared" si="12"/>
        <v>0.5060157655</v>
      </c>
      <c r="Y125" s="49">
        <f t="shared" si="13"/>
        <v>0.1269533951</v>
      </c>
      <c r="Z125" s="32" t="str">
        <f t="shared" si="14"/>
        <v>Milton</v>
      </c>
      <c r="AA125" s="50" t="s">
        <v>77</v>
      </c>
      <c r="AB125" s="38">
        <v>9025.0</v>
      </c>
      <c r="AC125" s="48">
        <f t="shared" si="17"/>
        <v>850</v>
      </c>
      <c r="AD125" s="51">
        <f t="shared" si="18"/>
        <v>0.9058171745</v>
      </c>
    </row>
    <row r="126">
      <c r="A126" s="24"/>
      <c r="B126" s="46" t="s">
        <v>2115</v>
      </c>
      <c r="C126" s="47"/>
      <c r="D126" s="38">
        <v>481.0</v>
      </c>
      <c r="E126" s="38">
        <v>76.0</v>
      </c>
      <c r="F126" s="38">
        <v>182.0</v>
      </c>
      <c r="G126" s="38">
        <v>15.0</v>
      </c>
      <c r="H126" s="38">
        <v>35.0</v>
      </c>
      <c r="I126" s="48">
        <f t="shared" si="3"/>
        <v>739</v>
      </c>
      <c r="J126" s="48">
        <f t="shared" si="4"/>
        <v>789</v>
      </c>
      <c r="K126" s="49">
        <f t="shared" si="5"/>
        <v>0.650879567</v>
      </c>
      <c r="L126" s="49">
        <f t="shared" si="6"/>
        <v>0.1028416779</v>
      </c>
      <c r="M126" s="49">
        <f t="shared" si="7"/>
        <v>0.2462787551</v>
      </c>
      <c r="N126" s="32" t="str">
        <f t="shared" si="8"/>
        <v>Jânio</v>
      </c>
      <c r="O126" s="50" t="s">
        <v>77</v>
      </c>
      <c r="P126" s="38">
        <v>173.0</v>
      </c>
      <c r="Q126" s="38">
        <v>392.0</v>
      </c>
      <c r="R126" s="38">
        <v>92.0</v>
      </c>
      <c r="S126" s="38">
        <v>115.0</v>
      </c>
      <c r="T126" s="38">
        <v>17.0</v>
      </c>
      <c r="U126" s="48">
        <f t="shared" si="9"/>
        <v>657</v>
      </c>
      <c r="V126" s="48">
        <f t="shared" si="10"/>
        <v>789</v>
      </c>
      <c r="W126" s="49">
        <f t="shared" si="11"/>
        <v>0.2633181126</v>
      </c>
      <c r="X126" s="49">
        <f t="shared" si="12"/>
        <v>0.596651446</v>
      </c>
      <c r="Y126" s="49">
        <f t="shared" si="13"/>
        <v>0.1400304414</v>
      </c>
      <c r="Z126" s="32" t="str">
        <f t="shared" si="14"/>
        <v>Milton</v>
      </c>
      <c r="AA126" s="50" t="s">
        <v>77</v>
      </c>
      <c r="AB126" s="38">
        <v>893.0</v>
      </c>
      <c r="AC126" s="48">
        <f t="shared" si="17"/>
        <v>104</v>
      </c>
      <c r="AD126" s="51">
        <f t="shared" si="18"/>
        <v>0.8835386338</v>
      </c>
    </row>
    <row r="127">
      <c r="A127" s="110" t="s">
        <v>312</v>
      </c>
      <c r="B127" s="46" t="s">
        <v>2116</v>
      </c>
      <c r="C127" s="47"/>
      <c r="D127" s="38">
        <v>1665.0</v>
      </c>
      <c r="E127" s="38">
        <v>96.0</v>
      </c>
      <c r="F127" s="38">
        <v>973.0</v>
      </c>
      <c r="G127" s="38">
        <v>110.0</v>
      </c>
      <c r="H127" s="38">
        <v>197.0</v>
      </c>
      <c r="I127" s="48">
        <f t="shared" si="3"/>
        <v>2734</v>
      </c>
      <c r="J127" s="48">
        <f t="shared" si="4"/>
        <v>3041</v>
      </c>
      <c r="K127" s="49">
        <f t="shared" si="5"/>
        <v>0.6089978054</v>
      </c>
      <c r="L127" s="49">
        <f t="shared" si="6"/>
        <v>0.03511338698</v>
      </c>
      <c r="M127" s="49">
        <f t="shared" si="7"/>
        <v>0.3558888076</v>
      </c>
      <c r="N127" s="32" t="str">
        <f t="shared" si="8"/>
        <v>Jânio</v>
      </c>
      <c r="O127" s="50" t="s">
        <v>77</v>
      </c>
      <c r="P127" s="38">
        <v>545.0</v>
      </c>
      <c r="Q127" s="38">
        <v>556.0</v>
      </c>
      <c r="R127" s="38">
        <v>1062.0</v>
      </c>
      <c r="S127" s="38">
        <v>809.0</v>
      </c>
      <c r="T127" s="38">
        <v>69.0</v>
      </c>
      <c r="U127" s="48">
        <f t="shared" si="9"/>
        <v>2163</v>
      </c>
      <c r="V127" s="48">
        <f t="shared" si="10"/>
        <v>3041</v>
      </c>
      <c r="W127" s="49">
        <f t="shared" si="11"/>
        <v>0.2519648636</v>
      </c>
      <c r="X127" s="49">
        <f t="shared" si="12"/>
        <v>0.257050393</v>
      </c>
      <c r="Y127" s="49">
        <f t="shared" si="13"/>
        <v>0.4909847434</v>
      </c>
      <c r="Z127" s="32" t="str">
        <f t="shared" si="14"/>
        <v>Ferrari</v>
      </c>
      <c r="AA127" s="50" t="s">
        <v>77</v>
      </c>
      <c r="AB127" s="38">
        <v>3291.0</v>
      </c>
      <c r="AC127" s="48">
        <f t="shared" si="17"/>
        <v>250</v>
      </c>
      <c r="AD127" s="51">
        <f t="shared" si="18"/>
        <v>0.9240352476</v>
      </c>
    </row>
    <row r="128">
      <c r="A128" s="110" t="s">
        <v>314</v>
      </c>
      <c r="B128" s="46" t="s">
        <v>2117</v>
      </c>
      <c r="C128" s="47"/>
      <c r="D128" s="38">
        <v>1819.0</v>
      </c>
      <c r="E128" s="38">
        <v>463.0</v>
      </c>
      <c r="F128" s="38">
        <v>765.0</v>
      </c>
      <c r="G128" s="38">
        <v>88.0</v>
      </c>
      <c r="H128" s="38">
        <v>121.0</v>
      </c>
      <c r="I128" s="48">
        <f t="shared" si="3"/>
        <v>3047</v>
      </c>
      <c r="J128" s="48">
        <f t="shared" si="4"/>
        <v>3256</v>
      </c>
      <c r="K128" s="49">
        <f t="shared" si="5"/>
        <v>0.5969806367</v>
      </c>
      <c r="L128" s="49">
        <f t="shared" si="6"/>
        <v>0.1519527404</v>
      </c>
      <c r="M128" s="49">
        <f t="shared" si="7"/>
        <v>0.2510666229</v>
      </c>
      <c r="N128" s="32" t="str">
        <f t="shared" si="8"/>
        <v>Jânio</v>
      </c>
      <c r="O128" s="50" t="s">
        <v>77</v>
      </c>
      <c r="P128" s="38">
        <v>903.0</v>
      </c>
      <c r="Q128" s="38">
        <v>1697.0</v>
      </c>
      <c r="R128" s="38">
        <v>250.0</v>
      </c>
      <c r="S128" s="38">
        <v>339.0</v>
      </c>
      <c r="T128" s="38">
        <v>67.0</v>
      </c>
      <c r="U128" s="48">
        <f t="shared" si="9"/>
        <v>2850</v>
      </c>
      <c r="V128" s="48">
        <f t="shared" si="10"/>
        <v>3256</v>
      </c>
      <c r="W128" s="49">
        <f t="shared" si="11"/>
        <v>0.3168421053</v>
      </c>
      <c r="X128" s="49">
        <f t="shared" si="12"/>
        <v>0.5954385965</v>
      </c>
      <c r="Y128" s="49">
        <f t="shared" si="13"/>
        <v>0.08771929825</v>
      </c>
      <c r="Z128" s="32" t="str">
        <f t="shared" si="14"/>
        <v>Milton</v>
      </c>
      <c r="AA128" s="50" t="s">
        <v>77</v>
      </c>
      <c r="AB128" s="38">
        <v>3501.0</v>
      </c>
      <c r="AC128" s="48">
        <f t="shared" si="17"/>
        <v>245</v>
      </c>
      <c r="AD128" s="51">
        <f t="shared" si="18"/>
        <v>0.9300199943</v>
      </c>
    </row>
    <row r="129">
      <c r="A129" s="61" t="s">
        <v>254</v>
      </c>
      <c r="B129" s="46" t="s">
        <v>2118</v>
      </c>
      <c r="C129" s="47"/>
      <c r="D129" s="38">
        <v>2138.0</v>
      </c>
      <c r="E129" s="38">
        <v>956.0</v>
      </c>
      <c r="F129" s="38">
        <v>514.0</v>
      </c>
      <c r="G129" s="38">
        <v>91.0</v>
      </c>
      <c r="H129" s="38">
        <v>108.0</v>
      </c>
      <c r="I129" s="48">
        <f t="shared" si="3"/>
        <v>3608</v>
      </c>
      <c r="J129" s="48">
        <f t="shared" si="4"/>
        <v>3807</v>
      </c>
      <c r="K129" s="49">
        <f t="shared" si="5"/>
        <v>0.5925720621</v>
      </c>
      <c r="L129" s="49">
        <f t="shared" si="6"/>
        <v>0.2649667406</v>
      </c>
      <c r="M129" s="49">
        <f t="shared" si="7"/>
        <v>0.1424611973</v>
      </c>
      <c r="N129" s="32" t="str">
        <f t="shared" si="8"/>
        <v>Jânio</v>
      </c>
      <c r="O129" s="50" t="s">
        <v>77</v>
      </c>
      <c r="P129" s="38">
        <v>1096.0</v>
      </c>
      <c r="Q129" s="38">
        <v>1928.0</v>
      </c>
      <c r="R129" s="38">
        <v>354.0</v>
      </c>
      <c r="S129" s="38">
        <v>325.0</v>
      </c>
      <c r="T129" s="38">
        <v>104.0</v>
      </c>
      <c r="U129" s="48">
        <f t="shared" si="9"/>
        <v>3378</v>
      </c>
      <c r="V129" s="48">
        <f t="shared" si="10"/>
        <v>3807</v>
      </c>
      <c r="W129" s="49">
        <f t="shared" si="11"/>
        <v>0.3244523387</v>
      </c>
      <c r="X129" s="49">
        <f t="shared" si="12"/>
        <v>0.5707519242</v>
      </c>
      <c r="Y129" s="49">
        <f t="shared" si="13"/>
        <v>0.1047957371</v>
      </c>
      <c r="Z129" s="32" t="str">
        <f t="shared" si="14"/>
        <v>Milton</v>
      </c>
      <c r="AA129" s="50" t="s">
        <v>77</v>
      </c>
      <c r="AB129" s="38">
        <v>4347.0</v>
      </c>
      <c r="AC129" s="48">
        <f t="shared" si="17"/>
        <v>540</v>
      </c>
      <c r="AD129" s="51">
        <f t="shared" si="18"/>
        <v>0.8757763975</v>
      </c>
    </row>
    <row r="130">
      <c r="A130" s="24"/>
      <c r="B130" s="46" t="s">
        <v>2119</v>
      </c>
      <c r="C130" s="47"/>
      <c r="D130" s="38">
        <v>761.0</v>
      </c>
      <c r="E130" s="38">
        <v>129.0</v>
      </c>
      <c r="F130" s="38">
        <v>286.0</v>
      </c>
      <c r="G130" s="38">
        <v>45.0</v>
      </c>
      <c r="H130" s="38">
        <v>47.0</v>
      </c>
      <c r="I130" s="48">
        <f t="shared" si="3"/>
        <v>1176</v>
      </c>
      <c r="J130" s="48">
        <f t="shared" si="4"/>
        <v>1268</v>
      </c>
      <c r="K130" s="49">
        <f t="shared" si="5"/>
        <v>0.6471088435</v>
      </c>
      <c r="L130" s="49">
        <f t="shared" si="6"/>
        <v>0.1096938776</v>
      </c>
      <c r="M130" s="49">
        <f t="shared" si="7"/>
        <v>0.2431972789</v>
      </c>
      <c r="N130" s="32" t="str">
        <f t="shared" si="8"/>
        <v>Jânio</v>
      </c>
      <c r="O130" s="50" t="s">
        <v>77</v>
      </c>
      <c r="P130" s="38">
        <v>184.0</v>
      </c>
      <c r="Q130" s="38">
        <v>342.0</v>
      </c>
      <c r="R130" s="38">
        <v>509.0</v>
      </c>
      <c r="S130" s="38">
        <v>204.0</v>
      </c>
      <c r="T130" s="38">
        <v>29.0</v>
      </c>
      <c r="U130" s="48">
        <f t="shared" si="9"/>
        <v>1035</v>
      </c>
      <c r="V130" s="48">
        <f t="shared" si="10"/>
        <v>1268</v>
      </c>
      <c r="W130" s="49">
        <f t="shared" si="11"/>
        <v>0.1777777778</v>
      </c>
      <c r="X130" s="49">
        <f t="shared" si="12"/>
        <v>0.3304347826</v>
      </c>
      <c r="Y130" s="49">
        <f t="shared" si="13"/>
        <v>0.4917874396</v>
      </c>
      <c r="Z130" s="32" t="str">
        <f t="shared" si="14"/>
        <v>Ferrari</v>
      </c>
      <c r="AA130" s="50" t="s">
        <v>77</v>
      </c>
      <c r="AB130" s="38">
        <v>1416.0</v>
      </c>
      <c r="AC130" s="48">
        <f t="shared" si="17"/>
        <v>148</v>
      </c>
      <c r="AD130" s="51">
        <f t="shared" si="18"/>
        <v>0.895480226</v>
      </c>
    </row>
    <row r="131">
      <c r="A131" s="61" t="s">
        <v>258</v>
      </c>
      <c r="B131" s="46" t="s">
        <v>2120</v>
      </c>
      <c r="C131" s="47"/>
      <c r="D131" s="38">
        <v>7902.0</v>
      </c>
      <c r="E131" s="38">
        <v>3671.0</v>
      </c>
      <c r="F131" s="38">
        <v>4939.0</v>
      </c>
      <c r="G131" s="38">
        <v>276.0</v>
      </c>
      <c r="H131" s="38">
        <v>495.0</v>
      </c>
      <c r="I131" s="48">
        <f t="shared" si="3"/>
        <v>16512</v>
      </c>
      <c r="J131" s="48">
        <f t="shared" si="4"/>
        <v>17283</v>
      </c>
      <c r="K131" s="49">
        <f t="shared" si="5"/>
        <v>0.4785610465</v>
      </c>
      <c r="L131" s="49">
        <f t="shared" si="6"/>
        <v>0.2223231589</v>
      </c>
      <c r="M131" s="49">
        <f t="shared" si="7"/>
        <v>0.2991157946</v>
      </c>
      <c r="N131" s="32" t="str">
        <f t="shared" si="8"/>
        <v>Jânio</v>
      </c>
      <c r="O131" s="50" t="s">
        <v>77</v>
      </c>
      <c r="P131" s="38">
        <v>6305.0</v>
      </c>
      <c r="Q131" s="38">
        <v>7257.0</v>
      </c>
      <c r="R131" s="38">
        <v>2172.0</v>
      </c>
      <c r="S131" s="38">
        <v>1222.0</v>
      </c>
      <c r="T131" s="38">
        <v>327.0</v>
      </c>
      <c r="U131" s="48">
        <f t="shared" si="9"/>
        <v>15734</v>
      </c>
      <c r="V131" s="48">
        <f t="shared" si="10"/>
        <v>17283</v>
      </c>
      <c r="W131" s="49">
        <f t="shared" si="11"/>
        <v>0.4007245456</v>
      </c>
      <c r="X131" s="49">
        <f t="shared" si="12"/>
        <v>0.4612304563</v>
      </c>
      <c r="Y131" s="49">
        <f t="shared" si="13"/>
        <v>0.1380449981</v>
      </c>
      <c r="Z131" s="32" t="str">
        <f t="shared" si="14"/>
        <v>Milton</v>
      </c>
      <c r="AA131" s="50" t="s">
        <v>77</v>
      </c>
      <c r="AB131" s="38">
        <v>19663.0</v>
      </c>
      <c r="AC131" s="48">
        <f t="shared" si="17"/>
        <v>2380</v>
      </c>
      <c r="AD131" s="51">
        <f t="shared" si="18"/>
        <v>0.8789604842</v>
      </c>
    </row>
    <row r="132">
      <c r="A132" s="23"/>
      <c r="B132" s="46" t="s">
        <v>2121</v>
      </c>
      <c r="C132" s="47"/>
      <c r="D132" s="38">
        <v>828.0</v>
      </c>
      <c r="E132" s="38">
        <v>89.0</v>
      </c>
      <c r="F132" s="38">
        <v>272.0</v>
      </c>
      <c r="G132" s="38">
        <v>51.0</v>
      </c>
      <c r="H132" s="38">
        <v>42.0</v>
      </c>
      <c r="I132" s="48">
        <f t="shared" si="3"/>
        <v>1189</v>
      </c>
      <c r="J132" s="48">
        <f t="shared" si="4"/>
        <v>1282</v>
      </c>
      <c r="K132" s="49">
        <f t="shared" si="5"/>
        <v>0.6963835156</v>
      </c>
      <c r="L132" s="49">
        <f t="shared" si="6"/>
        <v>0.07485281749</v>
      </c>
      <c r="M132" s="49">
        <f t="shared" si="7"/>
        <v>0.2287636669</v>
      </c>
      <c r="N132" s="32" t="str">
        <f t="shared" si="8"/>
        <v>Jânio</v>
      </c>
      <c r="O132" s="50" t="s">
        <v>77</v>
      </c>
      <c r="P132" s="38">
        <v>247.0</v>
      </c>
      <c r="Q132" s="38">
        <v>693.0</v>
      </c>
      <c r="R132" s="38">
        <v>112.0</v>
      </c>
      <c r="S132" s="38">
        <v>200.0</v>
      </c>
      <c r="T132" s="38">
        <v>30.0</v>
      </c>
      <c r="U132" s="48">
        <f t="shared" si="9"/>
        <v>1052</v>
      </c>
      <c r="V132" s="48">
        <f t="shared" si="10"/>
        <v>1282</v>
      </c>
      <c r="W132" s="49">
        <f t="shared" si="11"/>
        <v>0.2347908745</v>
      </c>
      <c r="X132" s="49">
        <f t="shared" si="12"/>
        <v>0.6587452471</v>
      </c>
      <c r="Y132" s="49">
        <f t="shared" si="13"/>
        <v>0.1064638783</v>
      </c>
      <c r="Z132" s="32" t="str">
        <f t="shared" si="14"/>
        <v>Milton</v>
      </c>
      <c r="AA132" s="50" t="s">
        <v>77</v>
      </c>
      <c r="AB132" s="38">
        <v>1466.0</v>
      </c>
      <c r="AC132" s="48">
        <f t="shared" si="17"/>
        <v>184</v>
      </c>
      <c r="AD132" s="51">
        <f t="shared" si="18"/>
        <v>0.8744884038</v>
      </c>
    </row>
    <row r="133">
      <c r="A133" s="24"/>
      <c r="B133" s="46" t="s">
        <v>2122</v>
      </c>
      <c r="C133" s="47"/>
      <c r="D133" s="38">
        <v>748.0</v>
      </c>
      <c r="E133" s="38">
        <v>105.0</v>
      </c>
      <c r="F133" s="38">
        <v>254.0</v>
      </c>
      <c r="G133" s="38">
        <v>73.0</v>
      </c>
      <c r="H133" s="38">
        <v>62.0</v>
      </c>
      <c r="I133" s="48">
        <f t="shared" si="3"/>
        <v>1107</v>
      </c>
      <c r="J133" s="48">
        <f t="shared" si="4"/>
        <v>1242</v>
      </c>
      <c r="K133" s="49">
        <f t="shared" si="5"/>
        <v>0.6757000903</v>
      </c>
      <c r="L133" s="49">
        <f t="shared" si="6"/>
        <v>0.09485094851</v>
      </c>
      <c r="M133" s="49">
        <f t="shared" si="7"/>
        <v>0.2294489612</v>
      </c>
      <c r="N133" s="32" t="str">
        <f t="shared" si="8"/>
        <v>Jânio</v>
      </c>
      <c r="O133" s="50" t="s">
        <v>77</v>
      </c>
      <c r="P133" s="38">
        <v>247.0</v>
      </c>
      <c r="Q133" s="38">
        <v>619.0</v>
      </c>
      <c r="R133" s="38">
        <v>108.0</v>
      </c>
      <c r="S133" s="38">
        <v>230.0</v>
      </c>
      <c r="T133" s="38">
        <v>38.0</v>
      </c>
      <c r="U133" s="48">
        <f t="shared" si="9"/>
        <v>974</v>
      </c>
      <c r="V133" s="48">
        <f t="shared" si="10"/>
        <v>1242</v>
      </c>
      <c r="W133" s="49">
        <f t="shared" si="11"/>
        <v>0.2535934292</v>
      </c>
      <c r="X133" s="49">
        <f t="shared" si="12"/>
        <v>0.635523614</v>
      </c>
      <c r="Y133" s="49">
        <f t="shared" si="13"/>
        <v>0.1108829569</v>
      </c>
      <c r="Z133" s="32" t="str">
        <f t="shared" si="14"/>
        <v>Milton</v>
      </c>
      <c r="AA133" s="50" t="s">
        <v>77</v>
      </c>
      <c r="AB133" s="38">
        <v>1414.0</v>
      </c>
      <c r="AC133" s="48">
        <f t="shared" si="17"/>
        <v>172</v>
      </c>
      <c r="AD133" s="51">
        <f t="shared" si="18"/>
        <v>0.8783592645</v>
      </c>
    </row>
    <row r="134">
      <c r="A134" s="61" t="s">
        <v>319</v>
      </c>
      <c r="B134" s="46" t="s">
        <v>2123</v>
      </c>
      <c r="C134" s="47"/>
      <c r="D134" s="38">
        <v>3266.0</v>
      </c>
      <c r="E134" s="38">
        <v>931.0</v>
      </c>
      <c r="F134" s="38">
        <v>2418.0</v>
      </c>
      <c r="G134" s="38">
        <v>92.0</v>
      </c>
      <c r="H134" s="38">
        <v>128.0</v>
      </c>
      <c r="I134" s="48">
        <f t="shared" si="3"/>
        <v>6615</v>
      </c>
      <c r="J134" s="48">
        <f t="shared" si="4"/>
        <v>6835</v>
      </c>
      <c r="K134" s="49">
        <f t="shared" si="5"/>
        <v>0.4937263794</v>
      </c>
      <c r="L134" s="49">
        <f t="shared" si="6"/>
        <v>0.1407407407</v>
      </c>
      <c r="M134" s="49">
        <f t="shared" si="7"/>
        <v>0.3655328798</v>
      </c>
      <c r="N134" s="32" t="str">
        <f t="shared" si="8"/>
        <v>Jânio</v>
      </c>
      <c r="O134" s="50" t="s">
        <v>77</v>
      </c>
      <c r="P134" s="38">
        <v>1972.0</v>
      </c>
      <c r="Q134" s="38">
        <v>3548.0</v>
      </c>
      <c r="R134" s="38">
        <v>768.0</v>
      </c>
      <c r="S134" s="38">
        <v>465.0</v>
      </c>
      <c r="T134" s="38">
        <v>82.0</v>
      </c>
      <c r="U134" s="48">
        <f t="shared" si="9"/>
        <v>6288</v>
      </c>
      <c r="V134" s="48">
        <f t="shared" si="10"/>
        <v>6835</v>
      </c>
      <c r="W134" s="49">
        <f t="shared" si="11"/>
        <v>0.3136132316</v>
      </c>
      <c r="X134" s="49">
        <f t="shared" si="12"/>
        <v>0.5642493639</v>
      </c>
      <c r="Y134" s="49">
        <f t="shared" si="13"/>
        <v>0.1221374046</v>
      </c>
      <c r="Z134" s="32" t="str">
        <f t="shared" si="14"/>
        <v>Milton</v>
      </c>
      <c r="AA134" s="50" t="s">
        <v>77</v>
      </c>
      <c r="AB134" s="38">
        <v>8125.0</v>
      </c>
      <c r="AC134" s="48">
        <f t="shared" si="17"/>
        <v>1290</v>
      </c>
      <c r="AD134" s="51">
        <f t="shared" si="18"/>
        <v>0.8412307692</v>
      </c>
    </row>
    <row r="135">
      <c r="A135" s="23"/>
      <c r="B135" s="46" t="s">
        <v>2124</v>
      </c>
      <c r="C135" s="47"/>
      <c r="D135" s="38">
        <v>223.0</v>
      </c>
      <c r="E135" s="38">
        <v>79.0</v>
      </c>
      <c r="F135" s="38">
        <v>357.0</v>
      </c>
      <c r="G135" s="38">
        <v>11.0</v>
      </c>
      <c r="H135" s="38">
        <v>19.0</v>
      </c>
      <c r="I135" s="48">
        <f t="shared" si="3"/>
        <v>659</v>
      </c>
      <c r="J135" s="48">
        <f t="shared" si="4"/>
        <v>689</v>
      </c>
      <c r="K135" s="49">
        <f t="shared" si="5"/>
        <v>0.3383915023</v>
      </c>
      <c r="L135" s="49">
        <f t="shared" si="6"/>
        <v>0.1198786039</v>
      </c>
      <c r="M135" s="49">
        <f t="shared" si="7"/>
        <v>0.5417298938</v>
      </c>
      <c r="N135" s="32" t="str">
        <f t="shared" si="8"/>
        <v>Adhemar</v>
      </c>
      <c r="O135" s="50" t="s">
        <v>77</v>
      </c>
      <c r="P135" s="38">
        <v>152.0</v>
      </c>
      <c r="Q135" s="38">
        <v>203.0</v>
      </c>
      <c r="R135" s="38">
        <v>263.0</v>
      </c>
      <c r="S135" s="38">
        <v>57.0</v>
      </c>
      <c r="T135" s="38">
        <v>14.0</v>
      </c>
      <c r="U135" s="48">
        <f t="shared" si="9"/>
        <v>618</v>
      </c>
      <c r="V135" s="48">
        <f t="shared" si="10"/>
        <v>689</v>
      </c>
      <c r="W135" s="49">
        <f t="shared" si="11"/>
        <v>0.2459546926</v>
      </c>
      <c r="X135" s="49">
        <f t="shared" si="12"/>
        <v>0.3284789644</v>
      </c>
      <c r="Y135" s="49">
        <f t="shared" si="13"/>
        <v>0.425566343</v>
      </c>
      <c r="Z135" s="32" t="str">
        <f t="shared" si="14"/>
        <v>Ferrari</v>
      </c>
      <c r="AA135" s="50" t="s">
        <v>77</v>
      </c>
      <c r="AB135" s="38">
        <v>888.0</v>
      </c>
      <c r="AC135" s="48">
        <f t="shared" si="17"/>
        <v>199</v>
      </c>
      <c r="AD135" s="51">
        <f t="shared" si="18"/>
        <v>0.7759009009</v>
      </c>
    </row>
    <row r="136">
      <c r="A136" s="23"/>
      <c r="B136" s="46" t="s">
        <v>2125</v>
      </c>
      <c r="C136" s="47"/>
      <c r="D136" s="38">
        <v>364.0</v>
      </c>
      <c r="E136" s="38">
        <v>158.0</v>
      </c>
      <c r="F136" s="38">
        <v>274.0</v>
      </c>
      <c r="G136" s="38">
        <v>14.0</v>
      </c>
      <c r="H136" s="38">
        <v>30.0</v>
      </c>
      <c r="I136" s="48">
        <f t="shared" si="3"/>
        <v>796</v>
      </c>
      <c r="J136" s="48">
        <f t="shared" si="4"/>
        <v>840</v>
      </c>
      <c r="K136" s="49">
        <f t="shared" si="5"/>
        <v>0.4572864322</v>
      </c>
      <c r="L136" s="49">
        <f t="shared" si="6"/>
        <v>0.1984924623</v>
      </c>
      <c r="M136" s="49">
        <f t="shared" si="7"/>
        <v>0.3442211055</v>
      </c>
      <c r="N136" s="32" t="str">
        <f t="shared" si="8"/>
        <v>Jânio</v>
      </c>
      <c r="O136" s="50" t="s">
        <v>77</v>
      </c>
      <c r="P136" s="38">
        <v>297.0</v>
      </c>
      <c r="Q136" s="38">
        <v>202.0</v>
      </c>
      <c r="R136" s="38">
        <v>235.0</v>
      </c>
      <c r="S136" s="38">
        <v>95.0</v>
      </c>
      <c r="T136" s="38">
        <v>11.0</v>
      </c>
      <c r="U136" s="48">
        <f t="shared" si="9"/>
        <v>734</v>
      </c>
      <c r="V136" s="48">
        <f t="shared" si="10"/>
        <v>840</v>
      </c>
      <c r="W136" s="49">
        <f t="shared" si="11"/>
        <v>0.4046321526</v>
      </c>
      <c r="X136" s="49">
        <f t="shared" si="12"/>
        <v>0.2752043597</v>
      </c>
      <c r="Y136" s="49">
        <f t="shared" si="13"/>
        <v>0.3201634877</v>
      </c>
      <c r="Z136" s="32" t="str">
        <f t="shared" si="14"/>
        <v>Jango</v>
      </c>
      <c r="AA136" s="50" t="s">
        <v>77</v>
      </c>
      <c r="AB136" s="38">
        <v>999.0</v>
      </c>
      <c r="AC136" s="48">
        <f t="shared" si="17"/>
        <v>159</v>
      </c>
      <c r="AD136" s="51">
        <f t="shared" si="18"/>
        <v>0.8408408408</v>
      </c>
    </row>
    <row r="137">
      <c r="A137" s="23"/>
      <c r="B137" s="46" t="s">
        <v>2126</v>
      </c>
      <c r="C137" s="47"/>
      <c r="D137" s="38">
        <v>1021.0</v>
      </c>
      <c r="E137" s="38">
        <v>252.0</v>
      </c>
      <c r="F137" s="38">
        <v>996.0</v>
      </c>
      <c r="G137" s="38">
        <v>45.0</v>
      </c>
      <c r="H137" s="38">
        <v>95.0</v>
      </c>
      <c r="I137" s="48">
        <f t="shared" si="3"/>
        <v>2269</v>
      </c>
      <c r="J137" s="48">
        <f t="shared" si="4"/>
        <v>2409</v>
      </c>
      <c r="K137" s="49">
        <f t="shared" si="5"/>
        <v>0.4499779639</v>
      </c>
      <c r="L137" s="49">
        <f t="shared" si="6"/>
        <v>0.1110621419</v>
      </c>
      <c r="M137" s="49">
        <f t="shared" si="7"/>
        <v>0.4389598942</v>
      </c>
      <c r="N137" s="32" t="str">
        <f t="shared" si="8"/>
        <v>Jânio</v>
      </c>
      <c r="O137" s="50" t="s">
        <v>77</v>
      </c>
      <c r="P137" s="38">
        <v>656.0</v>
      </c>
      <c r="Q137" s="38">
        <v>900.0</v>
      </c>
      <c r="R137" s="38">
        <v>526.0</v>
      </c>
      <c r="S137" s="38">
        <v>276.0</v>
      </c>
      <c r="T137" s="38">
        <v>51.0</v>
      </c>
      <c r="U137" s="48">
        <f t="shared" si="9"/>
        <v>2082</v>
      </c>
      <c r="V137" s="48">
        <f t="shared" si="10"/>
        <v>2409</v>
      </c>
      <c r="W137" s="49">
        <f t="shared" si="11"/>
        <v>0.3150816523</v>
      </c>
      <c r="X137" s="49">
        <f t="shared" si="12"/>
        <v>0.4322766571</v>
      </c>
      <c r="Y137" s="49">
        <f t="shared" si="13"/>
        <v>0.2526416907</v>
      </c>
      <c r="Z137" s="32" t="str">
        <f t="shared" si="14"/>
        <v>Milton</v>
      </c>
      <c r="AA137" s="50" t="s">
        <v>77</v>
      </c>
      <c r="AB137" s="38">
        <v>2840.0</v>
      </c>
      <c r="AC137" s="48">
        <f t="shared" si="17"/>
        <v>431</v>
      </c>
      <c r="AD137" s="51">
        <f t="shared" si="18"/>
        <v>0.8482394366</v>
      </c>
    </row>
    <row r="138">
      <c r="A138" s="24"/>
      <c r="B138" s="46" t="s">
        <v>2127</v>
      </c>
      <c r="C138" s="47"/>
      <c r="D138" s="38">
        <v>272.0</v>
      </c>
      <c r="E138" s="38">
        <v>70.0</v>
      </c>
      <c r="F138" s="38">
        <v>374.0</v>
      </c>
      <c r="G138" s="38">
        <v>29.0</v>
      </c>
      <c r="H138" s="38">
        <v>50.0</v>
      </c>
      <c r="I138" s="48">
        <f t="shared" si="3"/>
        <v>716</v>
      </c>
      <c r="J138" s="48">
        <f t="shared" si="4"/>
        <v>795</v>
      </c>
      <c r="K138" s="49">
        <f t="shared" si="5"/>
        <v>0.3798882682</v>
      </c>
      <c r="L138" s="49">
        <f t="shared" si="6"/>
        <v>0.09776536313</v>
      </c>
      <c r="M138" s="49">
        <f t="shared" si="7"/>
        <v>0.5223463687</v>
      </c>
      <c r="N138" s="32" t="str">
        <f t="shared" si="8"/>
        <v>Adhemar</v>
      </c>
      <c r="O138" s="50" t="s">
        <v>77</v>
      </c>
      <c r="P138" s="38">
        <v>206.0</v>
      </c>
      <c r="Q138" s="38">
        <v>265.0</v>
      </c>
      <c r="R138" s="38">
        <v>130.0</v>
      </c>
      <c r="S138" s="38">
        <v>171.0</v>
      </c>
      <c r="T138" s="38">
        <v>23.0</v>
      </c>
      <c r="U138" s="48">
        <f t="shared" si="9"/>
        <v>601</v>
      </c>
      <c r="V138" s="48">
        <f t="shared" si="10"/>
        <v>795</v>
      </c>
      <c r="W138" s="49">
        <f t="shared" si="11"/>
        <v>0.3427620632</v>
      </c>
      <c r="X138" s="49">
        <f t="shared" si="12"/>
        <v>0.4409317804</v>
      </c>
      <c r="Y138" s="49">
        <f t="shared" si="13"/>
        <v>0.2163061564</v>
      </c>
      <c r="Z138" s="32" t="str">
        <f t="shared" si="14"/>
        <v>Milton</v>
      </c>
      <c r="AA138" s="50" t="s">
        <v>77</v>
      </c>
      <c r="AB138" s="38">
        <v>928.0</v>
      </c>
      <c r="AC138" s="48">
        <f t="shared" si="17"/>
        <v>133</v>
      </c>
      <c r="AD138" s="51">
        <f t="shared" si="18"/>
        <v>0.8566810345</v>
      </c>
    </row>
    <row r="139">
      <c r="A139" s="61" t="s">
        <v>321</v>
      </c>
      <c r="B139" s="46" t="s">
        <v>2128</v>
      </c>
      <c r="C139" s="47"/>
      <c r="D139" s="38">
        <v>5785.0</v>
      </c>
      <c r="E139" s="38">
        <v>1854.0</v>
      </c>
      <c r="F139" s="38">
        <v>5641.0</v>
      </c>
      <c r="G139" s="38">
        <v>119.0</v>
      </c>
      <c r="H139" s="38">
        <v>334.0</v>
      </c>
      <c r="I139" s="48">
        <f t="shared" si="3"/>
        <v>13280</v>
      </c>
      <c r="J139" s="48">
        <f t="shared" si="4"/>
        <v>13733</v>
      </c>
      <c r="K139" s="49">
        <f t="shared" si="5"/>
        <v>0.4356174699</v>
      </c>
      <c r="L139" s="49">
        <f t="shared" si="6"/>
        <v>0.1396084337</v>
      </c>
      <c r="M139" s="49">
        <f t="shared" si="7"/>
        <v>0.4247740964</v>
      </c>
      <c r="N139" s="32" t="str">
        <f t="shared" si="8"/>
        <v>Jânio</v>
      </c>
      <c r="O139" s="50" t="s">
        <v>77</v>
      </c>
      <c r="P139" s="38">
        <v>5018.0</v>
      </c>
      <c r="Q139" s="38">
        <v>5489.0</v>
      </c>
      <c r="R139" s="38">
        <v>1922.0</v>
      </c>
      <c r="S139" s="38">
        <v>1043.0</v>
      </c>
      <c r="T139" s="38">
        <v>261.0</v>
      </c>
      <c r="U139" s="48">
        <f t="shared" si="9"/>
        <v>12429</v>
      </c>
      <c r="V139" s="48">
        <f t="shared" si="10"/>
        <v>13733</v>
      </c>
      <c r="W139" s="49">
        <f t="shared" si="11"/>
        <v>0.4037332046</v>
      </c>
      <c r="X139" s="49">
        <f t="shared" si="12"/>
        <v>0.4416284496</v>
      </c>
      <c r="Y139" s="49">
        <f t="shared" si="13"/>
        <v>0.1546383458</v>
      </c>
      <c r="Z139" s="32" t="str">
        <f t="shared" si="14"/>
        <v>Milton</v>
      </c>
      <c r="AA139" s="50" t="s">
        <v>77</v>
      </c>
      <c r="AB139" s="38">
        <v>14826.0</v>
      </c>
      <c r="AC139" s="48">
        <f t="shared" si="17"/>
        <v>1093</v>
      </c>
      <c r="AD139" s="51">
        <f t="shared" si="18"/>
        <v>0.92627816</v>
      </c>
    </row>
    <row r="140">
      <c r="A140" s="24"/>
      <c r="B140" s="46" t="s">
        <v>2129</v>
      </c>
      <c r="C140" s="47"/>
      <c r="D140" s="38">
        <v>1917.0</v>
      </c>
      <c r="E140" s="38">
        <v>467.0</v>
      </c>
      <c r="F140" s="38">
        <v>2118.0</v>
      </c>
      <c r="G140" s="38">
        <v>41.0</v>
      </c>
      <c r="H140" s="38">
        <v>107.0</v>
      </c>
      <c r="I140" s="48">
        <f t="shared" si="3"/>
        <v>4502</v>
      </c>
      <c r="J140" s="48">
        <f t="shared" si="4"/>
        <v>4650</v>
      </c>
      <c r="K140" s="49">
        <f t="shared" si="5"/>
        <v>0.4258107508</v>
      </c>
      <c r="L140" s="49">
        <f t="shared" si="6"/>
        <v>0.1037316748</v>
      </c>
      <c r="M140" s="49">
        <f t="shared" si="7"/>
        <v>0.4704575744</v>
      </c>
      <c r="N140" s="32" t="str">
        <f t="shared" si="8"/>
        <v>Adhemar</v>
      </c>
      <c r="O140" s="50" t="s">
        <v>77</v>
      </c>
      <c r="P140" s="38">
        <v>1147.0</v>
      </c>
      <c r="Q140" s="38">
        <v>1427.0</v>
      </c>
      <c r="R140" s="38">
        <v>1729.0</v>
      </c>
      <c r="S140" s="38">
        <v>267.0</v>
      </c>
      <c r="T140" s="38">
        <v>80.0</v>
      </c>
      <c r="U140" s="48">
        <f t="shared" si="9"/>
        <v>4303</v>
      </c>
      <c r="V140" s="48">
        <f t="shared" si="10"/>
        <v>4650</v>
      </c>
      <c r="W140" s="49">
        <f t="shared" si="11"/>
        <v>0.2665582152</v>
      </c>
      <c r="X140" s="49">
        <f t="shared" si="12"/>
        <v>0.331629096</v>
      </c>
      <c r="Y140" s="49">
        <f t="shared" si="13"/>
        <v>0.4018126888</v>
      </c>
      <c r="Z140" s="32" t="str">
        <f t="shared" si="14"/>
        <v>Ferrari</v>
      </c>
      <c r="AA140" s="50" t="s">
        <v>77</v>
      </c>
      <c r="AB140" s="38">
        <v>5190.0</v>
      </c>
      <c r="AC140" s="48">
        <f t="shared" si="17"/>
        <v>540</v>
      </c>
      <c r="AD140" s="51">
        <f t="shared" si="18"/>
        <v>0.8959537572</v>
      </c>
    </row>
    <row r="141">
      <c r="A141" s="61" t="s">
        <v>324</v>
      </c>
      <c r="B141" s="46" t="s">
        <v>2130</v>
      </c>
      <c r="C141" s="47"/>
      <c r="D141" s="38">
        <v>2337.0</v>
      </c>
      <c r="E141" s="38">
        <v>265.0</v>
      </c>
      <c r="F141" s="38">
        <v>2208.0</v>
      </c>
      <c r="G141" s="38">
        <v>82.0</v>
      </c>
      <c r="H141" s="38">
        <v>198.0</v>
      </c>
      <c r="I141" s="48">
        <f t="shared" si="3"/>
        <v>4810</v>
      </c>
      <c r="J141" s="48">
        <f t="shared" si="4"/>
        <v>5090</v>
      </c>
      <c r="K141" s="49">
        <f t="shared" si="5"/>
        <v>0.4858627859</v>
      </c>
      <c r="L141" s="49">
        <f t="shared" si="6"/>
        <v>0.05509355509</v>
      </c>
      <c r="M141" s="49">
        <f t="shared" si="7"/>
        <v>0.459043659</v>
      </c>
      <c r="N141" s="32" t="str">
        <f t="shared" si="8"/>
        <v>Jânio</v>
      </c>
      <c r="O141" s="50" t="s">
        <v>77</v>
      </c>
      <c r="P141" s="38">
        <v>1023.0</v>
      </c>
      <c r="Q141" s="38">
        <v>1334.0</v>
      </c>
      <c r="R141" s="38">
        <v>1693.0</v>
      </c>
      <c r="S141" s="38">
        <v>966.0</v>
      </c>
      <c r="T141" s="38">
        <v>74.0</v>
      </c>
      <c r="U141" s="48">
        <f t="shared" si="9"/>
        <v>4050</v>
      </c>
      <c r="V141" s="48">
        <f t="shared" si="10"/>
        <v>5090</v>
      </c>
      <c r="W141" s="49">
        <f t="shared" si="11"/>
        <v>0.2525925926</v>
      </c>
      <c r="X141" s="49">
        <f t="shared" si="12"/>
        <v>0.329382716</v>
      </c>
      <c r="Y141" s="49">
        <f t="shared" si="13"/>
        <v>0.4180246914</v>
      </c>
      <c r="Z141" s="32" t="str">
        <f t="shared" si="14"/>
        <v>Ferrari</v>
      </c>
      <c r="AA141" s="50" t="s">
        <v>77</v>
      </c>
      <c r="AB141" s="38">
        <v>5739.0</v>
      </c>
      <c r="AC141" s="48">
        <f t="shared" si="17"/>
        <v>649</v>
      </c>
      <c r="AD141" s="51">
        <f t="shared" si="18"/>
        <v>0.8869140965</v>
      </c>
    </row>
    <row r="142">
      <c r="A142" s="24"/>
      <c r="B142" s="46" t="s">
        <v>696</v>
      </c>
      <c r="C142" s="47"/>
      <c r="D142" s="38">
        <v>903.0</v>
      </c>
      <c r="E142" s="38">
        <v>98.0</v>
      </c>
      <c r="F142" s="38">
        <v>617.0</v>
      </c>
      <c r="G142" s="38">
        <v>34.0</v>
      </c>
      <c r="H142" s="38">
        <v>74.0</v>
      </c>
      <c r="I142" s="48">
        <f t="shared" si="3"/>
        <v>1618</v>
      </c>
      <c r="J142" s="48">
        <f t="shared" si="4"/>
        <v>1726</v>
      </c>
      <c r="K142" s="49">
        <f t="shared" si="5"/>
        <v>0.5580964153</v>
      </c>
      <c r="L142" s="49">
        <f t="shared" si="6"/>
        <v>0.06056860321</v>
      </c>
      <c r="M142" s="49">
        <f t="shared" si="7"/>
        <v>0.3813349815</v>
      </c>
      <c r="N142" s="32" t="str">
        <f t="shared" si="8"/>
        <v>Jânio</v>
      </c>
      <c r="O142" s="50" t="s">
        <v>77</v>
      </c>
      <c r="P142" s="38">
        <v>343.0</v>
      </c>
      <c r="Q142" s="38">
        <v>625.0</v>
      </c>
      <c r="R142" s="38">
        <v>474.0</v>
      </c>
      <c r="S142" s="38">
        <v>254.0</v>
      </c>
      <c r="T142" s="38">
        <v>30.0</v>
      </c>
      <c r="U142" s="48">
        <f t="shared" si="9"/>
        <v>1442</v>
      </c>
      <c r="V142" s="48">
        <f t="shared" si="10"/>
        <v>1726</v>
      </c>
      <c r="W142" s="49">
        <f t="shared" si="11"/>
        <v>0.2378640777</v>
      </c>
      <c r="X142" s="49">
        <f t="shared" si="12"/>
        <v>0.4334257975</v>
      </c>
      <c r="Y142" s="49">
        <f t="shared" si="13"/>
        <v>0.3287101248</v>
      </c>
      <c r="Z142" s="32" t="str">
        <f t="shared" si="14"/>
        <v>Milton</v>
      </c>
      <c r="AA142" s="50" t="s">
        <v>77</v>
      </c>
      <c r="AB142" s="38">
        <v>1934.0</v>
      </c>
      <c r="AC142" s="48">
        <f t="shared" si="17"/>
        <v>208</v>
      </c>
      <c r="AD142" s="51">
        <f t="shared" si="18"/>
        <v>0.892450879</v>
      </c>
    </row>
    <row r="143">
      <c r="A143" s="61" t="s">
        <v>327</v>
      </c>
      <c r="B143" s="46" t="s">
        <v>2131</v>
      </c>
      <c r="C143" s="47"/>
      <c r="D143" s="38">
        <v>2493.0</v>
      </c>
      <c r="E143" s="38">
        <v>1368.0</v>
      </c>
      <c r="F143" s="38">
        <v>1675.0</v>
      </c>
      <c r="G143" s="38">
        <v>194.0</v>
      </c>
      <c r="H143" s="38">
        <v>307.0</v>
      </c>
      <c r="I143" s="48">
        <f t="shared" si="3"/>
        <v>5536</v>
      </c>
      <c r="J143" s="48">
        <f t="shared" si="4"/>
        <v>6037</v>
      </c>
      <c r="K143" s="49">
        <f t="shared" si="5"/>
        <v>0.4503251445</v>
      </c>
      <c r="L143" s="49">
        <f t="shared" si="6"/>
        <v>0.2471098266</v>
      </c>
      <c r="M143" s="49">
        <f t="shared" si="7"/>
        <v>0.3025650289</v>
      </c>
      <c r="N143" s="32" t="str">
        <f t="shared" si="8"/>
        <v>Jânio</v>
      </c>
      <c r="O143" s="50" t="s">
        <v>77</v>
      </c>
      <c r="P143" s="38">
        <v>2312.0</v>
      </c>
      <c r="Q143" s="38">
        <v>1777.0</v>
      </c>
      <c r="R143" s="38">
        <v>790.0</v>
      </c>
      <c r="S143" s="38">
        <v>917.0</v>
      </c>
      <c r="T143" s="38">
        <v>241.0</v>
      </c>
      <c r="U143" s="48">
        <f t="shared" si="9"/>
        <v>4879</v>
      </c>
      <c r="V143" s="48">
        <f t="shared" si="10"/>
        <v>6037</v>
      </c>
      <c r="W143" s="49">
        <f t="shared" si="11"/>
        <v>0.4738675958</v>
      </c>
      <c r="X143" s="49">
        <f t="shared" si="12"/>
        <v>0.3642139783</v>
      </c>
      <c r="Y143" s="49">
        <f t="shared" si="13"/>
        <v>0.1619184259</v>
      </c>
      <c r="Z143" s="32" t="str">
        <f t="shared" si="14"/>
        <v>Jango</v>
      </c>
      <c r="AA143" s="50" t="s">
        <v>77</v>
      </c>
      <c r="AB143" s="38">
        <v>7331.0</v>
      </c>
      <c r="AC143" s="48">
        <f t="shared" si="17"/>
        <v>1294</v>
      </c>
      <c r="AD143" s="51">
        <f t="shared" si="18"/>
        <v>0.823489292</v>
      </c>
    </row>
    <row r="144">
      <c r="A144" s="24"/>
      <c r="B144" s="46" t="s">
        <v>2132</v>
      </c>
      <c r="C144" s="47"/>
      <c r="D144" s="38">
        <v>440.0</v>
      </c>
      <c r="E144" s="38">
        <v>57.0</v>
      </c>
      <c r="F144" s="38">
        <v>241.0</v>
      </c>
      <c r="G144" s="38">
        <v>22.0</v>
      </c>
      <c r="H144" s="38">
        <v>78.0</v>
      </c>
      <c r="I144" s="48">
        <f t="shared" si="3"/>
        <v>738</v>
      </c>
      <c r="J144" s="48">
        <f t="shared" si="4"/>
        <v>838</v>
      </c>
      <c r="K144" s="49">
        <f t="shared" si="5"/>
        <v>0.5962059621</v>
      </c>
      <c r="L144" s="49">
        <f t="shared" si="6"/>
        <v>0.07723577236</v>
      </c>
      <c r="M144" s="49">
        <f t="shared" si="7"/>
        <v>0.3265582656</v>
      </c>
      <c r="N144" s="32" t="str">
        <f t="shared" si="8"/>
        <v>Jânio</v>
      </c>
      <c r="O144" s="50" t="s">
        <v>77</v>
      </c>
      <c r="P144" s="38">
        <v>166.0</v>
      </c>
      <c r="Q144" s="38">
        <v>305.0</v>
      </c>
      <c r="R144" s="38">
        <v>142.0</v>
      </c>
      <c r="S144" s="38">
        <v>183.0</v>
      </c>
      <c r="T144" s="38">
        <v>42.0</v>
      </c>
      <c r="U144" s="48">
        <f t="shared" si="9"/>
        <v>613</v>
      </c>
      <c r="V144" s="48">
        <f t="shared" si="10"/>
        <v>838</v>
      </c>
      <c r="W144" s="49">
        <f t="shared" si="11"/>
        <v>0.2707993475</v>
      </c>
      <c r="X144" s="49">
        <f t="shared" si="12"/>
        <v>0.4975530179</v>
      </c>
      <c r="Y144" s="49">
        <f t="shared" si="13"/>
        <v>0.2316476346</v>
      </c>
      <c r="Z144" s="32" t="str">
        <f t="shared" si="14"/>
        <v>Milton</v>
      </c>
      <c r="AA144" s="50" t="s">
        <v>77</v>
      </c>
      <c r="AB144" s="38">
        <v>1021.0</v>
      </c>
      <c r="AC144" s="48">
        <f t="shared" si="17"/>
        <v>183</v>
      </c>
      <c r="AD144" s="51">
        <f t="shared" si="18"/>
        <v>0.8207639569</v>
      </c>
    </row>
    <row r="145">
      <c r="A145" s="61" t="s">
        <v>501</v>
      </c>
      <c r="B145" s="46" t="s">
        <v>2133</v>
      </c>
      <c r="C145" s="47"/>
      <c r="D145" s="38">
        <v>1145.0</v>
      </c>
      <c r="E145" s="38">
        <v>223.0</v>
      </c>
      <c r="F145" s="38">
        <v>260.0</v>
      </c>
      <c r="G145" s="38">
        <v>21.0</v>
      </c>
      <c r="H145" s="38">
        <v>88.0</v>
      </c>
      <c r="I145" s="48">
        <f t="shared" si="3"/>
        <v>1628</v>
      </c>
      <c r="J145" s="48">
        <f t="shared" si="4"/>
        <v>1737</v>
      </c>
      <c r="K145" s="49">
        <f t="shared" si="5"/>
        <v>0.7033169533</v>
      </c>
      <c r="L145" s="49">
        <f t="shared" si="6"/>
        <v>0.136977887</v>
      </c>
      <c r="M145" s="49">
        <f t="shared" si="7"/>
        <v>0.1597051597</v>
      </c>
      <c r="N145" s="32" t="str">
        <f t="shared" si="8"/>
        <v>Jânio</v>
      </c>
      <c r="O145" s="50" t="s">
        <v>77</v>
      </c>
      <c r="P145" s="38">
        <v>531.0</v>
      </c>
      <c r="Q145" s="55">
        <v>265.0</v>
      </c>
      <c r="R145" s="38">
        <v>771.0</v>
      </c>
      <c r="S145" s="38">
        <v>93.0</v>
      </c>
      <c r="T145" s="38">
        <v>77.0</v>
      </c>
      <c r="U145" s="48">
        <f t="shared" si="9"/>
        <v>1567</v>
      </c>
      <c r="V145" s="114">
        <f t="shared" si="10"/>
        <v>1737</v>
      </c>
      <c r="W145" s="49">
        <f t="shared" si="11"/>
        <v>0.3388640715</v>
      </c>
      <c r="X145" s="49">
        <f t="shared" si="12"/>
        <v>0.1691129547</v>
      </c>
      <c r="Y145" s="49">
        <f t="shared" si="13"/>
        <v>0.4920229738</v>
      </c>
      <c r="Z145" s="32" t="str">
        <f t="shared" si="14"/>
        <v>Ferrari</v>
      </c>
      <c r="AA145" s="50" t="s">
        <v>77</v>
      </c>
      <c r="AB145" s="38">
        <v>2039.0</v>
      </c>
      <c r="AC145" s="48">
        <f t="shared" si="17"/>
        <v>302</v>
      </c>
      <c r="AD145" s="51">
        <f t="shared" si="18"/>
        <v>0.8518881805</v>
      </c>
    </row>
    <row r="146">
      <c r="A146" s="23"/>
      <c r="B146" s="46" t="s">
        <v>2134</v>
      </c>
      <c r="C146" s="47"/>
      <c r="D146" s="38">
        <v>973.0</v>
      </c>
      <c r="E146" s="38">
        <v>210.0</v>
      </c>
      <c r="F146" s="38">
        <v>255.0</v>
      </c>
      <c r="G146" s="38">
        <v>30.0</v>
      </c>
      <c r="H146" s="38">
        <v>107.0</v>
      </c>
      <c r="I146" s="48">
        <f t="shared" si="3"/>
        <v>1438</v>
      </c>
      <c r="J146" s="48">
        <f t="shared" si="4"/>
        <v>1575</v>
      </c>
      <c r="K146" s="49">
        <f t="shared" si="5"/>
        <v>0.6766342142</v>
      </c>
      <c r="L146" s="49">
        <f t="shared" si="6"/>
        <v>0.1460361613</v>
      </c>
      <c r="M146" s="49">
        <f t="shared" si="7"/>
        <v>0.1773296245</v>
      </c>
      <c r="N146" s="32" t="str">
        <f t="shared" si="8"/>
        <v>Jânio</v>
      </c>
      <c r="O146" s="50" t="s">
        <v>77</v>
      </c>
      <c r="P146" s="38">
        <v>538.0</v>
      </c>
      <c r="Q146" s="38">
        <v>298.0</v>
      </c>
      <c r="R146" s="38">
        <v>287.0</v>
      </c>
      <c r="S146" s="38">
        <v>345.0</v>
      </c>
      <c r="T146" s="38">
        <v>107.0</v>
      </c>
      <c r="U146" s="48">
        <f t="shared" si="9"/>
        <v>1123</v>
      </c>
      <c r="V146" s="48">
        <f t="shared" si="10"/>
        <v>1575</v>
      </c>
      <c r="W146" s="49">
        <f t="shared" si="11"/>
        <v>0.4790739092</v>
      </c>
      <c r="X146" s="49">
        <f t="shared" si="12"/>
        <v>0.2653606411</v>
      </c>
      <c r="Y146" s="49">
        <f t="shared" si="13"/>
        <v>0.2555654497</v>
      </c>
      <c r="Z146" s="32" t="str">
        <f t="shared" si="14"/>
        <v>Jango</v>
      </c>
      <c r="AA146" s="50" t="s">
        <v>77</v>
      </c>
      <c r="AB146" s="38">
        <v>1774.0</v>
      </c>
      <c r="AC146" s="48">
        <f t="shared" si="17"/>
        <v>199</v>
      </c>
      <c r="AD146" s="51">
        <f t="shared" si="18"/>
        <v>0.8878241263</v>
      </c>
    </row>
    <row r="147">
      <c r="A147" s="24"/>
      <c r="B147" s="46" t="s">
        <v>2135</v>
      </c>
      <c r="C147" s="47"/>
      <c r="D147" s="38">
        <v>756.0</v>
      </c>
      <c r="E147" s="38">
        <v>75.0</v>
      </c>
      <c r="F147" s="38">
        <v>279.0</v>
      </c>
      <c r="G147" s="38">
        <v>13.0</v>
      </c>
      <c r="H147" s="38">
        <v>84.0</v>
      </c>
      <c r="I147" s="48">
        <f t="shared" si="3"/>
        <v>1110</v>
      </c>
      <c r="J147" s="48">
        <f t="shared" si="4"/>
        <v>1207</v>
      </c>
      <c r="K147" s="49">
        <f t="shared" si="5"/>
        <v>0.6810810811</v>
      </c>
      <c r="L147" s="49">
        <f t="shared" si="6"/>
        <v>0.06756756757</v>
      </c>
      <c r="M147" s="49">
        <f t="shared" si="7"/>
        <v>0.2513513514</v>
      </c>
      <c r="N147" s="32" t="str">
        <f t="shared" si="8"/>
        <v>Jânio</v>
      </c>
      <c r="O147" s="50" t="s">
        <v>77</v>
      </c>
      <c r="P147" s="55">
        <v>315.0</v>
      </c>
      <c r="Q147" s="38">
        <v>484.0</v>
      </c>
      <c r="R147" s="38">
        <v>220.0</v>
      </c>
      <c r="S147" s="38">
        <v>102.0</v>
      </c>
      <c r="T147" s="55">
        <v>86.0</v>
      </c>
      <c r="U147" s="48">
        <f t="shared" si="9"/>
        <v>1019</v>
      </c>
      <c r="V147" s="114">
        <f t="shared" si="10"/>
        <v>1207</v>
      </c>
      <c r="W147" s="49">
        <f t="shared" si="11"/>
        <v>0.3091265947</v>
      </c>
      <c r="X147" s="49">
        <f t="shared" si="12"/>
        <v>0.4749754661</v>
      </c>
      <c r="Y147" s="49">
        <f t="shared" si="13"/>
        <v>0.2158979392</v>
      </c>
      <c r="Z147" s="32" t="str">
        <f t="shared" si="14"/>
        <v>Milton</v>
      </c>
      <c r="AA147" s="50" t="s">
        <v>77</v>
      </c>
      <c r="AB147" s="38">
        <v>1297.0</v>
      </c>
      <c r="AC147" s="48">
        <f t="shared" si="17"/>
        <v>90</v>
      </c>
      <c r="AD147" s="51">
        <f t="shared" si="18"/>
        <v>0.9306090979</v>
      </c>
    </row>
    <row r="148">
      <c r="A148" s="61" t="s">
        <v>504</v>
      </c>
      <c r="B148" s="46" t="s">
        <v>2136</v>
      </c>
      <c r="C148" s="47"/>
      <c r="D148" s="38">
        <v>5366.0</v>
      </c>
      <c r="E148" s="38">
        <v>862.0</v>
      </c>
      <c r="F148" s="38">
        <v>4508.0</v>
      </c>
      <c r="G148" s="38">
        <v>142.0</v>
      </c>
      <c r="H148" s="38">
        <v>257.0</v>
      </c>
      <c r="I148" s="48">
        <f t="shared" si="3"/>
        <v>10736</v>
      </c>
      <c r="J148" s="48">
        <f t="shared" si="4"/>
        <v>11135</v>
      </c>
      <c r="K148" s="49">
        <f t="shared" si="5"/>
        <v>0.4998137109</v>
      </c>
      <c r="L148" s="49">
        <f t="shared" si="6"/>
        <v>0.08029061103</v>
      </c>
      <c r="M148" s="49">
        <f t="shared" si="7"/>
        <v>0.4198956781</v>
      </c>
      <c r="N148" s="32" t="str">
        <f t="shared" si="8"/>
        <v>Jânio</v>
      </c>
      <c r="O148" s="50" t="s">
        <v>77</v>
      </c>
      <c r="P148" s="38">
        <v>3236.0</v>
      </c>
      <c r="Q148" s="38">
        <v>4779.0</v>
      </c>
      <c r="R148" s="38">
        <v>1778.0</v>
      </c>
      <c r="S148" s="38">
        <v>1187.0</v>
      </c>
      <c r="T148" s="38">
        <v>155.0</v>
      </c>
      <c r="U148" s="48">
        <f t="shared" si="9"/>
        <v>9793</v>
      </c>
      <c r="V148" s="48">
        <f t="shared" si="10"/>
        <v>11135</v>
      </c>
      <c r="W148" s="49">
        <f t="shared" si="11"/>
        <v>0.3304401103</v>
      </c>
      <c r="X148" s="49">
        <f t="shared" si="12"/>
        <v>0.4880016338</v>
      </c>
      <c r="Y148" s="49">
        <f t="shared" si="13"/>
        <v>0.1815582559</v>
      </c>
      <c r="Z148" s="32" t="str">
        <f t="shared" si="14"/>
        <v>Milton</v>
      </c>
      <c r="AA148" s="50" t="s">
        <v>77</v>
      </c>
      <c r="AB148" s="38">
        <v>12035.0</v>
      </c>
      <c r="AC148" s="48">
        <f t="shared" si="17"/>
        <v>900</v>
      </c>
      <c r="AD148" s="51">
        <f t="shared" si="18"/>
        <v>0.9252181138</v>
      </c>
    </row>
    <row r="149">
      <c r="A149" s="23"/>
      <c r="B149" s="46" t="s">
        <v>2137</v>
      </c>
      <c r="C149" s="47"/>
      <c r="D149" s="38">
        <v>1648.0</v>
      </c>
      <c r="E149" s="38">
        <v>155.0</v>
      </c>
      <c r="F149" s="38">
        <v>1049.0</v>
      </c>
      <c r="G149" s="38">
        <v>74.0</v>
      </c>
      <c r="H149" s="38">
        <v>98.0</v>
      </c>
      <c r="I149" s="48">
        <f t="shared" si="3"/>
        <v>2852</v>
      </c>
      <c r="J149" s="48">
        <f t="shared" si="4"/>
        <v>3024</v>
      </c>
      <c r="K149" s="49">
        <f t="shared" si="5"/>
        <v>0.5778401122</v>
      </c>
      <c r="L149" s="49">
        <f t="shared" si="6"/>
        <v>0.05434782609</v>
      </c>
      <c r="M149" s="49">
        <f t="shared" si="7"/>
        <v>0.3678120617</v>
      </c>
      <c r="N149" s="32" t="str">
        <f t="shared" si="8"/>
        <v>Jânio</v>
      </c>
      <c r="O149" s="50" t="s">
        <v>77</v>
      </c>
      <c r="P149" s="38">
        <v>623.0</v>
      </c>
      <c r="Q149" s="38">
        <v>1497.0</v>
      </c>
      <c r="R149" s="38">
        <v>306.0</v>
      </c>
      <c r="S149" s="38">
        <v>566.0</v>
      </c>
      <c r="T149" s="38">
        <v>32.0</v>
      </c>
      <c r="U149" s="48">
        <f t="shared" si="9"/>
        <v>2426</v>
      </c>
      <c r="V149" s="48">
        <f t="shared" si="10"/>
        <v>3024</v>
      </c>
      <c r="W149" s="49">
        <f t="shared" si="11"/>
        <v>0.256801319</v>
      </c>
      <c r="X149" s="49">
        <f t="shared" si="12"/>
        <v>0.6170651278</v>
      </c>
      <c r="Y149" s="49">
        <f t="shared" si="13"/>
        <v>0.1261335532</v>
      </c>
      <c r="Z149" s="32" t="str">
        <f t="shared" si="14"/>
        <v>Milton</v>
      </c>
      <c r="AA149" s="50" t="s">
        <v>77</v>
      </c>
      <c r="AB149" s="38">
        <v>3407.0</v>
      </c>
      <c r="AC149" s="48">
        <f t="shared" si="17"/>
        <v>383</v>
      </c>
      <c r="AD149" s="51">
        <f t="shared" si="18"/>
        <v>0.8875843851</v>
      </c>
    </row>
    <row r="150">
      <c r="A150" s="23"/>
      <c r="B150" s="46" t="s">
        <v>2138</v>
      </c>
      <c r="C150" s="47"/>
      <c r="D150" s="38">
        <v>1333.0</v>
      </c>
      <c r="E150" s="38">
        <v>157.0</v>
      </c>
      <c r="F150" s="38">
        <v>730.0</v>
      </c>
      <c r="G150" s="38">
        <v>78.0</v>
      </c>
      <c r="H150" s="38">
        <v>143.0</v>
      </c>
      <c r="I150" s="48">
        <f t="shared" si="3"/>
        <v>2220</v>
      </c>
      <c r="J150" s="48">
        <f t="shared" si="4"/>
        <v>2441</v>
      </c>
      <c r="K150" s="49">
        <f t="shared" si="5"/>
        <v>0.6004504505</v>
      </c>
      <c r="L150" s="49">
        <f t="shared" si="6"/>
        <v>0.07072072072</v>
      </c>
      <c r="M150" s="49">
        <f t="shared" si="7"/>
        <v>0.3288288288</v>
      </c>
      <c r="N150" s="32" t="str">
        <f t="shared" si="8"/>
        <v>Jânio</v>
      </c>
      <c r="O150" s="50" t="s">
        <v>77</v>
      </c>
      <c r="P150" s="38">
        <v>470.0</v>
      </c>
      <c r="Q150" s="38">
        <v>691.0</v>
      </c>
      <c r="R150" s="38">
        <v>912.0</v>
      </c>
      <c r="S150" s="38">
        <v>318.0</v>
      </c>
      <c r="T150" s="38">
        <v>50.0</v>
      </c>
      <c r="U150" s="48">
        <f t="shared" si="9"/>
        <v>2073</v>
      </c>
      <c r="V150" s="48">
        <f t="shared" si="10"/>
        <v>2441</v>
      </c>
      <c r="W150" s="49">
        <f t="shared" si="11"/>
        <v>0.2267245538</v>
      </c>
      <c r="X150" s="49">
        <f t="shared" si="12"/>
        <v>0.3333333333</v>
      </c>
      <c r="Y150" s="49">
        <f t="shared" si="13"/>
        <v>0.4399421129</v>
      </c>
      <c r="Z150" s="32" t="str">
        <f t="shared" si="14"/>
        <v>Ferrari</v>
      </c>
      <c r="AA150" s="50" t="s">
        <v>77</v>
      </c>
      <c r="AB150" s="38">
        <v>2647.0</v>
      </c>
      <c r="AC150" s="48">
        <f t="shared" si="17"/>
        <v>206</v>
      </c>
      <c r="AD150" s="51">
        <f t="shared" si="18"/>
        <v>0.9221760484</v>
      </c>
    </row>
    <row r="151">
      <c r="A151" s="24"/>
      <c r="B151" s="46" t="s">
        <v>2139</v>
      </c>
      <c r="C151" s="47"/>
      <c r="D151" s="38">
        <v>455.0</v>
      </c>
      <c r="E151" s="38">
        <v>61.0</v>
      </c>
      <c r="F151" s="38">
        <v>369.0</v>
      </c>
      <c r="G151" s="38">
        <v>22.0</v>
      </c>
      <c r="H151" s="38">
        <v>48.0</v>
      </c>
      <c r="I151" s="48">
        <f t="shared" si="3"/>
        <v>885</v>
      </c>
      <c r="J151" s="48">
        <f t="shared" si="4"/>
        <v>955</v>
      </c>
      <c r="K151" s="49">
        <f t="shared" si="5"/>
        <v>0.5141242938</v>
      </c>
      <c r="L151" s="49">
        <f t="shared" si="6"/>
        <v>0.06892655367</v>
      </c>
      <c r="M151" s="49">
        <f t="shared" si="7"/>
        <v>0.4169491525</v>
      </c>
      <c r="N151" s="32" t="str">
        <f t="shared" si="8"/>
        <v>Jânio</v>
      </c>
      <c r="O151" s="50" t="s">
        <v>77</v>
      </c>
      <c r="P151" s="38">
        <v>273.0</v>
      </c>
      <c r="Q151" s="38">
        <v>390.0</v>
      </c>
      <c r="R151" s="38">
        <v>69.0</v>
      </c>
      <c r="S151" s="38">
        <v>193.0</v>
      </c>
      <c r="T151" s="38">
        <v>30.0</v>
      </c>
      <c r="U151" s="48">
        <f t="shared" si="9"/>
        <v>732</v>
      </c>
      <c r="V151" s="48">
        <f t="shared" si="10"/>
        <v>955</v>
      </c>
      <c r="W151" s="49">
        <f t="shared" si="11"/>
        <v>0.3729508197</v>
      </c>
      <c r="X151" s="49">
        <f t="shared" si="12"/>
        <v>0.5327868852</v>
      </c>
      <c r="Y151" s="49">
        <f t="shared" si="13"/>
        <v>0.09426229508</v>
      </c>
      <c r="Z151" s="32" t="str">
        <f t="shared" si="14"/>
        <v>Milton</v>
      </c>
      <c r="AA151" s="50" t="s">
        <v>77</v>
      </c>
      <c r="AB151" s="38">
        <v>1016.0</v>
      </c>
      <c r="AC151" s="48">
        <f t="shared" si="17"/>
        <v>61</v>
      </c>
      <c r="AD151" s="51">
        <f t="shared" si="18"/>
        <v>0.9399606299</v>
      </c>
    </row>
    <row r="152">
      <c r="A152" s="61" t="s">
        <v>506</v>
      </c>
      <c r="B152" s="46" t="s">
        <v>2140</v>
      </c>
      <c r="C152" s="47"/>
      <c r="D152" s="38">
        <v>2245.0</v>
      </c>
      <c r="E152" s="38">
        <v>918.0</v>
      </c>
      <c r="F152" s="38">
        <v>2136.0</v>
      </c>
      <c r="G152" s="38">
        <v>149.0</v>
      </c>
      <c r="H152" s="38">
        <v>168.0</v>
      </c>
      <c r="I152" s="48">
        <f t="shared" si="3"/>
        <v>5299</v>
      </c>
      <c r="J152" s="48">
        <f t="shared" si="4"/>
        <v>5616</v>
      </c>
      <c r="K152" s="49">
        <f t="shared" si="5"/>
        <v>0.4236648424</v>
      </c>
      <c r="L152" s="49">
        <f t="shared" si="6"/>
        <v>0.173240234</v>
      </c>
      <c r="M152" s="49">
        <f t="shared" si="7"/>
        <v>0.4030949236</v>
      </c>
      <c r="N152" s="32" t="str">
        <f t="shared" si="8"/>
        <v>Jânio</v>
      </c>
      <c r="O152" s="50" t="s">
        <v>77</v>
      </c>
      <c r="P152" s="38">
        <v>2378.0</v>
      </c>
      <c r="Q152" s="38">
        <v>2020.0</v>
      </c>
      <c r="R152" s="38">
        <v>473.0</v>
      </c>
      <c r="S152" s="38">
        <v>643.0</v>
      </c>
      <c r="T152" s="38">
        <v>102.0</v>
      </c>
      <c r="U152" s="48">
        <f t="shared" si="9"/>
        <v>4871</v>
      </c>
      <c r="V152" s="48">
        <f t="shared" si="10"/>
        <v>5616</v>
      </c>
      <c r="W152" s="49">
        <f t="shared" si="11"/>
        <v>0.4881954424</v>
      </c>
      <c r="X152" s="49">
        <f t="shared" si="12"/>
        <v>0.4146992404</v>
      </c>
      <c r="Y152" s="49">
        <f t="shared" si="13"/>
        <v>0.09710531718</v>
      </c>
      <c r="Z152" s="32" t="str">
        <f t="shared" si="14"/>
        <v>Jango</v>
      </c>
      <c r="AA152" s="50" t="s">
        <v>77</v>
      </c>
      <c r="AB152" s="38">
        <v>6183.0</v>
      </c>
      <c r="AC152" s="48">
        <f t="shared" si="17"/>
        <v>567</v>
      </c>
      <c r="AD152" s="51">
        <f t="shared" si="18"/>
        <v>0.9082969432</v>
      </c>
    </row>
    <row r="153">
      <c r="A153" s="23"/>
      <c r="B153" s="46" t="s">
        <v>2141</v>
      </c>
      <c r="C153" s="47"/>
      <c r="D153" s="38">
        <v>761.0</v>
      </c>
      <c r="E153" s="38">
        <v>91.0</v>
      </c>
      <c r="F153" s="38">
        <v>607.0</v>
      </c>
      <c r="G153" s="38">
        <v>24.0</v>
      </c>
      <c r="H153" s="38">
        <v>35.0</v>
      </c>
      <c r="I153" s="48">
        <f t="shared" si="3"/>
        <v>1459</v>
      </c>
      <c r="J153" s="48">
        <f t="shared" si="4"/>
        <v>1518</v>
      </c>
      <c r="K153" s="49">
        <f t="shared" si="5"/>
        <v>0.5215901302</v>
      </c>
      <c r="L153" s="49">
        <f t="shared" si="6"/>
        <v>0.06237148732</v>
      </c>
      <c r="M153" s="49">
        <f t="shared" si="7"/>
        <v>0.4160383825</v>
      </c>
      <c r="N153" s="32" t="str">
        <f t="shared" si="8"/>
        <v>Jânio</v>
      </c>
      <c r="O153" s="50" t="s">
        <v>77</v>
      </c>
      <c r="P153" s="38">
        <v>212.0</v>
      </c>
      <c r="Q153" s="38">
        <v>652.0</v>
      </c>
      <c r="R153" s="38">
        <v>520.0</v>
      </c>
      <c r="S153" s="38">
        <v>118.0</v>
      </c>
      <c r="T153" s="38">
        <v>16.0</v>
      </c>
      <c r="U153" s="48">
        <f t="shared" si="9"/>
        <v>1384</v>
      </c>
      <c r="V153" s="48">
        <f t="shared" si="10"/>
        <v>1518</v>
      </c>
      <c r="W153" s="49">
        <f t="shared" si="11"/>
        <v>0.1531791908</v>
      </c>
      <c r="X153" s="49">
        <f t="shared" si="12"/>
        <v>0.4710982659</v>
      </c>
      <c r="Y153" s="49">
        <f t="shared" si="13"/>
        <v>0.3757225434</v>
      </c>
      <c r="Z153" s="32" t="str">
        <f t="shared" si="14"/>
        <v>Milton</v>
      </c>
      <c r="AA153" s="50" t="s">
        <v>77</v>
      </c>
      <c r="AB153" s="38">
        <v>1638.0</v>
      </c>
      <c r="AC153" s="48">
        <f t="shared" si="17"/>
        <v>120</v>
      </c>
      <c r="AD153" s="51">
        <f t="shared" si="18"/>
        <v>0.9267399267</v>
      </c>
    </row>
    <row r="154">
      <c r="A154" s="23"/>
      <c r="B154" s="46" t="s">
        <v>2142</v>
      </c>
      <c r="C154" s="47"/>
      <c r="D154" s="38">
        <v>559.0</v>
      </c>
      <c r="E154" s="38">
        <v>131.0</v>
      </c>
      <c r="F154" s="38">
        <v>666.0</v>
      </c>
      <c r="G154" s="38">
        <v>28.0</v>
      </c>
      <c r="H154" s="38">
        <v>52.0</v>
      </c>
      <c r="I154" s="48">
        <f t="shared" si="3"/>
        <v>1356</v>
      </c>
      <c r="J154" s="48">
        <f t="shared" si="4"/>
        <v>1436</v>
      </c>
      <c r="K154" s="49">
        <f t="shared" si="5"/>
        <v>0.4122418879</v>
      </c>
      <c r="L154" s="49">
        <f t="shared" si="6"/>
        <v>0.09660766962</v>
      </c>
      <c r="M154" s="49">
        <f t="shared" si="7"/>
        <v>0.4911504425</v>
      </c>
      <c r="N154" s="32" t="str">
        <f t="shared" si="8"/>
        <v>Adhemar</v>
      </c>
      <c r="O154" s="50" t="s">
        <v>77</v>
      </c>
      <c r="P154" s="38">
        <v>712.0</v>
      </c>
      <c r="Q154" s="38">
        <v>184.0</v>
      </c>
      <c r="R154" s="38">
        <v>168.0</v>
      </c>
      <c r="S154" s="38">
        <v>345.0</v>
      </c>
      <c r="T154" s="38">
        <v>27.0</v>
      </c>
      <c r="U154" s="48">
        <f t="shared" si="9"/>
        <v>1064</v>
      </c>
      <c r="V154" s="48">
        <f t="shared" si="10"/>
        <v>1436</v>
      </c>
      <c r="W154" s="49">
        <f t="shared" si="11"/>
        <v>0.6691729323</v>
      </c>
      <c r="X154" s="49">
        <f t="shared" si="12"/>
        <v>0.1729323308</v>
      </c>
      <c r="Y154" s="49">
        <f t="shared" si="13"/>
        <v>0.1578947368</v>
      </c>
      <c r="Z154" s="32" t="str">
        <f t="shared" si="14"/>
        <v>Jango</v>
      </c>
      <c r="AA154" s="50" t="s">
        <v>77</v>
      </c>
      <c r="AB154" s="38">
        <v>1595.0</v>
      </c>
      <c r="AC154" s="48">
        <f t="shared" si="17"/>
        <v>159</v>
      </c>
      <c r="AD154" s="51">
        <f t="shared" si="18"/>
        <v>0.9003134796</v>
      </c>
    </row>
    <row r="155">
      <c r="A155" s="24"/>
      <c r="B155" s="46" t="s">
        <v>2143</v>
      </c>
      <c r="C155" s="47"/>
      <c r="D155" s="38">
        <v>425.0</v>
      </c>
      <c r="E155" s="38">
        <v>73.0</v>
      </c>
      <c r="F155" s="38">
        <v>200.0</v>
      </c>
      <c r="G155" s="38">
        <v>30.0</v>
      </c>
      <c r="H155" s="38">
        <v>34.0</v>
      </c>
      <c r="I155" s="48">
        <f t="shared" si="3"/>
        <v>698</v>
      </c>
      <c r="J155" s="48">
        <f t="shared" si="4"/>
        <v>762</v>
      </c>
      <c r="K155" s="49">
        <f t="shared" si="5"/>
        <v>0.6088825215</v>
      </c>
      <c r="L155" s="49">
        <f t="shared" si="6"/>
        <v>0.1045845272</v>
      </c>
      <c r="M155" s="49">
        <f t="shared" si="7"/>
        <v>0.2865329513</v>
      </c>
      <c r="N155" s="32" t="str">
        <f t="shared" si="8"/>
        <v>Jânio</v>
      </c>
      <c r="O155" s="50" t="s">
        <v>77</v>
      </c>
      <c r="P155" s="38">
        <v>156.0</v>
      </c>
      <c r="Q155" s="38">
        <v>333.0</v>
      </c>
      <c r="R155" s="38">
        <v>57.0</v>
      </c>
      <c r="S155" s="38">
        <v>196.0</v>
      </c>
      <c r="T155" s="38">
        <v>20.0</v>
      </c>
      <c r="U155" s="48">
        <f t="shared" si="9"/>
        <v>546</v>
      </c>
      <c r="V155" s="48">
        <f t="shared" si="10"/>
        <v>762</v>
      </c>
      <c r="W155" s="49">
        <f t="shared" si="11"/>
        <v>0.2857142857</v>
      </c>
      <c r="X155" s="49">
        <f t="shared" si="12"/>
        <v>0.6098901099</v>
      </c>
      <c r="Y155" s="49">
        <f t="shared" si="13"/>
        <v>0.1043956044</v>
      </c>
      <c r="Z155" s="32" t="str">
        <f t="shared" si="14"/>
        <v>Milton</v>
      </c>
      <c r="AA155" s="50" t="s">
        <v>77</v>
      </c>
      <c r="AB155" s="38">
        <v>856.0</v>
      </c>
      <c r="AC155" s="48">
        <f t="shared" si="17"/>
        <v>94</v>
      </c>
      <c r="AD155" s="51">
        <f t="shared" si="18"/>
        <v>0.8901869159</v>
      </c>
    </row>
    <row r="156">
      <c r="A156" s="61" t="s">
        <v>509</v>
      </c>
      <c r="B156" s="46" t="s">
        <v>2144</v>
      </c>
      <c r="C156" s="47"/>
      <c r="D156" s="38">
        <v>3210.0</v>
      </c>
      <c r="E156" s="38">
        <v>1144.0</v>
      </c>
      <c r="F156" s="38">
        <v>1990.0</v>
      </c>
      <c r="G156" s="38">
        <v>142.0</v>
      </c>
      <c r="H156" s="38">
        <v>269.0</v>
      </c>
      <c r="I156" s="48">
        <f t="shared" si="3"/>
        <v>6344</v>
      </c>
      <c r="J156" s="48">
        <f t="shared" si="4"/>
        <v>6755</v>
      </c>
      <c r="K156" s="49">
        <f t="shared" si="5"/>
        <v>0.5059899117</v>
      </c>
      <c r="L156" s="49">
        <f t="shared" si="6"/>
        <v>0.1803278689</v>
      </c>
      <c r="M156" s="49">
        <f t="shared" si="7"/>
        <v>0.3136822194</v>
      </c>
      <c r="N156" s="32" t="str">
        <f t="shared" si="8"/>
        <v>Jânio</v>
      </c>
      <c r="O156" s="50" t="s">
        <v>77</v>
      </c>
      <c r="P156" s="38">
        <v>1995.0</v>
      </c>
      <c r="Q156" s="38">
        <v>1974.0</v>
      </c>
      <c r="R156" s="38">
        <v>1485.0</v>
      </c>
      <c r="S156" s="38">
        <v>1169.0</v>
      </c>
      <c r="T156" s="38">
        <v>132.0</v>
      </c>
      <c r="U156" s="48">
        <f t="shared" si="9"/>
        <v>5454</v>
      </c>
      <c r="V156" s="48">
        <f t="shared" si="10"/>
        <v>6755</v>
      </c>
      <c r="W156" s="49">
        <f t="shared" si="11"/>
        <v>0.3657865787</v>
      </c>
      <c r="X156" s="49">
        <f t="shared" si="12"/>
        <v>0.3619361936</v>
      </c>
      <c r="Y156" s="49">
        <f t="shared" si="13"/>
        <v>0.2722772277</v>
      </c>
      <c r="Z156" s="32" t="str">
        <f t="shared" si="14"/>
        <v>Jango</v>
      </c>
      <c r="AA156" s="50" t="s">
        <v>77</v>
      </c>
      <c r="AB156" s="38">
        <v>7655.0</v>
      </c>
      <c r="AC156" s="48">
        <f t="shared" si="17"/>
        <v>900</v>
      </c>
      <c r="AD156" s="51">
        <f t="shared" si="18"/>
        <v>0.8824297845</v>
      </c>
    </row>
    <row r="157">
      <c r="A157" s="61" t="s">
        <v>512</v>
      </c>
      <c r="B157" s="46" t="s">
        <v>2145</v>
      </c>
      <c r="C157" s="47"/>
      <c r="D157" s="38">
        <v>2978.0</v>
      </c>
      <c r="E157" s="38">
        <v>280.0</v>
      </c>
      <c r="F157" s="38">
        <v>2230.0</v>
      </c>
      <c r="G157" s="38">
        <v>102.0</v>
      </c>
      <c r="H157" s="55">
        <v>316.0</v>
      </c>
      <c r="I157" s="48">
        <f t="shared" si="3"/>
        <v>5488</v>
      </c>
      <c r="J157" s="114">
        <f t="shared" si="4"/>
        <v>5906</v>
      </c>
      <c r="K157" s="49">
        <f t="shared" si="5"/>
        <v>0.542638484</v>
      </c>
      <c r="L157" s="49">
        <f t="shared" si="6"/>
        <v>0.05102040816</v>
      </c>
      <c r="M157" s="49">
        <f t="shared" si="7"/>
        <v>0.4063411079</v>
      </c>
      <c r="N157" s="32" t="str">
        <f t="shared" si="8"/>
        <v>Jânio</v>
      </c>
      <c r="O157" s="50" t="s">
        <v>77</v>
      </c>
      <c r="P157" s="55">
        <v>1516.0</v>
      </c>
      <c r="Q157" s="55">
        <v>1821.0</v>
      </c>
      <c r="R157" s="38">
        <v>1506.0</v>
      </c>
      <c r="S157" s="38">
        <v>748.0</v>
      </c>
      <c r="T157" s="38">
        <v>315.0</v>
      </c>
      <c r="U157" s="48">
        <f t="shared" si="9"/>
        <v>4843</v>
      </c>
      <c r="V157" s="114">
        <f t="shared" si="10"/>
        <v>5906</v>
      </c>
      <c r="W157" s="49">
        <f t="shared" si="11"/>
        <v>0.3130291142</v>
      </c>
      <c r="X157" s="49">
        <f t="shared" si="12"/>
        <v>0.3760066075</v>
      </c>
      <c r="Y157" s="49">
        <f t="shared" si="13"/>
        <v>0.3109642783</v>
      </c>
      <c r="Z157" s="32" t="str">
        <f t="shared" si="14"/>
        <v>Milton</v>
      </c>
      <c r="AA157" s="50" t="s">
        <v>77</v>
      </c>
      <c r="AB157" s="38">
        <v>7072.0</v>
      </c>
      <c r="AC157" s="48">
        <f t="shared" si="17"/>
        <v>1166</v>
      </c>
      <c r="AD157" s="51">
        <f t="shared" si="18"/>
        <v>0.8351244344</v>
      </c>
    </row>
    <row r="158">
      <c r="A158" s="23"/>
      <c r="B158" s="46" t="s">
        <v>2146</v>
      </c>
      <c r="C158" s="47"/>
      <c r="D158" s="38">
        <v>390.0</v>
      </c>
      <c r="E158" s="38">
        <v>152.0</v>
      </c>
      <c r="F158" s="38">
        <v>261.0</v>
      </c>
      <c r="G158" s="38">
        <v>38.0</v>
      </c>
      <c r="H158" s="55">
        <v>89.0</v>
      </c>
      <c r="I158" s="48">
        <f t="shared" si="3"/>
        <v>803</v>
      </c>
      <c r="J158" s="114">
        <f t="shared" si="4"/>
        <v>930</v>
      </c>
      <c r="K158" s="49">
        <f t="shared" si="5"/>
        <v>0.4856787049</v>
      </c>
      <c r="L158" s="49">
        <f t="shared" si="6"/>
        <v>0.1892901619</v>
      </c>
      <c r="M158" s="49">
        <f t="shared" si="7"/>
        <v>0.3250311333</v>
      </c>
      <c r="N158" s="32" t="str">
        <f t="shared" si="8"/>
        <v>Jânio</v>
      </c>
      <c r="O158" s="50" t="s">
        <v>77</v>
      </c>
      <c r="P158" s="38">
        <v>364.0</v>
      </c>
      <c r="Q158" s="38">
        <v>245.0</v>
      </c>
      <c r="R158" s="38">
        <v>122.0</v>
      </c>
      <c r="S158" s="38">
        <v>122.0</v>
      </c>
      <c r="T158" s="38">
        <v>77.0</v>
      </c>
      <c r="U158" s="48">
        <f t="shared" si="9"/>
        <v>731</v>
      </c>
      <c r="V158" s="48">
        <f t="shared" si="10"/>
        <v>930</v>
      </c>
      <c r="W158" s="49">
        <f t="shared" si="11"/>
        <v>0.4979480164</v>
      </c>
      <c r="X158" s="49">
        <f t="shared" si="12"/>
        <v>0.3351573187</v>
      </c>
      <c r="Y158" s="49">
        <f t="shared" si="13"/>
        <v>0.1668946648</v>
      </c>
      <c r="Z158" s="32" t="str">
        <f t="shared" si="14"/>
        <v>Jango</v>
      </c>
      <c r="AA158" s="50" t="s">
        <v>77</v>
      </c>
      <c r="AB158" s="38">
        <v>1102.0</v>
      </c>
      <c r="AC158" s="48">
        <f t="shared" si="17"/>
        <v>172</v>
      </c>
      <c r="AD158" s="51">
        <f t="shared" si="18"/>
        <v>0.8439201452</v>
      </c>
    </row>
    <row r="159">
      <c r="A159" s="24"/>
      <c r="B159" s="46" t="s">
        <v>2147</v>
      </c>
      <c r="C159" s="47"/>
      <c r="D159" s="38">
        <v>969.0</v>
      </c>
      <c r="E159" s="38">
        <v>87.0</v>
      </c>
      <c r="F159" s="38">
        <v>705.0</v>
      </c>
      <c r="G159" s="38">
        <v>41.0</v>
      </c>
      <c r="H159" s="38">
        <v>110.0</v>
      </c>
      <c r="I159" s="48">
        <f t="shared" si="3"/>
        <v>1761</v>
      </c>
      <c r="J159" s="48">
        <f t="shared" si="4"/>
        <v>1912</v>
      </c>
      <c r="K159" s="49">
        <f t="shared" si="5"/>
        <v>0.5502555366</v>
      </c>
      <c r="L159" s="49">
        <f t="shared" si="6"/>
        <v>0.04940374787</v>
      </c>
      <c r="M159" s="49">
        <f t="shared" si="7"/>
        <v>0.4003407155</v>
      </c>
      <c r="N159" s="32" t="str">
        <f t="shared" si="8"/>
        <v>Jânio</v>
      </c>
      <c r="O159" s="50" t="s">
        <v>77</v>
      </c>
      <c r="P159" s="38">
        <v>328.0</v>
      </c>
      <c r="Q159" s="38">
        <v>815.0</v>
      </c>
      <c r="R159" s="38">
        <v>481.0</v>
      </c>
      <c r="S159" s="38">
        <v>177.0</v>
      </c>
      <c r="T159" s="38">
        <v>111.0</v>
      </c>
      <c r="U159" s="48">
        <f t="shared" si="9"/>
        <v>1624</v>
      </c>
      <c r="V159" s="48">
        <f t="shared" si="10"/>
        <v>1912</v>
      </c>
      <c r="W159" s="49">
        <f t="shared" si="11"/>
        <v>0.2019704433</v>
      </c>
      <c r="X159" s="49">
        <f t="shared" si="12"/>
        <v>0.5018472906</v>
      </c>
      <c r="Y159" s="49">
        <f t="shared" si="13"/>
        <v>0.296182266</v>
      </c>
      <c r="Z159" s="32" t="str">
        <f t="shared" si="14"/>
        <v>Milton</v>
      </c>
      <c r="AA159" s="50" t="s">
        <v>77</v>
      </c>
      <c r="AB159" s="38">
        <v>2168.0</v>
      </c>
      <c r="AC159" s="48">
        <f t="shared" si="17"/>
        <v>256</v>
      </c>
      <c r="AD159" s="51">
        <f t="shared" si="18"/>
        <v>0.8819188192</v>
      </c>
    </row>
    <row r="160">
      <c r="A160" s="61" t="s">
        <v>514</v>
      </c>
      <c r="B160" s="46" t="s">
        <v>731</v>
      </c>
      <c r="C160" s="47"/>
      <c r="D160" s="55">
        <v>1193.0</v>
      </c>
      <c r="E160" s="38">
        <v>182.0</v>
      </c>
      <c r="F160" s="38">
        <v>688.0</v>
      </c>
      <c r="G160" s="38">
        <v>66.0</v>
      </c>
      <c r="H160" s="38">
        <v>112.0</v>
      </c>
      <c r="I160" s="48">
        <f t="shared" si="3"/>
        <v>2063</v>
      </c>
      <c r="J160" s="114">
        <f t="shared" si="4"/>
        <v>2241</v>
      </c>
      <c r="K160" s="49">
        <f t="shared" si="5"/>
        <v>0.5782840524</v>
      </c>
      <c r="L160" s="49">
        <f t="shared" si="6"/>
        <v>0.08822103732</v>
      </c>
      <c r="M160" s="49">
        <f t="shared" si="7"/>
        <v>0.3334949103</v>
      </c>
      <c r="N160" s="32" t="str">
        <f t="shared" si="8"/>
        <v>Jânio</v>
      </c>
      <c r="O160" s="50" t="s">
        <v>77</v>
      </c>
      <c r="P160" s="38">
        <v>495.0</v>
      </c>
      <c r="Q160" s="38">
        <v>939.0</v>
      </c>
      <c r="R160" s="38">
        <v>171.0</v>
      </c>
      <c r="S160" s="38">
        <v>565.0</v>
      </c>
      <c r="T160" s="38">
        <v>71.0</v>
      </c>
      <c r="U160" s="48">
        <f t="shared" si="9"/>
        <v>1605</v>
      </c>
      <c r="V160" s="48">
        <f t="shared" si="10"/>
        <v>2241</v>
      </c>
      <c r="W160" s="49">
        <f t="shared" si="11"/>
        <v>0.308411215</v>
      </c>
      <c r="X160" s="49">
        <f t="shared" si="12"/>
        <v>0.585046729</v>
      </c>
      <c r="Y160" s="49">
        <f t="shared" si="13"/>
        <v>0.1065420561</v>
      </c>
      <c r="Z160" s="32" t="str">
        <f t="shared" si="14"/>
        <v>Milton</v>
      </c>
      <c r="AA160" s="50" t="s">
        <v>77</v>
      </c>
      <c r="AB160" s="38">
        <v>2605.0</v>
      </c>
      <c r="AC160" s="48">
        <f t="shared" si="17"/>
        <v>364</v>
      </c>
      <c r="AD160" s="51">
        <f t="shared" si="18"/>
        <v>0.860268714</v>
      </c>
    </row>
    <row r="161">
      <c r="A161" s="23"/>
      <c r="B161" s="46" t="s">
        <v>2148</v>
      </c>
      <c r="C161" s="47"/>
      <c r="D161" s="38">
        <v>1019.0</v>
      </c>
      <c r="E161" s="38">
        <v>73.0</v>
      </c>
      <c r="F161" s="38">
        <v>760.0</v>
      </c>
      <c r="G161" s="38">
        <v>45.0</v>
      </c>
      <c r="H161" s="38">
        <v>58.0</v>
      </c>
      <c r="I161" s="48">
        <f t="shared" si="3"/>
        <v>1852</v>
      </c>
      <c r="J161" s="48">
        <f t="shared" si="4"/>
        <v>1955</v>
      </c>
      <c r="K161" s="49">
        <f t="shared" si="5"/>
        <v>0.5502159827</v>
      </c>
      <c r="L161" s="49">
        <f t="shared" si="6"/>
        <v>0.03941684665</v>
      </c>
      <c r="M161" s="49">
        <f t="shared" si="7"/>
        <v>0.4103671706</v>
      </c>
      <c r="N161" s="32" t="str">
        <f t="shared" si="8"/>
        <v>Jânio</v>
      </c>
      <c r="O161" s="50" t="s">
        <v>77</v>
      </c>
      <c r="P161" s="38">
        <v>346.0</v>
      </c>
      <c r="Q161" s="38">
        <v>865.0</v>
      </c>
      <c r="R161" s="38">
        <v>366.0</v>
      </c>
      <c r="S161" s="38">
        <v>344.0</v>
      </c>
      <c r="T161" s="38">
        <v>34.0</v>
      </c>
      <c r="U161" s="48">
        <f t="shared" si="9"/>
        <v>1577</v>
      </c>
      <c r="V161" s="48">
        <f t="shared" si="10"/>
        <v>1955</v>
      </c>
      <c r="W161" s="49">
        <f t="shared" si="11"/>
        <v>0.2194039315</v>
      </c>
      <c r="X161" s="49">
        <f t="shared" si="12"/>
        <v>0.5485098288</v>
      </c>
      <c r="Y161" s="49">
        <f t="shared" si="13"/>
        <v>0.2320862397</v>
      </c>
      <c r="Z161" s="32" t="str">
        <f t="shared" si="14"/>
        <v>Milton</v>
      </c>
      <c r="AA161" s="50" t="s">
        <v>77</v>
      </c>
      <c r="AB161" s="38">
        <v>2214.0</v>
      </c>
      <c r="AC161" s="48">
        <f t="shared" si="17"/>
        <v>259</v>
      </c>
      <c r="AD161" s="51">
        <f t="shared" si="18"/>
        <v>0.8830171635</v>
      </c>
    </row>
    <row r="162">
      <c r="A162" s="24"/>
      <c r="B162" s="46" t="s">
        <v>2149</v>
      </c>
      <c r="C162" s="47"/>
      <c r="D162" s="38">
        <v>447.0</v>
      </c>
      <c r="E162" s="38">
        <v>80.0</v>
      </c>
      <c r="F162" s="38">
        <v>368.0</v>
      </c>
      <c r="G162" s="38">
        <v>48.0</v>
      </c>
      <c r="H162" s="38">
        <v>81.0</v>
      </c>
      <c r="I162" s="48">
        <f t="shared" si="3"/>
        <v>895</v>
      </c>
      <c r="J162" s="48">
        <f t="shared" si="4"/>
        <v>1024</v>
      </c>
      <c r="K162" s="49">
        <f t="shared" si="5"/>
        <v>0.4994413408</v>
      </c>
      <c r="L162" s="49">
        <f t="shared" si="6"/>
        <v>0.08938547486</v>
      </c>
      <c r="M162" s="49">
        <f t="shared" si="7"/>
        <v>0.4111731844</v>
      </c>
      <c r="N162" s="32" t="str">
        <f t="shared" si="8"/>
        <v>Jânio</v>
      </c>
      <c r="O162" s="50" t="s">
        <v>77</v>
      </c>
      <c r="P162" s="38">
        <v>323.0</v>
      </c>
      <c r="Q162" s="38">
        <v>250.0</v>
      </c>
      <c r="R162" s="38">
        <v>143.0</v>
      </c>
      <c r="S162" s="38">
        <v>271.0</v>
      </c>
      <c r="T162" s="38">
        <v>37.0</v>
      </c>
      <c r="U162" s="48">
        <f t="shared" si="9"/>
        <v>716</v>
      </c>
      <c r="V162" s="48">
        <f t="shared" si="10"/>
        <v>1024</v>
      </c>
      <c r="W162" s="49">
        <f t="shared" si="11"/>
        <v>0.4511173184</v>
      </c>
      <c r="X162" s="49">
        <f t="shared" si="12"/>
        <v>0.3491620112</v>
      </c>
      <c r="Y162" s="49">
        <f t="shared" si="13"/>
        <v>0.1997206704</v>
      </c>
      <c r="Z162" s="32" t="str">
        <f t="shared" si="14"/>
        <v>Jango</v>
      </c>
      <c r="AA162" s="50" t="s">
        <v>77</v>
      </c>
      <c r="AB162" s="38">
        <v>1342.0</v>
      </c>
      <c r="AC162" s="48">
        <f t="shared" si="17"/>
        <v>318</v>
      </c>
      <c r="AD162" s="51">
        <f t="shared" si="18"/>
        <v>0.7630402385</v>
      </c>
    </row>
    <row r="163">
      <c r="A163" s="110" t="s">
        <v>516</v>
      </c>
      <c r="B163" s="46" t="s">
        <v>2150</v>
      </c>
      <c r="C163" s="47"/>
      <c r="D163" s="38">
        <v>2405.0</v>
      </c>
      <c r="E163" s="38">
        <v>868.0</v>
      </c>
      <c r="F163" s="38">
        <v>1591.0</v>
      </c>
      <c r="G163" s="38">
        <v>104.0</v>
      </c>
      <c r="H163" s="38">
        <v>189.0</v>
      </c>
      <c r="I163" s="48">
        <f t="shared" si="3"/>
        <v>4864</v>
      </c>
      <c r="J163" s="48">
        <f t="shared" si="4"/>
        <v>5157</v>
      </c>
      <c r="K163" s="49">
        <f t="shared" si="5"/>
        <v>0.4944490132</v>
      </c>
      <c r="L163" s="49">
        <f t="shared" si="6"/>
        <v>0.1784539474</v>
      </c>
      <c r="M163" s="49">
        <f t="shared" si="7"/>
        <v>0.3270970395</v>
      </c>
      <c r="N163" s="32" t="str">
        <f t="shared" si="8"/>
        <v>Jânio</v>
      </c>
      <c r="O163" s="50" t="s">
        <v>77</v>
      </c>
      <c r="P163" s="38">
        <v>1873.0</v>
      </c>
      <c r="Q163" s="38">
        <v>2207.0</v>
      </c>
      <c r="R163" s="38">
        <v>450.0</v>
      </c>
      <c r="S163" s="38">
        <v>530.0</v>
      </c>
      <c r="T163" s="38">
        <v>97.0</v>
      </c>
      <c r="U163" s="48">
        <f t="shared" si="9"/>
        <v>4530</v>
      </c>
      <c r="V163" s="48">
        <f t="shared" si="10"/>
        <v>5157</v>
      </c>
      <c r="W163" s="49">
        <f t="shared" si="11"/>
        <v>0.4134657837</v>
      </c>
      <c r="X163" s="49">
        <f t="shared" si="12"/>
        <v>0.487196468</v>
      </c>
      <c r="Y163" s="49">
        <f t="shared" si="13"/>
        <v>0.09933774834</v>
      </c>
      <c r="Z163" s="32" t="str">
        <f t="shared" si="14"/>
        <v>Milton</v>
      </c>
      <c r="AA163" s="50" t="s">
        <v>77</v>
      </c>
      <c r="AB163" s="38">
        <v>5886.0</v>
      </c>
      <c r="AC163" s="48">
        <f t="shared" si="17"/>
        <v>729</v>
      </c>
      <c r="AD163" s="51">
        <f t="shared" si="18"/>
        <v>0.876146789</v>
      </c>
    </row>
    <row r="164">
      <c r="A164" s="110" t="s">
        <v>518</v>
      </c>
      <c r="B164" s="46" t="s">
        <v>2151</v>
      </c>
      <c r="C164" s="47"/>
      <c r="D164" s="38">
        <v>3500.0</v>
      </c>
      <c r="E164" s="38">
        <v>732.0</v>
      </c>
      <c r="F164" s="38">
        <v>1774.0</v>
      </c>
      <c r="G164" s="38">
        <v>139.0</v>
      </c>
      <c r="H164" s="38">
        <v>321.0</v>
      </c>
      <c r="I164" s="48">
        <f t="shared" si="3"/>
        <v>6006</v>
      </c>
      <c r="J164" s="48">
        <f t="shared" si="4"/>
        <v>6466</v>
      </c>
      <c r="K164" s="49">
        <f t="shared" si="5"/>
        <v>0.5827505828</v>
      </c>
      <c r="L164" s="49">
        <f t="shared" si="6"/>
        <v>0.1218781219</v>
      </c>
      <c r="M164" s="49">
        <f t="shared" si="7"/>
        <v>0.2953712954</v>
      </c>
      <c r="N164" s="32" t="str">
        <f t="shared" si="8"/>
        <v>Jânio</v>
      </c>
      <c r="O164" s="50" t="s">
        <v>77</v>
      </c>
      <c r="P164" s="38">
        <v>2232.0</v>
      </c>
      <c r="Q164" s="38">
        <v>2766.0</v>
      </c>
      <c r="R164" s="38">
        <v>707.0</v>
      </c>
      <c r="S164" s="38">
        <v>534.0</v>
      </c>
      <c r="T164" s="38">
        <v>227.0</v>
      </c>
      <c r="U164" s="48">
        <f t="shared" si="9"/>
        <v>5705</v>
      </c>
      <c r="V164" s="48">
        <f t="shared" si="10"/>
        <v>6466</v>
      </c>
      <c r="W164" s="49">
        <f t="shared" si="11"/>
        <v>0.3912357581</v>
      </c>
      <c r="X164" s="49">
        <f t="shared" si="12"/>
        <v>0.4848378615</v>
      </c>
      <c r="Y164" s="49">
        <f t="shared" si="13"/>
        <v>0.1239263804</v>
      </c>
      <c r="Z164" s="32" t="str">
        <f t="shared" si="14"/>
        <v>Milton</v>
      </c>
      <c r="AA164" s="50" t="s">
        <v>77</v>
      </c>
      <c r="AB164" s="38">
        <v>6801.0</v>
      </c>
      <c r="AC164" s="48">
        <f t="shared" si="17"/>
        <v>335</v>
      </c>
      <c r="AD164" s="51">
        <f t="shared" si="18"/>
        <v>0.9507425379</v>
      </c>
    </row>
    <row r="165">
      <c r="A165" s="61" t="s">
        <v>522</v>
      </c>
      <c r="B165" s="46" t="s">
        <v>2152</v>
      </c>
      <c r="C165" s="47"/>
      <c r="D165" s="38">
        <v>5743.0</v>
      </c>
      <c r="E165" s="38">
        <v>1431.0</v>
      </c>
      <c r="F165" s="38">
        <v>2163.0</v>
      </c>
      <c r="G165" s="38">
        <v>205.0</v>
      </c>
      <c r="H165" s="38">
        <v>385.0</v>
      </c>
      <c r="I165" s="48">
        <f t="shared" si="3"/>
        <v>9337</v>
      </c>
      <c r="J165" s="48">
        <f t="shared" si="4"/>
        <v>9927</v>
      </c>
      <c r="K165" s="49">
        <f t="shared" si="5"/>
        <v>0.6150797901</v>
      </c>
      <c r="L165" s="49">
        <f t="shared" si="6"/>
        <v>0.1532612188</v>
      </c>
      <c r="M165" s="49">
        <f t="shared" si="7"/>
        <v>0.2316589911</v>
      </c>
      <c r="N165" s="32" t="str">
        <f t="shared" si="8"/>
        <v>Jânio</v>
      </c>
      <c r="O165" s="50" t="s">
        <v>77</v>
      </c>
      <c r="P165" s="38">
        <v>2818.0</v>
      </c>
      <c r="Q165" s="38">
        <v>5323.0</v>
      </c>
      <c r="R165" s="38">
        <v>907.0</v>
      </c>
      <c r="S165" s="38">
        <v>603.0</v>
      </c>
      <c r="T165" s="38">
        <v>276.0</v>
      </c>
      <c r="U165" s="48">
        <f t="shared" si="9"/>
        <v>9048</v>
      </c>
      <c r="V165" s="48">
        <f t="shared" si="10"/>
        <v>9927</v>
      </c>
      <c r="W165" s="49">
        <f t="shared" si="11"/>
        <v>0.3114500442</v>
      </c>
      <c r="X165" s="49">
        <f t="shared" si="12"/>
        <v>0.5883068081</v>
      </c>
      <c r="Y165" s="49">
        <f t="shared" si="13"/>
        <v>0.1002431477</v>
      </c>
      <c r="Z165" s="32" t="str">
        <f t="shared" si="14"/>
        <v>Milton</v>
      </c>
      <c r="AA165" s="50" t="s">
        <v>77</v>
      </c>
      <c r="AB165" s="38">
        <v>10684.0</v>
      </c>
      <c r="AC165" s="48">
        <f t="shared" si="17"/>
        <v>757</v>
      </c>
      <c r="AD165" s="51">
        <f t="shared" si="18"/>
        <v>0.9291463871</v>
      </c>
    </row>
    <row r="166">
      <c r="A166" s="23"/>
      <c r="B166" s="46" t="s">
        <v>2153</v>
      </c>
      <c r="C166" s="47"/>
      <c r="D166" s="38">
        <v>668.0</v>
      </c>
      <c r="E166" s="38">
        <v>67.0</v>
      </c>
      <c r="F166" s="38">
        <v>427.0</v>
      </c>
      <c r="G166" s="38">
        <v>30.0</v>
      </c>
      <c r="H166" s="38">
        <v>99.0</v>
      </c>
      <c r="I166" s="48">
        <f t="shared" si="3"/>
        <v>1162</v>
      </c>
      <c r="J166" s="48">
        <f t="shared" si="4"/>
        <v>1291</v>
      </c>
      <c r="K166" s="49">
        <f t="shared" si="5"/>
        <v>0.5748709122</v>
      </c>
      <c r="L166" s="49">
        <f t="shared" si="6"/>
        <v>0.05765920826</v>
      </c>
      <c r="M166" s="49">
        <f t="shared" si="7"/>
        <v>0.3674698795</v>
      </c>
      <c r="N166" s="32" t="str">
        <f t="shared" si="8"/>
        <v>Jânio</v>
      </c>
      <c r="O166" s="50" t="s">
        <v>77</v>
      </c>
      <c r="P166" s="38">
        <v>358.0</v>
      </c>
      <c r="Q166" s="38">
        <v>521.0</v>
      </c>
      <c r="R166" s="38">
        <v>184.0</v>
      </c>
      <c r="S166" s="38">
        <v>182.0</v>
      </c>
      <c r="T166" s="38">
        <v>46.0</v>
      </c>
      <c r="U166" s="48">
        <f t="shared" si="9"/>
        <v>1063</v>
      </c>
      <c r="V166" s="48">
        <f t="shared" si="10"/>
        <v>1291</v>
      </c>
      <c r="W166" s="49">
        <f t="shared" si="11"/>
        <v>0.3367826905</v>
      </c>
      <c r="X166" s="49">
        <f t="shared" si="12"/>
        <v>0.4901222954</v>
      </c>
      <c r="Y166" s="49">
        <f t="shared" si="13"/>
        <v>0.1730950141</v>
      </c>
      <c r="Z166" s="32" t="str">
        <f t="shared" si="14"/>
        <v>Milton</v>
      </c>
      <c r="AA166" s="50" t="s">
        <v>77</v>
      </c>
      <c r="AB166" s="38">
        <v>1391.0</v>
      </c>
      <c r="AC166" s="48">
        <f t="shared" si="17"/>
        <v>100</v>
      </c>
      <c r="AD166" s="51">
        <f t="shared" si="18"/>
        <v>0.9281092739</v>
      </c>
    </row>
    <row r="167">
      <c r="A167" s="23"/>
      <c r="B167" s="46" t="s">
        <v>2154</v>
      </c>
      <c r="C167" s="47"/>
      <c r="D167" s="38">
        <v>2887.0</v>
      </c>
      <c r="E167" s="38">
        <v>450.0</v>
      </c>
      <c r="F167" s="38">
        <v>1971.0</v>
      </c>
      <c r="G167" s="38">
        <v>139.0</v>
      </c>
      <c r="H167" s="38">
        <v>192.0</v>
      </c>
      <c r="I167" s="48">
        <f t="shared" si="3"/>
        <v>5308</v>
      </c>
      <c r="J167" s="48">
        <f t="shared" si="4"/>
        <v>5639</v>
      </c>
      <c r="K167" s="49">
        <f t="shared" si="5"/>
        <v>0.543896006</v>
      </c>
      <c r="L167" s="49">
        <f t="shared" si="6"/>
        <v>0.08477769405</v>
      </c>
      <c r="M167" s="49">
        <f t="shared" si="7"/>
        <v>0.3713262999</v>
      </c>
      <c r="N167" s="32" t="str">
        <f t="shared" si="8"/>
        <v>Jânio</v>
      </c>
      <c r="O167" s="50" t="s">
        <v>77</v>
      </c>
      <c r="P167" s="38">
        <v>1661.0</v>
      </c>
      <c r="Q167" s="38">
        <v>1671.0</v>
      </c>
      <c r="R167" s="38">
        <v>1693.0</v>
      </c>
      <c r="S167" s="38">
        <v>456.0</v>
      </c>
      <c r="T167" s="38">
        <v>158.0</v>
      </c>
      <c r="U167" s="48">
        <f t="shared" si="9"/>
        <v>5025</v>
      </c>
      <c r="V167" s="48">
        <f t="shared" si="10"/>
        <v>5639</v>
      </c>
      <c r="W167" s="49">
        <f t="shared" si="11"/>
        <v>0.3305472637</v>
      </c>
      <c r="X167" s="49">
        <f t="shared" si="12"/>
        <v>0.3325373134</v>
      </c>
      <c r="Y167" s="49">
        <f t="shared" si="13"/>
        <v>0.3369154229</v>
      </c>
      <c r="Z167" s="32" t="str">
        <f t="shared" si="14"/>
        <v>Ferrari</v>
      </c>
      <c r="AA167" s="50" t="s">
        <v>77</v>
      </c>
      <c r="AB167" s="38">
        <v>6047.0</v>
      </c>
      <c r="AC167" s="48">
        <f t="shared" si="17"/>
        <v>408</v>
      </c>
      <c r="AD167" s="51">
        <f t="shared" si="18"/>
        <v>0.9325285265</v>
      </c>
    </row>
    <row r="168">
      <c r="A168" s="24"/>
      <c r="B168" s="46" t="s">
        <v>2155</v>
      </c>
      <c r="C168" s="47"/>
      <c r="D168" s="38">
        <v>2151.0</v>
      </c>
      <c r="E168" s="38">
        <v>1061.0</v>
      </c>
      <c r="F168" s="38">
        <v>1124.0</v>
      </c>
      <c r="G168" s="38">
        <v>160.0</v>
      </c>
      <c r="H168" s="38">
        <v>206.0</v>
      </c>
      <c r="I168" s="48">
        <f t="shared" si="3"/>
        <v>4336</v>
      </c>
      <c r="J168" s="48">
        <f t="shared" si="4"/>
        <v>4702</v>
      </c>
      <c r="K168" s="49">
        <f t="shared" si="5"/>
        <v>0.4960793358</v>
      </c>
      <c r="L168" s="49">
        <f t="shared" si="6"/>
        <v>0.244695572</v>
      </c>
      <c r="M168" s="49">
        <f t="shared" si="7"/>
        <v>0.2592250923</v>
      </c>
      <c r="N168" s="32" t="str">
        <f t="shared" si="8"/>
        <v>Jânio</v>
      </c>
      <c r="O168" s="50" t="s">
        <v>77</v>
      </c>
      <c r="P168" s="38">
        <v>1632.0</v>
      </c>
      <c r="Q168" s="38">
        <v>1798.0</v>
      </c>
      <c r="R168" s="38">
        <v>721.0</v>
      </c>
      <c r="S168" s="38">
        <v>377.0</v>
      </c>
      <c r="T168" s="38">
        <v>174.0</v>
      </c>
      <c r="U168" s="48">
        <f t="shared" si="9"/>
        <v>4151</v>
      </c>
      <c r="V168" s="48">
        <f t="shared" si="10"/>
        <v>4702</v>
      </c>
      <c r="W168" s="49">
        <f t="shared" si="11"/>
        <v>0.3931582751</v>
      </c>
      <c r="X168" s="49">
        <f t="shared" si="12"/>
        <v>0.4331486389</v>
      </c>
      <c r="Y168" s="49">
        <f t="shared" si="13"/>
        <v>0.173693086</v>
      </c>
      <c r="Z168" s="32" t="str">
        <f t="shared" si="14"/>
        <v>Milton</v>
      </c>
      <c r="AA168" s="50" t="s">
        <v>77</v>
      </c>
      <c r="AB168" s="38">
        <v>5007.0</v>
      </c>
      <c r="AC168" s="48">
        <f t="shared" si="17"/>
        <v>305</v>
      </c>
      <c r="AD168" s="51">
        <f t="shared" si="18"/>
        <v>0.9390852806</v>
      </c>
    </row>
    <row r="169">
      <c r="A169" s="61" t="s">
        <v>524</v>
      </c>
      <c r="B169" s="46" t="s">
        <v>2156</v>
      </c>
      <c r="C169" s="47"/>
      <c r="D169" s="38">
        <v>2369.0</v>
      </c>
      <c r="E169" s="38">
        <v>1070.0</v>
      </c>
      <c r="F169" s="38">
        <v>1097.0</v>
      </c>
      <c r="G169" s="38">
        <v>92.0</v>
      </c>
      <c r="H169" s="38">
        <v>216.0</v>
      </c>
      <c r="I169" s="48">
        <f t="shared" si="3"/>
        <v>4536</v>
      </c>
      <c r="J169" s="48">
        <f t="shared" si="4"/>
        <v>4844</v>
      </c>
      <c r="K169" s="49">
        <f t="shared" si="5"/>
        <v>0.5222663139</v>
      </c>
      <c r="L169" s="49">
        <f t="shared" si="6"/>
        <v>0.2358906526</v>
      </c>
      <c r="M169" s="49">
        <f t="shared" si="7"/>
        <v>0.2418430335</v>
      </c>
      <c r="N169" s="32" t="str">
        <f t="shared" si="8"/>
        <v>Jânio</v>
      </c>
      <c r="O169" s="50" t="s">
        <v>77</v>
      </c>
      <c r="P169" s="38">
        <v>1487.0</v>
      </c>
      <c r="Q169" s="38">
        <v>1998.0</v>
      </c>
      <c r="R169" s="38">
        <v>767.0</v>
      </c>
      <c r="S169" s="38">
        <v>420.0</v>
      </c>
      <c r="T169" s="38">
        <v>172.0</v>
      </c>
      <c r="U169" s="48">
        <f t="shared" si="9"/>
        <v>4252</v>
      </c>
      <c r="V169" s="48">
        <f t="shared" si="10"/>
        <v>4844</v>
      </c>
      <c r="W169" s="49">
        <f t="shared" si="11"/>
        <v>0.3497177799</v>
      </c>
      <c r="X169" s="49">
        <f t="shared" si="12"/>
        <v>0.4698965193</v>
      </c>
      <c r="Y169" s="49">
        <f t="shared" si="13"/>
        <v>0.1803857008</v>
      </c>
      <c r="Z169" s="32" t="str">
        <f t="shared" si="14"/>
        <v>Milton</v>
      </c>
      <c r="AA169" s="50" t="s">
        <v>77</v>
      </c>
      <c r="AB169" s="38">
        <v>5335.0</v>
      </c>
      <c r="AC169" s="48">
        <f t="shared" si="17"/>
        <v>491</v>
      </c>
      <c r="AD169" s="51">
        <f t="shared" si="18"/>
        <v>0.9079662605</v>
      </c>
    </row>
    <row r="170">
      <c r="A170" s="23"/>
      <c r="B170" s="46" t="s">
        <v>2157</v>
      </c>
      <c r="C170" s="47"/>
      <c r="D170" s="38">
        <v>1426.0</v>
      </c>
      <c r="E170" s="38">
        <v>265.0</v>
      </c>
      <c r="F170" s="38">
        <v>936.0</v>
      </c>
      <c r="G170" s="38">
        <v>57.0</v>
      </c>
      <c r="H170" s="38">
        <v>158.0</v>
      </c>
      <c r="I170" s="48">
        <f t="shared" si="3"/>
        <v>2627</v>
      </c>
      <c r="J170" s="48">
        <f t="shared" si="4"/>
        <v>2842</v>
      </c>
      <c r="K170" s="49">
        <f t="shared" si="5"/>
        <v>0.5428245147</v>
      </c>
      <c r="L170" s="49">
        <f t="shared" si="6"/>
        <v>0.1008755234</v>
      </c>
      <c r="M170" s="49">
        <f t="shared" si="7"/>
        <v>0.3562999619</v>
      </c>
      <c r="N170" s="32" t="str">
        <f t="shared" si="8"/>
        <v>Jânio</v>
      </c>
      <c r="O170" s="50" t="s">
        <v>77</v>
      </c>
      <c r="P170" s="38">
        <v>807.0</v>
      </c>
      <c r="Q170" s="38">
        <v>1273.0</v>
      </c>
      <c r="R170" s="38">
        <v>291.0</v>
      </c>
      <c r="S170" s="38">
        <v>382.0</v>
      </c>
      <c r="T170" s="38">
        <v>89.0</v>
      </c>
      <c r="U170" s="48">
        <f t="shared" si="9"/>
        <v>2371</v>
      </c>
      <c r="V170" s="48">
        <f t="shared" si="10"/>
        <v>2842</v>
      </c>
      <c r="W170" s="49">
        <f t="shared" si="11"/>
        <v>0.3403627162</v>
      </c>
      <c r="X170" s="49">
        <f t="shared" si="12"/>
        <v>0.5369042598</v>
      </c>
      <c r="Y170" s="49">
        <f t="shared" si="13"/>
        <v>0.122733024</v>
      </c>
      <c r="Z170" s="32" t="str">
        <f t="shared" si="14"/>
        <v>Milton</v>
      </c>
      <c r="AA170" s="50" t="s">
        <v>77</v>
      </c>
      <c r="AB170" s="48">
        <v>3112.0</v>
      </c>
      <c r="AC170" s="48">
        <f t="shared" si="17"/>
        <v>270</v>
      </c>
      <c r="AD170" s="51">
        <f t="shared" si="18"/>
        <v>0.9132390746</v>
      </c>
    </row>
    <row r="171">
      <c r="A171" s="24"/>
      <c r="B171" s="46" t="s">
        <v>2158</v>
      </c>
      <c r="C171" s="47"/>
      <c r="D171" s="38">
        <v>1507.0</v>
      </c>
      <c r="E171" s="38">
        <v>322.0</v>
      </c>
      <c r="F171" s="38">
        <v>541.0</v>
      </c>
      <c r="G171" s="38">
        <v>62.0</v>
      </c>
      <c r="H171" s="38">
        <v>198.0</v>
      </c>
      <c r="I171" s="48">
        <f t="shared" si="3"/>
        <v>2370</v>
      </c>
      <c r="J171" s="48">
        <f t="shared" si="4"/>
        <v>2630</v>
      </c>
      <c r="K171" s="49">
        <f t="shared" si="5"/>
        <v>0.6358649789</v>
      </c>
      <c r="L171" s="49">
        <f t="shared" si="6"/>
        <v>0.1358649789</v>
      </c>
      <c r="M171" s="49">
        <f t="shared" si="7"/>
        <v>0.2282700422</v>
      </c>
      <c r="N171" s="32" t="str">
        <f t="shared" si="8"/>
        <v>Jânio</v>
      </c>
      <c r="O171" s="50" t="s">
        <v>77</v>
      </c>
      <c r="P171" s="38">
        <v>471.0</v>
      </c>
      <c r="Q171" s="38">
        <v>838.0</v>
      </c>
      <c r="R171" s="38">
        <v>867.0</v>
      </c>
      <c r="S171" s="38">
        <v>318.0</v>
      </c>
      <c r="T171" s="38">
        <v>136.0</v>
      </c>
      <c r="U171" s="48">
        <f t="shared" si="9"/>
        <v>2176</v>
      </c>
      <c r="V171" s="48">
        <f t="shared" si="10"/>
        <v>2630</v>
      </c>
      <c r="W171" s="49">
        <f t="shared" si="11"/>
        <v>0.2164522059</v>
      </c>
      <c r="X171" s="49">
        <f t="shared" si="12"/>
        <v>0.3851102941</v>
      </c>
      <c r="Y171" s="49">
        <f t="shared" si="13"/>
        <v>0.3984375</v>
      </c>
      <c r="Z171" s="32" t="str">
        <f t="shared" si="14"/>
        <v>Ferrari</v>
      </c>
      <c r="AA171" s="50" t="s">
        <v>77</v>
      </c>
      <c r="AB171" s="48">
        <v>3030.0</v>
      </c>
      <c r="AC171" s="48">
        <f t="shared" si="17"/>
        <v>400</v>
      </c>
      <c r="AD171" s="51">
        <f t="shared" si="18"/>
        <v>0.8679867987</v>
      </c>
    </row>
    <row r="172">
      <c r="A172" s="61" t="s">
        <v>526</v>
      </c>
      <c r="B172" s="46" t="s">
        <v>2159</v>
      </c>
      <c r="C172" s="47"/>
      <c r="D172" s="38">
        <v>4619.0</v>
      </c>
      <c r="E172" s="38">
        <v>889.0</v>
      </c>
      <c r="F172" s="38">
        <v>2442.0</v>
      </c>
      <c r="G172" s="38">
        <v>144.0</v>
      </c>
      <c r="H172" s="38">
        <v>261.0</v>
      </c>
      <c r="I172" s="48">
        <f t="shared" si="3"/>
        <v>7950</v>
      </c>
      <c r="J172" s="48">
        <f t="shared" si="4"/>
        <v>8355</v>
      </c>
      <c r="K172" s="49">
        <f t="shared" si="5"/>
        <v>0.5810062893</v>
      </c>
      <c r="L172" s="49">
        <f t="shared" si="6"/>
        <v>0.1118238994</v>
      </c>
      <c r="M172" s="49">
        <f t="shared" si="7"/>
        <v>0.3071698113</v>
      </c>
      <c r="N172" s="32" t="str">
        <f t="shared" si="8"/>
        <v>Jânio</v>
      </c>
      <c r="O172" s="50" t="s">
        <v>77</v>
      </c>
      <c r="P172" s="38">
        <v>2181.0</v>
      </c>
      <c r="Q172" s="38">
        <v>3488.0</v>
      </c>
      <c r="R172" s="38">
        <v>1795.0</v>
      </c>
      <c r="S172" s="38">
        <v>729.0</v>
      </c>
      <c r="T172" s="38">
        <v>162.0</v>
      </c>
      <c r="U172" s="48">
        <f t="shared" si="9"/>
        <v>7464</v>
      </c>
      <c r="V172" s="48">
        <f t="shared" si="10"/>
        <v>8355</v>
      </c>
      <c r="W172" s="49">
        <f t="shared" si="11"/>
        <v>0.2922025723</v>
      </c>
      <c r="X172" s="49">
        <f t="shared" si="12"/>
        <v>0.4673097535</v>
      </c>
      <c r="Y172" s="49">
        <f t="shared" si="13"/>
        <v>0.2404876742</v>
      </c>
      <c r="Z172" s="32" t="str">
        <f t="shared" si="14"/>
        <v>Milton</v>
      </c>
      <c r="AA172" s="50" t="s">
        <v>77</v>
      </c>
      <c r="AB172" s="48">
        <v>9285.0</v>
      </c>
      <c r="AC172" s="48">
        <f t="shared" si="17"/>
        <v>930</v>
      </c>
      <c r="AD172" s="51">
        <f t="shared" si="18"/>
        <v>0.8998384491</v>
      </c>
    </row>
    <row r="173">
      <c r="A173" s="23"/>
      <c r="B173" s="46" t="s">
        <v>2160</v>
      </c>
      <c r="C173" s="47"/>
      <c r="D173" s="38">
        <v>862.0</v>
      </c>
      <c r="E173" s="38">
        <v>109.0</v>
      </c>
      <c r="F173" s="38">
        <v>620.0</v>
      </c>
      <c r="G173" s="38">
        <v>41.0</v>
      </c>
      <c r="H173" s="38">
        <v>77.0</v>
      </c>
      <c r="I173" s="48">
        <f t="shared" si="3"/>
        <v>1591</v>
      </c>
      <c r="J173" s="48">
        <f t="shared" si="4"/>
        <v>1709</v>
      </c>
      <c r="K173" s="49">
        <f t="shared" si="5"/>
        <v>0.5417976116</v>
      </c>
      <c r="L173" s="49">
        <f t="shared" si="6"/>
        <v>0.06851037084</v>
      </c>
      <c r="M173" s="49">
        <f t="shared" si="7"/>
        <v>0.3896920176</v>
      </c>
      <c r="N173" s="32" t="str">
        <f t="shared" si="8"/>
        <v>Jânio</v>
      </c>
      <c r="O173" s="50" t="s">
        <v>77</v>
      </c>
      <c r="P173" s="38">
        <v>392.0</v>
      </c>
      <c r="Q173" s="38">
        <v>660.0</v>
      </c>
      <c r="R173" s="38">
        <v>252.0</v>
      </c>
      <c r="S173" s="38">
        <v>356.0</v>
      </c>
      <c r="T173" s="38">
        <v>49.0</v>
      </c>
      <c r="U173" s="48">
        <f t="shared" si="9"/>
        <v>1304</v>
      </c>
      <c r="V173" s="48">
        <f t="shared" si="10"/>
        <v>1709</v>
      </c>
      <c r="W173" s="49">
        <f t="shared" si="11"/>
        <v>0.3006134969</v>
      </c>
      <c r="X173" s="49">
        <f t="shared" si="12"/>
        <v>0.5061349693</v>
      </c>
      <c r="Y173" s="49">
        <f t="shared" si="13"/>
        <v>0.1932515337</v>
      </c>
      <c r="Z173" s="32" t="str">
        <f t="shared" si="14"/>
        <v>Milton</v>
      </c>
      <c r="AA173" s="50" t="s">
        <v>77</v>
      </c>
      <c r="AB173" s="48">
        <v>2077.0</v>
      </c>
      <c r="AC173" s="48">
        <f t="shared" si="17"/>
        <v>368</v>
      </c>
      <c r="AD173" s="51">
        <f t="shared" si="18"/>
        <v>0.822821377</v>
      </c>
    </row>
    <row r="174">
      <c r="A174" s="23"/>
      <c r="B174" s="46" t="s">
        <v>2161</v>
      </c>
      <c r="C174" s="47"/>
      <c r="D174" s="38">
        <v>318.0</v>
      </c>
      <c r="E174" s="38">
        <v>135.0</v>
      </c>
      <c r="F174" s="38">
        <v>179.0</v>
      </c>
      <c r="G174" s="38">
        <v>32.0</v>
      </c>
      <c r="H174" s="38">
        <v>30.0</v>
      </c>
      <c r="I174" s="48">
        <f t="shared" si="3"/>
        <v>632</v>
      </c>
      <c r="J174" s="48">
        <f t="shared" si="4"/>
        <v>694</v>
      </c>
      <c r="K174" s="49">
        <f t="shared" si="5"/>
        <v>0.503164557</v>
      </c>
      <c r="L174" s="49">
        <f t="shared" si="6"/>
        <v>0.2136075949</v>
      </c>
      <c r="M174" s="49">
        <f t="shared" si="7"/>
        <v>0.2832278481</v>
      </c>
      <c r="N174" s="32" t="str">
        <f t="shared" si="8"/>
        <v>Jânio</v>
      </c>
      <c r="O174" s="50" t="s">
        <v>77</v>
      </c>
      <c r="P174" s="38">
        <v>215.0</v>
      </c>
      <c r="Q174" s="38">
        <v>225.0</v>
      </c>
      <c r="R174" s="38">
        <v>132.0</v>
      </c>
      <c r="S174" s="38">
        <v>106.0</v>
      </c>
      <c r="T174" s="38">
        <v>16.0</v>
      </c>
      <c r="U174" s="48">
        <f t="shared" si="9"/>
        <v>572</v>
      </c>
      <c r="V174" s="48">
        <f t="shared" si="10"/>
        <v>694</v>
      </c>
      <c r="W174" s="49">
        <f t="shared" si="11"/>
        <v>0.3758741259</v>
      </c>
      <c r="X174" s="49">
        <f t="shared" si="12"/>
        <v>0.3933566434</v>
      </c>
      <c r="Y174" s="49">
        <f t="shared" si="13"/>
        <v>0.2307692308</v>
      </c>
      <c r="Z174" s="32" t="str">
        <f t="shared" si="14"/>
        <v>Milton</v>
      </c>
      <c r="AA174" s="50" t="s">
        <v>77</v>
      </c>
      <c r="AB174" s="48">
        <v>768.0</v>
      </c>
      <c r="AC174" s="48">
        <f t="shared" si="17"/>
        <v>74</v>
      </c>
      <c r="AD174" s="51">
        <f t="shared" si="18"/>
        <v>0.9036458333</v>
      </c>
    </row>
    <row r="175">
      <c r="A175" s="23"/>
      <c r="B175" s="46" t="s">
        <v>2162</v>
      </c>
      <c r="C175" s="47"/>
      <c r="D175" s="38">
        <v>366.0</v>
      </c>
      <c r="E175" s="38">
        <v>45.0</v>
      </c>
      <c r="F175" s="38">
        <v>206.0</v>
      </c>
      <c r="G175" s="38">
        <v>12.0</v>
      </c>
      <c r="H175" s="38">
        <v>35.0</v>
      </c>
      <c r="I175" s="48">
        <f t="shared" si="3"/>
        <v>617</v>
      </c>
      <c r="J175" s="48">
        <f t="shared" si="4"/>
        <v>664</v>
      </c>
      <c r="K175" s="49">
        <f t="shared" si="5"/>
        <v>0.5931928687</v>
      </c>
      <c r="L175" s="49">
        <f t="shared" si="6"/>
        <v>0.07293354943</v>
      </c>
      <c r="M175" s="49">
        <f t="shared" si="7"/>
        <v>0.3338735818</v>
      </c>
      <c r="N175" s="32" t="str">
        <f t="shared" si="8"/>
        <v>Jânio</v>
      </c>
      <c r="O175" s="50" t="s">
        <v>77</v>
      </c>
      <c r="P175" s="38">
        <v>160.0</v>
      </c>
      <c r="Q175" s="38">
        <v>264.0</v>
      </c>
      <c r="R175" s="38">
        <v>95.0</v>
      </c>
      <c r="S175" s="38">
        <v>129.0</v>
      </c>
      <c r="T175" s="38">
        <v>16.0</v>
      </c>
      <c r="U175" s="48">
        <f t="shared" si="9"/>
        <v>519</v>
      </c>
      <c r="V175" s="48">
        <f t="shared" si="10"/>
        <v>664</v>
      </c>
      <c r="W175" s="49">
        <f t="shared" si="11"/>
        <v>0.3082851638</v>
      </c>
      <c r="X175" s="49">
        <f t="shared" si="12"/>
        <v>0.5086705202</v>
      </c>
      <c r="Y175" s="49">
        <f t="shared" si="13"/>
        <v>0.183044316</v>
      </c>
      <c r="Z175" s="32" t="str">
        <f t="shared" si="14"/>
        <v>Milton</v>
      </c>
      <c r="AA175" s="50" t="s">
        <v>77</v>
      </c>
      <c r="AB175" s="48">
        <v>811.0</v>
      </c>
      <c r="AC175" s="48">
        <f t="shared" si="17"/>
        <v>147</v>
      </c>
      <c r="AD175" s="51">
        <f t="shared" si="18"/>
        <v>0.8187422935</v>
      </c>
    </row>
    <row r="176">
      <c r="A176" s="24"/>
      <c r="B176" s="46" t="s">
        <v>2163</v>
      </c>
      <c r="C176" s="47"/>
      <c r="D176" s="38">
        <v>550.0</v>
      </c>
      <c r="E176" s="38">
        <v>107.0</v>
      </c>
      <c r="F176" s="38">
        <v>257.0</v>
      </c>
      <c r="G176" s="38">
        <v>38.0</v>
      </c>
      <c r="H176" s="38">
        <v>34.0</v>
      </c>
      <c r="I176" s="48">
        <f t="shared" si="3"/>
        <v>914</v>
      </c>
      <c r="J176" s="48">
        <f t="shared" si="4"/>
        <v>986</v>
      </c>
      <c r="K176" s="49">
        <f t="shared" si="5"/>
        <v>0.601750547</v>
      </c>
      <c r="L176" s="49">
        <f t="shared" si="6"/>
        <v>0.1170678337</v>
      </c>
      <c r="M176" s="49">
        <f t="shared" si="7"/>
        <v>0.2811816193</v>
      </c>
      <c r="N176" s="32" t="str">
        <f t="shared" si="8"/>
        <v>Jânio</v>
      </c>
      <c r="O176" s="50" t="s">
        <v>77</v>
      </c>
      <c r="P176" s="38">
        <v>258.0</v>
      </c>
      <c r="Q176" s="38">
        <v>460.0</v>
      </c>
      <c r="R176" s="38">
        <v>122.0</v>
      </c>
      <c r="S176" s="38">
        <v>123.0</v>
      </c>
      <c r="T176" s="38">
        <v>23.0</v>
      </c>
      <c r="U176" s="48">
        <f t="shared" si="9"/>
        <v>840</v>
      </c>
      <c r="V176" s="48">
        <f t="shared" si="10"/>
        <v>986</v>
      </c>
      <c r="W176" s="49">
        <f t="shared" si="11"/>
        <v>0.3071428571</v>
      </c>
      <c r="X176" s="49">
        <f t="shared" si="12"/>
        <v>0.5476190476</v>
      </c>
      <c r="Y176" s="49">
        <f t="shared" si="13"/>
        <v>0.1452380952</v>
      </c>
      <c r="Z176" s="32" t="str">
        <f t="shared" si="14"/>
        <v>Milton</v>
      </c>
      <c r="AA176" s="50" t="s">
        <v>77</v>
      </c>
      <c r="AB176" s="48">
        <v>1184.0</v>
      </c>
      <c r="AC176" s="48">
        <f t="shared" si="17"/>
        <v>198</v>
      </c>
      <c r="AD176" s="51">
        <f t="shared" si="18"/>
        <v>0.8327702703</v>
      </c>
    </row>
    <row r="177">
      <c r="A177" s="110" t="s">
        <v>529</v>
      </c>
      <c r="B177" s="46" t="s">
        <v>2164</v>
      </c>
      <c r="C177" s="47"/>
      <c r="D177" s="38">
        <v>3749.0</v>
      </c>
      <c r="E177" s="38">
        <v>1281.0</v>
      </c>
      <c r="F177" s="38">
        <v>3667.0</v>
      </c>
      <c r="G177" s="38">
        <v>139.0</v>
      </c>
      <c r="H177" s="38">
        <v>244.0</v>
      </c>
      <c r="I177" s="48">
        <f t="shared" si="3"/>
        <v>8697</v>
      </c>
      <c r="J177" s="48">
        <f t="shared" si="4"/>
        <v>9080</v>
      </c>
      <c r="K177" s="49">
        <f t="shared" si="5"/>
        <v>0.4310681844</v>
      </c>
      <c r="L177" s="49">
        <f t="shared" si="6"/>
        <v>0.1472921697</v>
      </c>
      <c r="M177" s="49">
        <f t="shared" si="7"/>
        <v>0.4216396459</v>
      </c>
      <c r="N177" s="32" t="str">
        <f t="shared" si="8"/>
        <v>Jânio</v>
      </c>
      <c r="O177" s="50" t="s">
        <v>77</v>
      </c>
      <c r="P177" s="38">
        <v>3518.0</v>
      </c>
      <c r="Q177" s="38">
        <v>3327.0</v>
      </c>
      <c r="R177" s="38">
        <v>1253.0</v>
      </c>
      <c r="S177" s="38">
        <v>831.0</v>
      </c>
      <c r="T177" s="38">
        <v>151.0</v>
      </c>
      <c r="U177" s="48">
        <f t="shared" si="9"/>
        <v>8098</v>
      </c>
      <c r="V177" s="48">
        <f t="shared" si="10"/>
        <v>9080</v>
      </c>
      <c r="W177" s="49">
        <f t="shared" si="11"/>
        <v>0.4344282539</v>
      </c>
      <c r="X177" s="49">
        <f t="shared" si="12"/>
        <v>0.4108421833</v>
      </c>
      <c r="Y177" s="49">
        <f t="shared" si="13"/>
        <v>0.1547295629</v>
      </c>
      <c r="Z177" s="32" t="str">
        <f t="shared" si="14"/>
        <v>Jango</v>
      </c>
      <c r="AA177" s="50" t="s">
        <v>77</v>
      </c>
      <c r="AB177" s="48">
        <v>9901.0</v>
      </c>
      <c r="AC177" s="48">
        <f t="shared" si="17"/>
        <v>821</v>
      </c>
      <c r="AD177" s="51">
        <f t="shared" si="18"/>
        <v>0.9170790829</v>
      </c>
    </row>
    <row r="178">
      <c r="A178" s="61" t="s">
        <v>531</v>
      </c>
      <c r="B178" s="46" t="s">
        <v>2165</v>
      </c>
      <c r="C178" s="47"/>
      <c r="D178" s="38">
        <v>5157.0</v>
      </c>
      <c r="E178" s="38">
        <v>1686.0</v>
      </c>
      <c r="F178" s="38">
        <v>4928.0</v>
      </c>
      <c r="G178" s="38">
        <v>238.0</v>
      </c>
      <c r="H178" s="38">
        <v>328.0</v>
      </c>
      <c r="I178" s="48">
        <f t="shared" si="3"/>
        <v>11771</v>
      </c>
      <c r="J178" s="48">
        <f t="shared" si="4"/>
        <v>12337</v>
      </c>
      <c r="K178" s="49">
        <f t="shared" si="5"/>
        <v>0.4381106108</v>
      </c>
      <c r="L178" s="49">
        <f t="shared" si="6"/>
        <v>0.1432333701</v>
      </c>
      <c r="M178" s="49">
        <f t="shared" si="7"/>
        <v>0.418656019</v>
      </c>
      <c r="N178" s="32" t="str">
        <f t="shared" si="8"/>
        <v>Jânio</v>
      </c>
      <c r="O178" s="50" t="s">
        <v>77</v>
      </c>
      <c r="P178" s="38">
        <v>4551.0</v>
      </c>
      <c r="Q178" s="38">
        <v>4894.0</v>
      </c>
      <c r="R178" s="38">
        <v>1823.0</v>
      </c>
      <c r="S178" s="38">
        <v>886.0</v>
      </c>
      <c r="T178" s="38">
        <v>183.0</v>
      </c>
      <c r="U178" s="48">
        <f t="shared" si="9"/>
        <v>11268</v>
      </c>
      <c r="V178" s="48">
        <f t="shared" si="10"/>
        <v>12337</v>
      </c>
      <c r="W178" s="49">
        <f t="shared" si="11"/>
        <v>0.403887114</v>
      </c>
      <c r="X178" s="49">
        <f t="shared" si="12"/>
        <v>0.4343272985</v>
      </c>
      <c r="Y178" s="49">
        <f t="shared" si="13"/>
        <v>0.1617855875</v>
      </c>
      <c r="Z178" s="32" t="str">
        <f t="shared" si="14"/>
        <v>Milton</v>
      </c>
      <c r="AA178" s="50" t="s">
        <v>77</v>
      </c>
      <c r="AB178" s="48">
        <v>13654.0</v>
      </c>
      <c r="AC178" s="48">
        <f t="shared" si="17"/>
        <v>1317</v>
      </c>
      <c r="AD178" s="51">
        <f t="shared" si="18"/>
        <v>0.9035447488</v>
      </c>
    </row>
    <row r="179">
      <c r="A179" s="23"/>
      <c r="B179" s="46" t="s">
        <v>2166</v>
      </c>
      <c r="C179" s="47"/>
      <c r="D179" s="55">
        <v>1795.0</v>
      </c>
      <c r="E179" s="38">
        <v>413.0</v>
      </c>
      <c r="F179" s="38">
        <v>741.0</v>
      </c>
      <c r="G179" s="38">
        <v>120.0</v>
      </c>
      <c r="H179" s="38">
        <v>129.0</v>
      </c>
      <c r="I179" s="48">
        <f t="shared" si="3"/>
        <v>2949</v>
      </c>
      <c r="J179" s="114">
        <f t="shared" si="4"/>
        <v>3198</v>
      </c>
      <c r="K179" s="49">
        <f t="shared" si="5"/>
        <v>0.6086809088</v>
      </c>
      <c r="L179" s="49">
        <f t="shared" si="6"/>
        <v>0.1400474737</v>
      </c>
      <c r="M179" s="49">
        <f t="shared" si="7"/>
        <v>0.2512716175</v>
      </c>
      <c r="N179" s="32" t="str">
        <f t="shared" si="8"/>
        <v>Jânio</v>
      </c>
      <c r="O179" s="50" t="s">
        <v>77</v>
      </c>
      <c r="P179" s="38">
        <v>778.0</v>
      </c>
      <c r="Q179" s="38">
        <v>1163.0</v>
      </c>
      <c r="R179" s="38">
        <v>626.0</v>
      </c>
      <c r="S179" s="38">
        <v>548.0</v>
      </c>
      <c r="T179" s="38">
        <v>83.0</v>
      </c>
      <c r="U179" s="48">
        <f t="shared" si="9"/>
        <v>2567</v>
      </c>
      <c r="V179" s="48">
        <f t="shared" si="10"/>
        <v>3198</v>
      </c>
      <c r="W179" s="49">
        <f t="shared" si="11"/>
        <v>0.3030775224</v>
      </c>
      <c r="X179" s="49">
        <f t="shared" si="12"/>
        <v>0.4530580444</v>
      </c>
      <c r="Y179" s="49">
        <f t="shared" si="13"/>
        <v>0.2438644332</v>
      </c>
      <c r="Z179" s="32" t="str">
        <f t="shared" si="14"/>
        <v>Milton</v>
      </c>
      <c r="AA179" s="50" t="s">
        <v>77</v>
      </c>
      <c r="AB179" s="48">
        <v>3618.0</v>
      </c>
      <c r="AC179" s="48">
        <f t="shared" si="17"/>
        <v>420</v>
      </c>
      <c r="AD179" s="51">
        <f t="shared" si="18"/>
        <v>0.8839137645</v>
      </c>
    </row>
    <row r="180">
      <c r="A180" s="23"/>
      <c r="B180" s="46" t="s">
        <v>2167</v>
      </c>
      <c r="C180" s="47"/>
      <c r="D180" s="38">
        <v>871.0</v>
      </c>
      <c r="E180" s="38">
        <v>160.0</v>
      </c>
      <c r="F180" s="38">
        <v>743.0</v>
      </c>
      <c r="G180" s="38">
        <v>66.0</v>
      </c>
      <c r="H180" s="38">
        <v>60.0</v>
      </c>
      <c r="I180" s="48">
        <f t="shared" si="3"/>
        <v>1774</v>
      </c>
      <c r="J180" s="48">
        <f t="shared" si="4"/>
        <v>1900</v>
      </c>
      <c r="K180" s="49">
        <f t="shared" si="5"/>
        <v>0.4909808343</v>
      </c>
      <c r="L180" s="49">
        <f t="shared" si="6"/>
        <v>0.09019165727</v>
      </c>
      <c r="M180" s="49">
        <f t="shared" si="7"/>
        <v>0.4188275085</v>
      </c>
      <c r="N180" s="32" t="str">
        <f t="shared" si="8"/>
        <v>Jânio</v>
      </c>
      <c r="O180" s="50" t="s">
        <v>77</v>
      </c>
      <c r="P180" s="38">
        <v>660.0</v>
      </c>
      <c r="Q180" s="38">
        <v>680.0</v>
      </c>
      <c r="R180" s="38">
        <v>280.0</v>
      </c>
      <c r="S180" s="38">
        <v>235.0</v>
      </c>
      <c r="T180" s="38">
        <v>45.0</v>
      </c>
      <c r="U180" s="48">
        <f t="shared" si="9"/>
        <v>1620</v>
      </c>
      <c r="V180" s="48">
        <f t="shared" si="10"/>
        <v>1900</v>
      </c>
      <c r="W180" s="49">
        <f t="shared" si="11"/>
        <v>0.4074074074</v>
      </c>
      <c r="X180" s="49">
        <f t="shared" si="12"/>
        <v>0.4197530864</v>
      </c>
      <c r="Y180" s="49">
        <f t="shared" si="13"/>
        <v>0.1728395062</v>
      </c>
      <c r="Z180" s="32" t="str">
        <f t="shared" si="14"/>
        <v>Milton</v>
      </c>
      <c r="AA180" s="50" t="s">
        <v>77</v>
      </c>
      <c r="AB180" s="48">
        <v>2096.0</v>
      </c>
      <c r="AC180" s="48">
        <f t="shared" si="17"/>
        <v>196</v>
      </c>
      <c r="AD180" s="51">
        <f t="shared" si="18"/>
        <v>0.9064885496</v>
      </c>
    </row>
    <row r="181">
      <c r="A181" s="23"/>
      <c r="B181" s="46" t="s">
        <v>2168</v>
      </c>
      <c r="C181" s="47"/>
      <c r="D181" s="38">
        <v>241.0</v>
      </c>
      <c r="E181" s="38">
        <v>58.0</v>
      </c>
      <c r="F181" s="38">
        <v>216.0</v>
      </c>
      <c r="G181" s="38">
        <v>36.0</v>
      </c>
      <c r="H181" s="38">
        <v>32.0</v>
      </c>
      <c r="I181" s="48">
        <f t="shared" si="3"/>
        <v>515</v>
      </c>
      <c r="J181" s="48">
        <f t="shared" si="4"/>
        <v>583</v>
      </c>
      <c r="K181" s="49">
        <f t="shared" si="5"/>
        <v>0.467961165</v>
      </c>
      <c r="L181" s="49">
        <f t="shared" si="6"/>
        <v>0.1126213592</v>
      </c>
      <c r="M181" s="49">
        <f t="shared" si="7"/>
        <v>0.4194174757</v>
      </c>
      <c r="N181" s="32" t="str">
        <f t="shared" si="8"/>
        <v>Jânio</v>
      </c>
      <c r="O181" s="50" t="s">
        <v>77</v>
      </c>
      <c r="P181" s="38">
        <v>132.0</v>
      </c>
      <c r="Q181" s="38">
        <v>131.0</v>
      </c>
      <c r="R181" s="38">
        <v>107.0</v>
      </c>
      <c r="S181" s="38">
        <v>190.0</v>
      </c>
      <c r="T181" s="38">
        <v>23.0</v>
      </c>
      <c r="U181" s="48">
        <f t="shared" si="9"/>
        <v>370</v>
      </c>
      <c r="V181" s="48">
        <f t="shared" si="10"/>
        <v>583</v>
      </c>
      <c r="W181" s="49">
        <f t="shared" si="11"/>
        <v>0.3567567568</v>
      </c>
      <c r="X181" s="49">
        <f t="shared" si="12"/>
        <v>0.3540540541</v>
      </c>
      <c r="Y181" s="49">
        <f t="shared" si="13"/>
        <v>0.2891891892</v>
      </c>
      <c r="Z181" s="32" t="str">
        <f t="shared" si="14"/>
        <v>Jango</v>
      </c>
      <c r="AA181" s="50" t="s">
        <v>77</v>
      </c>
      <c r="AB181" s="48">
        <v>699.0</v>
      </c>
      <c r="AC181" s="48">
        <f t="shared" si="17"/>
        <v>116</v>
      </c>
      <c r="AD181" s="51">
        <f t="shared" si="18"/>
        <v>0.8340486409</v>
      </c>
    </row>
    <row r="182">
      <c r="A182" s="23"/>
      <c r="B182" s="46" t="s">
        <v>2169</v>
      </c>
      <c r="C182" s="47"/>
      <c r="D182" s="38">
        <v>704.0</v>
      </c>
      <c r="E182" s="38">
        <v>100.0</v>
      </c>
      <c r="F182" s="38">
        <v>596.0</v>
      </c>
      <c r="G182" s="38">
        <v>60.0</v>
      </c>
      <c r="H182" s="38">
        <v>65.0</v>
      </c>
      <c r="I182" s="48">
        <f t="shared" si="3"/>
        <v>1400</v>
      </c>
      <c r="J182" s="48">
        <f t="shared" si="4"/>
        <v>1525</v>
      </c>
      <c r="K182" s="49">
        <f t="shared" si="5"/>
        <v>0.5028571429</v>
      </c>
      <c r="L182" s="49">
        <f t="shared" si="6"/>
        <v>0.07142857143</v>
      </c>
      <c r="M182" s="49">
        <f t="shared" si="7"/>
        <v>0.4257142857</v>
      </c>
      <c r="N182" s="32" t="str">
        <f t="shared" si="8"/>
        <v>Jânio</v>
      </c>
      <c r="O182" s="50" t="s">
        <v>77</v>
      </c>
      <c r="P182" s="38">
        <v>376.0</v>
      </c>
      <c r="Q182" s="38">
        <v>423.0</v>
      </c>
      <c r="R182" s="38">
        <v>354.0</v>
      </c>
      <c r="S182" s="38">
        <v>339.0</v>
      </c>
      <c r="T182" s="38">
        <v>33.0</v>
      </c>
      <c r="U182" s="48">
        <f t="shared" si="9"/>
        <v>1153</v>
      </c>
      <c r="V182" s="48">
        <f t="shared" si="10"/>
        <v>1525</v>
      </c>
      <c r="W182" s="49">
        <f t="shared" si="11"/>
        <v>0.3261058109</v>
      </c>
      <c r="X182" s="49">
        <f t="shared" si="12"/>
        <v>0.3668690373</v>
      </c>
      <c r="Y182" s="49">
        <f t="shared" si="13"/>
        <v>0.3070251518</v>
      </c>
      <c r="Z182" s="32" t="str">
        <f t="shared" si="14"/>
        <v>Milton</v>
      </c>
      <c r="AA182" s="50" t="s">
        <v>77</v>
      </c>
      <c r="AB182" s="48">
        <v>1724.0</v>
      </c>
      <c r="AC182" s="48">
        <f t="shared" si="17"/>
        <v>199</v>
      </c>
      <c r="AD182" s="51">
        <f t="shared" si="18"/>
        <v>0.8845707657</v>
      </c>
    </row>
    <row r="183">
      <c r="A183" s="24"/>
      <c r="B183" s="46" t="s">
        <v>2170</v>
      </c>
      <c r="C183" s="47"/>
      <c r="D183" s="38">
        <v>775.0</v>
      </c>
      <c r="E183" s="38">
        <v>213.0</v>
      </c>
      <c r="F183" s="38">
        <v>825.0</v>
      </c>
      <c r="G183" s="38">
        <v>38.0</v>
      </c>
      <c r="H183" s="38">
        <v>60.0</v>
      </c>
      <c r="I183" s="48">
        <f t="shared" si="3"/>
        <v>1813</v>
      </c>
      <c r="J183" s="48">
        <f t="shared" si="4"/>
        <v>1911</v>
      </c>
      <c r="K183" s="49">
        <f t="shared" si="5"/>
        <v>0.4274682846</v>
      </c>
      <c r="L183" s="49">
        <f t="shared" si="6"/>
        <v>0.1174848318</v>
      </c>
      <c r="M183" s="49">
        <f t="shared" si="7"/>
        <v>0.4550468836</v>
      </c>
      <c r="N183" s="32" t="str">
        <f t="shared" si="8"/>
        <v>Adhemar</v>
      </c>
      <c r="O183" s="50" t="s">
        <v>77</v>
      </c>
      <c r="P183" s="38">
        <v>689.0</v>
      </c>
      <c r="Q183" s="38">
        <v>754.0</v>
      </c>
      <c r="R183" s="38">
        <v>198.0</v>
      </c>
      <c r="S183" s="38">
        <v>240.0</v>
      </c>
      <c r="T183" s="38">
        <v>30.0</v>
      </c>
      <c r="U183" s="48">
        <f t="shared" si="9"/>
        <v>1641</v>
      </c>
      <c r="V183" s="48">
        <f t="shared" si="10"/>
        <v>1911</v>
      </c>
      <c r="W183" s="49">
        <f t="shared" si="11"/>
        <v>0.4198659354</v>
      </c>
      <c r="X183" s="49">
        <f t="shared" si="12"/>
        <v>0.4594759293</v>
      </c>
      <c r="Y183" s="49">
        <f t="shared" si="13"/>
        <v>0.1206581353</v>
      </c>
      <c r="Z183" s="32" t="str">
        <f t="shared" si="14"/>
        <v>Milton</v>
      </c>
      <c r="AA183" s="50" t="s">
        <v>77</v>
      </c>
      <c r="AB183" s="38">
        <v>2171.0</v>
      </c>
      <c r="AC183" s="48">
        <f t="shared" si="17"/>
        <v>260</v>
      </c>
      <c r="AD183" s="51">
        <f t="shared" si="18"/>
        <v>0.880239521</v>
      </c>
    </row>
    <row r="184">
      <c r="A184" s="110" t="s">
        <v>533</v>
      </c>
      <c r="B184" s="46" t="s">
        <v>2171</v>
      </c>
      <c r="C184" s="47"/>
      <c r="D184" s="38">
        <v>1823.0</v>
      </c>
      <c r="E184" s="38">
        <v>203.0</v>
      </c>
      <c r="F184" s="38">
        <v>1243.0</v>
      </c>
      <c r="G184" s="38">
        <v>70.0</v>
      </c>
      <c r="H184" s="38">
        <v>123.0</v>
      </c>
      <c r="I184" s="48">
        <f t="shared" si="3"/>
        <v>3269</v>
      </c>
      <c r="J184" s="48">
        <f t="shared" si="4"/>
        <v>3462</v>
      </c>
      <c r="K184" s="49">
        <f t="shared" si="5"/>
        <v>0.5576628939</v>
      </c>
      <c r="L184" s="49">
        <f t="shared" si="6"/>
        <v>0.06209850107</v>
      </c>
      <c r="M184" s="49">
        <f t="shared" si="7"/>
        <v>0.3802386051</v>
      </c>
      <c r="N184" s="32" t="str">
        <f t="shared" si="8"/>
        <v>Jânio</v>
      </c>
      <c r="O184" s="50" t="s">
        <v>77</v>
      </c>
      <c r="P184" s="38">
        <v>1027.0</v>
      </c>
      <c r="Q184" s="38">
        <v>1604.0</v>
      </c>
      <c r="R184" s="38">
        <v>299.0</v>
      </c>
      <c r="S184" s="38">
        <v>469.0</v>
      </c>
      <c r="T184" s="38">
        <v>63.0</v>
      </c>
      <c r="U184" s="48">
        <f t="shared" si="9"/>
        <v>2930</v>
      </c>
      <c r="V184" s="48">
        <f t="shared" si="10"/>
        <v>3462</v>
      </c>
      <c r="W184" s="49">
        <f t="shared" si="11"/>
        <v>0.3505119454</v>
      </c>
      <c r="X184" s="49">
        <f t="shared" si="12"/>
        <v>0.547440273</v>
      </c>
      <c r="Y184" s="49">
        <f t="shared" si="13"/>
        <v>0.1020477816</v>
      </c>
      <c r="Z184" s="32" t="str">
        <f t="shared" si="14"/>
        <v>Milton</v>
      </c>
      <c r="AA184" s="50" t="s">
        <v>77</v>
      </c>
      <c r="AB184" s="38">
        <v>4379.0</v>
      </c>
      <c r="AC184" s="48">
        <f t="shared" si="17"/>
        <v>917</v>
      </c>
      <c r="AD184" s="51">
        <f t="shared" si="18"/>
        <v>0.7905914592</v>
      </c>
    </row>
    <row r="185">
      <c r="A185" s="61" t="s">
        <v>537</v>
      </c>
      <c r="B185" s="46" t="s">
        <v>2172</v>
      </c>
      <c r="C185" s="47"/>
      <c r="D185" s="38">
        <v>15577.0</v>
      </c>
      <c r="E185" s="38">
        <v>3994.0</v>
      </c>
      <c r="F185" s="38">
        <v>9857.0</v>
      </c>
      <c r="G185" s="38">
        <v>643.0</v>
      </c>
      <c r="H185" s="38">
        <v>1159.0</v>
      </c>
      <c r="I185" s="48">
        <f t="shared" si="3"/>
        <v>29428</v>
      </c>
      <c r="J185" s="48">
        <f t="shared" si="4"/>
        <v>31230</v>
      </c>
      <c r="K185" s="49">
        <f t="shared" si="5"/>
        <v>0.5293258122</v>
      </c>
      <c r="L185" s="49">
        <f t="shared" si="6"/>
        <v>0.135721082</v>
      </c>
      <c r="M185" s="49">
        <f t="shared" si="7"/>
        <v>0.3349531059</v>
      </c>
      <c r="N185" s="32" t="str">
        <f t="shared" si="8"/>
        <v>Jânio</v>
      </c>
      <c r="O185" s="50" t="s">
        <v>77</v>
      </c>
      <c r="P185" s="38">
        <v>10402.0</v>
      </c>
      <c r="Q185" s="55">
        <v>13906.0</v>
      </c>
      <c r="R185" s="38">
        <v>3679.0</v>
      </c>
      <c r="S185" s="38">
        <v>2224.0</v>
      </c>
      <c r="T185" s="38">
        <v>1019.0</v>
      </c>
      <c r="U185" s="48">
        <f t="shared" si="9"/>
        <v>27987</v>
      </c>
      <c r="V185" s="114">
        <f t="shared" si="10"/>
        <v>31230</v>
      </c>
      <c r="W185" s="49">
        <f t="shared" si="11"/>
        <v>0.3716725623</v>
      </c>
      <c r="X185" s="49">
        <f t="shared" si="12"/>
        <v>0.4968735484</v>
      </c>
      <c r="Y185" s="49">
        <f t="shared" si="13"/>
        <v>0.1314538893</v>
      </c>
      <c r="Z185" s="32" t="str">
        <f t="shared" si="14"/>
        <v>Milton</v>
      </c>
      <c r="AA185" s="50" t="s">
        <v>77</v>
      </c>
      <c r="AB185" s="38">
        <v>32703.0</v>
      </c>
      <c r="AC185" s="48">
        <f t="shared" si="17"/>
        <v>1473</v>
      </c>
      <c r="AD185" s="51">
        <f t="shared" si="18"/>
        <v>0.9549582607</v>
      </c>
    </row>
    <row r="186">
      <c r="A186" s="24"/>
      <c r="B186" s="46" t="s">
        <v>2173</v>
      </c>
      <c r="C186" s="47"/>
      <c r="D186" s="38">
        <v>1729.0</v>
      </c>
      <c r="E186" s="38">
        <v>318.0</v>
      </c>
      <c r="F186" s="38">
        <v>1046.0</v>
      </c>
      <c r="G186" s="38">
        <v>82.0</v>
      </c>
      <c r="H186" s="38">
        <v>118.0</v>
      </c>
      <c r="I186" s="48">
        <f t="shared" si="3"/>
        <v>3093</v>
      </c>
      <c r="J186" s="48">
        <f t="shared" si="4"/>
        <v>3293</v>
      </c>
      <c r="K186" s="49">
        <f t="shared" si="5"/>
        <v>0.559004203</v>
      </c>
      <c r="L186" s="49">
        <f t="shared" si="6"/>
        <v>0.1028128031</v>
      </c>
      <c r="M186" s="49">
        <f t="shared" si="7"/>
        <v>0.3381829939</v>
      </c>
      <c r="N186" s="32" t="str">
        <f t="shared" si="8"/>
        <v>Jânio</v>
      </c>
      <c r="O186" s="50" t="s">
        <v>77</v>
      </c>
      <c r="P186" s="38">
        <v>1009.0</v>
      </c>
      <c r="Q186" s="38">
        <v>1443.0</v>
      </c>
      <c r="R186" s="38">
        <v>482.0</v>
      </c>
      <c r="S186" s="38">
        <v>262.0</v>
      </c>
      <c r="T186" s="38">
        <v>97.0</v>
      </c>
      <c r="U186" s="48">
        <f t="shared" si="9"/>
        <v>2934</v>
      </c>
      <c r="V186" s="48">
        <f t="shared" si="10"/>
        <v>3293</v>
      </c>
      <c r="W186" s="49">
        <f t="shared" si="11"/>
        <v>0.3438991138</v>
      </c>
      <c r="X186" s="49">
        <f t="shared" si="12"/>
        <v>0.4918200409</v>
      </c>
      <c r="Y186" s="49">
        <f t="shared" si="13"/>
        <v>0.1642808453</v>
      </c>
      <c r="Z186" s="32" t="str">
        <f t="shared" si="14"/>
        <v>Milton</v>
      </c>
      <c r="AA186" s="50" t="s">
        <v>77</v>
      </c>
      <c r="AB186" s="38">
        <v>3551.0</v>
      </c>
      <c r="AC186" s="48">
        <f t="shared" si="17"/>
        <v>258</v>
      </c>
      <c r="AD186" s="51">
        <f t="shared" si="18"/>
        <v>0.92734441</v>
      </c>
    </row>
    <row r="187">
      <c r="A187" s="61" t="s">
        <v>540</v>
      </c>
      <c r="B187" s="46" t="s">
        <v>2174</v>
      </c>
      <c r="C187" s="47"/>
      <c r="D187" s="38">
        <v>7467.0</v>
      </c>
      <c r="E187" s="38">
        <v>1264.0</v>
      </c>
      <c r="F187" s="38">
        <v>4375.0</v>
      </c>
      <c r="G187" s="38">
        <v>272.0</v>
      </c>
      <c r="H187" s="38">
        <v>394.0</v>
      </c>
      <c r="I187" s="48">
        <f t="shared" si="3"/>
        <v>13106</v>
      </c>
      <c r="J187" s="48">
        <f t="shared" si="4"/>
        <v>13772</v>
      </c>
      <c r="K187" s="49">
        <f t="shared" si="5"/>
        <v>0.5697390508</v>
      </c>
      <c r="L187" s="49">
        <f t="shared" si="6"/>
        <v>0.09644437662</v>
      </c>
      <c r="M187" s="49">
        <f t="shared" si="7"/>
        <v>0.3338165726</v>
      </c>
      <c r="N187" s="32" t="str">
        <f t="shared" si="8"/>
        <v>Jânio</v>
      </c>
      <c r="O187" s="50" t="s">
        <v>77</v>
      </c>
      <c r="P187" s="55">
        <v>3627.0</v>
      </c>
      <c r="Q187" s="38">
        <v>6834.0</v>
      </c>
      <c r="R187" s="38">
        <v>1799.0</v>
      </c>
      <c r="S187" s="38">
        <v>1245.0</v>
      </c>
      <c r="T187" s="38">
        <v>267.0</v>
      </c>
      <c r="U187" s="48">
        <f t="shared" si="9"/>
        <v>12260</v>
      </c>
      <c r="V187" s="114">
        <f t="shared" si="10"/>
        <v>13772</v>
      </c>
      <c r="W187" s="49">
        <f t="shared" si="11"/>
        <v>0.2958401305</v>
      </c>
      <c r="X187" s="49">
        <f t="shared" si="12"/>
        <v>0.5574225122</v>
      </c>
      <c r="Y187" s="49">
        <f t="shared" si="13"/>
        <v>0.1467373573</v>
      </c>
      <c r="Z187" s="32" t="str">
        <f t="shared" si="14"/>
        <v>Milton</v>
      </c>
      <c r="AA187" s="50" t="s">
        <v>77</v>
      </c>
      <c r="AB187" s="38">
        <v>14730.0</v>
      </c>
      <c r="AC187" s="48">
        <f t="shared" si="17"/>
        <v>958</v>
      </c>
      <c r="AD187" s="51">
        <f t="shared" si="18"/>
        <v>0.9349626612</v>
      </c>
    </row>
    <row r="188">
      <c r="A188" s="23"/>
      <c r="B188" s="46" t="s">
        <v>2175</v>
      </c>
      <c r="C188" s="47"/>
      <c r="D188" s="38">
        <v>908.0</v>
      </c>
      <c r="E188" s="38">
        <v>195.0</v>
      </c>
      <c r="F188" s="38">
        <v>757.0</v>
      </c>
      <c r="G188" s="38">
        <v>74.0</v>
      </c>
      <c r="H188" s="38">
        <v>125.0</v>
      </c>
      <c r="I188" s="48">
        <f t="shared" si="3"/>
        <v>1860</v>
      </c>
      <c r="J188" s="48">
        <f t="shared" si="4"/>
        <v>2059</v>
      </c>
      <c r="K188" s="49">
        <f t="shared" si="5"/>
        <v>0.488172043</v>
      </c>
      <c r="L188" s="49">
        <f t="shared" si="6"/>
        <v>0.1048387097</v>
      </c>
      <c r="M188" s="49">
        <f t="shared" si="7"/>
        <v>0.4069892473</v>
      </c>
      <c r="N188" s="32" t="str">
        <f t="shared" si="8"/>
        <v>Jânio</v>
      </c>
      <c r="O188" s="50" t="s">
        <v>77</v>
      </c>
      <c r="P188" s="38">
        <v>632.0</v>
      </c>
      <c r="Q188" s="38">
        <v>748.0</v>
      </c>
      <c r="R188" s="38">
        <v>286.0</v>
      </c>
      <c r="S188" s="38">
        <v>299.0</v>
      </c>
      <c r="T188" s="38">
        <v>94.0</v>
      </c>
      <c r="U188" s="48">
        <f t="shared" si="9"/>
        <v>1666</v>
      </c>
      <c r="V188" s="48">
        <f t="shared" si="10"/>
        <v>2059</v>
      </c>
      <c r="W188" s="49">
        <f t="shared" si="11"/>
        <v>0.3793517407</v>
      </c>
      <c r="X188" s="49">
        <f t="shared" si="12"/>
        <v>0.4489795918</v>
      </c>
      <c r="Y188" s="49">
        <f t="shared" si="13"/>
        <v>0.1716686675</v>
      </c>
      <c r="Z188" s="32" t="str">
        <f t="shared" si="14"/>
        <v>Milton</v>
      </c>
      <c r="AA188" s="50" t="s">
        <v>77</v>
      </c>
      <c r="AB188" s="38">
        <v>2253.0</v>
      </c>
      <c r="AC188" s="48">
        <f t="shared" si="17"/>
        <v>194</v>
      </c>
      <c r="AD188" s="51">
        <f t="shared" si="18"/>
        <v>0.9138925877</v>
      </c>
    </row>
    <row r="189">
      <c r="A189" s="24"/>
      <c r="B189" s="46" t="s">
        <v>2176</v>
      </c>
      <c r="C189" s="47"/>
      <c r="D189" s="38">
        <v>584.0</v>
      </c>
      <c r="E189" s="38">
        <v>102.0</v>
      </c>
      <c r="F189" s="38">
        <v>281.0</v>
      </c>
      <c r="G189" s="38">
        <v>43.0</v>
      </c>
      <c r="H189" s="38">
        <v>49.0</v>
      </c>
      <c r="I189" s="48">
        <f t="shared" si="3"/>
        <v>967</v>
      </c>
      <c r="J189" s="48">
        <f t="shared" si="4"/>
        <v>1059</v>
      </c>
      <c r="K189" s="49">
        <f t="shared" si="5"/>
        <v>0.6039296794</v>
      </c>
      <c r="L189" s="49">
        <f t="shared" si="6"/>
        <v>0.1054808687</v>
      </c>
      <c r="M189" s="49">
        <f t="shared" si="7"/>
        <v>0.2905894519</v>
      </c>
      <c r="N189" s="32" t="str">
        <f t="shared" si="8"/>
        <v>Jânio</v>
      </c>
      <c r="O189" s="50" t="s">
        <v>77</v>
      </c>
      <c r="P189" s="38">
        <v>286.0</v>
      </c>
      <c r="Q189" s="38">
        <v>414.0</v>
      </c>
      <c r="R189" s="38">
        <v>168.0</v>
      </c>
      <c r="S189" s="38">
        <v>159.0</v>
      </c>
      <c r="T189" s="38">
        <v>32.0</v>
      </c>
      <c r="U189" s="48">
        <f t="shared" si="9"/>
        <v>868</v>
      </c>
      <c r="V189" s="48">
        <f t="shared" si="10"/>
        <v>1059</v>
      </c>
      <c r="W189" s="49">
        <f t="shared" si="11"/>
        <v>0.3294930876</v>
      </c>
      <c r="X189" s="49">
        <f t="shared" si="12"/>
        <v>0.4769585253</v>
      </c>
      <c r="Y189" s="49">
        <f t="shared" si="13"/>
        <v>0.1935483871</v>
      </c>
      <c r="Z189" s="32" t="str">
        <f t="shared" si="14"/>
        <v>Milton</v>
      </c>
      <c r="AA189" s="50" t="s">
        <v>77</v>
      </c>
      <c r="AB189" s="38">
        <v>1171.0</v>
      </c>
      <c r="AC189" s="48">
        <f t="shared" si="17"/>
        <v>112</v>
      </c>
      <c r="AD189" s="51">
        <f t="shared" si="18"/>
        <v>0.9043552519</v>
      </c>
    </row>
    <row r="190">
      <c r="A190" s="61" t="s">
        <v>542</v>
      </c>
      <c r="B190" s="46" t="s">
        <v>2177</v>
      </c>
      <c r="C190" s="47"/>
      <c r="D190" s="38">
        <v>4942.0</v>
      </c>
      <c r="E190" s="38">
        <v>1202.0</v>
      </c>
      <c r="F190" s="38">
        <v>4382.0</v>
      </c>
      <c r="G190" s="38">
        <v>127.0</v>
      </c>
      <c r="H190" s="38">
        <v>204.0</v>
      </c>
      <c r="I190" s="48">
        <f t="shared" si="3"/>
        <v>10526</v>
      </c>
      <c r="J190" s="48">
        <f t="shared" si="4"/>
        <v>10857</v>
      </c>
      <c r="K190" s="49">
        <f t="shared" si="5"/>
        <v>0.4695040851</v>
      </c>
      <c r="L190" s="49">
        <f t="shared" si="6"/>
        <v>0.1141934258</v>
      </c>
      <c r="M190" s="49">
        <f t="shared" si="7"/>
        <v>0.4163024891</v>
      </c>
      <c r="N190" s="32" t="str">
        <f t="shared" si="8"/>
        <v>Jânio</v>
      </c>
      <c r="O190" s="50" t="s">
        <v>77</v>
      </c>
      <c r="P190" s="38">
        <v>3514.0</v>
      </c>
      <c r="Q190" s="38">
        <v>4608.0</v>
      </c>
      <c r="R190" s="38">
        <v>1788.0</v>
      </c>
      <c r="S190" s="38">
        <v>847.0</v>
      </c>
      <c r="T190" s="38">
        <v>100.0</v>
      </c>
      <c r="U190" s="48">
        <f t="shared" si="9"/>
        <v>9910</v>
      </c>
      <c r="V190" s="48">
        <f t="shared" si="10"/>
        <v>10857</v>
      </c>
      <c r="W190" s="49">
        <f t="shared" si="11"/>
        <v>0.3545913219</v>
      </c>
      <c r="X190" s="49">
        <f t="shared" si="12"/>
        <v>0.4649848638</v>
      </c>
      <c r="Y190" s="49">
        <f t="shared" si="13"/>
        <v>0.1804238143</v>
      </c>
      <c r="Z190" s="32" t="str">
        <f t="shared" si="14"/>
        <v>Milton</v>
      </c>
      <c r="AA190" s="50" t="s">
        <v>77</v>
      </c>
      <c r="AB190" s="38">
        <v>12854.0</v>
      </c>
      <c r="AC190" s="48">
        <f t="shared" si="17"/>
        <v>1997</v>
      </c>
      <c r="AD190" s="51">
        <f t="shared" si="18"/>
        <v>0.8446398008</v>
      </c>
    </row>
    <row r="191">
      <c r="A191" s="23"/>
      <c r="B191" s="46" t="s">
        <v>2178</v>
      </c>
      <c r="C191" s="47"/>
      <c r="D191" s="38">
        <v>503.0</v>
      </c>
      <c r="E191" s="38">
        <v>65.0</v>
      </c>
      <c r="F191" s="38">
        <v>449.0</v>
      </c>
      <c r="G191" s="38">
        <v>12.0</v>
      </c>
      <c r="H191" s="38">
        <v>40.0</v>
      </c>
      <c r="I191" s="48">
        <f t="shared" si="3"/>
        <v>1017</v>
      </c>
      <c r="J191" s="48">
        <f t="shared" si="4"/>
        <v>1069</v>
      </c>
      <c r="K191" s="49">
        <f t="shared" si="5"/>
        <v>0.4945919371</v>
      </c>
      <c r="L191" s="49">
        <f t="shared" si="6"/>
        <v>0.06391347099</v>
      </c>
      <c r="M191" s="49">
        <f t="shared" si="7"/>
        <v>0.4414945919</v>
      </c>
      <c r="N191" s="32" t="str">
        <f t="shared" si="8"/>
        <v>Jânio</v>
      </c>
      <c r="O191" s="50" t="s">
        <v>77</v>
      </c>
      <c r="P191" s="38">
        <v>346.0</v>
      </c>
      <c r="Q191" s="38">
        <v>384.0</v>
      </c>
      <c r="R191" s="38">
        <v>173.0</v>
      </c>
      <c r="S191" s="38">
        <v>148.0</v>
      </c>
      <c r="T191" s="38">
        <v>18.0</v>
      </c>
      <c r="U191" s="48">
        <f t="shared" si="9"/>
        <v>903</v>
      </c>
      <c r="V191" s="48">
        <f t="shared" si="10"/>
        <v>1069</v>
      </c>
      <c r="W191" s="49">
        <f t="shared" si="11"/>
        <v>0.3831672204</v>
      </c>
      <c r="X191" s="49">
        <f t="shared" si="12"/>
        <v>0.4252491694</v>
      </c>
      <c r="Y191" s="49">
        <f t="shared" si="13"/>
        <v>0.1915836102</v>
      </c>
      <c r="Z191" s="32" t="str">
        <f t="shared" si="14"/>
        <v>Milton</v>
      </c>
      <c r="AA191" s="50" t="s">
        <v>77</v>
      </c>
      <c r="AB191" s="38">
        <v>1252.0</v>
      </c>
      <c r="AC191" s="48">
        <f t="shared" si="17"/>
        <v>183</v>
      </c>
      <c r="AD191" s="51">
        <f t="shared" si="18"/>
        <v>0.8538338658</v>
      </c>
    </row>
    <row r="192">
      <c r="A192" s="24"/>
      <c r="B192" s="46" t="s">
        <v>2179</v>
      </c>
      <c r="C192" s="47"/>
      <c r="D192" s="38">
        <v>610.0</v>
      </c>
      <c r="E192" s="38">
        <v>56.0</v>
      </c>
      <c r="F192" s="38">
        <v>215.0</v>
      </c>
      <c r="G192" s="38">
        <v>22.0</v>
      </c>
      <c r="H192" s="38">
        <v>39.0</v>
      </c>
      <c r="I192" s="48">
        <f t="shared" si="3"/>
        <v>881</v>
      </c>
      <c r="J192" s="48">
        <f t="shared" si="4"/>
        <v>942</v>
      </c>
      <c r="K192" s="49">
        <f t="shared" si="5"/>
        <v>0.6923950057</v>
      </c>
      <c r="L192" s="49">
        <f t="shared" si="6"/>
        <v>0.06356413167</v>
      </c>
      <c r="M192" s="49">
        <f t="shared" si="7"/>
        <v>0.2440408627</v>
      </c>
      <c r="N192" s="32" t="str">
        <f t="shared" si="8"/>
        <v>Jânio</v>
      </c>
      <c r="O192" s="50" t="s">
        <v>77</v>
      </c>
      <c r="P192" s="38">
        <v>127.0</v>
      </c>
      <c r="Q192" s="38">
        <v>486.0</v>
      </c>
      <c r="R192" s="38">
        <v>209.0</v>
      </c>
      <c r="S192" s="38">
        <v>101.0</v>
      </c>
      <c r="T192" s="38">
        <v>19.0</v>
      </c>
      <c r="U192" s="48">
        <f t="shared" si="9"/>
        <v>822</v>
      </c>
      <c r="V192" s="48">
        <f t="shared" si="10"/>
        <v>942</v>
      </c>
      <c r="W192" s="49">
        <f t="shared" si="11"/>
        <v>0.1545012165</v>
      </c>
      <c r="X192" s="49">
        <f t="shared" si="12"/>
        <v>0.5912408759</v>
      </c>
      <c r="Y192" s="49">
        <f t="shared" si="13"/>
        <v>0.2542579075</v>
      </c>
      <c r="Z192" s="32" t="str">
        <f t="shared" si="14"/>
        <v>Milton</v>
      </c>
      <c r="AA192" s="50" t="s">
        <v>77</v>
      </c>
      <c r="AB192" s="38">
        <v>1189.0</v>
      </c>
      <c r="AC192" s="48">
        <f t="shared" si="17"/>
        <v>247</v>
      </c>
      <c r="AD192" s="51">
        <f t="shared" si="18"/>
        <v>0.7922624054</v>
      </c>
    </row>
    <row r="193">
      <c r="A193" s="61" t="s">
        <v>544</v>
      </c>
      <c r="B193" s="46" t="s">
        <v>2180</v>
      </c>
      <c r="C193" s="47"/>
      <c r="D193" s="38">
        <v>2688.0</v>
      </c>
      <c r="E193" s="38">
        <v>1650.0</v>
      </c>
      <c r="F193" s="38">
        <v>2785.0</v>
      </c>
      <c r="G193" s="38">
        <v>86.0</v>
      </c>
      <c r="H193" s="38">
        <v>185.0</v>
      </c>
      <c r="I193" s="48">
        <f t="shared" si="3"/>
        <v>7123</v>
      </c>
      <c r="J193" s="48">
        <f t="shared" si="4"/>
        <v>7394</v>
      </c>
      <c r="K193" s="49">
        <f t="shared" si="5"/>
        <v>0.3773690861</v>
      </c>
      <c r="L193" s="49">
        <f t="shared" si="6"/>
        <v>0.2316439702</v>
      </c>
      <c r="M193" s="49">
        <f t="shared" si="7"/>
        <v>0.3909869437</v>
      </c>
      <c r="N193" s="32" t="str">
        <f t="shared" si="8"/>
        <v>Adhemar</v>
      </c>
      <c r="O193" s="50" t="s">
        <v>77</v>
      </c>
      <c r="P193" s="38">
        <v>3140.0</v>
      </c>
      <c r="Q193" s="38">
        <v>2683.0</v>
      </c>
      <c r="R193" s="38">
        <v>860.0</v>
      </c>
      <c r="S193" s="38">
        <v>589.0</v>
      </c>
      <c r="T193" s="38">
        <v>122.0</v>
      </c>
      <c r="U193" s="48">
        <f t="shared" si="9"/>
        <v>6683</v>
      </c>
      <c r="V193" s="48">
        <f t="shared" si="10"/>
        <v>7394</v>
      </c>
      <c r="W193" s="49">
        <f t="shared" si="11"/>
        <v>0.4698488703</v>
      </c>
      <c r="X193" s="49">
        <f t="shared" si="12"/>
        <v>0.4014664073</v>
      </c>
      <c r="Y193" s="49">
        <f t="shared" si="13"/>
        <v>0.1286847224</v>
      </c>
      <c r="Z193" s="32" t="str">
        <f t="shared" si="14"/>
        <v>Jango</v>
      </c>
      <c r="AA193" s="50" t="s">
        <v>77</v>
      </c>
      <c r="AB193" s="38">
        <v>8126.0</v>
      </c>
      <c r="AC193" s="48">
        <f t="shared" si="17"/>
        <v>732</v>
      </c>
      <c r="AD193" s="51">
        <f t="shared" si="18"/>
        <v>0.9099187792</v>
      </c>
    </row>
    <row r="194">
      <c r="A194" s="24"/>
      <c r="B194" s="46" t="s">
        <v>2181</v>
      </c>
      <c r="C194" s="47"/>
      <c r="D194" s="38">
        <v>624.0</v>
      </c>
      <c r="E194" s="38">
        <v>720.0</v>
      </c>
      <c r="F194" s="38">
        <v>1261.0</v>
      </c>
      <c r="G194" s="38">
        <v>31.0</v>
      </c>
      <c r="H194" s="38">
        <v>63.0</v>
      </c>
      <c r="I194" s="48">
        <f t="shared" si="3"/>
        <v>2605</v>
      </c>
      <c r="J194" s="48">
        <f t="shared" si="4"/>
        <v>2699</v>
      </c>
      <c r="K194" s="49">
        <f t="shared" si="5"/>
        <v>0.2395393474</v>
      </c>
      <c r="L194" s="49">
        <f t="shared" si="6"/>
        <v>0.2763915547</v>
      </c>
      <c r="M194" s="49">
        <f t="shared" si="7"/>
        <v>0.4840690979</v>
      </c>
      <c r="N194" s="32" t="str">
        <f t="shared" si="8"/>
        <v>Adhemar</v>
      </c>
      <c r="O194" s="50" t="s">
        <v>77</v>
      </c>
      <c r="P194" s="38">
        <v>1423.0</v>
      </c>
      <c r="Q194" s="38">
        <v>512.0</v>
      </c>
      <c r="R194" s="38">
        <v>441.0</v>
      </c>
      <c r="S194" s="38">
        <v>269.0</v>
      </c>
      <c r="T194" s="38">
        <v>54.0</v>
      </c>
      <c r="U194" s="48">
        <f t="shared" si="9"/>
        <v>2376</v>
      </c>
      <c r="V194" s="48">
        <f t="shared" si="10"/>
        <v>2699</v>
      </c>
      <c r="W194" s="49">
        <f t="shared" si="11"/>
        <v>0.5989057239</v>
      </c>
      <c r="X194" s="49">
        <f t="shared" si="12"/>
        <v>0.2154882155</v>
      </c>
      <c r="Y194" s="49">
        <f t="shared" si="13"/>
        <v>0.1856060606</v>
      </c>
      <c r="Z194" s="32" t="str">
        <f t="shared" si="14"/>
        <v>Jango</v>
      </c>
      <c r="AA194" s="50" t="s">
        <v>77</v>
      </c>
      <c r="AB194" s="38">
        <v>2854.0</v>
      </c>
      <c r="AC194" s="48">
        <f t="shared" si="17"/>
        <v>155</v>
      </c>
      <c r="AD194" s="51">
        <f t="shared" si="18"/>
        <v>0.9456902593</v>
      </c>
    </row>
    <row r="195">
      <c r="A195" s="61" t="s">
        <v>547</v>
      </c>
      <c r="B195" s="46" t="s">
        <v>2182</v>
      </c>
      <c r="C195" s="47"/>
      <c r="D195" s="38">
        <v>2790.0</v>
      </c>
      <c r="E195" s="38">
        <v>455.0</v>
      </c>
      <c r="F195" s="38">
        <v>458.0</v>
      </c>
      <c r="G195" s="38">
        <v>42.0</v>
      </c>
      <c r="H195" s="38">
        <v>90.0</v>
      </c>
      <c r="I195" s="48">
        <f t="shared" si="3"/>
        <v>3703</v>
      </c>
      <c r="J195" s="48">
        <f t="shared" si="4"/>
        <v>3835</v>
      </c>
      <c r="K195" s="49">
        <f t="shared" si="5"/>
        <v>0.7534431542</v>
      </c>
      <c r="L195" s="49">
        <f t="shared" si="6"/>
        <v>0.1228733459</v>
      </c>
      <c r="M195" s="49">
        <f t="shared" si="7"/>
        <v>0.1236834999</v>
      </c>
      <c r="N195" s="32" t="str">
        <f t="shared" si="8"/>
        <v>Jânio</v>
      </c>
      <c r="O195" s="50" t="s">
        <v>77</v>
      </c>
      <c r="P195" s="38">
        <v>570.0</v>
      </c>
      <c r="Q195" s="38">
        <v>2014.0</v>
      </c>
      <c r="R195" s="38">
        <v>977.0</v>
      </c>
      <c r="S195" s="38">
        <v>225.0</v>
      </c>
      <c r="T195" s="38">
        <v>49.0</v>
      </c>
      <c r="U195" s="48">
        <f t="shared" si="9"/>
        <v>3561</v>
      </c>
      <c r="V195" s="48">
        <f t="shared" si="10"/>
        <v>3835</v>
      </c>
      <c r="W195" s="49">
        <f t="shared" si="11"/>
        <v>0.1600673968</v>
      </c>
      <c r="X195" s="49">
        <f t="shared" si="12"/>
        <v>0.5655714687</v>
      </c>
      <c r="Y195" s="49">
        <f t="shared" si="13"/>
        <v>0.2743611345</v>
      </c>
      <c r="Z195" s="32" t="str">
        <f t="shared" si="14"/>
        <v>Milton</v>
      </c>
      <c r="AA195" s="50" t="s">
        <v>77</v>
      </c>
      <c r="AB195" s="38">
        <v>4801.0</v>
      </c>
      <c r="AC195" s="48">
        <f t="shared" si="17"/>
        <v>966</v>
      </c>
      <c r="AD195" s="51">
        <f t="shared" si="18"/>
        <v>0.7987919184</v>
      </c>
    </row>
    <row r="196">
      <c r="A196" s="24"/>
      <c r="B196" s="46" t="s">
        <v>2183</v>
      </c>
      <c r="C196" s="47"/>
      <c r="D196" s="38">
        <v>502.0</v>
      </c>
      <c r="E196" s="38">
        <v>276.0</v>
      </c>
      <c r="F196" s="38">
        <v>180.0</v>
      </c>
      <c r="G196" s="38">
        <v>30.0</v>
      </c>
      <c r="H196" s="38">
        <v>46.0</v>
      </c>
      <c r="I196" s="48">
        <f t="shared" si="3"/>
        <v>958</v>
      </c>
      <c r="J196" s="48">
        <f t="shared" si="4"/>
        <v>1034</v>
      </c>
      <c r="K196" s="49">
        <f t="shared" si="5"/>
        <v>0.5240083507</v>
      </c>
      <c r="L196" s="49">
        <f t="shared" si="6"/>
        <v>0.2881002088</v>
      </c>
      <c r="M196" s="49">
        <f t="shared" si="7"/>
        <v>0.1878914405</v>
      </c>
      <c r="N196" s="32" t="str">
        <f t="shared" si="8"/>
        <v>Jânio</v>
      </c>
      <c r="O196" s="50" t="s">
        <v>77</v>
      </c>
      <c r="P196" s="38">
        <v>341.0</v>
      </c>
      <c r="Q196" s="38">
        <v>410.0</v>
      </c>
      <c r="R196" s="38">
        <v>114.0</v>
      </c>
      <c r="S196" s="38">
        <v>153.0</v>
      </c>
      <c r="T196" s="38">
        <v>16.0</v>
      </c>
      <c r="U196" s="48">
        <f t="shared" si="9"/>
        <v>865</v>
      </c>
      <c r="V196" s="48">
        <f t="shared" si="10"/>
        <v>1034</v>
      </c>
      <c r="W196" s="49">
        <f t="shared" si="11"/>
        <v>0.3942196532</v>
      </c>
      <c r="X196" s="49">
        <f t="shared" si="12"/>
        <v>0.4739884393</v>
      </c>
      <c r="Y196" s="49">
        <f t="shared" si="13"/>
        <v>0.1317919075</v>
      </c>
      <c r="Z196" s="32" t="str">
        <f t="shared" si="14"/>
        <v>Milton</v>
      </c>
      <c r="AA196" s="50" t="s">
        <v>77</v>
      </c>
      <c r="AB196" s="38">
        <v>1234.0</v>
      </c>
      <c r="AC196" s="48">
        <f t="shared" si="17"/>
        <v>200</v>
      </c>
      <c r="AD196" s="51">
        <f t="shared" si="18"/>
        <v>0.8379254457</v>
      </c>
    </row>
    <row r="197">
      <c r="A197" s="61" t="s">
        <v>549</v>
      </c>
      <c r="B197" s="46" t="s">
        <v>2184</v>
      </c>
      <c r="C197" s="47"/>
      <c r="D197" s="38">
        <v>8632.0</v>
      </c>
      <c r="E197" s="38">
        <v>4445.0</v>
      </c>
      <c r="F197" s="38">
        <v>4065.0</v>
      </c>
      <c r="G197" s="38">
        <v>292.0</v>
      </c>
      <c r="H197" s="38">
        <v>352.0</v>
      </c>
      <c r="I197" s="48">
        <f t="shared" si="3"/>
        <v>17142</v>
      </c>
      <c r="J197" s="48">
        <f t="shared" si="4"/>
        <v>17786</v>
      </c>
      <c r="K197" s="49">
        <f t="shared" si="5"/>
        <v>0.5035585113</v>
      </c>
      <c r="L197" s="49">
        <f t="shared" si="6"/>
        <v>0.2593046319</v>
      </c>
      <c r="M197" s="49">
        <f t="shared" si="7"/>
        <v>0.2371368568</v>
      </c>
      <c r="N197" s="32" t="str">
        <f t="shared" si="8"/>
        <v>Jânio</v>
      </c>
      <c r="O197" s="50" t="s">
        <v>77</v>
      </c>
      <c r="P197" s="38">
        <v>7025.0</v>
      </c>
      <c r="Q197" s="38">
        <v>7284.0</v>
      </c>
      <c r="R197" s="38">
        <v>2401.0</v>
      </c>
      <c r="S197" s="38">
        <v>765.0</v>
      </c>
      <c r="T197" s="38">
        <v>311.0</v>
      </c>
      <c r="U197" s="48">
        <f t="shared" si="9"/>
        <v>16710</v>
      </c>
      <c r="V197" s="48">
        <f t="shared" si="10"/>
        <v>17786</v>
      </c>
      <c r="W197" s="49">
        <f t="shared" si="11"/>
        <v>0.420406942</v>
      </c>
      <c r="X197" s="49">
        <f t="shared" si="12"/>
        <v>0.4359066427</v>
      </c>
      <c r="Y197" s="49">
        <f t="shared" si="13"/>
        <v>0.1436864153</v>
      </c>
      <c r="Z197" s="32" t="str">
        <f t="shared" si="14"/>
        <v>Milton</v>
      </c>
      <c r="AA197" s="50" t="s">
        <v>77</v>
      </c>
      <c r="AB197" s="38">
        <v>20621.0</v>
      </c>
      <c r="AC197" s="48">
        <f t="shared" si="17"/>
        <v>2835</v>
      </c>
      <c r="AD197" s="51">
        <f t="shared" si="18"/>
        <v>0.8625187915</v>
      </c>
    </row>
    <row r="198">
      <c r="A198" s="23"/>
      <c r="B198" s="46" t="s">
        <v>2185</v>
      </c>
      <c r="C198" s="47"/>
      <c r="D198" s="38">
        <v>479.0</v>
      </c>
      <c r="E198" s="38">
        <v>63.0</v>
      </c>
      <c r="F198" s="38">
        <v>387.0</v>
      </c>
      <c r="G198" s="38">
        <v>27.0</v>
      </c>
      <c r="H198" s="38">
        <v>57.0</v>
      </c>
      <c r="I198" s="48">
        <f t="shared" si="3"/>
        <v>929</v>
      </c>
      <c r="J198" s="48">
        <f t="shared" si="4"/>
        <v>1013</v>
      </c>
      <c r="K198" s="49">
        <f t="shared" si="5"/>
        <v>0.5156081808</v>
      </c>
      <c r="L198" s="49">
        <f t="shared" si="6"/>
        <v>0.06781485468</v>
      </c>
      <c r="M198" s="49">
        <f t="shared" si="7"/>
        <v>0.4165769645</v>
      </c>
      <c r="N198" s="32" t="str">
        <f t="shared" si="8"/>
        <v>Jânio</v>
      </c>
      <c r="O198" s="50" t="s">
        <v>77</v>
      </c>
      <c r="P198" s="38">
        <v>272.0</v>
      </c>
      <c r="Q198" s="38">
        <v>365.0</v>
      </c>
      <c r="R198" s="38">
        <v>167.0</v>
      </c>
      <c r="S198" s="38">
        <v>181.0</v>
      </c>
      <c r="T198" s="38">
        <v>28.0</v>
      </c>
      <c r="U198" s="48">
        <f t="shared" si="9"/>
        <v>804</v>
      </c>
      <c r="V198" s="48">
        <f t="shared" si="10"/>
        <v>1013</v>
      </c>
      <c r="W198" s="49">
        <f t="shared" si="11"/>
        <v>0.3383084577</v>
      </c>
      <c r="X198" s="49">
        <f t="shared" si="12"/>
        <v>0.4539800995</v>
      </c>
      <c r="Y198" s="49">
        <f t="shared" si="13"/>
        <v>0.2077114428</v>
      </c>
      <c r="Z198" s="32" t="str">
        <f t="shared" si="14"/>
        <v>Milton</v>
      </c>
      <c r="AA198" s="50" t="s">
        <v>77</v>
      </c>
      <c r="AB198" s="38">
        <v>1305.0</v>
      </c>
      <c r="AC198" s="48">
        <f t="shared" si="17"/>
        <v>292</v>
      </c>
      <c r="AD198" s="51">
        <f t="shared" si="18"/>
        <v>0.7762452107</v>
      </c>
    </row>
    <row r="199">
      <c r="A199" s="23"/>
      <c r="B199" s="46" t="s">
        <v>2186</v>
      </c>
      <c r="C199" s="47"/>
      <c r="D199" s="38">
        <v>648.0</v>
      </c>
      <c r="E199" s="38">
        <v>404.0</v>
      </c>
      <c r="F199" s="38">
        <v>510.0</v>
      </c>
      <c r="G199" s="38">
        <v>77.0</v>
      </c>
      <c r="H199" s="38">
        <v>65.0</v>
      </c>
      <c r="I199" s="48">
        <f t="shared" si="3"/>
        <v>1562</v>
      </c>
      <c r="J199" s="48">
        <f t="shared" si="4"/>
        <v>1704</v>
      </c>
      <c r="K199" s="49">
        <f t="shared" si="5"/>
        <v>0.4148527529</v>
      </c>
      <c r="L199" s="49">
        <f t="shared" si="6"/>
        <v>0.2586427657</v>
      </c>
      <c r="M199" s="49">
        <f t="shared" si="7"/>
        <v>0.3265044814</v>
      </c>
      <c r="N199" s="32" t="str">
        <f t="shared" si="8"/>
        <v>Jânio</v>
      </c>
      <c r="O199" s="50" t="s">
        <v>77</v>
      </c>
      <c r="P199" s="38">
        <v>709.0</v>
      </c>
      <c r="Q199" s="38">
        <v>404.0</v>
      </c>
      <c r="R199" s="38">
        <v>325.0</v>
      </c>
      <c r="S199" s="38">
        <v>213.0</v>
      </c>
      <c r="T199" s="38">
        <v>53.0</v>
      </c>
      <c r="U199" s="48">
        <f t="shared" si="9"/>
        <v>1438</v>
      </c>
      <c r="V199" s="48">
        <f t="shared" si="10"/>
        <v>1704</v>
      </c>
      <c r="W199" s="49">
        <f t="shared" si="11"/>
        <v>0.4930458971</v>
      </c>
      <c r="X199" s="49">
        <f t="shared" si="12"/>
        <v>0.280945758</v>
      </c>
      <c r="Y199" s="49">
        <f t="shared" si="13"/>
        <v>0.2260083449</v>
      </c>
      <c r="Z199" s="32" t="str">
        <f t="shared" si="14"/>
        <v>Jango</v>
      </c>
      <c r="AA199" s="50" t="s">
        <v>77</v>
      </c>
      <c r="AB199" s="38">
        <v>2071.0</v>
      </c>
      <c r="AC199" s="48">
        <f t="shared" si="17"/>
        <v>367</v>
      </c>
      <c r="AD199" s="51">
        <f t="shared" si="18"/>
        <v>0.8227909223</v>
      </c>
    </row>
    <row r="200">
      <c r="A200" s="24"/>
      <c r="B200" s="46" t="s">
        <v>1556</v>
      </c>
      <c r="C200" s="47"/>
      <c r="D200" s="38">
        <v>1117.0</v>
      </c>
      <c r="E200" s="38">
        <v>560.0</v>
      </c>
      <c r="F200" s="38">
        <v>705.0</v>
      </c>
      <c r="G200" s="38">
        <v>47.0</v>
      </c>
      <c r="H200" s="38">
        <v>56.0</v>
      </c>
      <c r="I200" s="48">
        <f t="shared" si="3"/>
        <v>2382</v>
      </c>
      <c r="J200" s="48">
        <f t="shared" si="4"/>
        <v>2485</v>
      </c>
      <c r="K200" s="49">
        <f t="shared" si="5"/>
        <v>0.4689336692</v>
      </c>
      <c r="L200" s="49">
        <f t="shared" si="6"/>
        <v>0.2350965575</v>
      </c>
      <c r="M200" s="49">
        <f t="shared" si="7"/>
        <v>0.2959697733</v>
      </c>
      <c r="N200" s="32" t="str">
        <f t="shared" si="8"/>
        <v>Jânio</v>
      </c>
      <c r="O200" s="50" t="s">
        <v>77</v>
      </c>
      <c r="P200" s="38">
        <v>934.0</v>
      </c>
      <c r="Q200" s="38">
        <v>1065.0</v>
      </c>
      <c r="R200" s="38">
        <v>231.0</v>
      </c>
      <c r="S200" s="38">
        <v>195.0</v>
      </c>
      <c r="T200" s="38">
        <v>60.0</v>
      </c>
      <c r="U200" s="48">
        <f t="shared" si="9"/>
        <v>2230</v>
      </c>
      <c r="V200" s="48">
        <f t="shared" si="10"/>
        <v>2485</v>
      </c>
      <c r="W200" s="49">
        <f t="shared" si="11"/>
        <v>0.4188340807</v>
      </c>
      <c r="X200" s="49">
        <f t="shared" si="12"/>
        <v>0.4775784753</v>
      </c>
      <c r="Y200" s="49">
        <f t="shared" si="13"/>
        <v>0.1035874439</v>
      </c>
      <c r="Z200" s="32" t="str">
        <f t="shared" si="14"/>
        <v>Milton</v>
      </c>
      <c r="AA200" s="50" t="s">
        <v>77</v>
      </c>
      <c r="AB200" s="38">
        <v>3061.0</v>
      </c>
      <c r="AC200" s="48">
        <f t="shared" si="17"/>
        <v>576</v>
      </c>
      <c r="AD200" s="51">
        <f t="shared" si="18"/>
        <v>0.8118262006</v>
      </c>
    </row>
    <row r="201">
      <c r="A201" s="61" t="s">
        <v>554</v>
      </c>
      <c r="B201" s="46" t="s">
        <v>2187</v>
      </c>
      <c r="C201" s="47"/>
      <c r="D201" s="38">
        <v>2075.0</v>
      </c>
      <c r="E201" s="38">
        <v>498.0</v>
      </c>
      <c r="F201" s="38">
        <v>1205.0</v>
      </c>
      <c r="G201" s="38">
        <v>114.0</v>
      </c>
      <c r="H201" s="38">
        <v>154.0</v>
      </c>
      <c r="I201" s="48">
        <f t="shared" si="3"/>
        <v>3778</v>
      </c>
      <c r="J201" s="48">
        <f t="shared" si="4"/>
        <v>4046</v>
      </c>
      <c r="K201" s="49">
        <f t="shared" si="5"/>
        <v>0.5492323981</v>
      </c>
      <c r="L201" s="49">
        <f t="shared" si="6"/>
        <v>0.1318157755</v>
      </c>
      <c r="M201" s="49">
        <f t="shared" si="7"/>
        <v>0.3189518264</v>
      </c>
      <c r="N201" s="32" t="str">
        <f t="shared" si="8"/>
        <v>Jânio</v>
      </c>
      <c r="O201" s="50" t="s">
        <v>77</v>
      </c>
      <c r="P201" s="38">
        <v>1379.0</v>
      </c>
      <c r="Q201" s="38">
        <v>1690.0</v>
      </c>
      <c r="R201" s="38">
        <v>356.0</v>
      </c>
      <c r="S201" s="38">
        <v>560.0</v>
      </c>
      <c r="T201" s="38">
        <v>61.0</v>
      </c>
      <c r="U201" s="48">
        <f t="shared" si="9"/>
        <v>3425</v>
      </c>
      <c r="V201" s="48">
        <f t="shared" si="10"/>
        <v>4046</v>
      </c>
      <c r="W201" s="49">
        <f t="shared" si="11"/>
        <v>0.4026277372</v>
      </c>
      <c r="X201" s="49">
        <f t="shared" si="12"/>
        <v>0.4934306569</v>
      </c>
      <c r="Y201" s="49">
        <f t="shared" si="13"/>
        <v>0.1039416058</v>
      </c>
      <c r="Z201" s="32" t="str">
        <f t="shared" si="14"/>
        <v>Milton</v>
      </c>
      <c r="AA201" s="50" t="s">
        <v>77</v>
      </c>
      <c r="AB201" s="38">
        <v>5576.0</v>
      </c>
      <c r="AC201" s="48">
        <f t="shared" si="17"/>
        <v>1530</v>
      </c>
      <c r="AD201" s="51">
        <f t="shared" si="18"/>
        <v>0.7256097561</v>
      </c>
    </row>
    <row r="202">
      <c r="A202" s="24"/>
      <c r="B202" s="46" t="s">
        <v>2188</v>
      </c>
      <c r="C202" s="47"/>
      <c r="D202" s="38">
        <v>620.0</v>
      </c>
      <c r="E202" s="38">
        <v>119.0</v>
      </c>
      <c r="F202" s="38">
        <v>301.0</v>
      </c>
      <c r="G202" s="38">
        <v>30.0</v>
      </c>
      <c r="H202" s="38">
        <v>34.0</v>
      </c>
      <c r="I202" s="48">
        <f t="shared" si="3"/>
        <v>1040</v>
      </c>
      <c r="J202" s="48">
        <f t="shared" si="4"/>
        <v>1104</v>
      </c>
      <c r="K202" s="49">
        <f t="shared" si="5"/>
        <v>0.5961538462</v>
      </c>
      <c r="L202" s="49">
        <f t="shared" si="6"/>
        <v>0.1144230769</v>
      </c>
      <c r="M202" s="49">
        <f t="shared" si="7"/>
        <v>0.2894230769</v>
      </c>
      <c r="N202" s="32" t="str">
        <f t="shared" si="8"/>
        <v>Jânio</v>
      </c>
      <c r="O202" s="50" t="s">
        <v>77</v>
      </c>
      <c r="P202" s="38">
        <v>313.0</v>
      </c>
      <c r="Q202" s="38">
        <v>378.0</v>
      </c>
      <c r="R202" s="38">
        <v>233.0</v>
      </c>
      <c r="S202" s="38">
        <v>149.0</v>
      </c>
      <c r="T202" s="38">
        <v>31.0</v>
      </c>
      <c r="U202" s="48">
        <f t="shared" si="9"/>
        <v>924</v>
      </c>
      <c r="V202" s="48">
        <f t="shared" si="10"/>
        <v>1104</v>
      </c>
      <c r="W202" s="49">
        <f t="shared" si="11"/>
        <v>0.3387445887</v>
      </c>
      <c r="X202" s="49">
        <f t="shared" si="12"/>
        <v>0.4090909091</v>
      </c>
      <c r="Y202" s="49">
        <f t="shared" si="13"/>
        <v>0.2521645022</v>
      </c>
      <c r="Z202" s="32" t="str">
        <f t="shared" si="14"/>
        <v>Milton</v>
      </c>
      <c r="AA202" s="50" t="s">
        <v>77</v>
      </c>
      <c r="AB202" s="38">
        <v>1136.0</v>
      </c>
      <c r="AC202" s="48">
        <f t="shared" si="17"/>
        <v>32</v>
      </c>
      <c r="AD202" s="51">
        <f t="shared" si="18"/>
        <v>0.9718309859</v>
      </c>
    </row>
    <row r="203">
      <c r="A203" s="61" t="s">
        <v>557</v>
      </c>
      <c r="B203" s="46" t="s">
        <v>2189</v>
      </c>
      <c r="C203" s="47"/>
      <c r="D203" s="38">
        <v>2570.0</v>
      </c>
      <c r="E203" s="38">
        <v>546.0</v>
      </c>
      <c r="F203" s="38">
        <v>835.0</v>
      </c>
      <c r="G203" s="38">
        <v>87.0</v>
      </c>
      <c r="H203" s="38">
        <v>104.0</v>
      </c>
      <c r="I203" s="48">
        <f t="shared" si="3"/>
        <v>3951</v>
      </c>
      <c r="J203" s="48">
        <f t="shared" si="4"/>
        <v>4142</v>
      </c>
      <c r="K203" s="49">
        <f t="shared" si="5"/>
        <v>0.6504682359</v>
      </c>
      <c r="L203" s="49">
        <f t="shared" si="6"/>
        <v>0.1381928626</v>
      </c>
      <c r="M203" s="49">
        <f t="shared" si="7"/>
        <v>0.2113389015</v>
      </c>
      <c r="N203" s="32" t="str">
        <f t="shared" si="8"/>
        <v>Jânio</v>
      </c>
      <c r="O203" s="50" t="s">
        <v>77</v>
      </c>
      <c r="P203" s="38">
        <v>898.0</v>
      </c>
      <c r="Q203" s="38">
        <v>2131.0</v>
      </c>
      <c r="R203" s="38">
        <v>676.0</v>
      </c>
      <c r="S203" s="38">
        <v>384.0</v>
      </c>
      <c r="T203" s="38">
        <v>53.0</v>
      </c>
      <c r="U203" s="48">
        <f t="shared" si="9"/>
        <v>3705</v>
      </c>
      <c r="V203" s="48">
        <f t="shared" si="10"/>
        <v>4142</v>
      </c>
      <c r="W203" s="49">
        <f t="shared" si="11"/>
        <v>0.2423751687</v>
      </c>
      <c r="X203" s="49">
        <f t="shared" si="12"/>
        <v>0.575168691</v>
      </c>
      <c r="Y203" s="49">
        <f t="shared" si="13"/>
        <v>0.1824561404</v>
      </c>
      <c r="Z203" s="32" t="str">
        <f t="shared" si="14"/>
        <v>Milton</v>
      </c>
      <c r="AA203" s="50" t="s">
        <v>77</v>
      </c>
      <c r="AB203" s="38">
        <v>4846.0</v>
      </c>
      <c r="AC203" s="48">
        <f t="shared" si="17"/>
        <v>704</v>
      </c>
      <c r="AD203" s="51">
        <f t="shared" si="18"/>
        <v>0.8547255468</v>
      </c>
    </row>
    <row r="204">
      <c r="A204" s="23"/>
      <c r="B204" s="46" t="s">
        <v>2190</v>
      </c>
      <c r="C204" s="47"/>
      <c r="D204" s="38">
        <v>665.0</v>
      </c>
      <c r="E204" s="38">
        <v>131.0</v>
      </c>
      <c r="F204" s="38">
        <v>181.0</v>
      </c>
      <c r="G204" s="38">
        <v>30.0</v>
      </c>
      <c r="H204" s="38">
        <v>37.0</v>
      </c>
      <c r="I204" s="48">
        <f t="shared" si="3"/>
        <v>977</v>
      </c>
      <c r="J204" s="48">
        <f t="shared" si="4"/>
        <v>1044</v>
      </c>
      <c r="K204" s="49">
        <f t="shared" si="5"/>
        <v>0.6806550665</v>
      </c>
      <c r="L204" s="49">
        <f t="shared" si="6"/>
        <v>0.1340839304</v>
      </c>
      <c r="M204" s="49">
        <f t="shared" si="7"/>
        <v>0.1852610031</v>
      </c>
      <c r="N204" s="32" t="str">
        <f t="shared" si="8"/>
        <v>Jânio</v>
      </c>
      <c r="O204" s="50" t="s">
        <v>77</v>
      </c>
      <c r="P204" s="38">
        <v>261.0</v>
      </c>
      <c r="Q204" s="38">
        <v>435.0</v>
      </c>
      <c r="R204" s="38">
        <v>204.0</v>
      </c>
      <c r="S204" s="38">
        <v>121.0</v>
      </c>
      <c r="T204" s="38">
        <v>23.0</v>
      </c>
      <c r="U204" s="48">
        <f t="shared" si="9"/>
        <v>900</v>
      </c>
      <c r="V204" s="48">
        <f t="shared" si="10"/>
        <v>1044</v>
      </c>
      <c r="W204" s="49">
        <f t="shared" si="11"/>
        <v>0.29</v>
      </c>
      <c r="X204" s="49">
        <f t="shared" si="12"/>
        <v>0.4833333333</v>
      </c>
      <c r="Y204" s="49">
        <f t="shared" si="13"/>
        <v>0.2266666667</v>
      </c>
      <c r="Z204" s="32" t="str">
        <f t="shared" si="14"/>
        <v>Milton</v>
      </c>
      <c r="AA204" s="50" t="s">
        <v>77</v>
      </c>
      <c r="AB204" s="38">
        <v>1195.0</v>
      </c>
      <c r="AC204" s="48">
        <f t="shared" si="17"/>
        <v>151</v>
      </c>
      <c r="AD204" s="51">
        <f t="shared" si="18"/>
        <v>0.8736401674</v>
      </c>
    </row>
    <row r="205">
      <c r="A205" s="23"/>
      <c r="B205" s="46" t="s">
        <v>2191</v>
      </c>
      <c r="C205" s="47"/>
      <c r="D205" s="38">
        <v>439.0</v>
      </c>
      <c r="E205" s="38">
        <v>30.0</v>
      </c>
      <c r="F205" s="38">
        <v>120.0</v>
      </c>
      <c r="G205" s="38">
        <v>24.0</v>
      </c>
      <c r="H205" s="38">
        <v>18.0</v>
      </c>
      <c r="I205" s="48">
        <f t="shared" si="3"/>
        <v>589</v>
      </c>
      <c r="J205" s="48">
        <f t="shared" si="4"/>
        <v>631</v>
      </c>
      <c r="K205" s="49">
        <f t="shared" si="5"/>
        <v>0.7453310696</v>
      </c>
      <c r="L205" s="49">
        <f t="shared" si="6"/>
        <v>0.05093378608</v>
      </c>
      <c r="M205" s="49">
        <f t="shared" si="7"/>
        <v>0.2037351443</v>
      </c>
      <c r="N205" s="32" t="str">
        <f t="shared" si="8"/>
        <v>Jânio</v>
      </c>
      <c r="O205" s="50" t="s">
        <v>77</v>
      </c>
      <c r="P205" s="38">
        <v>85.0</v>
      </c>
      <c r="Q205" s="38">
        <v>265.0</v>
      </c>
      <c r="R205" s="38">
        <v>134.0</v>
      </c>
      <c r="S205" s="38">
        <v>136.0</v>
      </c>
      <c r="T205" s="38">
        <v>11.0</v>
      </c>
      <c r="U205" s="48">
        <f t="shared" si="9"/>
        <v>484</v>
      </c>
      <c r="V205" s="48">
        <f t="shared" si="10"/>
        <v>631</v>
      </c>
      <c r="W205" s="49">
        <f t="shared" si="11"/>
        <v>0.1756198347</v>
      </c>
      <c r="X205" s="49">
        <f t="shared" si="12"/>
        <v>0.5475206612</v>
      </c>
      <c r="Y205" s="49">
        <f t="shared" si="13"/>
        <v>0.2768595041</v>
      </c>
      <c r="Z205" s="32" t="str">
        <f t="shared" si="14"/>
        <v>Milton</v>
      </c>
      <c r="AA205" s="50" t="s">
        <v>77</v>
      </c>
      <c r="AB205" s="38">
        <v>810.0</v>
      </c>
      <c r="AC205" s="48">
        <f t="shared" si="17"/>
        <v>179</v>
      </c>
      <c r="AD205" s="51">
        <f t="shared" si="18"/>
        <v>0.7790123457</v>
      </c>
    </row>
    <row r="206">
      <c r="A206" s="23"/>
      <c r="B206" s="46" t="s">
        <v>2192</v>
      </c>
      <c r="C206" s="47"/>
      <c r="D206" s="38">
        <v>464.0</v>
      </c>
      <c r="E206" s="38">
        <v>66.0</v>
      </c>
      <c r="F206" s="38">
        <v>64.0</v>
      </c>
      <c r="G206" s="38">
        <v>23.0</v>
      </c>
      <c r="H206" s="38">
        <v>39.0</v>
      </c>
      <c r="I206" s="48">
        <f t="shared" si="3"/>
        <v>594</v>
      </c>
      <c r="J206" s="48">
        <f t="shared" si="4"/>
        <v>656</v>
      </c>
      <c r="K206" s="49">
        <f t="shared" si="5"/>
        <v>0.7811447811</v>
      </c>
      <c r="L206" s="49">
        <f t="shared" si="6"/>
        <v>0.1111111111</v>
      </c>
      <c r="M206" s="49">
        <f t="shared" si="7"/>
        <v>0.1077441077</v>
      </c>
      <c r="N206" s="32" t="str">
        <f t="shared" si="8"/>
        <v>Jânio</v>
      </c>
      <c r="O206" s="50" t="s">
        <v>77</v>
      </c>
      <c r="P206" s="38">
        <v>103.0</v>
      </c>
      <c r="Q206" s="38">
        <v>254.0</v>
      </c>
      <c r="R206" s="38">
        <v>149.0</v>
      </c>
      <c r="S206" s="38">
        <v>132.0</v>
      </c>
      <c r="T206" s="38">
        <v>18.0</v>
      </c>
      <c r="U206" s="48">
        <f t="shared" si="9"/>
        <v>506</v>
      </c>
      <c r="V206" s="48">
        <f t="shared" si="10"/>
        <v>656</v>
      </c>
      <c r="W206" s="49">
        <f t="shared" si="11"/>
        <v>0.2035573123</v>
      </c>
      <c r="X206" s="49">
        <f t="shared" si="12"/>
        <v>0.5019762846</v>
      </c>
      <c r="Y206" s="49">
        <f t="shared" si="13"/>
        <v>0.2944664032</v>
      </c>
      <c r="Z206" s="32" t="str">
        <f t="shared" si="14"/>
        <v>Milton</v>
      </c>
      <c r="AA206" s="50" t="s">
        <v>77</v>
      </c>
      <c r="AB206" s="38">
        <v>808.0</v>
      </c>
      <c r="AC206" s="48">
        <f t="shared" si="17"/>
        <v>152</v>
      </c>
      <c r="AD206" s="51">
        <f t="shared" si="18"/>
        <v>0.8118811881</v>
      </c>
    </row>
    <row r="207">
      <c r="A207" s="24"/>
      <c r="B207" s="46" t="s">
        <v>2193</v>
      </c>
      <c r="C207" s="47"/>
      <c r="D207" s="38">
        <v>1169.0</v>
      </c>
      <c r="E207" s="38">
        <v>160.0</v>
      </c>
      <c r="F207" s="38">
        <v>914.0</v>
      </c>
      <c r="G207" s="38">
        <v>74.0</v>
      </c>
      <c r="H207" s="38">
        <v>119.0</v>
      </c>
      <c r="I207" s="48">
        <f t="shared" si="3"/>
        <v>2243</v>
      </c>
      <c r="J207" s="48">
        <f t="shared" si="4"/>
        <v>2436</v>
      </c>
      <c r="K207" s="49">
        <f t="shared" si="5"/>
        <v>0.5211769951</v>
      </c>
      <c r="L207" s="49">
        <f t="shared" si="6"/>
        <v>0.07133303611</v>
      </c>
      <c r="M207" s="49">
        <f t="shared" si="7"/>
        <v>0.4074899688</v>
      </c>
      <c r="N207" s="32" t="str">
        <f t="shared" si="8"/>
        <v>Jânio</v>
      </c>
      <c r="O207" s="50" t="s">
        <v>77</v>
      </c>
      <c r="P207" s="38">
        <v>370.0</v>
      </c>
      <c r="Q207" s="38">
        <v>917.0</v>
      </c>
      <c r="R207" s="38">
        <v>774.0</v>
      </c>
      <c r="S207" s="38">
        <v>305.0</v>
      </c>
      <c r="T207" s="38">
        <v>70.0</v>
      </c>
      <c r="U207" s="48">
        <f t="shared" si="9"/>
        <v>2061</v>
      </c>
      <c r="V207" s="48">
        <f t="shared" si="10"/>
        <v>2436</v>
      </c>
      <c r="W207" s="49">
        <f t="shared" si="11"/>
        <v>0.1795245027</v>
      </c>
      <c r="X207" s="49">
        <f t="shared" si="12"/>
        <v>0.4449296458</v>
      </c>
      <c r="Y207" s="49">
        <f t="shared" si="13"/>
        <v>0.3755458515</v>
      </c>
      <c r="Z207" s="32" t="str">
        <f t="shared" si="14"/>
        <v>Milton</v>
      </c>
      <c r="AA207" s="50" t="s">
        <v>77</v>
      </c>
      <c r="AB207" s="38">
        <v>3131.0</v>
      </c>
      <c r="AC207" s="48">
        <f t="shared" si="17"/>
        <v>695</v>
      </c>
      <c r="AD207" s="51">
        <f t="shared" si="18"/>
        <v>0.7780261897</v>
      </c>
    </row>
    <row r="208">
      <c r="A208" s="110" t="s">
        <v>560</v>
      </c>
      <c r="B208" s="46" t="s">
        <v>2194</v>
      </c>
      <c r="C208" s="47"/>
      <c r="D208" s="38">
        <v>2972.0</v>
      </c>
      <c r="E208" s="38">
        <v>1294.0</v>
      </c>
      <c r="F208" s="38">
        <v>1383.0</v>
      </c>
      <c r="G208" s="38">
        <v>141.0</v>
      </c>
      <c r="H208" s="38">
        <v>263.0</v>
      </c>
      <c r="I208" s="48">
        <f t="shared" si="3"/>
        <v>5649</v>
      </c>
      <c r="J208" s="48">
        <f t="shared" si="4"/>
        <v>6053</v>
      </c>
      <c r="K208" s="49">
        <f t="shared" si="5"/>
        <v>0.5261108161</v>
      </c>
      <c r="L208" s="49">
        <f t="shared" si="6"/>
        <v>0.2290670915</v>
      </c>
      <c r="M208" s="49">
        <f t="shared" si="7"/>
        <v>0.2448220924</v>
      </c>
      <c r="N208" s="32" t="str">
        <f t="shared" si="8"/>
        <v>Jânio</v>
      </c>
      <c r="O208" s="50" t="s">
        <v>77</v>
      </c>
      <c r="P208" s="38">
        <v>1872.0</v>
      </c>
      <c r="Q208" s="38">
        <v>2419.0</v>
      </c>
      <c r="R208" s="38">
        <v>852.0</v>
      </c>
      <c r="S208" s="38">
        <v>702.0</v>
      </c>
      <c r="T208" s="38">
        <v>208.0</v>
      </c>
      <c r="U208" s="48">
        <f t="shared" si="9"/>
        <v>5143</v>
      </c>
      <c r="V208" s="48">
        <f t="shared" si="10"/>
        <v>6053</v>
      </c>
      <c r="W208" s="49">
        <f t="shared" si="11"/>
        <v>0.3639898892</v>
      </c>
      <c r="X208" s="49">
        <f t="shared" si="12"/>
        <v>0.4703480459</v>
      </c>
      <c r="Y208" s="49">
        <f t="shared" si="13"/>
        <v>0.1656620649</v>
      </c>
      <c r="Z208" s="32" t="str">
        <f t="shared" si="14"/>
        <v>Milton</v>
      </c>
      <c r="AA208" s="50" t="s">
        <v>77</v>
      </c>
      <c r="AB208" s="38">
        <v>6992.0</v>
      </c>
      <c r="AC208" s="48">
        <f t="shared" si="17"/>
        <v>939</v>
      </c>
      <c r="AD208" s="51">
        <f t="shared" si="18"/>
        <v>0.8657036613</v>
      </c>
    </row>
    <row r="209">
      <c r="A209" s="61" t="s">
        <v>563</v>
      </c>
      <c r="B209" s="46" t="s">
        <v>2195</v>
      </c>
      <c r="C209" s="47"/>
      <c r="D209" s="38">
        <v>8721.0</v>
      </c>
      <c r="E209" s="38">
        <v>3285.0</v>
      </c>
      <c r="F209" s="38">
        <v>7115.0</v>
      </c>
      <c r="G209" s="38">
        <v>298.0</v>
      </c>
      <c r="H209" s="55">
        <v>778.0</v>
      </c>
      <c r="I209" s="48">
        <f t="shared" si="3"/>
        <v>19121</v>
      </c>
      <c r="J209" s="114">
        <f t="shared" si="4"/>
        <v>20197</v>
      </c>
      <c r="K209" s="49">
        <f t="shared" si="5"/>
        <v>0.4560953925</v>
      </c>
      <c r="L209" s="49">
        <f t="shared" si="6"/>
        <v>0.171800638</v>
      </c>
      <c r="M209" s="49">
        <f t="shared" si="7"/>
        <v>0.3721039695</v>
      </c>
      <c r="N209" s="32" t="str">
        <f t="shared" si="8"/>
        <v>Jânio</v>
      </c>
      <c r="O209" s="50" t="s">
        <v>77</v>
      </c>
      <c r="P209" s="38">
        <v>7415.0</v>
      </c>
      <c r="Q209" s="38">
        <v>7773.0</v>
      </c>
      <c r="R209" s="38">
        <v>2914.0</v>
      </c>
      <c r="S209" s="38">
        <v>1523.0</v>
      </c>
      <c r="T209" s="38">
        <v>572.0</v>
      </c>
      <c r="U209" s="48">
        <f t="shared" si="9"/>
        <v>18102</v>
      </c>
      <c r="V209" s="48">
        <f t="shared" si="10"/>
        <v>20197</v>
      </c>
      <c r="W209" s="49">
        <f t="shared" si="11"/>
        <v>0.4096232461</v>
      </c>
      <c r="X209" s="49">
        <f t="shared" si="12"/>
        <v>0.4294000663</v>
      </c>
      <c r="Y209" s="49">
        <f t="shared" si="13"/>
        <v>0.1609766877</v>
      </c>
      <c r="Z209" s="32" t="str">
        <f t="shared" si="14"/>
        <v>Milton</v>
      </c>
      <c r="AA209" s="50" t="s">
        <v>77</v>
      </c>
      <c r="AB209" s="38">
        <v>22124.0</v>
      </c>
      <c r="AC209" s="48">
        <f t="shared" si="17"/>
        <v>1927</v>
      </c>
      <c r="AD209" s="51">
        <f t="shared" si="18"/>
        <v>0.9129000181</v>
      </c>
    </row>
    <row r="210">
      <c r="A210" s="23"/>
      <c r="B210" s="46" t="s">
        <v>2196</v>
      </c>
      <c r="C210" s="47"/>
      <c r="D210" s="38">
        <v>843.0</v>
      </c>
      <c r="E210" s="38">
        <v>293.0</v>
      </c>
      <c r="F210" s="38">
        <v>691.0</v>
      </c>
      <c r="G210" s="38">
        <v>20.0</v>
      </c>
      <c r="H210" s="38">
        <v>131.0</v>
      </c>
      <c r="I210" s="48">
        <f t="shared" si="3"/>
        <v>1827</v>
      </c>
      <c r="J210" s="48">
        <f t="shared" si="4"/>
        <v>1978</v>
      </c>
      <c r="K210" s="49">
        <f t="shared" si="5"/>
        <v>0.4614121511</v>
      </c>
      <c r="L210" s="49">
        <f t="shared" si="6"/>
        <v>0.1603721949</v>
      </c>
      <c r="M210" s="49">
        <f t="shared" si="7"/>
        <v>0.3782156541</v>
      </c>
      <c r="N210" s="32" t="str">
        <f t="shared" si="8"/>
        <v>Jânio</v>
      </c>
      <c r="O210" s="50" t="s">
        <v>77</v>
      </c>
      <c r="P210" s="38">
        <v>727.0</v>
      </c>
      <c r="Q210" s="38">
        <v>715.0</v>
      </c>
      <c r="R210" s="38">
        <v>291.0</v>
      </c>
      <c r="S210" s="38">
        <v>145.0</v>
      </c>
      <c r="T210" s="38">
        <v>100.0</v>
      </c>
      <c r="U210" s="48">
        <f t="shared" si="9"/>
        <v>1733</v>
      </c>
      <c r="V210" s="48">
        <f t="shared" si="10"/>
        <v>1978</v>
      </c>
      <c r="W210" s="49">
        <f t="shared" si="11"/>
        <v>0.4195037507</v>
      </c>
      <c r="X210" s="49">
        <f t="shared" si="12"/>
        <v>0.4125793422</v>
      </c>
      <c r="Y210" s="49">
        <f t="shared" si="13"/>
        <v>0.1679169071</v>
      </c>
      <c r="Z210" s="32" t="str">
        <f t="shared" si="14"/>
        <v>Jango</v>
      </c>
      <c r="AA210" s="50" t="s">
        <v>77</v>
      </c>
      <c r="AB210" s="38">
        <v>2239.0</v>
      </c>
      <c r="AC210" s="48">
        <f t="shared" si="17"/>
        <v>261</v>
      </c>
      <c r="AD210" s="51">
        <f t="shared" si="18"/>
        <v>0.8834301027</v>
      </c>
    </row>
    <row r="211">
      <c r="A211" s="23"/>
      <c r="B211" s="46" t="s">
        <v>2197</v>
      </c>
      <c r="C211" s="47"/>
      <c r="D211" s="38">
        <v>445.0</v>
      </c>
      <c r="E211" s="38">
        <v>157.0</v>
      </c>
      <c r="F211" s="38">
        <v>504.0</v>
      </c>
      <c r="G211" s="38">
        <v>30.0</v>
      </c>
      <c r="H211" s="38">
        <v>60.0</v>
      </c>
      <c r="I211" s="48">
        <f t="shared" si="3"/>
        <v>1106</v>
      </c>
      <c r="J211" s="48">
        <f t="shared" si="4"/>
        <v>1196</v>
      </c>
      <c r="K211" s="49">
        <f t="shared" si="5"/>
        <v>0.4023508137</v>
      </c>
      <c r="L211" s="49">
        <f t="shared" si="6"/>
        <v>0.1419529837</v>
      </c>
      <c r="M211" s="49">
        <f t="shared" si="7"/>
        <v>0.4556962025</v>
      </c>
      <c r="N211" s="32" t="str">
        <f t="shared" si="8"/>
        <v>Adhemar</v>
      </c>
      <c r="O211" s="50" t="s">
        <v>77</v>
      </c>
      <c r="P211" s="38">
        <v>348.0</v>
      </c>
      <c r="Q211" s="38">
        <v>290.0</v>
      </c>
      <c r="R211" s="38">
        <v>240.0</v>
      </c>
      <c r="S211" s="38">
        <v>285.0</v>
      </c>
      <c r="T211" s="38">
        <v>33.0</v>
      </c>
      <c r="U211" s="48">
        <f t="shared" si="9"/>
        <v>878</v>
      </c>
      <c r="V211" s="48">
        <f t="shared" si="10"/>
        <v>1196</v>
      </c>
      <c r="W211" s="49">
        <f t="shared" si="11"/>
        <v>0.3963553531</v>
      </c>
      <c r="X211" s="49">
        <f t="shared" si="12"/>
        <v>0.3302961276</v>
      </c>
      <c r="Y211" s="49">
        <f t="shared" si="13"/>
        <v>0.2733485194</v>
      </c>
      <c r="Z211" s="32" t="str">
        <f t="shared" si="14"/>
        <v>Jango</v>
      </c>
      <c r="AA211" s="50" t="s">
        <v>77</v>
      </c>
      <c r="AB211" s="38">
        <v>1286.0</v>
      </c>
      <c r="AC211" s="48">
        <f t="shared" si="17"/>
        <v>90</v>
      </c>
      <c r="AD211" s="51">
        <f t="shared" si="18"/>
        <v>0.9300155521</v>
      </c>
    </row>
    <row r="212">
      <c r="A212" s="23"/>
      <c r="B212" s="46" t="s">
        <v>2198</v>
      </c>
      <c r="C212" s="47"/>
      <c r="D212" s="38">
        <v>661.0</v>
      </c>
      <c r="E212" s="38">
        <v>216.0</v>
      </c>
      <c r="F212" s="38">
        <v>754.0</v>
      </c>
      <c r="G212" s="38">
        <v>70.0</v>
      </c>
      <c r="H212" s="38">
        <v>154.0</v>
      </c>
      <c r="I212" s="48">
        <f t="shared" si="3"/>
        <v>1631</v>
      </c>
      <c r="J212" s="48">
        <f t="shared" si="4"/>
        <v>1855</v>
      </c>
      <c r="K212" s="49">
        <f t="shared" si="5"/>
        <v>0.4052728387</v>
      </c>
      <c r="L212" s="49">
        <f t="shared" si="6"/>
        <v>0.1324340895</v>
      </c>
      <c r="M212" s="49">
        <f t="shared" si="7"/>
        <v>0.4622930717</v>
      </c>
      <c r="N212" s="32" t="str">
        <f t="shared" si="8"/>
        <v>Adhemar</v>
      </c>
      <c r="O212" s="50" t="s">
        <v>77</v>
      </c>
      <c r="P212" s="38">
        <v>686.0</v>
      </c>
      <c r="Q212" s="38">
        <v>546.0</v>
      </c>
      <c r="R212" s="38">
        <v>219.0</v>
      </c>
      <c r="S212" s="38">
        <v>299.0</v>
      </c>
      <c r="T212" s="38">
        <v>105.0</v>
      </c>
      <c r="U212" s="48">
        <f t="shared" si="9"/>
        <v>1451</v>
      </c>
      <c r="V212" s="48">
        <f t="shared" si="10"/>
        <v>1855</v>
      </c>
      <c r="W212" s="49">
        <f t="shared" si="11"/>
        <v>0.4727773949</v>
      </c>
      <c r="X212" s="49">
        <f t="shared" si="12"/>
        <v>0.3762922123</v>
      </c>
      <c r="Y212" s="49">
        <f t="shared" si="13"/>
        <v>0.1509303928</v>
      </c>
      <c r="Z212" s="32" t="str">
        <f t="shared" si="14"/>
        <v>Jango</v>
      </c>
      <c r="AA212" s="50" t="s">
        <v>77</v>
      </c>
      <c r="AB212" s="38">
        <v>2141.0</v>
      </c>
      <c r="AC212" s="48">
        <f t="shared" si="17"/>
        <v>286</v>
      </c>
      <c r="AD212" s="51">
        <f t="shared" si="18"/>
        <v>0.8664175619</v>
      </c>
    </row>
    <row r="213">
      <c r="A213" s="23"/>
      <c r="B213" s="46" t="s">
        <v>2199</v>
      </c>
      <c r="C213" s="47"/>
      <c r="D213" s="38">
        <v>1306.0</v>
      </c>
      <c r="E213" s="38">
        <v>607.0</v>
      </c>
      <c r="F213" s="38">
        <v>1024.0</v>
      </c>
      <c r="G213" s="38">
        <v>57.0</v>
      </c>
      <c r="H213" s="38">
        <v>175.0</v>
      </c>
      <c r="I213" s="48">
        <f t="shared" si="3"/>
        <v>2937</v>
      </c>
      <c r="J213" s="48">
        <f t="shared" si="4"/>
        <v>3169</v>
      </c>
      <c r="K213" s="49">
        <f t="shared" si="5"/>
        <v>0.4446714334</v>
      </c>
      <c r="L213" s="49">
        <f t="shared" si="6"/>
        <v>0.2066734763</v>
      </c>
      <c r="M213" s="49">
        <f t="shared" si="7"/>
        <v>0.3486550902</v>
      </c>
      <c r="N213" s="32" t="str">
        <f t="shared" si="8"/>
        <v>Jânio</v>
      </c>
      <c r="O213" s="50" t="s">
        <v>77</v>
      </c>
      <c r="P213" s="38">
        <v>1294.0</v>
      </c>
      <c r="Q213" s="38">
        <v>1098.0</v>
      </c>
      <c r="R213" s="38">
        <v>369.0</v>
      </c>
      <c r="S213" s="55">
        <v>270.0</v>
      </c>
      <c r="T213" s="38">
        <v>138.0</v>
      </c>
      <c r="U213" s="48">
        <f t="shared" si="9"/>
        <v>2761</v>
      </c>
      <c r="V213" s="114">
        <f t="shared" si="10"/>
        <v>3169</v>
      </c>
      <c r="W213" s="49">
        <f t="shared" si="11"/>
        <v>0.4686707715</v>
      </c>
      <c r="X213" s="49">
        <f t="shared" si="12"/>
        <v>0.3976819993</v>
      </c>
      <c r="Y213" s="49">
        <f t="shared" si="13"/>
        <v>0.1336472293</v>
      </c>
      <c r="Z213" s="32" t="str">
        <f t="shared" si="14"/>
        <v>Jango</v>
      </c>
      <c r="AA213" s="50" t="s">
        <v>77</v>
      </c>
      <c r="AB213" s="38">
        <v>3606.0</v>
      </c>
      <c r="AC213" s="48">
        <f t="shared" si="17"/>
        <v>437</v>
      </c>
      <c r="AD213" s="51">
        <f t="shared" si="18"/>
        <v>0.8788130893</v>
      </c>
    </row>
    <row r="214">
      <c r="A214" s="24"/>
      <c r="B214" s="46" t="s">
        <v>2200</v>
      </c>
      <c r="C214" s="47"/>
      <c r="D214" s="38">
        <v>1959.0</v>
      </c>
      <c r="E214" s="38">
        <v>767.0</v>
      </c>
      <c r="F214" s="38">
        <v>1942.0</v>
      </c>
      <c r="G214" s="38">
        <v>90.0</v>
      </c>
      <c r="H214" s="38">
        <v>254.0</v>
      </c>
      <c r="I214" s="48">
        <f t="shared" si="3"/>
        <v>4668</v>
      </c>
      <c r="J214" s="48">
        <f t="shared" si="4"/>
        <v>5012</v>
      </c>
      <c r="K214" s="49">
        <f t="shared" si="5"/>
        <v>0.4196658098</v>
      </c>
      <c r="L214" s="49">
        <f t="shared" si="6"/>
        <v>0.1643101971</v>
      </c>
      <c r="M214" s="49">
        <f t="shared" si="7"/>
        <v>0.4160239931</v>
      </c>
      <c r="N214" s="32" t="str">
        <f t="shared" si="8"/>
        <v>Jânio</v>
      </c>
      <c r="O214" s="50" t="s">
        <v>77</v>
      </c>
      <c r="P214" s="38">
        <v>2137.0</v>
      </c>
      <c r="Q214" s="38">
        <v>1426.0</v>
      </c>
      <c r="R214" s="38">
        <v>826.0</v>
      </c>
      <c r="S214" s="38">
        <v>393.0</v>
      </c>
      <c r="T214" s="38">
        <v>230.0</v>
      </c>
      <c r="U214" s="48">
        <f t="shared" si="9"/>
        <v>4389</v>
      </c>
      <c r="V214" s="48">
        <f t="shared" si="10"/>
        <v>5012</v>
      </c>
      <c r="W214" s="49">
        <f t="shared" si="11"/>
        <v>0.4868990658</v>
      </c>
      <c r="X214" s="49">
        <f t="shared" si="12"/>
        <v>0.324903167</v>
      </c>
      <c r="Y214" s="49">
        <f t="shared" si="13"/>
        <v>0.1881977671</v>
      </c>
      <c r="Z214" s="32" t="str">
        <f t="shared" si="14"/>
        <v>Jango</v>
      </c>
      <c r="AA214" s="50" t="s">
        <v>77</v>
      </c>
      <c r="AB214" s="38">
        <v>5481.0</v>
      </c>
      <c r="AC214" s="48">
        <f t="shared" si="17"/>
        <v>469</v>
      </c>
      <c r="AD214" s="51">
        <f t="shared" si="18"/>
        <v>0.9144316731</v>
      </c>
    </row>
    <row r="215">
      <c r="A215" s="61" t="s">
        <v>565</v>
      </c>
      <c r="B215" s="46" t="s">
        <v>2201</v>
      </c>
      <c r="C215" s="47"/>
      <c r="D215" s="38">
        <v>3651.0</v>
      </c>
      <c r="E215" s="38">
        <v>1562.0</v>
      </c>
      <c r="F215" s="38">
        <v>701.0</v>
      </c>
      <c r="G215" s="38">
        <v>100.0</v>
      </c>
      <c r="H215" s="38">
        <v>128.0</v>
      </c>
      <c r="I215" s="48">
        <f t="shared" si="3"/>
        <v>5914</v>
      </c>
      <c r="J215" s="48">
        <f t="shared" si="4"/>
        <v>6142</v>
      </c>
      <c r="K215" s="49">
        <f t="shared" si="5"/>
        <v>0.6173486642</v>
      </c>
      <c r="L215" s="49">
        <f t="shared" si="6"/>
        <v>0.2641190396</v>
      </c>
      <c r="M215" s="49">
        <f t="shared" si="7"/>
        <v>0.1185322962</v>
      </c>
      <c r="N215" s="32" t="str">
        <f t="shared" si="8"/>
        <v>Jânio</v>
      </c>
      <c r="O215" s="50" t="s">
        <v>77</v>
      </c>
      <c r="P215" s="38">
        <v>1834.0</v>
      </c>
      <c r="Q215" s="38">
        <v>1669.0</v>
      </c>
      <c r="R215" s="38">
        <v>2153.0</v>
      </c>
      <c r="S215" s="38">
        <v>373.0</v>
      </c>
      <c r="T215" s="38">
        <v>113.0</v>
      </c>
      <c r="U215" s="48">
        <f t="shared" si="9"/>
        <v>5656</v>
      </c>
      <c r="V215" s="48">
        <f t="shared" si="10"/>
        <v>6142</v>
      </c>
      <c r="W215" s="49">
        <f t="shared" si="11"/>
        <v>0.3242574257</v>
      </c>
      <c r="X215" s="49">
        <f t="shared" si="12"/>
        <v>0.2950848656</v>
      </c>
      <c r="Y215" s="49">
        <f t="shared" si="13"/>
        <v>0.3806577086</v>
      </c>
      <c r="Z215" s="32" t="str">
        <f t="shared" si="14"/>
        <v>Ferrari</v>
      </c>
      <c r="AA215" s="50" t="s">
        <v>77</v>
      </c>
      <c r="AB215" s="38">
        <v>6678.0</v>
      </c>
      <c r="AC215" s="48">
        <f t="shared" si="17"/>
        <v>536</v>
      </c>
      <c r="AD215" s="51">
        <f t="shared" si="18"/>
        <v>0.919736448</v>
      </c>
    </row>
    <row r="216">
      <c r="A216" s="23"/>
      <c r="B216" s="46" t="s">
        <v>2202</v>
      </c>
      <c r="C216" s="47"/>
      <c r="D216" s="38">
        <v>698.0</v>
      </c>
      <c r="E216" s="38">
        <v>91.0</v>
      </c>
      <c r="F216" s="38">
        <v>355.0</v>
      </c>
      <c r="G216" s="38">
        <v>35.0</v>
      </c>
      <c r="H216" s="38">
        <v>78.0</v>
      </c>
      <c r="I216" s="48">
        <f t="shared" si="3"/>
        <v>1144</v>
      </c>
      <c r="J216" s="48">
        <f t="shared" si="4"/>
        <v>1257</v>
      </c>
      <c r="K216" s="49">
        <f t="shared" si="5"/>
        <v>0.6101398601</v>
      </c>
      <c r="L216" s="49">
        <f t="shared" si="6"/>
        <v>0.07954545455</v>
      </c>
      <c r="M216" s="49">
        <f t="shared" si="7"/>
        <v>0.3103146853</v>
      </c>
      <c r="N216" s="32" t="str">
        <f t="shared" si="8"/>
        <v>Jânio</v>
      </c>
      <c r="O216" s="50" t="s">
        <v>77</v>
      </c>
      <c r="P216" s="38">
        <v>289.0</v>
      </c>
      <c r="Q216" s="38">
        <v>350.0</v>
      </c>
      <c r="R216" s="38">
        <v>399.0</v>
      </c>
      <c r="S216" s="38">
        <v>173.0</v>
      </c>
      <c r="T216" s="38">
        <v>46.0</v>
      </c>
      <c r="U216" s="48">
        <f t="shared" si="9"/>
        <v>1038</v>
      </c>
      <c r="V216" s="48">
        <f t="shared" si="10"/>
        <v>1257</v>
      </c>
      <c r="W216" s="49">
        <f t="shared" si="11"/>
        <v>0.2784200385</v>
      </c>
      <c r="X216" s="49">
        <f t="shared" si="12"/>
        <v>0.3371868979</v>
      </c>
      <c r="Y216" s="49">
        <f t="shared" si="13"/>
        <v>0.3843930636</v>
      </c>
      <c r="Z216" s="32" t="str">
        <f t="shared" si="14"/>
        <v>Ferrari</v>
      </c>
      <c r="AA216" s="50" t="s">
        <v>77</v>
      </c>
      <c r="AB216" s="38">
        <v>1344.0</v>
      </c>
      <c r="AC216" s="48">
        <f t="shared" si="17"/>
        <v>87</v>
      </c>
      <c r="AD216" s="51">
        <f t="shared" si="18"/>
        <v>0.9352678571</v>
      </c>
    </row>
    <row r="217">
      <c r="A217" s="23"/>
      <c r="B217" s="46" t="s">
        <v>2203</v>
      </c>
      <c r="C217" s="47"/>
      <c r="D217" s="38">
        <v>635.0</v>
      </c>
      <c r="E217" s="38">
        <v>91.0</v>
      </c>
      <c r="F217" s="38">
        <v>692.0</v>
      </c>
      <c r="G217" s="38">
        <v>50.0</v>
      </c>
      <c r="H217" s="38">
        <v>55.0</v>
      </c>
      <c r="I217" s="48">
        <f t="shared" si="3"/>
        <v>1418</v>
      </c>
      <c r="J217" s="48">
        <f t="shared" si="4"/>
        <v>1523</v>
      </c>
      <c r="K217" s="49">
        <f t="shared" si="5"/>
        <v>0.4478138223</v>
      </c>
      <c r="L217" s="49">
        <f t="shared" si="6"/>
        <v>0.06417489422</v>
      </c>
      <c r="M217" s="49">
        <f t="shared" si="7"/>
        <v>0.4880112835</v>
      </c>
      <c r="N217" s="32" t="str">
        <f t="shared" si="8"/>
        <v>Adhemar</v>
      </c>
      <c r="O217" s="50" t="s">
        <v>77</v>
      </c>
      <c r="P217" s="38">
        <v>468.0</v>
      </c>
      <c r="Q217" s="38">
        <v>273.0</v>
      </c>
      <c r="R217" s="38">
        <v>569.0</v>
      </c>
      <c r="S217" s="38">
        <v>180.0</v>
      </c>
      <c r="T217" s="38">
        <v>33.0</v>
      </c>
      <c r="U217" s="48">
        <f t="shared" si="9"/>
        <v>1310</v>
      </c>
      <c r="V217" s="48">
        <f t="shared" si="10"/>
        <v>1523</v>
      </c>
      <c r="W217" s="49">
        <f t="shared" si="11"/>
        <v>0.3572519084</v>
      </c>
      <c r="X217" s="49">
        <f t="shared" si="12"/>
        <v>0.2083969466</v>
      </c>
      <c r="Y217" s="49">
        <f t="shared" si="13"/>
        <v>0.434351145</v>
      </c>
      <c r="Z217" s="32" t="str">
        <f t="shared" si="14"/>
        <v>Ferrari</v>
      </c>
      <c r="AA217" s="50" t="s">
        <v>77</v>
      </c>
      <c r="AB217" s="38">
        <v>1638.0</v>
      </c>
      <c r="AC217" s="48">
        <f t="shared" si="17"/>
        <v>115</v>
      </c>
      <c r="AD217" s="51">
        <f t="shared" si="18"/>
        <v>0.9297924298</v>
      </c>
    </row>
    <row r="218">
      <c r="A218" s="23"/>
      <c r="B218" s="46" t="s">
        <v>2204</v>
      </c>
      <c r="C218" s="47"/>
      <c r="D218" s="38">
        <v>682.0</v>
      </c>
      <c r="E218" s="38">
        <v>145.0</v>
      </c>
      <c r="F218" s="38">
        <v>309.0</v>
      </c>
      <c r="G218" s="38">
        <v>30.0</v>
      </c>
      <c r="H218" s="38">
        <v>52.0</v>
      </c>
      <c r="I218" s="48">
        <f t="shared" si="3"/>
        <v>1136</v>
      </c>
      <c r="J218" s="48">
        <f t="shared" si="4"/>
        <v>1218</v>
      </c>
      <c r="K218" s="49">
        <f t="shared" si="5"/>
        <v>0.6003521127</v>
      </c>
      <c r="L218" s="49">
        <f t="shared" si="6"/>
        <v>0.1276408451</v>
      </c>
      <c r="M218" s="49">
        <f t="shared" si="7"/>
        <v>0.2720070423</v>
      </c>
      <c r="N218" s="32" t="str">
        <f t="shared" si="8"/>
        <v>Jânio</v>
      </c>
      <c r="O218" s="50" t="s">
        <v>77</v>
      </c>
      <c r="P218" s="38">
        <v>268.0</v>
      </c>
      <c r="Q218" s="38">
        <v>372.0</v>
      </c>
      <c r="R218" s="38">
        <v>432.0</v>
      </c>
      <c r="S218" s="38">
        <v>119.0</v>
      </c>
      <c r="T218" s="38">
        <v>27.0</v>
      </c>
      <c r="U218" s="48">
        <f t="shared" si="9"/>
        <v>1072</v>
      </c>
      <c r="V218" s="48">
        <f t="shared" si="10"/>
        <v>1218</v>
      </c>
      <c r="W218" s="49">
        <f t="shared" si="11"/>
        <v>0.25</v>
      </c>
      <c r="X218" s="49">
        <f t="shared" si="12"/>
        <v>0.3470149254</v>
      </c>
      <c r="Y218" s="49">
        <f t="shared" si="13"/>
        <v>0.4029850746</v>
      </c>
      <c r="Z218" s="32" t="str">
        <f t="shared" si="14"/>
        <v>Ferrari</v>
      </c>
      <c r="AA218" s="50" t="s">
        <v>77</v>
      </c>
      <c r="AB218" s="38">
        <v>1305.0</v>
      </c>
      <c r="AC218" s="48">
        <f t="shared" si="17"/>
        <v>87</v>
      </c>
      <c r="AD218" s="51">
        <f t="shared" si="18"/>
        <v>0.9333333333</v>
      </c>
    </row>
    <row r="219">
      <c r="A219" s="23"/>
      <c r="B219" s="46" t="s">
        <v>2205</v>
      </c>
      <c r="C219" s="47"/>
      <c r="D219" s="38">
        <v>1871.0</v>
      </c>
      <c r="E219" s="38">
        <v>902.0</v>
      </c>
      <c r="F219" s="38">
        <v>589.0</v>
      </c>
      <c r="G219" s="38">
        <v>100.0</v>
      </c>
      <c r="H219" s="38">
        <v>126.0</v>
      </c>
      <c r="I219" s="48">
        <f t="shared" si="3"/>
        <v>3362</v>
      </c>
      <c r="J219" s="48">
        <f t="shared" si="4"/>
        <v>3588</v>
      </c>
      <c r="K219" s="49">
        <f t="shared" si="5"/>
        <v>0.5565139798</v>
      </c>
      <c r="L219" s="49">
        <f t="shared" si="6"/>
        <v>0.2682926829</v>
      </c>
      <c r="M219" s="49">
        <f t="shared" si="7"/>
        <v>0.1751933373</v>
      </c>
      <c r="N219" s="32" t="str">
        <f t="shared" si="8"/>
        <v>Jânio</v>
      </c>
      <c r="O219" s="50" t="s">
        <v>77</v>
      </c>
      <c r="P219" s="38">
        <v>1248.0</v>
      </c>
      <c r="Q219" s="38">
        <v>1294.0</v>
      </c>
      <c r="R219" s="38">
        <v>523.0</v>
      </c>
      <c r="S219" s="38">
        <v>424.0</v>
      </c>
      <c r="T219" s="38">
        <v>99.0</v>
      </c>
      <c r="U219" s="48">
        <f t="shared" si="9"/>
        <v>3065</v>
      </c>
      <c r="V219" s="48">
        <f t="shared" si="10"/>
        <v>3588</v>
      </c>
      <c r="W219" s="49">
        <f t="shared" si="11"/>
        <v>0.407177814</v>
      </c>
      <c r="X219" s="49">
        <f t="shared" si="12"/>
        <v>0.4221859706</v>
      </c>
      <c r="Y219" s="49">
        <f t="shared" si="13"/>
        <v>0.1706362153</v>
      </c>
      <c r="Z219" s="32" t="str">
        <f t="shared" si="14"/>
        <v>Milton</v>
      </c>
      <c r="AA219" s="50" t="s">
        <v>77</v>
      </c>
      <c r="AB219" s="38">
        <v>3869.0</v>
      </c>
      <c r="AC219" s="48">
        <f t="shared" si="17"/>
        <v>281</v>
      </c>
      <c r="AD219" s="51">
        <f t="shared" si="18"/>
        <v>0.9273714138</v>
      </c>
    </row>
    <row r="220">
      <c r="A220" s="23"/>
      <c r="B220" s="46" t="s">
        <v>2206</v>
      </c>
      <c r="C220" s="47"/>
      <c r="D220" s="38">
        <v>676.0</v>
      </c>
      <c r="E220" s="38">
        <v>127.0</v>
      </c>
      <c r="F220" s="38">
        <v>465.0</v>
      </c>
      <c r="G220" s="38">
        <v>59.0</v>
      </c>
      <c r="H220" s="38">
        <v>64.0</v>
      </c>
      <c r="I220" s="48">
        <f t="shared" si="3"/>
        <v>1268</v>
      </c>
      <c r="J220" s="48">
        <f t="shared" si="4"/>
        <v>1391</v>
      </c>
      <c r="K220" s="49">
        <f t="shared" si="5"/>
        <v>0.5331230284</v>
      </c>
      <c r="L220" s="49">
        <f t="shared" si="6"/>
        <v>0.1001577287</v>
      </c>
      <c r="M220" s="49">
        <f t="shared" si="7"/>
        <v>0.3667192429</v>
      </c>
      <c r="N220" s="32" t="str">
        <f t="shared" si="8"/>
        <v>Jânio</v>
      </c>
      <c r="O220" s="50" t="s">
        <v>77</v>
      </c>
      <c r="P220" s="38">
        <v>384.0</v>
      </c>
      <c r="Q220" s="38">
        <v>199.0</v>
      </c>
      <c r="R220" s="38">
        <v>502.0</v>
      </c>
      <c r="S220" s="38">
        <v>278.0</v>
      </c>
      <c r="T220" s="38">
        <v>28.0</v>
      </c>
      <c r="U220" s="48">
        <f t="shared" si="9"/>
        <v>1085</v>
      </c>
      <c r="V220" s="48">
        <f t="shared" si="10"/>
        <v>1391</v>
      </c>
      <c r="W220" s="49">
        <f t="shared" si="11"/>
        <v>0.3539170507</v>
      </c>
      <c r="X220" s="49">
        <f t="shared" si="12"/>
        <v>0.1834101382</v>
      </c>
      <c r="Y220" s="49">
        <f t="shared" si="13"/>
        <v>0.4626728111</v>
      </c>
      <c r="Z220" s="32" t="str">
        <f t="shared" si="14"/>
        <v>Ferrari</v>
      </c>
      <c r="AA220" s="50" t="s">
        <v>77</v>
      </c>
      <c r="AB220" s="38">
        <v>1662.0</v>
      </c>
      <c r="AC220" s="48">
        <f t="shared" si="17"/>
        <v>271</v>
      </c>
      <c r="AD220" s="51">
        <f t="shared" si="18"/>
        <v>0.8369434416</v>
      </c>
    </row>
    <row r="221">
      <c r="A221" s="61" t="s">
        <v>568</v>
      </c>
      <c r="B221" s="46" t="s">
        <v>2207</v>
      </c>
      <c r="C221" s="47"/>
      <c r="D221" s="38">
        <v>2233.0</v>
      </c>
      <c r="E221" s="38">
        <v>248.0</v>
      </c>
      <c r="F221" s="38">
        <v>988.0</v>
      </c>
      <c r="G221" s="38">
        <v>120.0</v>
      </c>
      <c r="H221" s="38">
        <v>142.0</v>
      </c>
      <c r="I221" s="48">
        <f t="shared" si="3"/>
        <v>3469</v>
      </c>
      <c r="J221" s="48">
        <f t="shared" si="4"/>
        <v>3731</v>
      </c>
      <c r="K221" s="49">
        <f t="shared" si="5"/>
        <v>0.6437013549</v>
      </c>
      <c r="L221" s="49">
        <f t="shared" si="6"/>
        <v>0.07149034304</v>
      </c>
      <c r="M221" s="49">
        <f t="shared" si="7"/>
        <v>0.2848083021</v>
      </c>
      <c r="N221" s="32" t="str">
        <f t="shared" si="8"/>
        <v>Jânio</v>
      </c>
      <c r="O221" s="50" t="s">
        <v>77</v>
      </c>
      <c r="P221" s="38">
        <v>882.0</v>
      </c>
      <c r="Q221" s="38">
        <v>1680.0</v>
      </c>
      <c r="R221" s="38">
        <v>586.0</v>
      </c>
      <c r="S221" s="38">
        <v>498.0</v>
      </c>
      <c r="T221" s="38">
        <v>85.0</v>
      </c>
      <c r="U221" s="48">
        <f t="shared" si="9"/>
        <v>3148</v>
      </c>
      <c r="V221" s="48">
        <f t="shared" si="10"/>
        <v>3731</v>
      </c>
      <c r="W221" s="49">
        <f t="shared" si="11"/>
        <v>0.2801778907</v>
      </c>
      <c r="X221" s="49">
        <f t="shared" si="12"/>
        <v>0.5336721728</v>
      </c>
      <c r="Y221" s="49">
        <f t="shared" si="13"/>
        <v>0.1861499365</v>
      </c>
      <c r="Z221" s="32" t="str">
        <f t="shared" si="14"/>
        <v>Milton</v>
      </c>
      <c r="AA221" s="50" t="s">
        <v>77</v>
      </c>
      <c r="AB221" s="38">
        <v>4128.0</v>
      </c>
      <c r="AC221" s="48">
        <f t="shared" si="17"/>
        <v>397</v>
      </c>
      <c r="AD221" s="51">
        <f t="shared" si="18"/>
        <v>0.9038275194</v>
      </c>
    </row>
    <row r="222">
      <c r="A222" s="23"/>
      <c r="B222" s="46" t="s">
        <v>2208</v>
      </c>
      <c r="C222" s="47"/>
      <c r="D222" s="38">
        <v>393.0</v>
      </c>
      <c r="E222" s="38">
        <v>43.0</v>
      </c>
      <c r="F222" s="38">
        <v>263.0</v>
      </c>
      <c r="G222" s="38">
        <v>21.0</v>
      </c>
      <c r="H222" s="38">
        <v>34.0</v>
      </c>
      <c r="I222" s="48">
        <f t="shared" si="3"/>
        <v>699</v>
      </c>
      <c r="J222" s="48">
        <f t="shared" si="4"/>
        <v>754</v>
      </c>
      <c r="K222" s="49">
        <f t="shared" si="5"/>
        <v>0.5622317597</v>
      </c>
      <c r="L222" s="49">
        <f t="shared" si="6"/>
        <v>0.06151645207</v>
      </c>
      <c r="M222" s="49">
        <f t="shared" si="7"/>
        <v>0.3762517883</v>
      </c>
      <c r="N222" s="32" t="str">
        <f t="shared" si="8"/>
        <v>Jânio</v>
      </c>
      <c r="O222" s="50" t="s">
        <v>77</v>
      </c>
      <c r="P222" s="38">
        <v>246.0</v>
      </c>
      <c r="Q222" s="38">
        <v>303.0</v>
      </c>
      <c r="R222" s="38">
        <v>58.0</v>
      </c>
      <c r="S222" s="38">
        <v>129.0</v>
      </c>
      <c r="T222" s="38">
        <v>18.0</v>
      </c>
      <c r="U222" s="48">
        <f t="shared" si="9"/>
        <v>607</v>
      </c>
      <c r="V222" s="48">
        <f t="shared" si="10"/>
        <v>754</v>
      </c>
      <c r="W222" s="49">
        <f t="shared" si="11"/>
        <v>0.4052718287</v>
      </c>
      <c r="X222" s="49">
        <f t="shared" si="12"/>
        <v>0.4991762768</v>
      </c>
      <c r="Y222" s="49">
        <f t="shared" si="13"/>
        <v>0.09555189456</v>
      </c>
      <c r="Z222" s="32" t="str">
        <f t="shared" si="14"/>
        <v>Milton</v>
      </c>
      <c r="AA222" s="50" t="s">
        <v>77</v>
      </c>
      <c r="AB222" s="38">
        <v>929.0</v>
      </c>
      <c r="AC222" s="48">
        <f t="shared" si="17"/>
        <v>175</v>
      </c>
      <c r="AD222" s="51">
        <f t="shared" si="18"/>
        <v>0.8116254037</v>
      </c>
    </row>
    <row r="223">
      <c r="A223" s="23"/>
      <c r="B223" s="46" t="s">
        <v>2209</v>
      </c>
      <c r="C223" s="47"/>
      <c r="D223" s="38">
        <v>746.0</v>
      </c>
      <c r="E223" s="38">
        <v>65.0</v>
      </c>
      <c r="F223" s="38">
        <v>286.0</v>
      </c>
      <c r="G223" s="38">
        <v>28.0</v>
      </c>
      <c r="H223" s="38">
        <v>42.0</v>
      </c>
      <c r="I223" s="48">
        <f t="shared" si="3"/>
        <v>1097</v>
      </c>
      <c r="J223" s="48">
        <f t="shared" si="4"/>
        <v>1167</v>
      </c>
      <c r="K223" s="49">
        <f t="shared" si="5"/>
        <v>0.6800364631</v>
      </c>
      <c r="L223" s="49">
        <f t="shared" si="6"/>
        <v>0.05925250684</v>
      </c>
      <c r="M223" s="49">
        <f t="shared" si="7"/>
        <v>0.2607110301</v>
      </c>
      <c r="N223" s="32" t="str">
        <f t="shared" si="8"/>
        <v>Jânio</v>
      </c>
      <c r="O223" s="50" t="s">
        <v>77</v>
      </c>
      <c r="P223" s="38">
        <v>231.0</v>
      </c>
      <c r="Q223" s="38">
        <v>635.0</v>
      </c>
      <c r="R223" s="38">
        <v>127.0</v>
      </c>
      <c r="S223" s="38">
        <v>152.0</v>
      </c>
      <c r="T223" s="38">
        <v>22.0</v>
      </c>
      <c r="U223" s="48">
        <f t="shared" si="9"/>
        <v>993</v>
      </c>
      <c r="V223" s="48">
        <f t="shared" si="10"/>
        <v>1167</v>
      </c>
      <c r="W223" s="49">
        <f t="shared" si="11"/>
        <v>0.2326283988</v>
      </c>
      <c r="X223" s="49">
        <f t="shared" si="12"/>
        <v>0.6394763343</v>
      </c>
      <c r="Y223" s="49">
        <f t="shared" si="13"/>
        <v>0.1278952669</v>
      </c>
      <c r="Z223" s="32" t="str">
        <f t="shared" si="14"/>
        <v>Milton</v>
      </c>
      <c r="AA223" s="50" t="s">
        <v>77</v>
      </c>
      <c r="AB223" s="38">
        <v>1315.0</v>
      </c>
      <c r="AC223" s="48">
        <f t="shared" si="17"/>
        <v>148</v>
      </c>
      <c r="AD223" s="51">
        <f t="shared" si="18"/>
        <v>0.8874524715</v>
      </c>
    </row>
    <row r="224">
      <c r="A224" s="24"/>
      <c r="B224" s="46" t="s">
        <v>2210</v>
      </c>
      <c r="C224" s="47"/>
      <c r="D224" s="38">
        <v>209.0</v>
      </c>
      <c r="E224" s="38">
        <v>49.0</v>
      </c>
      <c r="F224" s="38">
        <v>205.0</v>
      </c>
      <c r="G224" s="38">
        <v>20.0</v>
      </c>
      <c r="H224" s="38">
        <v>28.0</v>
      </c>
      <c r="I224" s="48">
        <f t="shared" si="3"/>
        <v>463</v>
      </c>
      <c r="J224" s="48">
        <f t="shared" si="4"/>
        <v>511</v>
      </c>
      <c r="K224" s="49">
        <f t="shared" si="5"/>
        <v>0.4514038877</v>
      </c>
      <c r="L224" s="49">
        <f t="shared" si="6"/>
        <v>0.1058315335</v>
      </c>
      <c r="M224" s="49">
        <f t="shared" si="7"/>
        <v>0.4427645788</v>
      </c>
      <c r="N224" s="32" t="str">
        <f t="shared" si="8"/>
        <v>Jânio</v>
      </c>
      <c r="O224" s="50" t="s">
        <v>77</v>
      </c>
      <c r="P224" s="38">
        <v>135.0</v>
      </c>
      <c r="Q224" s="38">
        <v>168.0</v>
      </c>
      <c r="R224" s="38">
        <v>59.0</v>
      </c>
      <c r="S224" s="38">
        <v>135.0</v>
      </c>
      <c r="T224" s="38">
        <v>14.0</v>
      </c>
      <c r="U224" s="48">
        <f t="shared" si="9"/>
        <v>362</v>
      </c>
      <c r="V224" s="48">
        <f t="shared" si="10"/>
        <v>511</v>
      </c>
      <c r="W224" s="49">
        <f t="shared" si="11"/>
        <v>0.3729281768</v>
      </c>
      <c r="X224" s="49">
        <f t="shared" si="12"/>
        <v>0.4640883978</v>
      </c>
      <c r="Y224" s="49">
        <f t="shared" si="13"/>
        <v>0.1629834254</v>
      </c>
      <c r="Z224" s="32" t="str">
        <f t="shared" si="14"/>
        <v>Milton</v>
      </c>
      <c r="AA224" s="50" t="s">
        <v>77</v>
      </c>
      <c r="AB224" s="38">
        <v>601.0</v>
      </c>
      <c r="AC224" s="48">
        <f t="shared" si="17"/>
        <v>90</v>
      </c>
      <c r="AD224" s="51">
        <f t="shared" si="18"/>
        <v>0.850249584</v>
      </c>
    </row>
    <row r="225">
      <c r="A225" s="61" t="s">
        <v>570</v>
      </c>
      <c r="B225" s="46" t="s">
        <v>2211</v>
      </c>
      <c r="C225" s="47"/>
      <c r="D225" s="38">
        <v>2116.0</v>
      </c>
      <c r="E225" s="38">
        <v>438.0</v>
      </c>
      <c r="F225" s="38">
        <v>1364.0</v>
      </c>
      <c r="G225" s="38">
        <v>101.0</v>
      </c>
      <c r="H225" s="38">
        <v>209.0</v>
      </c>
      <c r="I225" s="48">
        <f t="shared" si="3"/>
        <v>3918</v>
      </c>
      <c r="J225" s="48">
        <f t="shared" si="4"/>
        <v>4228</v>
      </c>
      <c r="K225" s="49">
        <f t="shared" si="5"/>
        <v>0.540071465</v>
      </c>
      <c r="L225" s="49">
        <f t="shared" si="6"/>
        <v>0.1117917305</v>
      </c>
      <c r="M225" s="49">
        <f t="shared" si="7"/>
        <v>0.3481368045</v>
      </c>
      <c r="N225" s="32" t="str">
        <f t="shared" si="8"/>
        <v>Jânio</v>
      </c>
      <c r="O225" s="50" t="s">
        <v>77</v>
      </c>
      <c r="P225" s="38">
        <v>1179.0</v>
      </c>
      <c r="Q225" s="38">
        <v>1550.0</v>
      </c>
      <c r="R225" s="38">
        <v>677.0</v>
      </c>
      <c r="S225" s="55">
        <v>734.0</v>
      </c>
      <c r="T225" s="38">
        <v>88.0</v>
      </c>
      <c r="U225" s="48">
        <f t="shared" si="9"/>
        <v>3406</v>
      </c>
      <c r="V225" s="114">
        <f t="shared" si="10"/>
        <v>4228</v>
      </c>
      <c r="W225" s="49">
        <f t="shared" si="11"/>
        <v>0.3461538462</v>
      </c>
      <c r="X225" s="49">
        <f t="shared" si="12"/>
        <v>0.4550792719</v>
      </c>
      <c r="Y225" s="49">
        <f t="shared" si="13"/>
        <v>0.198766882</v>
      </c>
      <c r="Z225" s="32" t="str">
        <f t="shared" si="14"/>
        <v>Milton</v>
      </c>
      <c r="AA225" s="50" t="s">
        <v>77</v>
      </c>
      <c r="AB225" s="38">
        <v>5150.0</v>
      </c>
      <c r="AC225" s="48">
        <f t="shared" si="17"/>
        <v>922</v>
      </c>
      <c r="AD225" s="51">
        <f t="shared" si="18"/>
        <v>0.8209708738</v>
      </c>
    </row>
    <row r="226">
      <c r="A226" s="23"/>
      <c r="B226" s="46" t="s">
        <v>2212</v>
      </c>
      <c r="C226" s="47"/>
      <c r="D226" s="38">
        <v>690.0</v>
      </c>
      <c r="E226" s="38">
        <v>170.0</v>
      </c>
      <c r="F226" s="38">
        <v>270.0</v>
      </c>
      <c r="G226" s="38">
        <v>36.0</v>
      </c>
      <c r="H226" s="38">
        <v>56.0</v>
      </c>
      <c r="I226" s="48">
        <f t="shared" si="3"/>
        <v>1130</v>
      </c>
      <c r="J226" s="48">
        <f t="shared" si="4"/>
        <v>1222</v>
      </c>
      <c r="K226" s="49">
        <f t="shared" si="5"/>
        <v>0.610619469</v>
      </c>
      <c r="L226" s="49">
        <f t="shared" si="6"/>
        <v>0.1504424779</v>
      </c>
      <c r="M226" s="49">
        <f t="shared" si="7"/>
        <v>0.2389380531</v>
      </c>
      <c r="N226" s="32" t="str">
        <f t="shared" si="8"/>
        <v>Jânio</v>
      </c>
      <c r="O226" s="50" t="s">
        <v>77</v>
      </c>
      <c r="P226" s="38">
        <v>390.0</v>
      </c>
      <c r="Q226" s="38">
        <v>280.0</v>
      </c>
      <c r="R226" s="38">
        <v>382.0</v>
      </c>
      <c r="S226" s="38">
        <v>139.0</v>
      </c>
      <c r="T226" s="38">
        <v>31.0</v>
      </c>
      <c r="U226" s="48">
        <f t="shared" si="9"/>
        <v>1052</v>
      </c>
      <c r="V226" s="48">
        <f t="shared" si="10"/>
        <v>1222</v>
      </c>
      <c r="W226" s="49">
        <f t="shared" si="11"/>
        <v>0.3707224335</v>
      </c>
      <c r="X226" s="49">
        <f t="shared" si="12"/>
        <v>0.2661596958</v>
      </c>
      <c r="Y226" s="49">
        <f t="shared" si="13"/>
        <v>0.3631178707</v>
      </c>
      <c r="Z226" s="32" t="str">
        <f t="shared" si="14"/>
        <v>Jango</v>
      </c>
      <c r="AA226" s="50" t="s">
        <v>77</v>
      </c>
      <c r="AB226" s="38">
        <v>1512.0</v>
      </c>
      <c r="AC226" s="48">
        <f t="shared" si="17"/>
        <v>290</v>
      </c>
      <c r="AD226" s="51">
        <f t="shared" si="18"/>
        <v>0.8082010582</v>
      </c>
    </row>
    <row r="227">
      <c r="A227" s="23"/>
      <c r="B227" s="46" t="s">
        <v>2213</v>
      </c>
      <c r="C227" s="47"/>
      <c r="D227" s="38">
        <v>1151.0</v>
      </c>
      <c r="E227" s="38">
        <v>90.0</v>
      </c>
      <c r="F227" s="38">
        <v>341.0</v>
      </c>
      <c r="G227" s="38">
        <v>46.0</v>
      </c>
      <c r="H227" s="38">
        <v>74.0</v>
      </c>
      <c r="I227" s="48">
        <f t="shared" si="3"/>
        <v>1582</v>
      </c>
      <c r="J227" s="48">
        <f t="shared" si="4"/>
        <v>1702</v>
      </c>
      <c r="K227" s="49">
        <f t="shared" si="5"/>
        <v>0.7275600506</v>
      </c>
      <c r="L227" s="49">
        <f t="shared" si="6"/>
        <v>0.05689001264</v>
      </c>
      <c r="M227" s="49">
        <f t="shared" si="7"/>
        <v>0.2155499368</v>
      </c>
      <c r="N227" s="32" t="str">
        <f t="shared" si="8"/>
        <v>Jânio</v>
      </c>
      <c r="O227" s="50" t="s">
        <v>77</v>
      </c>
      <c r="P227" s="38">
        <v>209.0</v>
      </c>
      <c r="Q227" s="38">
        <v>662.0</v>
      </c>
      <c r="R227" s="38">
        <v>551.0</v>
      </c>
      <c r="S227" s="38">
        <v>247.0</v>
      </c>
      <c r="T227" s="38">
        <v>33.0</v>
      </c>
      <c r="U227" s="48">
        <f t="shared" si="9"/>
        <v>1422</v>
      </c>
      <c r="V227" s="48">
        <f t="shared" si="10"/>
        <v>1702</v>
      </c>
      <c r="W227" s="49">
        <f t="shared" si="11"/>
        <v>0.14697609</v>
      </c>
      <c r="X227" s="49">
        <f t="shared" si="12"/>
        <v>0.4655414909</v>
      </c>
      <c r="Y227" s="49">
        <f t="shared" si="13"/>
        <v>0.3874824191</v>
      </c>
      <c r="Z227" s="32" t="str">
        <f t="shared" si="14"/>
        <v>Milton</v>
      </c>
      <c r="AA227" s="50" t="s">
        <v>77</v>
      </c>
      <c r="AB227" s="38">
        <v>1964.0</v>
      </c>
      <c r="AC227" s="48">
        <f t="shared" si="17"/>
        <v>262</v>
      </c>
      <c r="AD227" s="51">
        <f t="shared" si="18"/>
        <v>0.866598778</v>
      </c>
    </row>
    <row r="228">
      <c r="A228" s="23"/>
      <c r="B228" s="46" t="s">
        <v>2214</v>
      </c>
      <c r="C228" s="47"/>
      <c r="D228" s="38">
        <v>472.0</v>
      </c>
      <c r="E228" s="38">
        <v>25.0</v>
      </c>
      <c r="F228" s="38">
        <v>252.0</v>
      </c>
      <c r="G228" s="38">
        <v>15.0</v>
      </c>
      <c r="H228" s="38">
        <v>41.0</v>
      </c>
      <c r="I228" s="48">
        <f t="shared" si="3"/>
        <v>749</v>
      </c>
      <c r="J228" s="48">
        <f t="shared" si="4"/>
        <v>805</v>
      </c>
      <c r="K228" s="49">
        <f t="shared" si="5"/>
        <v>0.6301735648</v>
      </c>
      <c r="L228" s="49">
        <f t="shared" si="6"/>
        <v>0.03337783712</v>
      </c>
      <c r="M228" s="49">
        <f t="shared" si="7"/>
        <v>0.3364485981</v>
      </c>
      <c r="N228" s="32" t="str">
        <f t="shared" si="8"/>
        <v>Jânio</v>
      </c>
      <c r="O228" s="50" t="s">
        <v>77</v>
      </c>
      <c r="P228" s="38">
        <v>114.0</v>
      </c>
      <c r="Q228" s="38">
        <v>358.0</v>
      </c>
      <c r="R228" s="38">
        <v>211.0</v>
      </c>
      <c r="S228" s="38">
        <v>83.0</v>
      </c>
      <c r="T228" s="38">
        <v>39.0</v>
      </c>
      <c r="U228" s="48">
        <f t="shared" si="9"/>
        <v>683</v>
      </c>
      <c r="V228" s="48">
        <f t="shared" si="10"/>
        <v>805</v>
      </c>
      <c r="W228" s="49">
        <f t="shared" si="11"/>
        <v>0.1669106881</v>
      </c>
      <c r="X228" s="49">
        <f t="shared" si="12"/>
        <v>0.5241581259</v>
      </c>
      <c r="Y228" s="49">
        <f t="shared" si="13"/>
        <v>0.3089311859</v>
      </c>
      <c r="Z228" s="32" t="str">
        <f t="shared" si="14"/>
        <v>Milton</v>
      </c>
      <c r="AA228" s="50" t="s">
        <v>77</v>
      </c>
      <c r="AB228" s="38">
        <v>1229.0</v>
      </c>
      <c r="AC228" s="48">
        <f t="shared" si="17"/>
        <v>424</v>
      </c>
      <c r="AD228" s="51">
        <f t="shared" si="18"/>
        <v>0.6550040683</v>
      </c>
    </row>
    <row r="229">
      <c r="A229" s="23"/>
      <c r="B229" s="46" t="s">
        <v>2215</v>
      </c>
      <c r="C229" s="47"/>
      <c r="D229" s="38">
        <v>338.0</v>
      </c>
      <c r="E229" s="38">
        <v>30.0</v>
      </c>
      <c r="F229" s="38">
        <v>190.0</v>
      </c>
      <c r="G229" s="38">
        <v>4.0</v>
      </c>
      <c r="H229" s="38">
        <v>14.0</v>
      </c>
      <c r="I229" s="48">
        <f t="shared" si="3"/>
        <v>558</v>
      </c>
      <c r="J229" s="48">
        <f t="shared" si="4"/>
        <v>576</v>
      </c>
      <c r="K229" s="49">
        <f t="shared" si="5"/>
        <v>0.605734767</v>
      </c>
      <c r="L229" s="49">
        <f t="shared" si="6"/>
        <v>0.05376344086</v>
      </c>
      <c r="M229" s="49">
        <f t="shared" si="7"/>
        <v>0.3405017921</v>
      </c>
      <c r="N229" s="32" t="str">
        <f t="shared" si="8"/>
        <v>Jânio</v>
      </c>
      <c r="O229" s="50" t="s">
        <v>77</v>
      </c>
      <c r="P229" s="38">
        <v>186.0</v>
      </c>
      <c r="Q229" s="38">
        <v>296.0</v>
      </c>
      <c r="R229" s="38">
        <v>36.0</v>
      </c>
      <c r="S229" s="38">
        <v>50.0</v>
      </c>
      <c r="T229" s="38">
        <v>8.0</v>
      </c>
      <c r="U229" s="48">
        <f t="shared" si="9"/>
        <v>518</v>
      </c>
      <c r="V229" s="48">
        <f t="shared" si="10"/>
        <v>576</v>
      </c>
      <c r="W229" s="49">
        <f t="shared" si="11"/>
        <v>0.3590733591</v>
      </c>
      <c r="X229" s="49">
        <f t="shared" si="12"/>
        <v>0.5714285714</v>
      </c>
      <c r="Y229" s="49">
        <f t="shared" si="13"/>
        <v>0.0694980695</v>
      </c>
      <c r="Z229" s="32" t="str">
        <f t="shared" si="14"/>
        <v>Milton</v>
      </c>
      <c r="AA229" s="50" t="s">
        <v>77</v>
      </c>
      <c r="AB229" s="38">
        <v>725.0</v>
      </c>
      <c r="AC229" s="48">
        <f t="shared" si="17"/>
        <v>149</v>
      </c>
      <c r="AD229" s="51">
        <f t="shared" si="18"/>
        <v>0.7944827586</v>
      </c>
    </row>
    <row r="230">
      <c r="A230" s="23"/>
      <c r="B230" s="46" t="s">
        <v>2216</v>
      </c>
      <c r="C230" s="47"/>
      <c r="D230" s="38">
        <v>663.0</v>
      </c>
      <c r="E230" s="38">
        <v>39.0</v>
      </c>
      <c r="F230" s="38">
        <v>381.0</v>
      </c>
      <c r="G230" s="38">
        <v>23.0</v>
      </c>
      <c r="H230" s="38">
        <v>55.0</v>
      </c>
      <c r="I230" s="48">
        <f t="shared" si="3"/>
        <v>1083</v>
      </c>
      <c r="J230" s="48">
        <f t="shared" si="4"/>
        <v>1161</v>
      </c>
      <c r="K230" s="49">
        <f t="shared" si="5"/>
        <v>0.6121883657</v>
      </c>
      <c r="L230" s="49">
        <f t="shared" si="6"/>
        <v>0.03601108033</v>
      </c>
      <c r="M230" s="49">
        <f t="shared" si="7"/>
        <v>0.351800554</v>
      </c>
      <c r="N230" s="32" t="str">
        <f t="shared" si="8"/>
        <v>Jânio</v>
      </c>
      <c r="O230" s="50" t="s">
        <v>77</v>
      </c>
      <c r="P230" s="38">
        <v>246.0</v>
      </c>
      <c r="Q230" s="38">
        <v>195.0</v>
      </c>
      <c r="R230" s="38">
        <v>572.0</v>
      </c>
      <c r="S230" s="38">
        <v>120.0</v>
      </c>
      <c r="T230" s="38">
        <v>28.0</v>
      </c>
      <c r="U230" s="48">
        <f t="shared" si="9"/>
        <v>1013</v>
      </c>
      <c r="V230" s="48">
        <f t="shared" si="10"/>
        <v>1161</v>
      </c>
      <c r="W230" s="49">
        <f t="shared" si="11"/>
        <v>0.2428430405</v>
      </c>
      <c r="X230" s="49">
        <f t="shared" si="12"/>
        <v>0.1924975321</v>
      </c>
      <c r="Y230" s="49">
        <f t="shared" si="13"/>
        <v>0.5646594274</v>
      </c>
      <c r="Z230" s="32" t="str">
        <f t="shared" si="14"/>
        <v>Ferrari</v>
      </c>
      <c r="AA230" s="50" t="s">
        <v>77</v>
      </c>
      <c r="AB230" s="38">
        <v>1364.0</v>
      </c>
      <c r="AC230" s="48">
        <f t="shared" si="17"/>
        <v>203</v>
      </c>
      <c r="AD230" s="51">
        <f t="shared" si="18"/>
        <v>0.8511730205</v>
      </c>
    </row>
    <row r="231">
      <c r="A231" s="24"/>
      <c r="B231" s="46" t="s">
        <v>2217</v>
      </c>
      <c r="C231" s="47"/>
      <c r="D231" s="38">
        <v>481.0</v>
      </c>
      <c r="E231" s="38">
        <v>109.0</v>
      </c>
      <c r="F231" s="38">
        <v>86.0</v>
      </c>
      <c r="G231" s="38">
        <v>12.0</v>
      </c>
      <c r="H231" s="38">
        <v>21.0</v>
      </c>
      <c r="I231" s="48">
        <f t="shared" si="3"/>
        <v>676</v>
      </c>
      <c r="J231" s="48">
        <f t="shared" si="4"/>
        <v>709</v>
      </c>
      <c r="K231" s="49">
        <f t="shared" si="5"/>
        <v>0.7115384615</v>
      </c>
      <c r="L231" s="49">
        <f t="shared" si="6"/>
        <v>0.1612426036</v>
      </c>
      <c r="M231" s="49">
        <f t="shared" si="7"/>
        <v>0.1272189349</v>
      </c>
      <c r="N231" s="32" t="str">
        <f t="shared" si="8"/>
        <v>Jânio</v>
      </c>
      <c r="O231" s="50" t="s">
        <v>77</v>
      </c>
      <c r="P231" s="38">
        <v>186.0</v>
      </c>
      <c r="Q231" s="38">
        <v>127.0</v>
      </c>
      <c r="R231" s="38">
        <v>329.0</v>
      </c>
      <c r="S231" s="38">
        <v>56.0</v>
      </c>
      <c r="T231" s="38">
        <v>11.0</v>
      </c>
      <c r="U231" s="48">
        <f t="shared" si="9"/>
        <v>642</v>
      </c>
      <c r="V231" s="48">
        <f t="shared" si="10"/>
        <v>709</v>
      </c>
      <c r="W231" s="49">
        <f t="shared" si="11"/>
        <v>0.2897196262</v>
      </c>
      <c r="X231" s="49">
        <f t="shared" si="12"/>
        <v>0.1978193146</v>
      </c>
      <c r="Y231" s="49">
        <f t="shared" si="13"/>
        <v>0.5124610592</v>
      </c>
      <c r="Z231" s="32" t="str">
        <f t="shared" si="14"/>
        <v>Ferrari</v>
      </c>
      <c r="AA231" s="50" t="s">
        <v>77</v>
      </c>
      <c r="AB231" s="38">
        <v>807.0</v>
      </c>
      <c r="AC231" s="48">
        <f t="shared" si="17"/>
        <v>98</v>
      </c>
      <c r="AD231" s="51">
        <f t="shared" si="18"/>
        <v>0.8785625774</v>
      </c>
    </row>
    <row r="232">
      <c r="A232" s="61" t="s">
        <v>575</v>
      </c>
      <c r="B232" s="46" t="s">
        <v>2218</v>
      </c>
      <c r="C232" s="47"/>
      <c r="D232" s="38">
        <v>1667.0</v>
      </c>
      <c r="E232" s="38">
        <v>708.0</v>
      </c>
      <c r="F232" s="38">
        <v>579.0</v>
      </c>
      <c r="G232" s="38">
        <v>105.0</v>
      </c>
      <c r="H232" s="38">
        <v>100.0</v>
      </c>
      <c r="I232" s="48">
        <f t="shared" si="3"/>
        <v>2954</v>
      </c>
      <c r="J232" s="48">
        <f t="shared" si="4"/>
        <v>3159</v>
      </c>
      <c r="K232" s="49">
        <f t="shared" si="5"/>
        <v>0.5643195667</v>
      </c>
      <c r="L232" s="49">
        <f t="shared" si="6"/>
        <v>0.2396750169</v>
      </c>
      <c r="M232" s="49">
        <f t="shared" si="7"/>
        <v>0.1960054164</v>
      </c>
      <c r="N232" s="32" t="str">
        <f t="shared" si="8"/>
        <v>Jânio</v>
      </c>
      <c r="O232" s="50" t="s">
        <v>77</v>
      </c>
      <c r="P232" s="38">
        <v>1016.0</v>
      </c>
      <c r="Q232" s="38">
        <v>1479.0</v>
      </c>
      <c r="R232" s="38">
        <v>245.0</v>
      </c>
      <c r="S232" s="38">
        <v>355.0</v>
      </c>
      <c r="T232" s="38">
        <v>64.0</v>
      </c>
      <c r="U232" s="48">
        <f t="shared" si="9"/>
        <v>2740</v>
      </c>
      <c r="V232" s="48">
        <f t="shared" si="10"/>
        <v>3159</v>
      </c>
      <c r="W232" s="49">
        <f t="shared" si="11"/>
        <v>0.3708029197</v>
      </c>
      <c r="X232" s="49">
        <f t="shared" si="12"/>
        <v>0.5397810219</v>
      </c>
      <c r="Y232" s="49">
        <f t="shared" si="13"/>
        <v>0.08941605839</v>
      </c>
      <c r="Z232" s="32" t="str">
        <f t="shared" si="14"/>
        <v>Milton</v>
      </c>
      <c r="AA232" s="50" t="s">
        <v>77</v>
      </c>
      <c r="AB232" s="38">
        <v>3740.0</v>
      </c>
      <c r="AC232" s="48">
        <f t="shared" si="17"/>
        <v>581</v>
      </c>
      <c r="AD232" s="51">
        <f t="shared" si="18"/>
        <v>0.8446524064</v>
      </c>
    </row>
    <row r="233">
      <c r="A233" s="24"/>
      <c r="B233" s="46" t="s">
        <v>2219</v>
      </c>
      <c r="C233" s="47"/>
      <c r="D233" s="38">
        <v>1099.0</v>
      </c>
      <c r="E233" s="38">
        <v>195.0</v>
      </c>
      <c r="F233" s="38">
        <v>594.0</v>
      </c>
      <c r="G233" s="38">
        <v>71.0</v>
      </c>
      <c r="H233" s="38">
        <v>79.0</v>
      </c>
      <c r="I233" s="48">
        <f t="shared" si="3"/>
        <v>1888</v>
      </c>
      <c r="J233" s="48">
        <f t="shared" si="4"/>
        <v>2038</v>
      </c>
      <c r="K233" s="49">
        <f t="shared" si="5"/>
        <v>0.5820974576</v>
      </c>
      <c r="L233" s="49">
        <f t="shared" si="6"/>
        <v>0.1032838983</v>
      </c>
      <c r="M233" s="49">
        <f t="shared" si="7"/>
        <v>0.3146186441</v>
      </c>
      <c r="N233" s="32" t="str">
        <f t="shared" si="8"/>
        <v>Jânio</v>
      </c>
      <c r="O233" s="50" t="s">
        <v>77</v>
      </c>
      <c r="P233" s="38">
        <v>509.0</v>
      </c>
      <c r="Q233" s="38">
        <v>897.0</v>
      </c>
      <c r="R233" s="38">
        <v>225.0</v>
      </c>
      <c r="S233" s="38">
        <v>366.0</v>
      </c>
      <c r="T233" s="38">
        <v>41.0</v>
      </c>
      <c r="U233" s="48">
        <f t="shared" si="9"/>
        <v>1631</v>
      </c>
      <c r="V233" s="48">
        <f t="shared" si="10"/>
        <v>2038</v>
      </c>
      <c r="W233" s="49">
        <f t="shared" si="11"/>
        <v>0.3120784795</v>
      </c>
      <c r="X233" s="49">
        <f t="shared" si="12"/>
        <v>0.549969344</v>
      </c>
      <c r="Y233" s="49">
        <f t="shared" si="13"/>
        <v>0.1379521766</v>
      </c>
      <c r="Z233" s="32" t="str">
        <f t="shared" si="14"/>
        <v>Milton</v>
      </c>
      <c r="AA233" s="50" t="s">
        <v>77</v>
      </c>
      <c r="AB233" s="38">
        <v>2322.0</v>
      </c>
      <c r="AC233" s="48">
        <f t="shared" si="17"/>
        <v>284</v>
      </c>
      <c r="AD233" s="51">
        <f t="shared" si="18"/>
        <v>0.8776916451</v>
      </c>
    </row>
    <row r="234">
      <c r="A234" s="61" t="s">
        <v>578</v>
      </c>
      <c r="B234" s="46" t="s">
        <v>2220</v>
      </c>
      <c r="C234" s="47"/>
      <c r="D234" s="38">
        <v>2566.0</v>
      </c>
      <c r="E234" s="38">
        <v>237.0</v>
      </c>
      <c r="F234" s="38">
        <v>1243.0</v>
      </c>
      <c r="G234" s="38">
        <v>69.0</v>
      </c>
      <c r="H234" s="38">
        <v>131.0</v>
      </c>
      <c r="I234" s="48">
        <f t="shared" si="3"/>
        <v>4046</v>
      </c>
      <c r="J234" s="48">
        <f t="shared" si="4"/>
        <v>4246</v>
      </c>
      <c r="K234" s="49">
        <f t="shared" si="5"/>
        <v>0.6342066238</v>
      </c>
      <c r="L234" s="49">
        <f t="shared" si="6"/>
        <v>0.05857637173</v>
      </c>
      <c r="M234" s="49">
        <f t="shared" si="7"/>
        <v>0.3072170044</v>
      </c>
      <c r="N234" s="32" t="str">
        <f t="shared" si="8"/>
        <v>Jânio</v>
      </c>
      <c r="O234" s="50" t="s">
        <v>77</v>
      </c>
      <c r="P234" s="38">
        <v>1032.0</v>
      </c>
      <c r="Q234" s="38">
        <v>1585.0</v>
      </c>
      <c r="R234" s="38">
        <v>1117.0</v>
      </c>
      <c r="S234" s="38">
        <v>438.0</v>
      </c>
      <c r="T234" s="38">
        <v>74.0</v>
      </c>
      <c r="U234" s="48">
        <f t="shared" si="9"/>
        <v>3734</v>
      </c>
      <c r="V234" s="48">
        <f t="shared" si="10"/>
        <v>4246</v>
      </c>
      <c r="W234" s="49">
        <f t="shared" si="11"/>
        <v>0.276379218</v>
      </c>
      <c r="X234" s="49">
        <f t="shared" si="12"/>
        <v>0.4244777718</v>
      </c>
      <c r="Y234" s="49">
        <f t="shared" si="13"/>
        <v>0.2991430102</v>
      </c>
      <c r="Z234" s="32" t="str">
        <f t="shared" si="14"/>
        <v>Milton</v>
      </c>
      <c r="AA234" s="50" t="s">
        <v>77</v>
      </c>
      <c r="AB234" s="38">
        <v>5026.0</v>
      </c>
      <c r="AC234" s="48">
        <f t="shared" si="17"/>
        <v>780</v>
      </c>
      <c r="AD234" s="51">
        <f t="shared" si="18"/>
        <v>0.8448070036</v>
      </c>
    </row>
    <row r="235">
      <c r="A235" s="23"/>
      <c r="B235" s="46" t="s">
        <v>2221</v>
      </c>
      <c r="C235" s="47"/>
      <c r="D235" s="38">
        <v>511.0</v>
      </c>
      <c r="E235" s="38">
        <v>13.0</v>
      </c>
      <c r="F235" s="38">
        <v>384.0</v>
      </c>
      <c r="G235" s="38">
        <v>33.0</v>
      </c>
      <c r="H235" s="38">
        <v>38.0</v>
      </c>
      <c r="I235" s="48">
        <f t="shared" si="3"/>
        <v>908</v>
      </c>
      <c r="J235" s="48">
        <f t="shared" si="4"/>
        <v>979</v>
      </c>
      <c r="K235" s="49">
        <f t="shared" si="5"/>
        <v>0.5627753304</v>
      </c>
      <c r="L235" s="49">
        <f t="shared" si="6"/>
        <v>0.01431718062</v>
      </c>
      <c r="M235" s="49">
        <f t="shared" si="7"/>
        <v>0.422907489</v>
      </c>
      <c r="N235" s="32" t="str">
        <f t="shared" si="8"/>
        <v>Jânio</v>
      </c>
      <c r="O235" s="50" t="s">
        <v>77</v>
      </c>
      <c r="P235" s="55">
        <v>298.0</v>
      </c>
      <c r="Q235" s="38">
        <v>436.0</v>
      </c>
      <c r="R235" s="38">
        <v>103.0</v>
      </c>
      <c r="S235" s="38">
        <v>123.0</v>
      </c>
      <c r="T235" s="38">
        <v>19.0</v>
      </c>
      <c r="U235" s="48">
        <f t="shared" si="9"/>
        <v>837</v>
      </c>
      <c r="V235" s="114">
        <f t="shared" si="10"/>
        <v>979</v>
      </c>
      <c r="W235" s="49">
        <f t="shared" si="11"/>
        <v>0.3560334528</v>
      </c>
      <c r="X235" s="49">
        <f t="shared" si="12"/>
        <v>0.5209080048</v>
      </c>
      <c r="Y235" s="49">
        <f t="shared" si="13"/>
        <v>0.1230585424</v>
      </c>
      <c r="Z235" s="32" t="str">
        <f t="shared" si="14"/>
        <v>Milton</v>
      </c>
      <c r="AA235" s="50" t="s">
        <v>77</v>
      </c>
      <c r="AB235" s="38">
        <v>1196.0</v>
      </c>
      <c r="AC235" s="48">
        <f t="shared" si="17"/>
        <v>217</v>
      </c>
      <c r="AD235" s="51">
        <f t="shared" si="18"/>
        <v>0.8185618729</v>
      </c>
    </row>
    <row r="236">
      <c r="A236" s="23"/>
      <c r="B236" s="46" t="s">
        <v>2222</v>
      </c>
      <c r="C236" s="47"/>
      <c r="D236" s="38">
        <v>353.0</v>
      </c>
      <c r="E236" s="38">
        <v>36.0</v>
      </c>
      <c r="F236" s="38">
        <v>145.0</v>
      </c>
      <c r="G236" s="38">
        <v>8.0</v>
      </c>
      <c r="H236" s="38">
        <v>14.0</v>
      </c>
      <c r="I236" s="48">
        <f t="shared" si="3"/>
        <v>534</v>
      </c>
      <c r="J236" s="48">
        <f t="shared" si="4"/>
        <v>556</v>
      </c>
      <c r="K236" s="49">
        <f t="shared" si="5"/>
        <v>0.6610486891</v>
      </c>
      <c r="L236" s="49">
        <f t="shared" si="6"/>
        <v>0.06741573034</v>
      </c>
      <c r="M236" s="49">
        <f t="shared" si="7"/>
        <v>0.2715355805</v>
      </c>
      <c r="N236" s="32" t="str">
        <f t="shared" si="8"/>
        <v>Jânio</v>
      </c>
      <c r="O236" s="50" t="s">
        <v>77</v>
      </c>
      <c r="P236" s="38">
        <v>133.0</v>
      </c>
      <c r="Q236" s="38">
        <v>103.0</v>
      </c>
      <c r="R236" s="38">
        <v>257.0</v>
      </c>
      <c r="S236" s="38">
        <v>57.0</v>
      </c>
      <c r="T236" s="38">
        <v>6.0</v>
      </c>
      <c r="U236" s="48">
        <f t="shared" si="9"/>
        <v>493</v>
      </c>
      <c r="V236" s="48">
        <f t="shared" si="10"/>
        <v>556</v>
      </c>
      <c r="W236" s="49">
        <f t="shared" si="11"/>
        <v>0.2697768763</v>
      </c>
      <c r="X236" s="49">
        <f t="shared" si="12"/>
        <v>0.2089249493</v>
      </c>
      <c r="Y236" s="49">
        <f t="shared" si="13"/>
        <v>0.5212981744</v>
      </c>
      <c r="Z236" s="32" t="str">
        <f t="shared" si="14"/>
        <v>Ferrari</v>
      </c>
      <c r="AA236" s="50" t="s">
        <v>77</v>
      </c>
      <c r="AB236" s="38">
        <v>650.0</v>
      </c>
      <c r="AC236" s="48">
        <f t="shared" si="17"/>
        <v>94</v>
      </c>
      <c r="AD236" s="51">
        <f t="shared" si="18"/>
        <v>0.8553846154</v>
      </c>
    </row>
    <row r="237">
      <c r="A237" s="24"/>
      <c r="B237" s="46" t="s">
        <v>2223</v>
      </c>
      <c r="C237" s="47"/>
      <c r="D237" s="38">
        <v>1129.0</v>
      </c>
      <c r="E237" s="38">
        <v>120.0</v>
      </c>
      <c r="F237" s="38">
        <v>1027.0</v>
      </c>
      <c r="G237" s="38">
        <v>59.0</v>
      </c>
      <c r="H237" s="38">
        <v>55.0</v>
      </c>
      <c r="I237" s="48">
        <f t="shared" si="3"/>
        <v>2276</v>
      </c>
      <c r="J237" s="48">
        <f t="shared" si="4"/>
        <v>2390</v>
      </c>
      <c r="K237" s="49">
        <f t="shared" si="5"/>
        <v>0.4960456942</v>
      </c>
      <c r="L237" s="49">
        <f t="shared" si="6"/>
        <v>0.05272407733</v>
      </c>
      <c r="M237" s="49">
        <f t="shared" si="7"/>
        <v>0.4512302285</v>
      </c>
      <c r="N237" s="32" t="str">
        <f t="shared" si="8"/>
        <v>Jânio</v>
      </c>
      <c r="O237" s="50" t="s">
        <v>77</v>
      </c>
      <c r="P237" s="38">
        <v>1106.0</v>
      </c>
      <c r="Q237" s="38">
        <v>792.0</v>
      </c>
      <c r="R237" s="38">
        <v>189.0</v>
      </c>
      <c r="S237" s="38">
        <v>272.0</v>
      </c>
      <c r="T237" s="38">
        <v>31.0</v>
      </c>
      <c r="U237" s="48">
        <f t="shared" si="9"/>
        <v>2087</v>
      </c>
      <c r="V237" s="48">
        <f t="shared" si="10"/>
        <v>2390</v>
      </c>
      <c r="W237" s="49">
        <f t="shared" si="11"/>
        <v>0.5299472928</v>
      </c>
      <c r="X237" s="49">
        <f t="shared" si="12"/>
        <v>0.3794920939</v>
      </c>
      <c r="Y237" s="49">
        <f t="shared" si="13"/>
        <v>0.09056061332</v>
      </c>
      <c r="Z237" s="32" t="str">
        <f t="shared" si="14"/>
        <v>Jango</v>
      </c>
      <c r="AA237" s="50" t="s">
        <v>77</v>
      </c>
      <c r="AB237" s="38">
        <v>2805.0</v>
      </c>
      <c r="AC237" s="48">
        <f t="shared" si="17"/>
        <v>415</v>
      </c>
      <c r="AD237" s="51">
        <f t="shared" si="18"/>
        <v>0.8520499109</v>
      </c>
    </row>
    <row r="238">
      <c r="A238" s="61" t="s">
        <v>580</v>
      </c>
      <c r="B238" s="46" t="s">
        <v>2224</v>
      </c>
      <c r="C238" s="47"/>
      <c r="D238" s="38">
        <v>3264.0</v>
      </c>
      <c r="E238" s="38">
        <v>747.0</v>
      </c>
      <c r="F238" s="38">
        <v>2935.0</v>
      </c>
      <c r="G238" s="38">
        <v>227.0</v>
      </c>
      <c r="H238" s="38">
        <v>387.0</v>
      </c>
      <c r="I238" s="48">
        <f t="shared" si="3"/>
        <v>6946</v>
      </c>
      <c r="J238" s="48">
        <f t="shared" si="4"/>
        <v>7560</v>
      </c>
      <c r="K238" s="49">
        <f t="shared" si="5"/>
        <v>0.46991074</v>
      </c>
      <c r="L238" s="49">
        <f t="shared" si="6"/>
        <v>0.1075439102</v>
      </c>
      <c r="M238" s="49">
        <f t="shared" si="7"/>
        <v>0.4225453498</v>
      </c>
      <c r="N238" s="32" t="str">
        <f t="shared" si="8"/>
        <v>Jânio</v>
      </c>
      <c r="O238" s="50" t="s">
        <v>77</v>
      </c>
      <c r="P238" s="38">
        <v>2019.0</v>
      </c>
      <c r="Q238" s="38">
        <v>3133.0</v>
      </c>
      <c r="R238" s="38">
        <v>988.0</v>
      </c>
      <c r="S238" s="38">
        <v>1183.0</v>
      </c>
      <c r="T238" s="38">
        <v>237.0</v>
      </c>
      <c r="U238" s="48">
        <f t="shared" si="9"/>
        <v>6140</v>
      </c>
      <c r="V238" s="48">
        <f t="shared" si="10"/>
        <v>7560</v>
      </c>
      <c r="W238" s="49">
        <f t="shared" si="11"/>
        <v>0.3288273616</v>
      </c>
      <c r="X238" s="49">
        <f t="shared" si="12"/>
        <v>0.5102605863</v>
      </c>
      <c r="Y238" s="49">
        <f t="shared" si="13"/>
        <v>0.1609120521</v>
      </c>
      <c r="Z238" s="32" t="str">
        <f t="shared" si="14"/>
        <v>Milton</v>
      </c>
      <c r="AA238" s="50" t="s">
        <v>77</v>
      </c>
      <c r="AB238" s="38">
        <v>9176.0</v>
      </c>
      <c r="AC238" s="48">
        <f t="shared" si="17"/>
        <v>1616</v>
      </c>
      <c r="AD238" s="51">
        <f t="shared" si="18"/>
        <v>0.8238884045</v>
      </c>
    </row>
    <row r="239">
      <c r="A239" s="23"/>
      <c r="B239" s="46" t="s">
        <v>2225</v>
      </c>
      <c r="C239" s="47"/>
      <c r="D239" s="38">
        <v>178.0</v>
      </c>
      <c r="E239" s="55">
        <v>139.0</v>
      </c>
      <c r="F239" s="38">
        <v>274.0</v>
      </c>
      <c r="G239" s="38">
        <v>24.0</v>
      </c>
      <c r="H239" s="38">
        <v>36.0</v>
      </c>
      <c r="I239" s="48">
        <f t="shared" si="3"/>
        <v>591</v>
      </c>
      <c r="J239" s="114">
        <f t="shared" si="4"/>
        <v>651</v>
      </c>
      <c r="K239" s="49">
        <f t="shared" si="5"/>
        <v>0.3011844332</v>
      </c>
      <c r="L239" s="49">
        <f t="shared" si="6"/>
        <v>0.2351945854</v>
      </c>
      <c r="M239" s="49">
        <f t="shared" si="7"/>
        <v>0.4636209814</v>
      </c>
      <c r="N239" s="32" t="str">
        <f t="shared" si="8"/>
        <v>Adhemar</v>
      </c>
      <c r="O239" s="50" t="s">
        <v>77</v>
      </c>
      <c r="P239" s="38">
        <v>301.0</v>
      </c>
      <c r="Q239" s="38">
        <v>143.0</v>
      </c>
      <c r="R239" s="38">
        <v>50.0</v>
      </c>
      <c r="S239" s="38">
        <v>132.0</v>
      </c>
      <c r="T239" s="38">
        <v>25.0</v>
      </c>
      <c r="U239" s="48">
        <f t="shared" si="9"/>
        <v>494</v>
      </c>
      <c r="V239" s="48">
        <f t="shared" si="10"/>
        <v>651</v>
      </c>
      <c r="W239" s="49">
        <f t="shared" si="11"/>
        <v>0.6093117409</v>
      </c>
      <c r="X239" s="49">
        <f t="shared" si="12"/>
        <v>0.2894736842</v>
      </c>
      <c r="Y239" s="49">
        <f t="shared" si="13"/>
        <v>0.1012145749</v>
      </c>
      <c r="Z239" s="32" t="str">
        <f t="shared" si="14"/>
        <v>Jango</v>
      </c>
      <c r="AA239" s="50" t="s">
        <v>77</v>
      </c>
      <c r="AB239" s="38">
        <v>807.0</v>
      </c>
      <c r="AC239" s="48">
        <f t="shared" si="17"/>
        <v>156</v>
      </c>
      <c r="AD239" s="51">
        <f t="shared" si="18"/>
        <v>0.8066914498</v>
      </c>
    </row>
    <row r="240">
      <c r="A240" s="23"/>
      <c r="B240" s="46" t="s">
        <v>2226</v>
      </c>
      <c r="C240" s="47"/>
      <c r="D240" s="38">
        <v>908.0</v>
      </c>
      <c r="E240" s="38">
        <v>84.0</v>
      </c>
      <c r="F240" s="38">
        <v>528.0</v>
      </c>
      <c r="G240" s="38">
        <v>38.0</v>
      </c>
      <c r="H240" s="38">
        <v>95.0</v>
      </c>
      <c r="I240" s="48">
        <f t="shared" si="3"/>
        <v>1520</v>
      </c>
      <c r="J240" s="48">
        <f t="shared" si="4"/>
        <v>1653</v>
      </c>
      <c r="K240" s="49">
        <f t="shared" si="5"/>
        <v>0.5973684211</v>
      </c>
      <c r="L240" s="49">
        <f t="shared" si="6"/>
        <v>0.05526315789</v>
      </c>
      <c r="M240" s="49">
        <f t="shared" si="7"/>
        <v>0.3473684211</v>
      </c>
      <c r="N240" s="32" t="str">
        <f t="shared" si="8"/>
        <v>Jânio</v>
      </c>
      <c r="O240" s="50" t="s">
        <v>77</v>
      </c>
      <c r="P240" s="38">
        <v>417.0</v>
      </c>
      <c r="Q240" s="38">
        <v>787.0</v>
      </c>
      <c r="R240" s="38">
        <v>173.0</v>
      </c>
      <c r="S240" s="38">
        <v>221.0</v>
      </c>
      <c r="T240" s="38">
        <v>55.0</v>
      </c>
      <c r="U240" s="48">
        <f t="shared" si="9"/>
        <v>1377</v>
      </c>
      <c r="V240" s="48">
        <f t="shared" si="10"/>
        <v>1653</v>
      </c>
      <c r="W240" s="49">
        <f t="shared" si="11"/>
        <v>0.302832244</v>
      </c>
      <c r="X240" s="49">
        <f t="shared" si="12"/>
        <v>0.5715323166</v>
      </c>
      <c r="Y240" s="49">
        <f t="shared" si="13"/>
        <v>0.1256354394</v>
      </c>
      <c r="Z240" s="32" t="str">
        <f t="shared" si="14"/>
        <v>Milton</v>
      </c>
      <c r="AA240" s="50" t="s">
        <v>77</v>
      </c>
      <c r="AB240" s="38">
        <v>1947.0</v>
      </c>
      <c r="AC240" s="48">
        <f t="shared" si="17"/>
        <v>294</v>
      </c>
      <c r="AD240" s="51">
        <f t="shared" si="18"/>
        <v>0.8489984592</v>
      </c>
    </row>
    <row r="241">
      <c r="A241" s="23"/>
      <c r="B241" s="46" t="s">
        <v>1838</v>
      </c>
      <c r="C241" s="47"/>
      <c r="D241" s="38">
        <v>915.0</v>
      </c>
      <c r="E241" s="38">
        <v>97.0</v>
      </c>
      <c r="F241" s="38">
        <v>754.0</v>
      </c>
      <c r="G241" s="38">
        <v>32.0</v>
      </c>
      <c r="H241" s="38">
        <v>109.0</v>
      </c>
      <c r="I241" s="48">
        <f t="shared" si="3"/>
        <v>1766</v>
      </c>
      <c r="J241" s="48">
        <f t="shared" si="4"/>
        <v>1907</v>
      </c>
      <c r="K241" s="49">
        <f t="shared" si="5"/>
        <v>0.5181200453</v>
      </c>
      <c r="L241" s="49">
        <f t="shared" si="6"/>
        <v>0.05492638732</v>
      </c>
      <c r="M241" s="49">
        <f t="shared" si="7"/>
        <v>0.4269535674</v>
      </c>
      <c r="N241" s="32" t="str">
        <f t="shared" si="8"/>
        <v>Jânio</v>
      </c>
      <c r="O241" s="50" t="s">
        <v>77</v>
      </c>
      <c r="P241" s="55">
        <v>288.0</v>
      </c>
      <c r="Q241" s="38">
        <v>639.0</v>
      </c>
      <c r="R241" s="38">
        <v>726.0</v>
      </c>
      <c r="S241" s="38">
        <v>202.0</v>
      </c>
      <c r="T241" s="38">
        <v>52.0</v>
      </c>
      <c r="U241" s="48">
        <f t="shared" si="9"/>
        <v>1653</v>
      </c>
      <c r="V241" s="114">
        <f t="shared" si="10"/>
        <v>1907</v>
      </c>
      <c r="W241" s="49">
        <f t="shared" si="11"/>
        <v>0.1742286751</v>
      </c>
      <c r="X241" s="49">
        <f t="shared" si="12"/>
        <v>0.386569873</v>
      </c>
      <c r="Y241" s="49">
        <f t="shared" si="13"/>
        <v>0.4392014519</v>
      </c>
      <c r="Z241" s="32" t="str">
        <f t="shared" si="14"/>
        <v>Ferrari</v>
      </c>
      <c r="AA241" s="50" t="s">
        <v>77</v>
      </c>
      <c r="AB241" s="38">
        <v>2229.0</v>
      </c>
      <c r="AC241" s="48">
        <f t="shared" si="17"/>
        <v>322</v>
      </c>
      <c r="AD241" s="51">
        <f t="shared" si="18"/>
        <v>0.8555406012</v>
      </c>
    </row>
    <row r="242">
      <c r="A242" s="23"/>
      <c r="B242" s="46" t="s">
        <v>2227</v>
      </c>
      <c r="C242" s="47"/>
      <c r="D242" s="38">
        <v>421.0</v>
      </c>
      <c r="E242" s="38">
        <v>276.0</v>
      </c>
      <c r="F242" s="38">
        <v>261.0</v>
      </c>
      <c r="G242" s="38">
        <v>39.0</v>
      </c>
      <c r="H242" s="38">
        <v>92.0</v>
      </c>
      <c r="I242" s="48">
        <f t="shared" si="3"/>
        <v>958</v>
      </c>
      <c r="J242" s="48">
        <f t="shared" si="4"/>
        <v>1089</v>
      </c>
      <c r="K242" s="49">
        <f t="shared" si="5"/>
        <v>0.4394572025</v>
      </c>
      <c r="L242" s="49">
        <f t="shared" si="6"/>
        <v>0.2881002088</v>
      </c>
      <c r="M242" s="49">
        <f t="shared" si="7"/>
        <v>0.2724425887</v>
      </c>
      <c r="N242" s="32" t="str">
        <f t="shared" si="8"/>
        <v>Jânio</v>
      </c>
      <c r="O242" s="50" t="s">
        <v>77</v>
      </c>
      <c r="P242" s="38">
        <v>397.0</v>
      </c>
      <c r="Q242" s="38">
        <v>298.0</v>
      </c>
      <c r="R242" s="38">
        <v>105.0</v>
      </c>
      <c r="S242" s="38">
        <v>229.0</v>
      </c>
      <c r="T242" s="38">
        <v>60.0</v>
      </c>
      <c r="U242" s="48">
        <f t="shared" si="9"/>
        <v>800</v>
      </c>
      <c r="V242" s="48">
        <f t="shared" si="10"/>
        <v>1089</v>
      </c>
      <c r="W242" s="49">
        <f t="shared" si="11"/>
        <v>0.49625</v>
      </c>
      <c r="X242" s="49">
        <f t="shared" si="12"/>
        <v>0.3725</v>
      </c>
      <c r="Y242" s="49">
        <f t="shared" si="13"/>
        <v>0.13125</v>
      </c>
      <c r="Z242" s="32" t="str">
        <f t="shared" si="14"/>
        <v>Jango</v>
      </c>
      <c r="AA242" s="50" t="s">
        <v>77</v>
      </c>
      <c r="AB242" s="38">
        <v>1295.0</v>
      </c>
      <c r="AC242" s="48">
        <f t="shared" si="17"/>
        <v>206</v>
      </c>
      <c r="AD242" s="51">
        <f t="shared" si="18"/>
        <v>0.8409266409</v>
      </c>
    </row>
    <row r="243">
      <c r="A243" s="24"/>
      <c r="B243" s="46" t="s">
        <v>2228</v>
      </c>
      <c r="C243" s="47"/>
      <c r="D243" s="38">
        <v>621.0</v>
      </c>
      <c r="E243" s="38">
        <v>46.0</v>
      </c>
      <c r="F243" s="38">
        <v>335.0</v>
      </c>
      <c r="G243" s="38">
        <v>24.0</v>
      </c>
      <c r="H243" s="38">
        <v>90.0</v>
      </c>
      <c r="I243" s="48">
        <f t="shared" si="3"/>
        <v>1002</v>
      </c>
      <c r="J243" s="48">
        <f t="shared" si="4"/>
        <v>1116</v>
      </c>
      <c r="K243" s="49">
        <f t="shared" si="5"/>
        <v>0.619760479</v>
      </c>
      <c r="L243" s="49">
        <f t="shared" si="6"/>
        <v>0.04590818363</v>
      </c>
      <c r="M243" s="49">
        <f t="shared" si="7"/>
        <v>0.3343313373</v>
      </c>
      <c r="N243" s="32" t="str">
        <f t="shared" si="8"/>
        <v>Jânio</v>
      </c>
      <c r="O243" s="50" t="s">
        <v>77</v>
      </c>
      <c r="P243" s="38">
        <v>203.0</v>
      </c>
      <c r="Q243" s="38">
        <v>561.0</v>
      </c>
      <c r="R243" s="38">
        <v>125.0</v>
      </c>
      <c r="S243" s="38">
        <v>147.0</v>
      </c>
      <c r="T243" s="38">
        <v>80.0</v>
      </c>
      <c r="U243" s="48">
        <f t="shared" si="9"/>
        <v>889</v>
      </c>
      <c r="V243" s="48">
        <f t="shared" si="10"/>
        <v>1116</v>
      </c>
      <c r="W243" s="49">
        <f t="shared" si="11"/>
        <v>0.2283464567</v>
      </c>
      <c r="X243" s="49">
        <f t="shared" si="12"/>
        <v>0.6310461192</v>
      </c>
      <c r="Y243" s="49">
        <f t="shared" si="13"/>
        <v>0.1406074241</v>
      </c>
      <c r="Z243" s="32" t="str">
        <f t="shared" si="14"/>
        <v>Milton</v>
      </c>
      <c r="AA243" s="50" t="s">
        <v>77</v>
      </c>
      <c r="AB243" s="38">
        <v>1679.0</v>
      </c>
      <c r="AC243" s="48">
        <f t="shared" si="17"/>
        <v>563</v>
      </c>
      <c r="AD243" s="51">
        <f t="shared" si="18"/>
        <v>0.664681358</v>
      </c>
    </row>
    <row r="244">
      <c r="A244" s="61" t="s">
        <v>585</v>
      </c>
      <c r="B244" s="46" t="s">
        <v>2229</v>
      </c>
      <c r="C244" s="47"/>
      <c r="D244" s="38">
        <v>1187.0</v>
      </c>
      <c r="E244" s="38">
        <v>242.0</v>
      </c>
      <c r="F244" s="38">
        <v>1167.0</v>
      </c>
      <c r="G244" s="38">
        <v>60.0</v>
      </c>
      <c r="H244" s="38">
        <v>87.0</v>
      </c>
      <c r="I244" s="48">
        <f t="shared" si="3"/>
        <v>2596</v>
      </c>
      <c r="J244" s="48">
        <f t="shared" si="4"/>
        <v>2743</v>
      </c>
      <c r="K244" s="49">
        <f t="shared" si="5"/>
        <v>0.4572419106</v>
      </c>
      <c r="L244" s="49">
        <f t="shared" si="6"/>
        <v>0.09322033898</v>
      </c>
      <c r="M244" s="49">
        <f t="shared" si="7"/>
        <v>0.4495377504</v>
      </c>
      <c r="N244" s="32" t="str">
        <f t="shared" si="8"/>
        <v>Jânio</v>
      </c>
      <c r="O244" s="50" t="s">
        <v>77</v>
      </c>
      <c r="P244" s="38">
        <v>925.0</v>
      </c>
      <c r="Q244" s="38">
        <v>1139.0</v>
      </c>
      <c r="R244" s="38">
        <v>241.0</v>
      </c>
      <c r="S244" s="38">
        <v>387.0</v>
      </c>
      <c r="T244" s="38">
        <v>51.0</v>
      </c>
      <c r="U244" s="48">
        <f t="shared" si="9"/>
        <v>2305</v>
      </c>
      <c r="V244" s="48">
        <f t="shared" si="10"/>
        <v>2743</v>
      </c>
      <c r="W244" s="49">
        <f t="shared" si="11"/>
        <v>0.4013015184</v>
      </c>
      <c r="X244" s="49">
        <f t="shared" si="12"/>
        <v>0.494143167</v>
      </c>
      <c r="Y244" s="49">
        <f t="shared" si="13"/>
        <v>0.1045553145</v>
      </c>
      <c r="Z244" s="32" t="str">
        <f t="shared" si="14"/>
        <v>Milton</v>
      </c>
      <c r="AA244" s="50" t="s">
        <v>77</v>
      </c>
      <c r="AB244" s="38">
        <v>3081.0</v>
      </c>
      <c r="AC244" s="48">
        <f t="shared" si="17"/>
        <v>338</v>
      </c>
      <c r="AD244" s="51">
        <f t="shared" si="18"/>
        <v>0.8902953586</v>
      </c>
    </row>
    <row r="245">
      <c r="A245" s="23"/>
      <c r="B245" s="46" t="s">
        <v>2230</v>
      </c>
      <c r="C245" s="47"/>
      <c r="D245" s="38">
        <v>844.0</v>
      </c>
      <c r="E245" s="38">
        <v>209.0</v>
      </c>
      <c r="F245" s="38">
        <v>738.0</v>
      </c>
      <c r="G245" s="38">
        <v>64.0</v>
      </c>
      <c r="H245" s="38">
        <v>93.0</v>
      </c>
      <c r="I245" s="48">
        <f t="shared" si="3"/>
        <v>1791</v>
      </c>
      <c r="J245" s="48">
        <f t="shared" si="4"/>
        <v>1948</v>
      </c>
      <c r="K245" s="49">
        <f t="shared" si="5"/>
        <v>0.4712451145</v>
      </c>
      <c r="L245" s="49">
        <f t="shared" si="6"/>
        <v>0.116694584</v>
      </c>
      <c r="M245" s="49">
        <f t="shared" si="7"/>
        <v>0.4120603015</v>
      </c>
      <c r="N245" s="32" t="str">
        <f t="shared" si="8"/>
        <v>Jânio</v>
      </c>
      <c r="O245" s="50" t="s">
        <v>77</v>
      </c>
      <c r="P245" s="38">
        <v>553.0</v>
      </c>
      <c r="Q245" s="38">
        <v>833.0</v>
      </c>
      <c r="R245" s="38">
        <v>211.0</v>
      </c>
      <c r="S245" s="38">
        <v>314.0</v>
      </c>
      <c r="T245" s="38">
        <v>37.0</v>
      </c>
      <c r="U245" s="48">
        <f t="shared" si="9"/>
        <v>1597</v>
      </c>
      <c r="V245" s="48">
        <f t="shared" si="10"/>
        <v>1948</v>
      </c>
      <c r="W245" s="49">
        <f t="shared" si="11"/>
        <v>0.3462742642</v>
      </c>
      <c r="X245" s="49">
        <f t="shared" si="12"/>
        <v>0.5216030056</v>
      </c>
      <c r="Y245" s="49">
        <f t="shared" si="13"/>
        <v>0.1321227301</v>
      </c>
      <c r="Z245" s="32" t="str">
        <f t="shared" si="14"/>
        <v>Milton</v>
      </c>
      <c r="AA245" s="50" t="s">
        <v>77</v>
      </c>
      <c r="AB245" s="38">
        <v>2284.0</v>
      </c>
      <c r="AC245" s="48">
        <f t="shared" si="17"/>
        <v>336</v>
      </c>
      <c r="AD245" s="51">
        <f t="shared" si="18"/>
        <v>0.8528896673</v>
      </c>
    </row>
    <row r="246">
      <c r="A246" s="23"/>
      <c r="B246" s="46" t="s">
        <v>2231</v>
      </c>
      <c r="C246" s="47"/>
      <c r="D246" s="38">
        <v>567.0</v>
      </c>
      <c r="E246" s="38">
        <v>92.0</v>
      </c>
      <c r="F246" s="38">
        <v>295.0</v>
      </c>
      <c r="G246" s="38">
        <v>18.0</v>
      </c>
      <c r="H246" s="38">
        <v>47.0</v>
      </c>
      <c r="I246" s="48">
        <f t="shared" si="3"/>
        <v>954</v>
      </c>
      <c r="J246" s="48">
        <f t="shared" si="4"/>
        <v>1019</v>
      </c>
      <c r="K246" s="49">
        <f t="shared" si="5"/>
        <v>0.5943396226</v>
      </c>
      <c r="L246" s="49">
        <f t="shared" si="6"/>
        <v>0.0964360587</v>
      </c>
      <c r="M246" s="49">
        <f t="shared" si="7"/>
        <v>0.3092243187</v>
      </c>
      <c r="N246" s="32" t="str">
        <f t="shared" si="8"/>
        <v>Jânio</v>
      </c>
      <c r="O246" s="50" t="s">
        <v>77</v>
      </c>
      <c r="P246" s="38">
        <v>210.0</v>
      </c>
      <c r="Q246" s="38">
        <v>450.0</v>
      </c>
      <c r="R246" s="38">
        <v>140.0</v>
      </c>
      <c r="S246" s="38">
        <v>199.0</v>
      </c>
      <c r="T246" s="38">
        <v>20.0</v>
      </c>
      <c r="U246" s="48">
        <f t="shared" si="9"/>
        <v>800</v>
      </c>
      <c r="V246" s="48">
        <f t="shared" si="10"/>
        <v>1019</v>
      </c>
      <c r="W246" s="49">
        <f t="shared" si="11"/>
        <v>0.2625</v>
      </c>
      <c r="X246" s="49">
        <f t="shared" si="12"/>
        <v>0.5625</v>
      </c>
      <c r="Y246" s="49">
        <f t="shared" si="13"/>
        <v>0.175</v>
      </c>
      <c r="Z246" s="32" t="str">
        <f t="shared" si="14"/>
        <v>Milton</v>
      </c>
      <c r="AA246" s="50" t="s">
        <v>77</v>
      </c>
      <c r="AB246" s="38">
        <v>1176.0</v>
      </c>
      <c r="AC246" s="48">
        <f t="shared" si="17"/>
        <v>157</v>
      </c>
      <c r="AD246" s="51">
        <f t="shared" si="18"/>
        <v>0.8664965986</v>
      </c>
    </row>
    <row r="247">
      <c r="A247" s="24"/>
      <c r="B247" s="46" t="s">
        <v>2232</v>
      </c>
      <c r="C247" s="47"/>
      <c r="D247" s="38">
        <v>885.0</v>
      </c>
      <c r="E247" s="38">
        <v>323.0</v>
      </c>
      <c r="F247" s="38">
        <v>329.0</v>
      </c>
      <c r="G247" s="38">
        <v>49.0</v>
      </c>
      <c r="H247" s="38">
        <v>47.0</v>
      </c>
      <c r="I247" s="48">
        <f t="shared" si="3"/>
        <v>1537</v>
      </c>
      <c r="J247" s="48">
        <f t="shared" si="4"/>
        <v>1633</v>
      </c>
      <c r="K247" s="49">
        <f t="shared" si="5"/>
        <v>0.5757970072</v>
      </c>
      <c r="L247" s="49">
        <f t="shared" si="6"/>
        <v>0.2101496422</v>
      </c>
      <c r="M247" s="49">
        <f t="shared" si="7"/>
        <v>0.2140533507</v>
      </c>
      <c r="N247" s="32" t="str">
        <f t="shared" si="8"/>
        <v>Jânio</v>
      </c>
      <c r="O247" s="50" t="s">
        <v>77</v>
      </c>
      <c r="P247" s="38">
        <v>482.0</v>
      </c>
      <c r="Q247" s="38">
        <v>803.0</v>
      </c>
      <c r="R247" s="38">
        <v>107.0</v>
      </c>
      <c r="S247" s="38">
        <v>208.0</v>
      </c>
      <c r="T247" s="38">
        <v>33.0</v>
      </c>
      <c r="U247" s="48">
        <f t="shared" si="9"/>
        <v>1392</v>
      </c>
      <c r="V247" s="48">
        <f t="shared" si="10"/>
        <v>1633</v>
      </c>
      <c r="W247" s="49">
        <f t="shared" si="11"/>
        <v>0.3462643678</v>
      </c>
      <c r="X247" s="49">
        <f t="shared" si="12"/>
        <v>0.5768678161</v>
      </c>
      <c r="Y247" s="49">
        <f t="shared" si="13"/>
        <v>0.07686781609</v>
      </c>
      <c r="Z247" s="32" t="str">
        <f t="shared" si="14"/>
        <v>Milton</v>
      </c>
      <c r="AA247" s="50" t="s">
        <v>77</v>
      </c>
      <c r="AB247" s="38">
        <v>1800.0</v>
      </c>
      <c r="AC247" s="48">
        <f t="shared" si="17"/>
        <v>167</v>
      </c>
      <c r="AD247" s="51">
        <f t="shared" si="18"/>
        <v>0.9072222222</v>
      </c>
    </row>
    <row r="248">
      <c r="A248" s="61" t="s">
        <v>410</v>
      </c>
      <c r="B248" s="46" t="s">
        <v>2233</v>
      </c>
      <c r="C248" s="47"/>
      <c r="D248" s="38">
        <v>3535.0</v>
      </c>
      <c r="E248" s="38">
        <v>964.0</v>
      </c>
      <c r="F248" s="38">
        <v>2587.0</v>
      </c>
      <c r="G248" s="38">
        <v>80.0</v>
      </c>
      <c r="H248" s="38">
        <v>111.0</v>
      </c>
      <c r="I248" s="48">
        <f t="shared" si="3"/>
        <v>7086</v>
      </c>
      <c r="J248" s="48">
        <f t="shared" si="4"/>
        <v>7277</v>
      </c>
      <c r="K248" s="49">
        <f t="shared" si="5"/>
        <v>0.4988710133</v>
      </c>
      <c r="L248" s="49">
        <f t="shared" si="6"/>
        <v>0.1360429015</v>
      </c>
      <c r="M248" s="49">
        <f t="shared" si="7"/>
        <v>0.3650860852</v>
      </c>
      <c r="N248" s="32" t="str">
        <f t="shared" si="8"/>
        <v>Jânio</v>
      </c>
      <c r="O248" s="50" t="s">
        <v>77</v>
      </c>
      <c r="P248" s="38">
        <v>2211.0</v>
      </c>
      <c r="Q248" s="38">
        <v>2906.0</v>
      </c>
      <c r="R248" s="38">
        <v>1652.0</v>
      </c>
      <c r="S248" s="38">
        <v>436.0</v>
      </c>
      <c r="T248" s="38">
        <v>72.0</v>
      </c>
      <c r="U248" s="48">
        <f t="shared" si="9"/>
        <v>6769</v>
      </c>
      <c r="V248" s="48">
        <f t="shared" si="10"/>
        <v>7277</v>
      </c>
      <c r="W248" s="49">
        <f t="shared" si="11"/>
        <v>0.3266361353</v>
      </c>
      <c r="X248" s="49">
        <f t="shared" si="12"/>
        <v>0.4293100901</v>
      </c>
      <c r="Y248" s="49">
        <f t="shared" si="13"/>
        <v>0.2440537746</v>
      </c>
      <c r="Z248" s="32" t="str">
        <f t="shared" si="14"/>
        <v>Milton</v>
      </c>
      <c r="AA248" s="50" t="s">
        <v>77</v>
      </c>
      <c r="AB248" s="38">
        <v>8355.0</v>
      </c>
      <c r="AC248" s="48">
        <f t="shared" si="17"/>
        <v>1078</v>
      </c>
      <c r="AD248" s="51">
        <f t="shared" si="18"/>
        <v>0.8709754638</v>
      </c>
    </row>
    <row r="249">
      <c r="A249" s="23"/>
      <c r="B249" s="46" t="s">
        <v>2234</v>
      </c>
      <c r="C249" s="47"/>
      <c r="D249" s="38">
        <v>914.0</v>
      </c>
      <c r="E249" s="38">
        <v>130.0</v>
      </c>
      <c r="F249" s="38">
        <v>858.0</v>
      </c>
      <c r="G249" s="38">
        <v>33.0</v>
      </c>
      <c r="H249" s="38">
        <v>60.0</v>
      </c>
      <c r="I249" s="48">
        <f t="shared" si="3"/>
        <v>1902</v>
      </c>
      <c r="J249" s="48">
        <f t="shared" si="4"/>
        <v>1995</v>
      </c>
      <c r="K249" s="49">
        <f t="shared" si="5"/>
        <v>0.4805467928</v>
      </c>
      <c r="L249" s="49">
        <f t="shared" si="6"/>
        <v>0.0683491062</v>
      </c>
      <c r="M249" s="49">
        <f t="shared" si="7"/>
        <v>0.4511041009</v>
      </c>
      <c r="N249" s="32" t="str">
        <f t="shared" si="8"/>
        <v>Jânio</v>
      </c>
      <c r="O249" s="50" t="s">
        <v>77</v>
      </c>
      <c r="P249" s="38">
        <v>676.0</v>
      </c>
      <c r="Q249" s="38">
        <v>572.0</v>
      </c>
      <c r="R249" s="38">
        <v>415.0</v>
      </c>
      <c r="S249" s="38">
        <v>305.0</v>
      </c>
      <c r="T249" s="38">
        <v>27.0</v>
      </c>
      <c r="U249" s="48">
        <f t="shared" si="9"/>
        <v>1663</v>
      </c>
      <c r="V249" s="48">
        <f t="shared" si="10"/>
        <v>1995</v>
      </c>
      <c r="W249" s="49">
        <f t="shared" si="11"/>
        <v>0.4064942874</v>
      </c>
      <c r="X249" s="49">
        <f t="shared" si="12"/>
        <v>0.3439567048</v>
      </c>
      <c r="Y249" s="49">
        <f t="shared" si="13"/>
        <v>0.2495490078</v>
      </c>
      <c r="Z249" s="32" t="str">
        <f t="shared" si="14"/>
        <v>Jango</v>
      </c>
      <c r="AA249" s="50" t="s">
        <v>77</v>
      </c>
      <c r="AB249" s="38">
        <v>2376.0</v>
      </c>
      <c r="AC249" s="48">
        <f t="shared" si="17"/>
        <v>381</v>
      </c>
      <c r="AD249" s="51">
        <f t="shared" si="18"/>
        <v>0.8396464646</v>
      </c>
    </row>
    <row r="250">
      <c r="A250" s="24"/>
      <c r="B250" s="46" t="s">
        <v>2235</v>
      </c>
      <c r="C250" s="47"/>
      <c r="D250" s="38">
        <v>997.0</v>
      </c>
      <c r="E250" s="38">
        <v>174.0</v>
      </c>
      <c r="F250" s="38">
        <v>827.0</v>
      </c>
      <c r="G250" s="38">
        <v>49.0</v>
      </c>
      <c r="H250" s="38">
        <v>73.0</v>
      </c>
      <c r="I250" s="48">
        <f t="shared" si="3"/>
        <v>1998</v>
      </c>
      <c r="J250" s="48">
        <f t="shared" si="4"/>
        <v>2120</v>
      </c>
      <c r="K250" s="49">
        <f t="shared" si="5"/>
        <v>0.498998999</v>
      </c>
      <c r="L250" s="49">
        <f t="shared" si="6"/>
        <v>0.08708708709</v>
      </c>
      <c r="M250" s="49">
        <f t="shared" si="7"/>
        <v>0.4139139139</v>
      </c>
      <c r="N250" s="32" t="str">
        <f t="shared" si="8"/>
        <v>Jânio</v>
      </c>
      <c r="O250" s="50" t="s">
        <v>77</v>
      </c>
      <c r="P250" s="38">
        <v>732.0</v>
      </c>
      <c r="Q250" s="38">
        <v>558.0</v>
      </c>
      <c r="R250" s="38">
        <v>555.0</v>
      </c>
      <c r="S250" s="38">
        <v>240.0</v>
      </c>
      <c r="T250" s="38">
        <v>35.0</v>
      </c>
      <c r="U250" s="48">
        <f t="shared" si="9"/>
        <v>1845</v>
      </c>
      <c r="V250" s="48">
        <f t="shared" si="10"/>
        <v>2120</v>
      </c>
      <c r="W250" s="49">
        <f t="shared" si="11"/>
        <v>0.3967479675</v>
      </c>
      <c r="X250" s="49">
        <f t="shared" si="12"/>
        <v>0.3024390244</v>
      </c>
      <c r="Y250" s="49">
        <f t="shared" si="13"/>
        <v>0.3008130081</v>
      </c>
      <c r="Z250" s="32" t="str">
        <f t="shared" si="14"/>
        <v>Jango</v>
      </c>
      <c r="AA250" s="50" t="s">
        <v>77</v>
      </c>
      <c r="AB250" s="38">
        <v>2379.0</v>
      </c>
      <c r="AC250" s="48">
        <f t="shared" si="17"/>
        <v>259</v>
      </c>
      <c r="AD250" s="51">
        <f t="shared" si="18"/>
        <v>0.8911307272</v>
      </c>
    </row>
    <row r="251">
      <c r="A251" s="61" t="s">
        <v>412</v>
      </c>
      <c r="B251" s="46" t="s">
        <v>2236</v>
      </c>
      <c r="C251" s="47"/>
      <c r="D251" s="38">
        <v>1927.0</v>
      </c>
      <c r="E251" s="38">
        <v>262.0</v>
      </c>
      <c r="F251" s="38">
        <v>1701.0</v>
      </c>
      <c r="G251" s="38">
        <v>69.0</v>
      </c>
      <c r="H251" s="38">
        <v>100.0</v>
      </c>
      <c r="I251" s="48">
        <f t="shared" si="3"/>
        <v>3890</v>
      </c>
      <c r="J251" s="48">
        <f t="shared" si="4"/>
        <v>4059</v>
      </c>
      <c r="K251" s="49">
        <f t="shared" si="5"/>
        <v>0.4953727506</v>
      </c>
      <c r="L251" s="49">
        <f t="shared" si="6"/>
        <v>0.06735218509</v>
      </c>
      <c r="M251" s="49">
        <f t="shared" si="7"/>
        <v>0.4372750643</v>
      </c>
      <c r="N251" s="32" t="str">
        <f t="shared" si="8"/>
        <v>Jânio</v>
      </c>
      <c r="O251" s="50" t="s">
        <v>77</v>
      </c>
      <c r="P251" s="38">
        <v>1277.0</v>
      </c>
      <c r="Q251" s="38">
        <v>1264.0</v>
      </c>
      <c r="R251" s="38">
        <v>981.0</v>
      </c>
      <c r="S251" s="38">
        <v>501.0</v>
      </c>
      <c r="T251" s="38">
        <v>36.0</v>
      </c>
      <c r="U251" s="48">
        <f t="shared" si="9"/>
        <v>3522</v>
      </c>
      <c r="V251" s="48">
        <f t="shared" si="10"/>
        <v>4059</v>
      </c>
      <c r="W251" s="49">
        <f t="shared" si="11"/>
        <v>0.3625780806</v>
      </c>
      <c r="X251" s="49">
        <f t="shared" si="12"/>
        <v>0.358886996</v>
      </c>
      <c r="Y251" s="49">
        <f t="shared" si="13"/>
        <v>0.2785349233</v>
      </c>
      <c r="Z251" s="32" t="str">
        <f t="shared" si="14"/>
        <v>Jango</v>
      </c>
      <c r="AA251" s="50" t="s">
        <v>77</v>
      </c>
      <c r="AB251" s="38">
        <v>4455.0</v>
      </c>
      <c r="AC251" s="48">
        <f t="shared" si="17"/>
        <v>396</v>
      </c>
      <c r="AD251" s="51">
        <f t="shared" si="18"/>
        <v>0.9111111111</v>
      </c>
    </row>
    <row r="252">
      <c r="A252" s="23"/>
      <c r="B252" s="46" t="s">
        <v>2237</v>
      </c>
      <c r="C252" s="47"/>
      <c r="D252" s="38">
        <v>342.0</v>
      </c>
      <c r="E252" s="38">
        <v>35.0</v>
      </c>
      <c r="F252" s="38">
        <v>232.0</v>
      </c>
      <c r="G252" s="38">
        <v>24.0</v>
      </c>
      <c r="H252" s="38">
        <v>29.0</v>
      </c>
      <c r="I252" s="48">
        <f t="shared" si="3"/>
        <v>609</v>
      </c>
      <c r="J252" s="48">
        <f t="shared" si="4"/>
        <v>662</v>
      </c>
      <c r="K252" s="49">
        <f t="shared" si="5"/>
        <v>0.5615763547</v>
      </c>
      <c r="L252" s="49">
        <f t="shared" si="6"/>
        <v>0.05747126437</v>
      </c>
      <c r="M252" s="49">
        <f t="shared" si="7"/>
        <v>0.380952381</v>
      </c>
      <c r="N252" s="32" t="str">
        <f t="shared" si="8"/>
        <v>Jânio</v>
      </c>
      <c r="O252" s="50" t="s">
        <v>77</v>
      </c>
      <c r="P252" s="38">
        <v>180.0</v>
      </c>
      <c r="Q252" s="38">
        <v>188.0</v>
      </c>
      <c r="R252" s="38">
        <v>173.0</v>
      </c>
      <c r="S252" s="38">
        <v>110.0</v>
      </c>
      <c r="T252" s="38">
        <v>11.0</v>
      </c>
      <c r="U252" s="48">
        <f t="shared" si="9"/>
        <v>541</v>
      </c>
      <c r="V252" s="48">
        <f t="shared" si="10"/>
        <v>662</v>
      </c>
      <c r="W252" s="49">
        <f t="shared" si="11"/>
        <v>0.3327171904</v>
      </c>
      <c r="X252" s="49">
        <f t="shared" si="12"/>
        <v>0.3475046211</v>
      </c>
      <c r="Y252" s="49">
        <f t="shared" si="13"/>
        <v>0.3197781885</v>
      </c>
      <c r="Z252" s="32" t="str">
        <f t="shared" si="14"/>
        <v>Milton</v>
      </c>
      <c r="AA252" s="50" t="s">
        <v>77</v>
      </c>
      <c r="AB252" s="38">
        <v>749.0</v>
      </c>
      <c r="AC252" s="48">
        <f t="shared" si="17"/>
        <v>87</v>
      </c>
      <c r="AD252" s="51">
        <f t="shared" si="18"/>
        <v>0.8838451268</v>
      </c>
    </row>
    <row r="253">
      <c r="A253" s="23"/>
      <c r="B253" s="46" t="s">
        <v>2238</v>
      </c>
      <c r="C253" s="47"/>
      <c r="D253" s="38">
        <v>679.0</v>
      </c>
      <c r="E253" s="38">
        <v>45.0</v>
      </c>
      <c r="F253" s="38">
        <v>518.0</v>
      </c>
      <c r="G253" s="38">
        <v>23.0</v>
      </c>
      <c r="H253" s="38">
        <v>53.0</v>
      </c>
      <c r="I253" s="48">
        <f t="shared" si="3"/>
        <v>1242</v>
      </c>
      <c r="J253" s="48">
        <f t="shared" si="4"/>
        <v>1318</v>
      </c>
      <c r="K253" s="49">
        <f t="shared" si="5"/>
        <v>0.5466988728</v>
      </c>
      <c r="L253" s="49">
        <f t="shared" si="6"/>
        <v>0.03623188406</v>
      </c>
      <c r="M253" s="49">
        <f t="shared" si="7"/>
        <v>0.4170692432</v>
      </c>
      <c r="N253" s="32" t="str">
        <f t="shared" si="8"/>
        <v>Jânio</v>
      </c>
      <c r="O253" s="50" t="s">
        <v>77</v>
      </c>
      <c r="P253" s="38">
        <v>334.0</v>
      </c>
      <c r="Q253" s="38">
        <v>407.0</v>
      </c>
      <c r="R253" s="38">
        <v>330.0</v>
      </c>
      <c r="S253" s="38">
        <v>221.0</v>
      </c>
      <c r="T253" s="38">
        <v>26.0</v>
      </c>
      <c r="U253" s="48">
        <f t="shared" si="9"/>
        <v>1071</v>
      </c>
      <c r="V253" s="48">
        <f t="shared" si="10"/>
        <v>1318</v>
      </c>
      <c r="W253" s="49">
        <f t="shared" si="11"/>
        <v>0.3118580766</v>
      </c>
      <c r="X253" s="49">
        <f t="shared" si="12"/>
        <v>0.3800186741</v>
      </c>
      <c r="Y253" s="49">
        <f t="shared" si="13"/>
        <v>0.3081232493</v>
      </c>
      <c r="Z253" s="32" t="str">
        <f t="shared" si="14"/>
        <v>Milton</v>
      </c>
      <c r="AA253" s="50" t="s">
        <v>77</v>
      </c>
      <c r="AB253" s="38">
        <v>1488.0</v>
      </c>
      <c r="AC253" s="48">
        <f t="shared" si="17"/>
        <v>170</v>
      </c>
      <c r="AD253" s="51">
        <f t="shared" si="18"/>
        <v>0.8857526882</v>
      </c>
    </row>
    <row r="254">
      <c r="A254" s="24"/>
      <c r="B254" s="46" t="s">
        <v>2239</v>
      </c>
      <c r="C254" s="47"/>
      <c r="D254" s="38">
        <v>221.0</v>
      </c>
      <c r="E254" s="38">
        <v>27.0</v>
      </c>
      <c r="F254" s="38">
        <v>245.0</v>
      </c>
      <c r="G254" s="38">
        <v>24.0</v>
      </c>
      <c r="H254" s="38">
        <v>32.0</v>
      </c>
      <c r="I254" s="48">
        <f t="shared" si="3"/>
        <v>493</v>
      </c>
      <c r="J254" s="48">
        <f t="shared" si="4"/>
        <v>549</v>
      </c>
      <c r="K254" s="49">
        <f t="shared" si="5"/>
        <v>0.4482758621</v>
      </c>
      <c r="L254" s="49">
        <f t="shared" si="6"/>
        <v>0.05476673428</v>
      </c>
      <c r="M254" s="49">
        <f t="shared" si="7"/>
        <v>0.4969574037</v>
      </c>
      <c r="N254" s="32" t="str">
        <f t="shared" si="8"/>
        <v>Adhemar</v>
      </c>
      <c r="O254" s="50" t="s">
        <v>77</v>
      </c>
      <c r="P254" s="38">
        <v>188.0</v>
      </c>
      <c r="Q254" s="38">
        <v>183.0</v>
      </c>
      <c r="R254" s="38">
        <v>34.0</v>
      </c>
      <c r="S254" s="38">
        <v>132.0</v>
      </c>
      <c r="T254" s="38">
        <v>12.0</v>
      </c>
      <c r="U254" s="48">
        <f t="shared" si="9"/>
        <v>405</v>
      </c>
      <c r="V254" s="48">
        <f t="shared" si="10"/>
        <v>549</v>
      </c>
      <c r="W254" s="49">
        <f t="shared" si="11"/>
        <v>0.4641975309</v>
      </c>
      <c r="X254" s="49">
        <f t="shared" si="12"/>
        <v>0.4518518519</v>
      </c>
      <c r="Y254" s="49">
        <f t="shared" si="13"/>
        <v>0.08395061728</v>
      </c>
      <c r="Z254" s="32" t="str">
        <f t="shared" si="14"/>
        <v>Jango</v>
      </c>
      <c r="AA254" s="50" t="s">
        <v>77</v>
      </c>
      <c r="AB254" s="38">
        <v>609.0</v>
      </c>
      <c r="AC254" s="48">
        <f t="shared" si="17"/>
        <v>60</v>
      </c>
      <c r="AD254" s="51">
        <f t="shared" si="18"/>
        <v>0.9014778325</v>
      </c>
    </row>
    <row r="255">
      <c r="A255" s="61" t="s">
        <v>846</v>
      </c>
      <c r="B255" s="46" t="s">
        <v>2240</v>
      </c>
      <c r="C255" s="47"/>
      <c r="D255" s="38">
        <v>1203.0</v>
      </c>
      <c r="E255" s="38">
        <v>225.0</v>
      </c>
      <c r="F255" s="38">
        <v>520.0</v>
      </c>
      <c r="G255" s="38">
        <v>43.0</v>
      </c>
      <c r="H255" s="38">
        <v>94.0</v>
      </c>
      <c r="I255" s="48">
        <f t="shared" si="3"/>
        <v>1948</v>
      </c>
      <c r="J255" s="48">
        <f t="shared" si="4"/>
        <v>2085</v>
      </c>
      <c r="K255" s="49">
        <f t="shared" si="5"/>
        <v>0.6175564682</v>
      </c>
      <c r="L255" s="49">
        <f t="shared" si="6"/>
        <v>0.1155030801</v>
      </c>
      <c r="M255" s="49">
        <f t="shared" si="7"/>
        <v>0.2669404517</v>
      </c>
      <c r="N255" s="32" t="str">
        <f t="shared" si="8"/>
        <v>Jânio</v>
      </c>
      <c r="O255" s="50" t="s">
        <v>77</v>
      </c>
      <c r="P255" s="38">
        <v>516.0</v>
      </c>
      <c r="Q255" s="38">
        <v>1139.0</v>
      </c>
      <c r="R255" s="38">
        <v>141.0</v>
      </c>
      <c r="S255" s="38">
        <v>237.0</v>
      </c>
      <c r="T255" s="38">
        <v>52.0</v>
      </c>
      <c r="U255" s="48">
        <f t="shared" si="9"/>
        <v>1796</v>
      </c>
      <c r="V255" s="48">
        <f t="shared" si="10"/>
        <v>2085</v>
      </c>
      <c r="W255" s="49">
        <f t="shared" si="11"/>
        <v>0.2873051225</v>
      </c>
      <c r="X255" s="49">
        <f t="shared" si="12"/>
        <v>0.6341870824</v>
      </c>
      <c r="Y255" s="49">
        <f t="shared" si="13"/>
        <v>0.0785077951</v>
      </c>
      <c r="Z255" s="32" t="str">
        <f t="shared" si="14"/>
        <v>Milton</v>
      </c>
      <c r="AA255" s="50" t="s">
        <v>77</v>
      </c>
      <c r="AB255" s="38">
        <v>2336.0</v>
      </c>
      <c r="AC255" s="48">
        <f t="shared" si="17"/>
        <v>251</v>
      </c>
      <c r="AD255" s="51">
        <f t="shared" si="18"/>
        <v>0.8925513699</v>
      </c>
    </row>
    <row r="256">
      <c r="A256" s="24"/>
      <c r="B256" s="46" t="s">
        <v>2241</v>
      </c>
      <c r="C256" s="47"/>
      <c r="D256" s="38">
        <v>421.0</v>
      </c>
      <c r="E256" s="38">
        <v>83.0</v>
      </c>
      <c r="F256" s="38">
        <v>396.0</v>
      </c>
      <c r="G256" s="38">
        <v>34.0</v>
      </c>
      <c r="H256" s="38">
        <v>47.0</v>
      </c>
      <c r="I256" s="48">
        <f t="shared" si="3"/>
        <v>900</v>
      </c>
      <c r="J256" s="48">
        <f t="shared" si="4"/>
        <v>981</v>
      </c>
      <c r="K256" s="49">
        <f t="shared" si="5"/>
        <v>0.4677777778</v>
      </c>
      <c r="L256" s="49">
        <f t="shared" si="6"/>
        <v>0.09222222222</v>
      </c>
      <c r="M256" s="49">
        <f t="shared" si="7"/>
        <v>0.44</v>
      </c>
      <c r="N256" s="32" t="str">
        <f t="shared" si="8"/>
        <v>Jânio</v>
      </c>
      <c r="O256" s="50" t="s">
        <v>77</v>
      </c>
      <c r="P256" s="38">
        <v>121.0</v>
      </c>
      <c r="Q256" s="38">
        <v>593.0</v>
      </c>
      <c r="R256" s="38">
        <v>103.0</v>
      </c>
      <c r="S256" s="38">
        <v>142.0</v>
      </c>
      <c r="T256" s="38">
        <v>22.0</v>
      </c>
      <c r="U256" s="48">
        <f t="shared" si="9"/>
        <v>817</v>
      </c>
      <c r="V256" s="48">
        <f t="shared" si="10"/>
        <v>981</v>
      </c>
      <c r="W256" s="49">
        <f t="shared" si="11"/>
        <v>0.1481028152</v>
      </c>
      <c r="X256" s="49">
        <f t="shared" si="12"/>
        <v>0.7258261934</v>
      </c>
      <c r="Y256" s="49">
        <f t="shared" si="13"/>
        <v>0.1260709914</v>
      </c>
      <c r="Z256" s="32" t="str">
        <f t="shared" si="14"/>
        <v>Milton</v>
      </c>
      <c r="AA256" s="50" t="s">
        <v>77</v>
      </c>
      <c r="AB256" s="38">
        <v>1142.0</v>
      </c>
      <c r="AC256" s="48">
        <f t="shared" si="17"/>
        <v>161</v>
      </c>
      <c r="AD256" s="51">
        <f t="shared" si="18"/>
        <v>0.8590192644</v>
      </c>
    </row>
    <row r="257">
      <c r="A257" s="61" t="s">
        <v>848</v>
      </c>
      <c r="B257" s="46" t="s">
        <v>2242</v>
      </c>
      <c r="C257" s="47"/>
      <c r="D257" s="38">
        <v>1082.0</v>
      </c>
      <c r="E257" s="38">
        <v>184.0</v>
      </c>
      <c r="F257" s="38">
        <v>283.0</v>
      </c>
      <c r="G257" s="38">
        <v>32.0</v>
      </c>
      <c r="H257" s="38">
        <v>86.0</v>
      </c>
      <c r="I257" s="48">
        <f t="shared" si="3"/>
        <v>1549</v>
      </c>
      <c r="J257" s="48">
        <f t="shared" si="4"/>
        <v>1667</v>
      </c>
      <c r="K257" s="49">
        <f t="shared" si="5"/>
        <v>0.6985151711</v>
      </c>
      <c r="L257" s="49">
        <f t="shared" si="6"/>
        <v>0.1187863138</v>
      </c>
      <c r="M257" s="49">
        <f t="shared" si="7"/>
        <v>0.1826985152</v>
      </c>
      <c r="N257" s="32" t="str">
        <f t="shared" si="8"/>
        <v>Jânio</v>
      </c>
      <c r="O257" s="50" t="s">
        <v>77</v>
      </c>
      <c r="P257" s="38">
        <v>343.0</v>
      </c>
      <c r="Q257" s="38">
        <v>948.0</v>
      </c>
      <c r="R257" s="38">
        <v>131.0</v>
      </c>
      <c r="S257" s="38">
        <v>194.0</v>
      </c>
      <c r="T257" s="38">
        <v>51.0</v>
      </c>
      <c r="U257" s="48">
        <f t="shared" si="9"/>
        <v>1422</v>
      </c>
      <c r="V257" s="48">
        <f t="shared" si="10"/>
        <v>1667</v>
      </c>
      <c r="W257" s="49">
        <f t="shared" si="11"/>
        <v>0.241209564</v>
      </c>
      <c r="X257" s="49">
        <f t="shared" si="12"/>
        <v>0.6666666667</v>
      </c>
      <c r="Y257" s="49">
        <f t="shared" si="13"/>
        <v>0.09212376934</v>
      </c>
      <c r="Z257" s="32" t="str">
        <f t="shared" si="14"/>
        <v>Milton</v>
      </c>
      <c r="AA257" s="50" t="s">
        <v>77</v>
      </c>
      <c r="AB257" s="38">
        <v>1839.0</v>
      </c>
      <c r="AC257" s="48">
        <f t="shared" si="17"/>
        <v>172</v>
      </c>
      <c r="AD257" s="51">
        <f t="shared" si="18"/>
        <v>0.9064709081</v>
      </c>
    </row>
    <row r="258">
      <c r="A258" s="24"/>
      <c r="B258" s="46" t="s">
        <v>2243</v>
      </c>
      <c r="C258" s="47"/>
      <c r="D258" s="38">
        <v>463.0</v>
      </c>
      <c r="E258" s="38">
        <v>59.0</v>
      </c>
      <c r="F258" s="38">
        <v>205.0</v>
      </c>
      <c r="G258" s="38">
        <v>23.0</v>
      </c>
      <c r="H258" s="38">
        <v>52.0</v>
      </c>
      <c r="I258" s="48">
        <f t="shared" si="3"/>
        <v>727</v>
      </c>
      <c r="J258" s="48">
        <f t="shared" si="4"/>
        <v>802</v>
      </c>
      <c r="K258" s="49">
        <f t="shared" si="5"/>
        <v>0.6368638239</v>
      </c>
      <c r="L258" s="49">
        <f t="shared" si="6"/>
        <v>0.08115543329</v>
      </c>
      <c r="M258" s="49">
        <f t="shared" si="7"/>
        <v>0.2819807428</v>
      </c>
      <c r="N258" s="32" t="str">
        <f t="shared" si="8"/>
        <v>Jânio</v>
      </c>
      <c r="O258" s="50" t="s">
        <v>77</v>
      </c>
      <c r="P258" s="38">
        <v>200.0</v>
      </c>
      <c r="Q258" s="38">
        <v>403.0</v>
      </c>
      <c r="R258" s="38">
        <v>74.0</v>
      </c>
      <c r="S258" s="38">
        <v>98.0</v>
      </c>
      <c r="T258" s="38">
        <v>27.0</v>
      </c>
      <c r="U258" s="48">
        <f t="shared" si="9"/>
        <v>677</v>
      </c>
      <c r="V258" s="48">
        <f t="shared" si="10"/>
        <v>802</v>
      </c>
      <c r="W258" s="49">
        <f t="shared" si="11"/>
        <v>0.2954209749</v>
      </c>
      <c r="X258" s="49">
        <f t="shared" si="12"/>
        <v>0.5952732644</v>
      </c>
      <c r="Y258" s="49">
        <f t="shared" si="13"/>
        <v>0.1093057607</v>
      </c>
      <c r="Z258" s="32" t="str">
        <f t="shared" si="14"/>
        <v>Milton</v>
      </c>
      <c r="AA258" s="50" t="s">
        <v>77</v>
      </c>
      <c r="AB258" s="38">
        <v>978.0</v>
      </c>
      <c r="AC258" s="48">
        <f t="shared" si="17"/>
        <v>176</v>
      </c>
      <c r="AD258" s="51">
        <f t="shared" si="18"/>
        <v>0.8200408998</v>
      </c>
    </row>
    <row r="259">
      <c r="A259" s="61" t="s">
        <v>850</v>
      </c>
      <c r="B259" s="46" t="s">
        <v>2244</v>
      </c>
      <c r="C259" s="47"/>
      <c r="D259" s="38">
        <v>2813.0</v>
      </c>
      <c r="E259" s="38">
        <v>1043.0</v>
      </c>
      <c r="F259" s="38">
        <v>1104.0</v>
      </c>
      <c r="G259" s="38">
        <v>137.0</v>
      </c>
      <c r="H259" s="38">
        <v>270.0</v>
      </c>
      <c r="I259" s="48">
        <f t="shared" si="3"/>
        <v>4960</v>
      </c>
      <c r="J259" s="48">
        <f t="shared" si="4"/>
        <v>5367</v>
      </c>
      <c r="K259" s="49">
        <f t="shared" si="5"/>
        <v>0.5671370968</v>
      </c>
      <c r="L259" s="49">
        <f t="shared" si="6"/>
        <v>0.2102822581</v>
      </c>
      <c r="M259" s="49">
        <f t="shared" si="7"/>
        <v>0.2225806452</v>
      </c>
      <c r="N259" s="32" t="str">
        <f t="shared" si="8"/>
        <v>Jânio</v>
      </c>
      <c r="O259" s="50" t="s">
        <v>77</v>
      </c>
      <c r="P259" s="38">
        <v>1807.0</v>
      </c>
      <c r="Q259" s="38">
        <v>2371.0</v>
      </c>
      <c r="R259" s="38">
        <v>531.0</v>
      </c>
      <c r="S259" s="38">
        <v>464.0</v>
      </c>
      <c r="T259" s="38">
        <v>194.0</v>
      </c>
      <c r="U259" s="48">
        <f t="shared" si="9"/>
        <v>4709</v>
      </c>
      <c r="V259" s="48">
        <f t="shared" si="10"/>
        <v>5367</v>
      </c>
      <c r="W259" s="49">
        <f t="shared" si="11"/>
        <v>0.3837332767</v>
      </c>
      <c r="X259" s="49">
        <f t="shared" si="12"/>
        <v>0.5035039286</v>
      </c>
      <c r="Y259" s="49">
        <f t="shared" si="13"/>
        <v>0.1127627946</v>
      </c>
      <c r="Z259" s="32" t="str">
        <f t="shared" si="14"/>
        <v>Milton</v>
      </c>
      <c r="AA259" s="50" t="s">
        <v>77</v>
      </c>
      <c r="AB259" s="38">
        <v>5955.0</v>
      </c>
      <c r="AC259" s="48">
        <f t="shared" si="17"/>
        <v>588</v>
      </c>
      <c r="AD259" s="51">
        <f t="shared" si="18"/>
        <v>0.9012594458</v>
      </c>
    </row>
    <row r="260">
      <c r="A260" s="23"/>
      <c r="B260" s="46" t="s">
        <v>2245</v>
      </c>
      <c r="C260" s="47"/>
      <c r="D260" s="38">
        <v>899.0</v>
      </c>
      <c r="E260" s="38">
        <v>102.0</v>
      </c>
      <c r="F260" s="38">
        <v>372.0</v>
      </c>
      <c r="G260" s="38">
        <v>34.0</v>
      </c>
      <c r="H260" s="38">
        <v>69.0</v>
      </c>
      <c r="I260" s="48">
        <f t="shared" si="3"/>
        <v>1373</v>
      </c>
      <c r="J260" s="48">
        <f t="shared" si="4"/>
        <v>1476</v>
      </c>
      <c r="K260" s="49">
        <f t="shared" si="5"/>
        <v>0.6547705754</v>
      </c>
      <c r="L260" s="49">
        <f t="shared" si="6"/>
        <v>0.07428987618</v>
      </c>
      <c r="M260" s="49">
        <f t="shared" si="7"/>
        <v>0.2709395484</v>
      </c>
      <c r="N260" s="32" t="str">
        <f t="shared" si="8"/>
        <v>Jânio</v>
      </c>
      <c r="O260" s="50" t="s">
        <v>77</v>
      </c>
      <c r="P260" s="38">
        <v>474.0</v>
      </c>
      <c r="Q260" s="38">
        <v>797.0</v>
      </c>
      <c r="R260" s="38">
        <v>73.0</v>
      </c>
      <c r="S260" s="38">
        <v>85.0</v>
      </c>
      <c r="T260" s="38">
        <v>47.0</v>
      </c>
      <c r="U260" s="48">
        <f t="shared" si="9"/>
        <v>1344</v>
      </c>
      <c r="V260" s="48">
        <f t="shared" si="10"/>
        <v>1476</v>
      </c>
      <c r="W260" s="49">
        <f t="shared" si="11"/>
        <v>0.3526785714</v>
      </c>
      <c r="X260" s="49">
        <f t="shared" si="12"/>
        <v>0.5930059524</v>
      </c>
      <c r="Y260" s="49">
        <f t="shared" si="13"/>
        <v>0.05431547619</v>
      </c>
      <c r="Z260" s="32" t="str">
        <f t="shared" si="14"/>
        <v>Milton</v>
      </c>
      <c r="AA260" s="50" t="s">
        <v>77</v>
      </c>
      <c r="AB260" s="38">
        <v>1679.0</v>
      </c>
      <c r="AC260" s="48">
        <f t="shared" si="17"/>
        <v>203</v>
      </c>
      <c r="AD260" s="51">
        <f t="shared" si="18"/>
        <v>0.8790946992</v>
      </c>
    </row>
    <row r="261">
      <c r="A261" s="23"/>
      <c r="B261" s="46" t="s">
        <v>2246</v>
      </c>
      <c r="C261" s="47"/>
      <c r="D261" s="38">
        <v>1274.0</v>
      </c>
      <c r="E261" s="38">
        <v>336.0</v>
      </c>
      <c r="F261" s="38">
        <v>371.0</v>
      </c>
      <c r="G261" s="38">
        <v>40.0</v>
      </c>
      <c r="H261" s="38">
        <v>85.0</v>
      </c>
      <c r="I261" s="48">
        <f t="shared" si="3"/>
        <v>1981</v>
      </c>
      <c r="J261" s="48">
        <f t="shared" si="4"/>
        <v>2106</v>
      </c>
      <c r="K261" s="49">
        <f t="shared" si="5"/>
        <v>0.6431095406</v>
      </c>
      <c r="L261" s="49">
        <f t="shared" si="6"/>
        <v>0.1696113074</v>
      </c>
      <c r="M261" s="49">
        <f t="shared" si="7"/>
        <v>0.1872791519</v>
      </c>
      <c r="N261" s="32" t="str">
        <f t="shared" si="8"/>
        <v>Jânio</v>
      </c>
      <c r="O261" s="50" t="s">
        <v>77</v>
      </c>
      <c r="P261" s="38">
        <v>597.0</v>
      </c>
      <c r="Q261" s="38">
        <v>1139.0</v>
      </c>
      <c r="R261" s="38">
        <v>111.0</v>
      </c>
      <c r="S261" s="38">
        <v>212.0</v>
      </c>
      <c r="T261" s="38">
        <v>47.0</v>
      </c>
      <c r="U261" s="48">
        <f t="shared" si="9"/>
        <v>1847</v>
      </c>
      <c r="V261" s="48">
        <f t="shared" si="10"/>
        <v>2106</v>
      </c>
      <c r="W261" s="49">
        <f t="shared" si="11"/>
        <v>0.3232268544</v>
      </c>
      <c r="X261" s="49">
        <f t="shared" si="12"/>
        <v>0.6166756903</v>
      </c>
      <c r="Y261" s="49">
        <f t="shared" si="13"/>
        <v>0.06009745533</v>
      </c>
      <c r="Z261" s="32" t="str">
        <f t="shared" si="14"/>
        <v>Milton</v>
      </c>
      <c r="AA261" s="50" t="s">
        <v>77</v>
      </c>
      <c r="AB261" s="38">
        <v>2481.0</v>
      </c>
      <c r="AC261" s="48">
        <f t="shared" si="17"/>
        <v>375</v>
      </c>
      <c r="AD261" s="51">
        <f t="shared" si="18"/>
        <v>0.8488512696</v>
      </c>
    </row>
    <row r="262">
      <c r="A262" s="24"/>
      <c r="B262" s="46" t="s">
        <v>2247</v>
      </c>
      <c r="C262" s="47"/>
      <c r="D262" s="38">
        <v>652.0</v>
      </c>
      <c r="E262" s="38">
        <v>89.0</v>
      </c>
      <c r="F262" s="38">
        <v>550.0</v>
      </c>
      <c r="G262" s="38">
        <v>40.0</v>
      </c>
      <c r="H262" s="38">
        <v>47.0</v>
      </c>
      <c r="I262" s="48">
        <f t="shared" si="3"/>
        <v>1291</v>
      </c>
      <c r="J262" s="48">
        <f t="shared" si="4"/>
        <v>1378</v>
      </c>
      <c r="K262" s="49">
        <f t="shared" si="5"/>
        <v>0.5050348567</v>
      </c>
      <c r="L262" s="49">
        <f t="shared" si="6"/>
        <v>0.06893880713</v>
      </c>
      <c r="M262" s="49">
        <f t="shared" si="7"/>
        <v>0.4260263362</v>
      </c>
      <c r="N262" s="32" t="str">
        <f t="shared" si="8"/>
        <v>Jânio</v>
      </c>
      <c r="O262" s="50" t="s">
        <v>77</v>
      </c>
      <c r="P262" s="38">
        <v>388.0</v>
      </c>
      <c r="Q262" s="38">
        <v>601.0</v>
      </c>
      <c r="R262" s="38">
        <v>114.0</v>
      </c>
      <c r="S262" s="38">
        <v>250.0</v>
      </c>
      <c r="T262" s="38">
        <v>25.0</v>
      </c>
      <c r="U262" s="48">
        <f t="shared" si="9"/>
        <v>1103</v>
      </c>
      <c r="V262" s="48">
        <f t="shared" si="10"/>
        <v>1378</v>
      </c>
      <c r="W262" s="49">
        <f t="shared" si="11"/>
        <v>0.3517679057</v>
      </c>
      <c r="X262" s="49">
        <f t="shared" si="12"/>
        <v>0.5448776065</v>
      </c>
      <c r="Y262" s="49">
        <f t="shared" si="13"/>
        <v>0.1033544878</v>
      </c>
      <c r="Z262" s="32" t="str">
        <f t="shared" si="14"/>
        <v>Milton</v>
      </c>
      <c r="AA262" s="50" t="s">
        <v>77</v>
      </c>
      <c r="AB262" s="38">
        <v>1538.0</v>
      </c>
      <c r="AC262" s="48">
        <f t="shared" si="17"/>
        <v>160</v>
      </c>
      <c r="AD262" s="51">
        <f t="shared" si="18"/>
        <v>0.8959687906</v>
      </c>
    </row>
    <row r="263">
      <c r="A263" s="61" t="s">
        <v>852</v>
      </c>
      <c r="B263" s="46" t="s">
        <v>2248</v>
      </c>
      <c r="C263" s="47"/>
      <c r="D263" s="38">
        <v>2631.0</v>
      </c>
      <c r="E263" s="38">
        <v>600.0</v>
      </c>
      <c r="F263" s="38">
        <v>2485.0</v>
      </c>
      <c r="G263" s="38">
        <v>75.0</v>
      </c>
      <c r="H263" s="38">
        <v>161.0</v>
      </c>
      <c r="I263" s="48">
        <f t="shared" si="3"/>
        <v>5716</v>
      </c>
      <c r="J263" s="48">
        <f t="shared" si="4"/>
        <v>5952</v>
      </c>
      <c r="K263" s="49">
        <f t="shared" si="5"/>
        <v>0.4602869139</v>
      </c>
      <c r="L263" s="49">
        <f t="shared" si="6"/>
        <v>0.1049685094</v>
      </c>
      <c r="M263" s="49">
        <f t="shared" si="7"/>
        <v>0.4347445766</v>
      </c>
      <c r="N263" s="32" t="str">
        <f t="shared" si="8"/>
        <v>Jânio</v>
      </c>
      <c r="O263" s="50" t="s">
        <v>77</v>
      </c>
      <c r="P263" s="38">
        <v>1757.0</v>
      </c>
      <c r="Q263" s="38">
        <v>2167.0</v>
      </c>
      <c r="R263" s="38">
        <v>1403.0</v>
      </c>
      <c r="S263" s="38">
        <v>498.0</v>
      </c>
      <c r="T263" s="38">
        <v>127.0</v>
      </c>
      <c r="U263" s="48">
        <f t="shared" si="9"/>
        <v>5327</v>
      </c>
      <c r="V263" s="48">
        <f t="shared" si="10"/>
        <v>5952</v>
      </c>
      <c r="W263" s="49">
        <f t="shared" si="11"/>
        <v>0.3298291721</v>
      </c>
      <c r="X263" s="49">
        <f t="shared" si="12"/>
        <v>0.4067955697</v>
      </c>
      <c r="Y263" s="49">
        <f t="shared" si="13"/>
        <v>0.2633752581</v>
      </c>
      <c r="Z263" s="32" t="str">
        <f t="shared" si="14"/>
        <v>Milton</v>
      </c>
      <c r="AA263" s="50" t="s">
        <v>77</v>
      </c>
      <c r="AB263" s="38">
        <v>6841.0</v>
      </c>
      <c r="AC263" s="48">
        <f t="shared" si="17"/>
        <v>889</v>
      </c>
      <c r="AD263" s="51">
        <f t="shared" si="18"/>
        <v>0.8700482386</v>
      </c>
    </row>
    <row r="264">
      <c r="A264" s="23"/>
      <c r="B264" s="46" t="s">
        <v>2249</v>
      </c>
      <c r="C264" s="47"/>
      <c r="D264" s="38">
        <v>676.0</v>
      </c>
      <c r="E264" s="38">
        <v>43.0</v>
      </c>
      <c r="F264" s="38">
        <v>544.0</v>
      </c>
      <c r="G264" s="38">
        <v>19.0</v>
      </c>
      <c r="H264" s="38">
        <v>69.0</v>
      </c>
      <c r="I264" s="48">
        <f t="shared" si="3"/>
        <v>1263</v>
      </c>
      <c r="J264" s="48">
        <f t="shared" si="4"/>
        <v>1351</v>
      </c>
      <c r="K264" s="49">
        <f t="shared" si="5"/>
        <v>0.5352335709</v>
      </c>
      <c r="L264" s="49">
        <f t="shared" si="6"/>
        <v>0.03404592241</v>
      </c>
      <c r="M264" s="49">
        <f t="shared" si="7"/>
        <v>0.4307205067</v>
      </c>
      <c r="N264" s="32" t="str">
        <f t="shared" si="8"/>
        <v>Jânio</v>
      </c>
      <c r="O264" s="50" t="s">
        <v>77</v>
      </c>
      <c r="P264" s="38">
        <v>358.0</v>
      </c>
      <c r="Q264" s="38">
        <v>485.0</v>
      </c>
      <c r="R264" s="38">
        <v>296.0</v>
      </c>
      <c r="S264" s="38">
        <v>170.0</v>
      </c>
      <c r="T264" s="38">
        <v>42.0</v>
      </c>
      <c r="U264" s="48">
        <f t="shared" si="9"/>
        <v>1139</v>
      </c>
      <c r="V264" s="48">
        <f t="shared" si="10"/>
        <v>1351</v>
      </c>
      <c r="W264" s="49">
        <f t="shared" si="11"/>
        <v>0.3143107989</v>
      </c>
      <c r="X264" s="49">
        <f t="shared" si="12"/>
        <v>0.4258121159</v>
      </c>
      <c r="Y264" s="49">
        <f t="shared" si="13"/>
        <v>0.2598770852</v>
      </c>
      <c r="Z264" s="32" t="str">
        <f t="shared" si="14"/>
        <v>Milton</v>
      </c>
      <c r="AA264" s="50" t="s">
        <v>77</v>
      </c>
      <c r="AB264" s="38">
        <v>1585.0</v>
      </c>
      <c r="AC264" s="48">
        <f t="shared" si="17"/>
        <v>234</v>
      </c>
      <c r="AD264" s="51">
        <f t="shared" si="18"/>
        <v>0.8523659306</v>
      </c>
    </row>
    <row r="265">
      <c r="A265" s="23"/>
      <c r="B265" s="46" t="s">
        <v>2250</v>
      </c>
      <c r="C265" s="47"/>
      <c r="D265" s="38">
        <v>494.0</v>
      </c>
      <c r="E265" s="38">
        <v>139.0</v>
      </c>
      <c r="F265" s="38">
        <v>462.0</v>
      </c>
      <c r="G265" s="38">
        <v>20.0</v>
      </c>
      <c r="H265" s="38">
        <v>43.0</v>
      </c>
      <c r="I265" s="48">
        <f t="shared" si="3"/>
        <v>1095</v>
      </c>
      <c r="J265" s="48">
        <f t="shared" si="4"/>
        <v>1158</v>
      </c>
      <c r="K265" s="49">
        <f t="shared" si="5"/>
        <v>0.4511415525</v>
      </c>
      <c r="L265" s="49">
        <f t="shared" si="6"/>
        <v>0.1269406393</v>
      </c>
      <c r="M265" s="49">
        <f t="shared" si="7"/>
        <v>0.4219178082</v>
      </c>
      <c r="N265" s="32" t="str">
        <f t="shared" si="8"/>
        <v>Jânio</v>
      </c>
      <c r="O265" s="50" t="s">
        <v>77</v>
      </c>
      <c r="P265" s="38">
        <v>360.0</v>
      </c>
      <c r="Q265" s="38">
        <v>411.0</v>
      </c>
      <c r="R265" s="38">
        <v>203.0</v>
      </c>
      <c r="S265" s="38">
        <v>156.0</v>
      </c>
      <c r="T265" s="38">
        <v>28.0</v>
      </c>
      <c r="U265" s="48">
        <f t="shared" si="9"/>
        <v>974</v>
      </c>
      <c r="V265" s="48">
        <f t="shared" si="10"/>
        <v>1158</v>
      </c>
      <c r="W265" s="49">
        <f t="shared" si="11"/>
        <v>0.3696098563</v>
      </c>
      <c r="X265" s="49">
        <f t="shared" si="12"/>
        <v>0.4219712526</v>
      </c>
      <c r="Y265" s="49">
        <f t="shared" si="13"/>
        <v>0.2084188912</v>
      </c>
      <c r="Z265" s="32" t="str">
        <f t="shared" si="14"/>
        <v>Milton</v>
      </c>
      <c r="AA265" s="50" t="s">
        <v>77</v>
      </c>
      <c r="AB265" s="38">
        <v>1348.0</v>
      </c>
      <c r="AC265" s="48">
        <f t="shared" si="17"/>
        <v>190</v>
      </c>
      <c r="AD265" s="51">
        <f t="shared" si="18"/>
        <v>0.8590504451</v>
      </c>
    </row>
    <row r="266">
      <c r="A266" s="23"/>
      <c r="B266" s="46" t="s">
        <v>2251</v>
      </c>
      <c r="C266" s="47"/>
      <c r="D266" s="38">
        <v>298.0</v>
      </c>
      <c r="E266" s="38">
        <v>53.0</v>
      </c>
      <c r="F266" s="38">
        <v>282.0</v>
      </c>
      <c r="G266" s="38">
        <v>9.0</v>
      </c>
      <c r="H266" s="38">
        <v>23.0</v>
      </c>
      <c r="I266" s="48">
        <f t="shared" si="3"/>
        <v>633</v>
      </c>
      <c r="J266" s="48">
        <f t="shared" si="4"/>
        <v>665</v>
      </c>
      <c r="K266" s="49">
        <f t="shared" si="5"/>
        <v>0.4707740916</v>
      </c>
      <c r="L266" s="49">
        <f t="shared" si="6"/>
        <v>0.08372827804</v>
      </c>
      <c r="M266" s="49">
        <f t="shared" si="7"/>
        <v>0.4454976303</v>
      </c>
      <c r="N266" s="32" t="str">
        <f t="shared" si="8"/>
        <v>Jânio</v>
      </c>
      <c r="O266" s="50" t="s">
        <v>77</v>
      </c>
      <c r="P266" s="38">
        <v>243.0</v>
      </c>
      <c r="Q266" s="38">
        <v>244.0</v>
      </c>
      <c r="R266" s="38">
        <v>88.0</v>
      </c>
      <c r="S266" s="38">
        <v>76.0</v>
      </c>
      <c r="T266" s="38">
        <v>14.0</v>
      </c>
      <c r="U266" s="48">
        <f t="shared" si="9"/>
        <v>575</v>
      </c>
      <c r="V266" s="48">
        <f t="shared" si="10"/>
        <v>665</v>
      </c>
      <c r="W266" s="49">
        <f t="shared" si="11"/>
        <v>0.4226086957</v>
      </c>
      <c r="X266" s="49">
        <f t="shared" si="12"/>
        <v>0.4243478261</v>
      </c>
      <c r="Y266" s="49">
        <f t="shared" si="13"/>
        <v>0.1530434783</v>
      </c>
      <c r="Z266" s="32" t="str">
        <f t="shared" si="14"/>
        <v>Milton</v>
      </c>
      <c r="AA266" s="50" t="s">
        <v>77</v>
      </c>
      <c r="AB266" s="38">
        <v>785.0</v>
      </c>
      <c r="AC266" s="48">
        <f t="shared" si="17"/>
        <v>120</v>
      </c>
      <c r="AD266" s="51">
        <f t="shared" si="18"/>
        <v>0.847133758</v>
      </c>
    </row>
    <row r="267">
      <c r="A267" s="23"/>
      <c r="B267" s="46" t="s">
        <v>2252</v>
      </c>
      <c r="C267" s="47"/>
      <c r="D267" s="38">
        <v>579.0</v>
      </c>
      <c r="E267" s="38">
        <v>88.0</v>
      </c>
      <c r="F267" s="38">
        <v>489.0</v>
      </c>
      <c r="G267" s="38">
        <v>17.0</v>
      </c>
      <c r="H267" s="38">
        <v>104.0</v>
      </c>
      <c r="I267" s="48">
        <f t="shared" si="3"/>
        <v>1156</v>
      </c>
      <c r="J267" s="48">
        <f t="shared" si="4"/>
        <v>1277</v>
      </c>
      <c r="K267" s="49">
        <f t="shared" si="5"/>
        <v>0.5008650519</v>
      </c>
      <c r="L267" s="49">
        <f t="shared" si="6"/>
        <v>0.07612456747</v>
      </c>
      <c r="M267" s="49">
        <f t="shared" si="7"/>
        <v>0.4230103806</v>
      </c>
      <c r="N267" s="32" t="str">
        <f t="shared" si="8"/>
        <v>Jânio</v>
      </c>
      <c r="O267" s="50" t="s">
        <v>77</v>
      </c>
      <c r="P267" s="38">
        <v>334.0</v>
      </c>
      <c r="Q267" s="38">
        <v>469.0</v>
      </c>
      <c r="R267" s="38">
        <v>237.0</v>
      </c>
      <c r="S267" s="38">
        <v>176.0</v>
      </c>
      <c r="T267" s="38">
        <v>61.0</v>
      </c>
      <c r="U267" s="48">
        <f t="shared" si="9"/>
        <v>1040</v>
      </c>
      <c r="V267" s="48">
        <f t="shared" si="10"/>
        <v>1277</v>
      </c>
      <c r="W267" s="49">
        <f t="shared" si="11"/>
        <v>0.3211538462</v>
      </c>
      <c r="X267" s="49">
        <f t="shared" si="12"/>
        <v>0.4509615385</v>
      </c>
      <c r="Y267" s="49">
        <f t="shared" si="13"/>
        <v>0.2278846154</v>
      </c>
      <c r="Z267" s="32" t="str">
        <f t="shared" si="14"/>
        <v>Milton</v>
      </c>
      <c r="AA267" s="50" t="s">
        <v>77</v>
      </c>
      <c r="AB267" s="38">
        <v>1495.0</v>
      </c>
      <c r="AC267" s="48">
        <f t="shared" si="17"/>
        <v>218</v>
      </c>
      <c r="AD267" s="51">
        <f t="shared" si="18"/>
        <v>0.854180602</v>
      </c>
    </row>
    <row r="268">
      <c r="A268" s="23"/>
      <c r="B268" s="46" t="s">
        <v>2253</v>
      </c>
      <c r="C268" s="47"/>
      <c r="D268" s="38">
        <v>338.0</v>
      </c>
      <c r="E268" s="38">
        <v>125.0</v>
      </c>
      <c r="F268" s="38">
        <v>214.0</v>
      </c>
      <c r="G268" s="38">
        <v>14.0</v>
      </c>
      <c r="H268" s="38">
        <v>27.0</v>
      </c>
      <c r="I268" s="48">
        <f t="shared" si="3"/>
        <v>677</v>
      </c>
      <c r="J268" s="48">
        <f t="shared" si="4"/>
        <v>718</v>
      </c>
      <c r="K268" s="49">
        <f t="shared" si="5"/>
        <v>0.4992614476</v>
      </c>
      <c r="L268" s="49">
        <f t="shared" si="6"/>
        <v>0.1846381093</v>
      </c>
      <c r="M268" s="49">
        <f t="shared" si="7"/>
        <v>0.3161004431</v>
      </c>
      <c r="N268" s="32" t="str">
        <f t="shared" si="8"/>
        <v>Jânio</v>
      </c>
      <c r="O268" s="50" t="s">
        <v>77</v>
      </c>
      <c r="P268" s="38">
        <v>239.0</v>
      </c>
      <c r="Q268" s="38">
        <v>222.0</v>
      </c>
      <c r="R268" s="38">
        <v>150.0</v>
      </c>
      <c r="S268" s="38">
        <v>74.0</v>
      </c>
      <c r="T268" s="38">
        <v>33.0</v>
      </c>
      <c r="U268" s="48">
        <f t="shared" si="9"/>
        <v>611</v>
      </c>
      <c r="V268" s="48">
        <f t="shared" si="10"/>
        <v>718</v>
      </c>
      <c r="W268" s="49">
        <f t="shared" si="11"/>
        <v>0.3911620295</v>
      </c>
      <c r="X268" s="49">
        <f t="shared" si="12"/>
        <v>0.3633387889</v>
      </c>
      <c r="Y268" s="49">
        <f t="shared" si="13"/>
        <v>0.2454991817</v>
      </c>
      <c r="Z268" s="32" t="str">
        <f t="shared" si="14"/>
        <v>Jango</v>
      </c>
      <c r="AA268" s="50" t="s">
        <v>77</v>
      </c>
      <c r="AB268" s="38">
        <v>837.0</v>
      </c>
      <c r="AC268" s="48">
        <f t="shared" si="17"/>
        <v>119</v>
      </c>
      <c r="AD268" s="51">
        <f t="shared" si="18"/>
        <v>0.8578255675</v>
      </c>
    </row>
    <row r="269">
      <c r="A269" s="24"/>
      <c r="B269" s="46" t="s">
        <v>2254</v>
      </c>
      <c r="C269" s="47"/>
      <c r="D269" s="38">
        <v>306.0</v>
      </c>
      <c r="E269" s="38">
        <v>51.0</v>
      </c>
      <c r="F269" s="38">
        <v>222.0</v>
      </c>
      <c r="G269" s="38">
        <v>15.0</v>
      </c>
      <c r="H269" s="38">
        <v>53.0</v>
      </c>
      <c r="I269" s="48">
        <f t="shared" si="3"/>
        <v>579</v>
      </c>
      <c r="J269" s="48">
        <f t="shared" si="4"/>
        <v>647</v>
      </c>
      <c r="K269" s="49">
        <f t="shared" si="5"/>
        <v>0.5284974093</v>
      </c>
      <c r="L269" s="49">
        <f t="shared" si="6"/>
        <v>0.08808290155</v>
      </c>
      <c r="M269" s="49">
        <f t="shared" si="7"/>
        <v>0.3834196891</v>
      </c>
      <c r="N269" s="32" t="str">
        <f t="shared" si="8"/>
        <v>Jânio</v>
      </c>
      <c r="O269" s="50" t="s">
        <v>77</v>
      </c>
      <c r="P269" s="38">
        <v>173.0</v>
      </c>
      <c r="Q269" s="38">
        <v>193.0</v>
      </c>
      <c r="R269" s="38">
        <v>115.0</v>
      </c>
      <c r="S269" s="38">
        <v>146.0</v>
      </c>
      <c r="T269" s="38">
        <v>20.0</v>
      </c>
      <c r="U269" s="48">
        <f t="shared" si="9"/>
        <v>481</v>
      </c>
      <c r="V269" s="48">
        <f t="shared" si="10"/>
        <v>647</v>
      </c>
      <c r="W269" s="49">
        <f t="shared" si="11"/>
        <v>0.3596673597</v>
      </c>
      <c r="X269" s="49">
        <f t="shared" si="12"/>
        <v>0.4012474012</v>
      </c>
      <c r="Y269" s="49">
        <f t="shared" si="13"/>
        <v>0.2390852391</v>
      </c>
      <c r="Z269" s="32" t="str">
        <f t="shared" si="14"/>
        <v>Milton</v>
      </c>
      <c r="AA269" s="50" t="s">
        <v>77</v>
      </c>
      <c r="AB269" s="38">
        <v>743.0</v>
      </c>
      <c r="AC269" s="48">
        <f t="shared" si="17"/>
        <v>96</v>
      </c>
      <c r="AD269" s="51">
        <f t="shared" si="18"/>
        <v>0.8707940781</v>
      </c>
    </row>
    <row r="270">
      <c r="A270" s="61" t="s">
        <v>854</v>
      </c>
      <c r="B270" s="46" t="s">
        <v>2255</v>
      </c>
      <c r="C270" s="47"/>
      <c r="D270" s="38">
        <v>1978.0</v>
      </c>
      <c r="E270" s="38">
        <v>638.0</v>
      </c>
      <c r="F270" s="38">
        <v>657.0</v>
      </c>
      <c r="G270" s="38">
        <v>101.0</v>
      </c>
      <c r="H270" s="38">
        <v>153.0</v>
      </c>
      <c r="I270" s="48">
        <f t="shared" si="3"/>
        <v>3273</v>
      </c>
      <c r="J270" s="48">
        <f t="shared" si="4"/>
        <v>3527</v>
      </c>
      <c r="K270" s="49">
        <f t="shared" si="5"/>
        <v>0.6043385273</v>
      </c>
      <c r="L270" s="49">
        <f t="shared" si="6"/>
        <v>0.1949282004</v>
      </c>
      <c r="M270" s="49">
        <f t="shared" si="7"/>
        <v>0.2007332722</v>
      </c>
      <c r="N270" s="32" t="str">
        <f t="shared" si="8"/>
        <v>Jânio</v>
      </c>
      <c r="O270" s="50" t="s">
        <v>77</v>
      </c>
      <c r="P270" s="38">
        <v>1036.0</v>
      </c>
      <c r="Q270" s="38">
        <v>1164.0</v>
      </c>
      <c r="R270" s="38">
        <v>809.0</v>
      </c>
      <c r="S270" s="38">
        <v>410.0</v>
      </c>
      <c r="T270" s="38">
        <v>108.0</v>
      </c>
      <c r="U270" s="48">
        <f t="shared" si="9"/>
        <v>3009</v>
      </c>
      <c r="V270" s="48">
        <f t="shared" si="10"/>
        <v>3527</v>
      </c>
      <c r="W270" s="49">
        <f t="shared" si="11"/>
        <v>0.344300432</v>
      </c>
      <c r="X270" s="49">
        <f t="shared" si="12"/>
        <v>0.3868394816</v>
      </c>
      <c r="Y270" s="49">
        <f t="shared" si="13"/>
        <v>0.2688600864</v>
      </c>
      <c r="Z270" s="32" t="str">
        <f t="shared" si="14"/>
        <v>Milton</v>
      </c>
      <c r="AA270" s="50" t="s">
        <v>77</v>
      </c>
      <c r="AB270" s="38">
        <v>4116.0</v>
      </c>
      <c r="AC270" s="48">
        <f t="shared" si="17"/>
        <v>589</v>
      </c>
      <c r="AD270" s="51">
        <f t="shared" si="18"/>
        <v>0.8568999028</v>
      </c>
    </row>
    <row r="271">
      <c r="A271" s="24"/>
      <c r="B271" s="46" t="s">
        <v>2256</v>
      </c>
      <c r="C271" s="47"/>
      <c r="D271" s="38">
        <v>363.0</v>
      </c>
      <c r="E271" s="38">
        <v>44.0</v>
      </c>
      <c r="F271" s="38">
        <v>267.0</v>
      </c>
      <c r="G271" s="38">
        <v>26.0</v>
      </c>
      <c r="H271" s="38">
        <v>54.0</v>
      </c>
      <c r="I271" s="48">
        <f t="shared" si="3"/>
        <v>674</v>
      </c>
      <c r="J271" s="48">
        <f t="shared" si="4"/>
        <v>754</v>
      </c>
      <c r="K271" s="49">
        <f t="shared" si="5"/>
        <v>0.5385756677</v>
      </c>
      <c r="L271" s="49">
        <f t="shared" si="6"/>
        <v>0.06528189911</v>
      </c>
      <c r="M271" s="49">
        <f t="shared" si="7"/>
        <v>0.3961424332</v>
      </c>
      <c r="N271" s="32" t="str">
        <f t="shared" si="8"/>
        <v>Jânio</v>
      </c>
      <c r="O271" s="50" t="s">
        <v>77</v>
      </c>
      <c r="P271" s="38">
        <v>206.0</v>
      </c>
      <c r="Q271" s="38">
        <v>190.0</v>
      </c>
      <c r="R271" s="38">
        <v>101.0</v>
      </c>
      <c r="S271" s="38">
        <v>238.0</v>
      </c>
      <c r="T271" s="38">
        <v>19.0</v>
      </c>
      <c r="U271" s="48">
        <f t="shared" si="9"/>
        <v>497</v>
      </c>
      <c r="V271" s="48">
        <f t="shared" si="10"/>
        <v>754</v>
      </c>
      <c r="W271" s="49">
        <f t="shared" si="11"/>
        <v>0.4144869215</v>
      </c>
      <c r="X271" s="49">
        <f t="shared" si="12"/>
        <v>0.3822937626</v>
      </c>
      <c r="Y271" s="49">
        <f t="shared" si="13"/>
        <v>0.2032193159</v>
      </c>
      <c r="Z271" s="32" t="str">
        <f t="shared" si="14"/>
        <v>Jango</v>
      </c>
      <c r="AA271" s="50" t="s">
        <v>77</v>
      </c>
      <c r="AB271" s="38">
        <v>852.0</v>
      </c>
      <c r="AC271" s="48">
        <f t="shared" si="17"/>
        <v>98</v>
      </c>
      <c r="AD271" s="51">
        <f t="shared" si="18"/>
        <v>0.8849765258</v>
      </c>
    </row>
    <row r="272">
      <c r="A272" s="61" t="s">
        <v>856</v>
      </c>
      <c r="B272" s="46" t="s">
        <v>2257</v>
      </c>
      <c r="C272" s="47"/>
      <c r="D272" s="38">
        <v>2000.0</v>
      </c>
      <c r="E272" s="38">
        <v>289.0</v>
      </c>
      <c r="F272" s="38">
        <v>1174.0</v>
      </c>
      <c r="G272" s="38">
        <v>63.0</v>
      </c>
      <c r="H272" s="38">
        <v>94.0</v>
      </c>
      <c r="I272" s="48">
        <f t="shared" si="3"/>
        <v>3463</v>
      </c>
      <c r="J272" s="48">
        <f t="shared" si="4"/>
        <v>3620</v>
      </c>
      <c r="K272" s="49">
        <f t="shared" si="5"/>
        <v>0.5775339301</v>
      </c>
      <c r="L272" s="49">
        <f t="shared" si="6"/>
        <v>0.0834536529</v>
      </c>
      <c r="M272" s="49">
        <f t="shared" si="7"/>
        <v>0.339012417</v>
      </c>
      <c r="N272" s="32" t="str">
        <f t="shared" si="8"/>
        <v>Jânio</v>
      </c>
      <c r="O272" s="50" t="s">
        <v>77</v>
      </c>
      <c r="P272" s="38">
        <v>1101.0</v>
      </c>
      <c r="Q272" s="38">
        <v>1777.0</v>
      </c>
      <c r="R272" s="38">
        <v>282.0</v>
      </c>
      <c r="S272" s="38">
        <v>402.0</v>
      </c>
      <c r="T272" s="38">
        <v>58.0</v>
      </c>
      <c r="U272" s="48">
        <f t="shared" si="9"/>
        <v>3160</v>
      </c>
      <c r="V272" s="48">
        <f t="shared" si="10"/>
        <v>3620</v>
      </c>
      <c r="W272" s="49">
        <f t="shared" si="11"/>
        <v>0.3484177215</v>
      </c>
      <c r="X272" s="49">
        <f t="shared" si="12"/>
        <v>0.5623417722</v>
      </c>
      <c r="Y272" s="49">
        <f t="shared" si="13"/>
        <v>0.08924050633</v>
      </c>
      <c r="Z272" s="32" t="str">
        <f t="shared" si="14"/>
        <v>Milton</v>
      </c>
      <c r="AA272" s="50" t="s">
        <v>77</v>
      </c>
      <c r="AB272" s="38">
        <v>3764.0</v>
      </c>
      <c r="AC272" s="48">
        <f t="shared" si="17"/>
        <v>144</v>
      </c>
      <c r="AD272" s="51">
        <f t="shared" si="18"/>
        <v>0.9617428268</v>
      </c>
    </row>
    <row r="273">
      <c r="A273" s="23"/>
      <c r="B273" s="46" t="s">
        <v>2258</v>
      </c>
      <c r="C273" s="47"/>
      <c r="D273" s="38">
        <v>803.0</v>
      </c>
      <c r="E273" s="38">
        <v>218.0</v>
      </c>
      <c r="F273" s="38">
        <v>546.0</v>
      </c>
      <c r="G273" s="38">
        <v>40.0</v>
      </c>
      <c r="H273" s="38">
        <v>74.0</v>
      </c>
      <c r="I273" s="48">
        <f t="shared" si="3"/>
        <v>1567</v>
      </c>
      <c r="J273" s="48">
        <f t="shared" si="4"/>
        <v>1681</v>
      </c>
      <c r="K273" s="49">
        <f t="shared" si="5"/>
        <v>0.5124441608</v>
      </c>
      <c r="L273" s="49">
        <f t="shared" si="6"/>
        <v>0.1391193363</v>
      </c>
      <c r="M273" s="49">
        <f t="shared" si="7"/>
        <v>0.3484365029</v>
      </c>
      <c r="N273" s="32" t="str">
        <f t="shared" si="8"/>
        <v>Jânio</v>
      </c>
      <c r="O273" s="50" t="s">
        <v>77</v>
      </c>
      <c r="P273" s="38">
        <v>574.0</v>
      </c>
      <c r="Q273" s="38">
        <v>691.0</v>
      </c>
      <c r="R273" s="38">
        <v>166.0</v>
      </c>
      <c r="S273" s="38">
        <v>209.0</v>
      </c>
      <c r="T273" s="38">
        <v>41.0</v>
      </c>
      <c r="U273" s="48">
        <f t="shared" si="9"/>
        <v>1431</v>
      </c>
      <c r="V273" s="48">
        <f t="shared" si="10"/>
        <v>1681</v>
      </c>
      <c r="W273" s="49">
        <f t="shared" si="11"/>
        <v>0.4011180992</v>
      </c>
      <c r="X273" s="49">
        <f t="shared" si="12"/>
        <v>0.4828791055</v>
      </c>
      <c r="Y273" s="49">
        <f t="shared" si="13"/>
        <v>0.1160027952</v>
      </c>
      <c r="Z273" s="32" t="str">
        <f t="shared" si="14"/>
        <v>Milton</v>
      </c>
      <c r="AA273" s="50" t="s">
        <v>77</v>
      </c>
      <c r="AB273" s="38">
        <v>1752.0</v>
      </c>
      <c r="AC273" s="48">
        <f t="shared" si="17"/>
        <v>71</v>
      </c>
      <c r="AD273" s="51">
        <f t="shared" si="18"/>
        <v>0.9594748858</v>
      </c>
    </row>
    <row r="274">
      <c r="A274" s="24"/>
      <c r="B274" s="46" t="s">
        <v>2259</v>
      </c>
      <c r="C274" s="47"/>
      <c r="D274" s="38">
        <v>181.0</v>
      </c>
      <c r="E274" s="38">
        <v>30.0</v>
      </c>
      <c r="F274" s="38">
        <v>112.0</v>
      </c>
      <c r="G274" s="38">
        <v>5.0</v>
      </c>
      <c r="H274" s="38">
        <v>12.0</v>
      </c>
      <c r="I274" s="48">
        <f t="shared" si="3"/>
        <v>323</v>
      </c>
      <c r="J274" s="48">
        <f t="shared" si="4"/>
        <v>340</v>
      </c>
      <c r="K274" s="49">
        <f t="shared" si="5"/>
        <v>0.560371517</v>
      </c>
      <c r="L274" s="49">
        <f t="shared" si="6"/>
        <v>0.09287925697</v>
      </c>
      <c r="M274" s="49">
        <f t="shared" si="7"/>
        <v>0.346749226</v>
      </c>
      <c r="N274" s="32" t="str">
        <f t="shared" si="8"/>
        <v>Jânio</v>
      </c>
      <c r="O274" s="50" t="s">
        <v>77</v>
      </c>
      <c r="P274" s="38">
        <v>119.0</v>
      </c>
      <c r="Q274" s="38">
        <v>144.0</v>
      </c>
      <c r="R274" s="38">
        <v>35.0</v>
      </c>
      <c r="S274" s="38">
        <v>38.0</v>
      </c>
      <c r="T274" s="38">
        <v>4.0</v>
      </c>
      <c r="U274" s="48">
        <f t="shared" si="9"/>
        <v>298</v>
      </c>
      <c r="V274" s="48">
        <f t="shared" si="10"/>
        <v>340</v>
      </c>
      <c r="W274" s="49">
        <f t="shared" si="11"/>
        <v>0.3993288591</v>
      </c>
      <c r="X274" s="49">
        <f t="shared" si="12"/>
        <v>0.4832214765</v>
      </c>
      <c r="Y274" s="49">
        <f t="shared" si="13"/>
        <v>0.1174496644</v>
      </c>
      <c r="Z274" s="32" t="str">
        <f t="shared" si="14"/>
        <v>Milton</v>
      </c>
      <c r="AA274" s="50" t="s">
        <v>77</v>
      </c>
      <c r="AB274" s="38">
        <v>370.0</v>
      </c>
      <c r="AC274" s="48">
        <f t="shared" si="17"/>
        <v>30</v>
      </c>
      <c r="AD274" s="51">
        <f t="shared" si="18"/>
        <v>0.9189189189</v>
      </c>
    </row>
    <row r="275">
      <c r="A275" s="110" t="s">
        <v>858</v>
      </c>
      <c r="B275" s="46" t="s">
        <v>2260</v>
      </c>
      <c r="C275" s="47"/>
      <c r="D275" s="38">
        <v>3667.0</v>
      </c>
      <c r="E275" s="38">
        <v>1121.0</v>
      </c>
      <c r="F275" s="38">
        <v>3060.0</v>
      </c>
      <c r="G275" s="38">
        <v>120.0</v>
      </c>
      <c r="H275" s="38">
        <v>319.0</v>
      </c>
      <c r="I275" s="48">
        <f t="shared" si="3"/>
        <v>7848</v>
      </c>
      <c r="J275" s="48">
        <f t="shared" si="4"/>
        <v>8287</v>
      </c>
      <c r="K275" s="49">
        <f t="shared" si="5"/>
        <v>0.4672528033</v>
      </c>
      <c r="L275" s="49">
        <f t="shared" si="6"/>
        <v>0.1428389399</v>
      </c>
      <c r="M275" s="49">
        <f t="shared" si="7"/>
        <v>0.3899082569</v>
      </c>
      <c r="N275" s="32" t="str">
        <f t="shared" si="8"/>
        <v>Jânio</v>
      </c>
      <c r="O275" s="50" t="s">
        <v>77</v>
      </c>
      <c r="P275" s="38">
        <v>3360.0</v>
      </c>
      <c r="Q275" s="38">
        <v>3230.0</v>
      </c>
      <c r="R275" s="38">
        <v>955.0</v>
      </c>
      <c r="S275" s="38">
        <v>418.0</v>
      </c>
      <c r="T275" s="38">
        <v>324.0</v>
      </c>
      <c r="U275" s="48">
        <f t="shared" si="9"/>
        <v>7545</v>
      </c>
      <c r="V275" s="48">
        <f t="shared" si="10"/>
        <v>8287</v>
      </c>
      <c r="W275" s="49">
        <f t="shared" si="11"/>
        <v>0.4453280318</v>
      </c>
      <c r="X275" s="49">
        <f t="shared" si="12"/>
        <v>0.4280980782</v>
      </c>
      <c r="Y275" s="49">
        <f t="shared" si="13"/>
        <v>0.12657389</v>
      </c>
      <c r="Z275" s="32" t="str">
        <f t="shared" si="14"/>
        <v>Jango</v>
      </c>
      <c r="AA275" s="50" t="s">
        <v>77</v>
      </c>
      <c r="AB275" s="38">
        <v>9178.0</v>
      </c>
      <c r="AC275" s="48">
        <f t="shared" si="17"/>
        <v>891</v>
      </c>
      <c r="AD275" s="51">
        <f t="shared" si="18"/>
        <v>0.9029200261</v>
      </c>
    </row>
    <row r="276">
      <c r="A276" s="61" t="s">
        <v>860</v>
      </c>
      <c r="B276" s="46" t="s">
        <v>2261</v>
      </c>
      <c r="C276" s="47"/>
      <c r="D276" s="38">
        <v>3035.0</v>
      </c>
      <c r="E276" s="38">
        <v>664.0</v>
      </c>
      <c r="F276" s="38">
        <v>2107.0</v>
      </c>
      <c r="G276" s="38">
        <v>192.0</v>
      </c>
      <c r="H276" s="38">
        <v>204.0</v>
      </c>
      <c r="I276" s="48">
        <f t="shared" si="3"/>
        <v>5806</v>
      </c>
      <c r="J276" s="48">
        <f t="shared" si="4"/>
        <v>6202</v>
      </c>
      <c r="K276" s="49">
        <f t="shared" si="5"/>
        <v>0.5227351016</v>
      </c>
      <c r="L276" s="49">
        <f t="shared" si="6"/>
        <v>0.1143644506</v>
      </c>
      <c r="M276" s="49">
        <f t="shared" si="7"/>
        <v>0.3629004478</v>
      </c>
      <c r="N276" s="32" t="str">
        <f t="shared" si="8"/>
        <v>Jânio</v>
      </c>
      <c r="O276" s="50" t="s">
        <v>77</v>
      </c>
      <c r="P276" s="38">
        <v>1447.0</v>
      </c>
      <c r="Q276" s="38">
        <v>2408.0</v>
      </c>
      <c r="R276" s="38">
        <v>1357.0</v>
      </c>
      <c r="S276" s="38">
        <v>862.0</v>
      </c>
      <c r="T276" s="38">
        <v>128.0</v>
      </c>
      <c r="U276" s="48">
        <f t="shared" si="9"/>
        <v>5212</v>
      </c>
      <c r="V276" s="48">
        <f t="shared" si="10"/>
        <v>6202</v>
      </c>
      <c r="W276" s="49">
        <f t="shared" si="11"/>
        <v>0.2776285495</v>
      </c>
      <c r="X276" s="49">
        <f t="shared" si="12"/>
        <v>0.4620107444</v>
      </c>
      <c r="Y276" s="49">
        <f t="shared" si="13"/>
        <v>0.2603607061</v>
      </c>
      <c r="Z276" s="32" t="str">
        <f t="shared" si="14"/>
        <v>Milton</v>
      </c>
      <c r="AA276" s="50" t="s">
        <v>77</v>
      </c>
      <c r="AB276" s="38">
        <v>7131.0</v>
      </c>
      <c r="AC276" s="48">
        <f t="shared" si="17"/>
        <v>929</v>
      </c>
      <c r="AD276" s="51">
        <f t="shared" si="18"/>
        <v>0.8697237414</v>
      </c>
    </row>
    <row r="277">
      <c r="A277" s="24"/>
      <c r="B277" s="46" t="s">
        <v>2262</v>
      </c>
      <c r="C277" s="47"/>
      <c r="D277" s="38">
        <v>578.0</v>
      </c>
      <c r="E277" s="38">
        <v>103.0</v>
      </c>
      <c r="F277" s="38">
        <v>303.0</v>
      </c>
      <c r="G277" s="38">
        <v>35.0</v>
      </c>
      <c r="H277" s="38">
        <v>53.0</v>
      </c>
      <c r="I277" s="48">
        <f t="shared" si="3"/>
        <v>984</v>
      </c>
      <c r="J277" s="48">
        <f t="shared" si="4"/>
        <v>1072</v>
      </c>
      <c r="K277" s="49">
        <f t="shared" si="5"/>
        <v>0.587398374</v>
      </c>
      <c r="L277" s="49">
        <f t="shared" si="6"/>
        <v>0.1046747967</v>
      </c>
      <c r="M277" s="49">
        <f t="shared" si="7"/>
        <v>0.3079268293</v>
      </c>
      <c r="N277" s="32" t="str">
        <f t="shared" si="8"/>
        <v>Jânio</v>
      </c>
      <c r="O277" s="50" t="s">
        <v>77</v>
      </c>
      <c r="P277" s="38">
        <v>297.0</v>
      </c>
      <c r="Q277" s="38">
        <v>518.0</v>
      </c>
      <c r="R277" s="38">
        <v>82.0</v>
      </c>
      <c r="S277" s="38">
        <v>146.0</v>
      </c>
      <c r="T277" s="38">
        <v>29.0</v>
      </c>
      <c r="U277" s="48">
        <f t="shared" si="9"/>
        <v>897</v>
      </c>
      <c r="V277" s="48">
        <f t="shared" si="10"/>
        <v>1072</v>
      </c>
      <c r="W277" s="49">
        <f t="shared" si="11"/>
        <v>0.3311036789</v>
      </c>
      <c r="X277" s="49">
        <f t="shared" si="12"/>
        <v>0.5774804905</v>
      </c>
      <c r="Y277" s="49">
        <f t="shared" si="13"/>
        <v>0.09141583055</v>
      </c>
      <c r="Z277" s="32" t="str">
        <f t="shared" si="14"/>
        <v>Milton</v>
      </c>
      <c r="AA277" s="50" t="s">
        <v>77</v>
      </c>
      <c r="AB277" s="38">
        <v>1302.0</v>
      </c>
      <c r="AC277" s="48">
        <f t="shared" si="17"/>
        <v>230</v>
      </c>
      <c r="AD277" s="51">
        <f t="shared" si="18"/>
        <v>0.8233486943</v>
      </c>
    </row>
    <row r="278">
      <c r="A278" s="61" t="s">
        <v>862</v>
      </c>
      <c r="B278" s="46" t="s">
        <v>2263</v>
      </c>
      <c r="C278" s="47"/>
      <c r="D278" s="38">
        <v>955.0</v>
      </c>
      <c r="E278" s="38">
        <v>220.0</v>
      </c>
      <c r="F278" s="38">
        <v>485.0</v>
      </c>
      <c r="G278" s="38">
        <v>52.0</v>
      </c>
      <c r="H278" s="38">
        <v>149.0</v>
      </c>
      <c r="I278" s="48">
        <f t="shared" si="3"/>
        <v>1660</v>
      </c>
      <c r="J278" s="48">
        <f t="shared" si="4"/>
        <v>1861</v>
      </c>
      <c r="K278" s="49">
        <f t="shared" si="5"/>
        <v>0.5753012048</v>
      </c>
      <c r="L278" s="49">
        <f t="shared" si="6"/>
        <v>0.1325301205</v>
      </c>
      <c r="M278" s="49">
        <f t="shared" si="7"/>
        <v>0.2921686747</v>
      </c>
      <c r="N278" s="32" t="str">
        <f t="shared" si="8"/>
        <v>Jânio</v>
      </c>
      <c r="O278" s="50" t="s">
        <v>77</v>
      </c>
      <c r="P278" s="38">
        <v>423.0</v>
      </c>
      <c r="Q278" s="38">
        <v>533.0</v>
      </c>
      <c r="R278" s="38">
        <v>434.0</v>
      </c>
      <c r="S278" s="38">
        <v>370.0</v>
      </c>
      <c r="T278" s="38">
        <v>101.0</v>
      </c>
      <c r="U278" s="48">
        <f t="shared" si="9"/>
        <v>1390</v>
      </c>
      <c r="V278" s="48">
        <f t="shared" si="10"/>
        <v>1861</v>
      </c>
      <c r="W278" s="49">
        <f t="shared" si="11"/>
        <v>0.3043165468</v>
      </c>
      <c r="X278" s="49">
        <f t="shared" si="12"/>
        <v>0.3834532374</v>
      </c>
      <c r="Y278" s="49">
        <f t="shared" si="13"/>
        <v>0.3122302158</v>
      </c>
      <c r="Z278" s="32" t="str">
        <f t="shared" si="14"/>
        <v>Milton</v>
      </c>
      <c r="AA278" s="50" t="s">
        <v>77</v>
      </c>
      <c r="AB278" s="38">
        <v>2030.0</v>
      </c>
      <c r="AC278" s="48">
        <f t="shared" si="17"/>
        <v>169</v>
      </c>
      <c r="AD278" s="51">
        <f t="shared" si="18"/>
        <v>0.9167487685</v>
      </c>
    </row>
    <row r="279">
      <c r="A279" s="24"/>
      <c r="B279" s="46" t="s">
        <v>2264</v>
      </c>
      <c r="C279" s="47"/>
      <c r="D279" s="38">
        <v>725.0</v>
      </c>
      <c r="E279" s="38">
        <v>121.0</v>
      </c>
      <c r="F279" s="38">
        <v>286.0</v>
      </c>
      <c r="G279" s="38">
        <v>37.0</v>
      </c>
      <c r="H279" s="38">
        <v>109.0</v>
      </c>
      <c r="I279" s="48">
        <f t="shared" si="3"/>
        <v>1132</v>
      </c>
      <c r="J279" s="48">
        <f t="shared" si="4"/>
        <v>1278</v>
      </c>
      <c r="K279" s="49">
        <f t="shared" si="5"/>
        <v>0.640459364</v>
      </c>
      <c r="L279" s="49">
        <f t="shared" si="6"/>
        <v>0.1068904594</v>
      </c>
      <c r="M279" s="49">
        <f t="shared" si="7"/>
        <v>0.2526501767</v>
      </c>
      <c r="N279" s="32" t="str">
        <f t="shared" si="8"/>
        <v>Jânio</v>
      </c>
      <c r="O279" s="50" t="s">
        <v>77</v>
      </c>
      <c r="P279" s="38">
        <v>259.0</v>
      </c>
      <c r="Q279" s="38">
        <v>539.0</v>
      </c>
      <c r="R279" s="38">
        <v>223.0</v>
      </c>
      <c r="S279" s="38">
        <v>212.0</v>
      </c>
      <c r="T279" s="38">
        <v>45.0</v>
      </c>
      <c r="U279" s="48">
        <f t="shared" si="9"/>
        <v>1021</v>
      </c>
      <c r="V279" s="48">
        <f t="shared" si="10"/>
        <v>1278</v>
      </c>
      <c r="W279" s="49">
        <f t="shared" si="11"/>
        <v>0.2536728697</v>
      </c>
      <c r="X279" s="49">
        <f t="shared" si="12"/>
        <v>0.52791381</v>
      </c>
      <c r="Y279" s="49">
        <f t="shared" si="13"/>
        <v>0.2184133203</v>
      </c>
      <c r="Z279" s="32" t="str">
        <f t="shared" si="14"/>
        <v>Milton</v>
      </c>
      <c r="AA279" s="50" t="s">
        <v>77</v>
      </c>
      <c r="AB279" s="38">
        <v>1455.0</v>
      </c>
      <c r="AC279" s="48">
        <f t="shared" si="17"/>
        <v>177</v>
      </c>
      <c r="AD279" s="51">
        <f t="shared" si="18"/>
        <v>0.8783505155</v>
      </c>
    </row>
    <row r="280">
      <c r="A280" s="61" t="s">
        <v>864</v>
      </c>
      <c r="B280" s="46" t="s">
        <v>2265</v>
      </c>
      <c r="C280" s="47"/>
      <c r="D280" s="38">
        <v>13302.0</v>
      </c>
      <c r="E280" s="38">
        <v>2843.0</v>
      </c>
      <c r="F280" s="38">
        <v>10154.0</v>
      </c>
      <c r="G280" s="38">
        <v>463.0</v>
      </c>
      <c r="H280" s="38">
        <v>538.0</v>
      </c>
      <c r="I280" s="48">
        <f t="shared" si="3"/>
        <v>26299</v>
      </c>
      <c r="J280" s="48">
        <f t="shared" si="4"/>
        <v>27300</v>
      </c>
      <c r="K280" s="49">
        <f t="shared" si="5"/>
        <v>0.5057986996</v>
      </c>
      <c r="L280" s="49">
        <f t="shared" si="6"/>
        <v>0.1081029697</v>
      </c>
      <c r="M280" s="49">
        <f t="shared" si="7"/>
        <v>0.3860983307</v>
      </c>
      <c r="N280" s="32" t="str">
        <f t="shared" si="8"/>
        <v>Jânio</v>
      </c>
      <c r="O280" s="50" t="s">
        <v>77</v>
      </c>
      <c r="P280" s="38">
        <v>8691.0</v>
      </c>
      <c r="Q280" s="38">
        <v>12721.0</v>
      </c>
      <c r="R280" s="38">
        <v>3676.0</v>
      </c>
      <c r="S280" s="38">
        <v>1882.0</v>
      </c>
      <c r="T280" s="38">
        <v>330.0</v>
      </c>
      <c r="U280" s="48">
        <f t="shared" si="9"/>
        <v>25088</v>
      </c>
      <c r="V280" s="48">
        <f t="shared" si="10"/>
        <v>27300</v>
      </c>
      <c r="W280" s="49">
        <f t="shared" si="11"/>
        <v>0.3464205995</v>
      </c>
      <c r="X280" s="49">
        <f t="shared" si="12"/>
        <v>0.5070551658</v>
      </c>
      <c r="Y280" s="49">
        <f t="shared" si="13"/>
        <v>0.1465242347</v>
      </c>
      <c r="Z280" s="32" t="str">
        <f t="shared" si="14"/>
        <v>Milton</v>
      </c>
      <c r="AA280" s="50" t="s">
        <v>77</v>
      </c>
      <c r="AB280" s="38">
        <v>29041.0</v>
      </c>
      <c r="AC280" s="48">
        <f t="shared" si="17"/>
        <v>1741</v>
      </c>
      <c r="AD280" s="51">
        <f t="shared" si="18"/>
        <v>0.9400502738</v>
      </c>
    </row>
    <row r="281">
      <c r="A281" s="23"/>
      <c r="B281" s="46" t="s">
        <v>2266</v>
      </c>
      <c r="C281" s="47"/>
      <c r="D281" s="38">
        <v>743.0</v>
      </c>
      <c r="E281" s="38">
        <v>116.0</v>
      </c>
      <c r="F281" s="38">
        <v>445.0</v>
      </c>
      <c r="G281" s="38">
        <v>50.0</v>
      </c>
      <c r="H281" s="38">
        <v>80.0</v>
      </c>
      <c r="I281" s="48">
        <f t="shared" si="3"/>
        <v>1304</v>
      </c>
      <c r="J281" s="48">
        <f t="shared" si="4"/>
        <v>1434</v>
      </c>
      <c r="K281" s="49">
        <f t="shared" si="5"/>
        <v>0.5697852761</v>
      </c>
      <c r="L281" s="49">
        <f t="shared" si="6"/>
        <v>0.08895705521</v>
      </c>
      <c r="M281" s="49">
        <f t="shared" si="7"/>
        <v>0.3412576687</v>
      </c>
      <c r="N281" s="32" t="str">
        <f t="shared" si="8"/>
        <v>Jânio</v>
      </c>
      <c r="O281" s="50" t="s">
        <v>77</v>
      </c>
      <c r="P281" s="38">
        <v>383.0</v>
      </c>
      <c r="Q281" s="38">
        <v>637.0</v>
      </c>
      <c r="R281" s="38">
        <v>108.0</v>
      </c>
      <c r="S281" s="38">
        <v>263.0</v>
      </c>
      <c r="T281" s="38">
        <v>43.0</v>
      </c>
      <c r="U281" s="48">
        <f t="shared" si="9"/>
        <v>1128</v>
      </c>
      <c r="V281" s="48">
        <f t="shared" si="10"/>
        <v>1434</v>
      </c>
      <c r="W281" s="49">
        <f t="shared" si="11"/>
        <v>0.3395390071</v>
      </c>
      <c r="X281" s="49">
        <f t="shared" si="12"/>
        <v>0.5647163121</v>
      </c>
      <c r="Y281" s="49">
        <f t="shared" si="13"/>
        <v>0.09574468085</v>
      </c>
      <c r="Z281" s="32" t="str">
        <f t="shared" si="14"/>
        <v>Milton</v>
      </c>
      <c r="AA281" s="50" t="s">
        <v>77</v>
      </c>
      <c r="AB281" s="38">
        <v>1593.0</v>
      </c>
      <c r="AC281" s="48">
        <f t="shared" si="17"/>
        <v>159</v>
      </c>
      <c r="AD281" s="51">
        <f t="shared" si="18"/>
        <v>0.9001883239</v>
      </c>
    </row>
    <row r="282">
      <c r="A282" s="23"/>
      <c r="B282" s="46" t="s">
        <v>2267</v>
      </c>
      <c r="C282" s="47"/>
      <c r="D282" s="38">
        <v>629.0</v>
      </c>
      <c r="E282" s="38">
        <v>235.0</v>
      </c>
      <c r="F282" s="38">
        <v>554.0</v>
      </c>
      <c r="G282" s="38">
        <v>68.0</v>
      </c>
      <c r="H282" s="38">
        <v>62.0</v>
      </c>
      <c r="I282" s="48">
        <f t="shared" si="3"/>
        <v>1418</v>
      </c>
      <c r="J282" s="48">
        <f t="shared" si="4"/>
        <v>1548</v>
      </c>
      <c r="K282" s="49">
        <f t="shared" si="5"/>
        <v>0.4435825106</v>
      </c>
      <c r="L282" s="49">
        <f t="shared" si="6"/>
        <v>0.1657263752</v>
      </c>
      <c r="M282" s="49">
        <f t="shared" si="7"/>
        <v>0.3906911142</v>
      </c>
      <c r="N282" s="32" t="str">
        <f t="shared" si="8"/>
        <v>Jânio</v>
      </c>
      <c r="O282" s="50" t="s">
        <v>77</v>
      </c>
      <c r="P282" s="38">
        <v>428.0</v>
      </c>
      <c r="Q282" s="38">
        <v>543.0</v>
      </c>
      <c r="R282" s="55">
        <v>376.0</v>
      </c>
      <c r="S282" s="38">
        <v>125.0</v>
      </c>
      <c r="T282" s="38">
        <v>76.0</v>
      </c>
      <c r="U282" s="48">
        <f t="shared" si="9"/>
        <v>1347</v>
      </c>
      <c r="V282" s="114">
        <f t="shared" si="10"/>
        <v>1548</v>
      </c>
      <c r="W282" s="49">
        <f t="shared" si="11"/>
        <v>0.3177431329</v>
      </c>
      <c r="X282" s="49">
        <f t="shared" si="12"/>
        <v>0.4031180401</v>
      </c>
      <c r="Y282" s="49">
        <f t="shared" si="13"/>
        <v>0.279138827</v>
      </c>
      <c r="Z282" s="32" t="str">
        <f t="shared" si="14"/>
        <v>Milton</v>
      </c>
      <c r="AA282" s="50" t="s">
        <v>77</v>
      </c>
      <c r="AB282" s="38">
        <v>1665.0</v>
      </c>
      <c r="AC282" s="48">
        <f t="shared" si="17"/>
        <v>117</v>
      </c>
      <c r="AD282" s="51">
        <f t="shared" si="18"/>
        <v>0.9297297297</v>
      </c>
    </row>
    <row r="283">
      <c r="A283" s="24"/>
      <c r="B283" s="46" t="s">
        <v>2268</v>
      </c>
      <c r="C283" s="47"/>
      <c r="D283" s="38">
        <v>1874.0</v>
      </c>
      <c r="E283" s="38">
        <v>993.0</v>
      </c>
      <c r="F283" s="38">
        <v>2167.0</v>
      </c>
      <c r="G283" s="38">
        <v>135.0</v>
      </c>
      <c r="H283" s="38">
        <v>207.0</v>
      </c>
      <c r="I283" s="48">
        <f t="shared" si="3"/>
        <v>5034</v>
      </c>
      <c r="J283" s="48">
        <f t="shared" si="4"/>
        <v>5376</v>
      </c>
      <c r="K283" s="49">
        <f t="shared" si="5"/>
        <v>0.3722685737</v>
      </c>
      <c r="L283" s="49">
        <f t="shared" si="6"/>
        <v>0.1972586412</v>
      </c>
      <c r="M283" s="49">
        <f t="shared" si="7"/>
        <v>0.4304727851</v>
      </c>
      <c r="N283" s="32" t="str">
        <f t="shared" si="8"/>
        <v>Adhemar</v>
      </c>
      <c r="O283" s="50" t="s">
        <v>77</v>
      </c>
      <c r="P283" s="38">
        <v>2370.0</v>
      </c>
      <c r="Q283" s="38">
        <v>1641.0</v>
      </c>
      <c r="R283" s="38">
        <v>643.0</v>
      </c>
      <c r="S283" s="38">
        <v>605.0</v>
      </c>
      <c r="T283" s="38">
        <v>117.0</v>
      </c>
      <c r="U283" s="48">
        <f t="shared" si="9"/>
        <v>4654</v>
      </c>
      <c r="V283" s="48">
        <f t="shared" si="10"/>
        <v>5376</v>
      </c>
      <c r="W283" s="49">
        <f t="shared" si="11"/>
        <v>0.509239364</v>
      </c>
      <c r="X283" s="49">
        <f t="shared" si="12"/>
        <v>0.3525999141</v>
      </c>
      <c r="Y283" s="49">
        <f t="shared" si="13"/>
        <v>0.138160722</v>
      </c>
      <c r="Z283" s="32" t="str">
        <f t="shared" si="14"/>
        <v>Jango</v>
      </c>
      <c r="AA283" s="50" t="s">
        <v>77</v>
      </c>
      <c r="AB283" s="38">
        <v>5701.0</v>
      </c>
      <c r="AC283" s="48">
        <f t="shared" si="17"/>
        <v>325</v>
      </c>
      <c r="AD283" s="51">
        <f t="shared" si="18"/>
        <v>0.9429924575</v>
      </c>
    </row>
    <row r="284">
      <c r="A284" s="61" t="s">
        <v>866</v>
      </c>
      <c r="B284" s="46" t="s">
        <v>2269</v>
      </c>
      <c r="C284" s="47"/>
      <c r="D284" s="38">
        <v>2719.0</v>
      </c>
      <c r="E284" s="38">
        <v>208.0</v>
      </c>
      <c r="F284" s="38">
        <v>1996.0</v>
      </c>
      <c r="G284" s="38">
        <v>67.0</v>
      </c>
      <c r="H284" s="38">
        <v>126.0</v>
      </c>
      <c r="I284" s="48">
        <f t="shared" si="3"/>
        <v>4923</v>
      </c>
      <c r="J284" s="48">
        <f t="shared" si="4"/>
        <v>5116</v>
      </c>
      <c r="K284" s="49">
        <f t="shared" si="5"/>
        <v>0.5523055048</v>
      </c>
      <c r="L284" s="49">
        <f t="shared" si="6"/>
        <v>0.04225066017</v>
      </c>
      <c r="M284" s="49">
        <f t="shared" si="7"/>
        <v>0.4054438351</v>
      </c>
      <c r="N284" s="32" t="str">
        <f t="shared" si="8"/>
        <v>Jânio</v>
      </c>
      <c r="O284" s="50" t="s">
        <v>77</v>
      </c>
      <c r="P284" s="38">
        <v>1529.0</v>
      </c>
      <c r="Q284" s="38">
        <v>2176.0</v>
      </c>
      <c r="R284" s="38">
        <v>785.0</v>
      </c>
      <c r="S284" s="38">
        <v>550.0</v>
      </c>
      <c r="T284" s="38">
        <v>76.0</v>
      </c>
      <c r="U284" s="48">
        <f t="shared" si="9"/>
        <v>4490</v>
      </c>
      <c r="V284" s="48">
        <f t="shared" si="10"/>
        <v>5116</v>
      </c>
      <c r="W284" s="49">
        <f t="shared" si="11"/>
        <v>0.3405345212</v>
      </c>
      <c r="X284" s="49">
        <f t="shared" si="12"/>
        <v>0.4846325167</v>
      </c>
      <c r="Y284" s="49">
        <f t="shared" si="13"/>
        <v>0.1748329621</v>
      </c>
      <c r="Z284" s="32" t="str">
        <f t="shared" si="14"/>
        <v>Milton</v>
      </c>
      <c r="AA284" s="50" t="s">
        <v>77</v>
      </c>
      <c r="AB284" s="38">
        <v>5678.0</v>
      </c>
      <c r="AC284" s="48">
        <f t="shared" si="17"/>
        <v>562</v>
      </c>
      <c r="AD284" s="51">
        <f t="shared" si="18"/>
        <v>0.9010214864</v>
      </c>
    </row>
    <row r="285">
      <c r="A285" s="23"/>
      <c r="B285" s="46" t="s">
        <v>2270</v>
      </c>
      <c r="C285" s="47"/>
      <c r="D285" s="38">
        <v>824.0</v>
      </c>
      <c r="E285" s="38">
        <v>183.0</v>
      </c>
      <c r="F285" s="38">
        <v>905.0</v>
      </c>
      <c r="G285" s="38">
        <v>53.0</v>
      </c>
      <c r="H285" s="38">
        <v>59.0</v>
      </c>
      <c r="I285" s="48">
        <f t="shared" si="3"/>
        <v>1912</v>
      </c>
      <c r="J285" s="48">
        <f t="shared" si="4"/>
        <v>2024</v>
      </c>
      <c r="K285" s="49">
        <f t="shared" si="5"/>
        <v>0.4309623431</v>
      </c>
      <c r="L285" s="49">
        <f t="shared" si="6"/>
        <v>0.09571129707</v>
      </c>
      <c r="M285" s="49">
        <f t="shared" si="7"/>
        <v>0.4733263598</v>
      </c>
      <c r="N285" s="32" t="str">
        <f t="shared" si="8"/>
        <v>Adhemar</v>
      </c>
      <c r="O285" s="50" t="s">
        <v>77</v>
      </c>
      <c r="P285" s="38">
        <v>559.0</v>
      </c>
      <c r="Q285" s="38">
        <v>649.0</v>
      </c>
      <c r="R285" s="38">
        <v>368.0</v>
      </c>
      <c r="S285" s="38">
        <v>421.0</v>
      </c>
      <c r="T285" s="38">
        <v>27.0</v>
      </c>
      <c r="U285" s="48">
        <f t="shared" si="9"/>
        <v>1576</v>
      </c>
      <c r="V285" s="48">
        <f t="shared" si="10"/>
        <v>2024</v>
      </c>
      <c r="W285" s="49">
        <f t="shared" si="11"/>
        <v>0.3546954315</v>
      </c>
      <c r="X285" s="49">
        <f t="shared" si="12"/>
        <v>0.4118020305</v>
      </c>
      <c r="Y285" s="49">
        <f t="shared" si="13"/>
        <v>0.2335025381</v>
      </c>
      <c r="Z285" s="32" t="str">
        <f t="shared" si="14"/>
        <v>Milton</v>
      </c>
      <c r="AA285" s="50" t="s">
        <v>77</v>
      </c>
      <c r="AB285" s="38">
        <v>2259.0</v>
      </c>
      <c r="AC285" s="48">
        <f t="shared" si="17"/>
        <v>235</v>
      </c>
      <c r="AD285" s="51">
        <f t="shared" si="18"/>
        <v>0.8959716689</v>
      </c>
    </row>
    <row r="286">
      <c r="A286" s="23"/>
      <c r="B286" s="46" t="s">
        <v>2271</v>
      </c>
      <c r="C286" s="47"/>
      <c r="D286" s="38">
        <v>673.0</v>
      </c>
      <c r="E286" s="38">
        <v>49.0</v>
      </c>
      <c r="F286" s="38">
        <v>436.0</v>
      </c>
      <c r="G286" s="38">
        <v>32.0</v>
      </c>
      <c r="H286" s="38">
        <v>22.0</v>
      </c>
      <c r="I286" s="48">
        <f t="shared" si="3"/>
        <v>1158</v>
      </c>
      <c r="J286" s="48">
        <f t="shared" si="4"/>
        <v>1212</v>
      </c>
      <c r="K286" s="49">
        <f t="shared" si="5"/>
        <v>0.5811744387</v>
      </c>
      <c r="L286" s="49">
        <f t="shared" si="6"/>
        <v>0.04231433506</v>
      </c>
      <c r="M286" s="49">
        <f t="shared" si="7"/>
        <v>0.3765112263</v>
      </c>
      <c r="N286" s="32" t="str">
        <f t="shared" si="8"/>
        <v>Jânio</v>
      </c>
      <c r="O286" s="50" t="s">
        <v>77</v>
      </c>
      <c r="P286" s="38">
        <v>259.0</v>
      </c>
      <c r="Q286" s="38">
        <v>559.0</v>
      </c>
      <c r="R286" s="38">
        <v>266.0</v>
      </c>
      <c r="S286" s="38">
        <v>111.0</v>
      </c>
      <c r="T286" s="38">
        <v>17.0</v>
      </c>
      <c r="U286" s="48">
        <f t="shared" si="9"/>
        <v>1084</v>
      </c>
      <c r="V286" s="48">
        <f t="shared" si="10"/>
        <v>1212</v>
      </c>
      <c r="W286" s="49">
        <f t="shared" si="11"/>
        <v>0.2389298893</v>
      </c>
      <c r="X286" s="49">
        <f t="shared" si="12"/>
        <v>0.5156826568</v>
      </c>
      <c r="Y286" s="49">
        <f t="shared" si="13"/>
        <v>0.2453874539</v>
      </c>
      <c r="Z286" s="32" t="str">
        <f t="shared" si="14"/>
        <v>Milton</v>
      </c>
      <c r="AA286" s="50" t="s">
        <v>77</v>
      </c>
      <c r="AB286" s="38">
        <v>1284.0</v>
      </c>
      <c r="AC286" s="48">
        <f t="shared" si="17"/>
        <v>72</v>
      </c>
      <c r="AD286" s="51">
        <f t="shared" si="18"/>
        <v>0.9439252336</v>
      </c>
    </row>
    <row r="287">
      <c r="A287" s="23"/>
      <c r="B287" s="46" t="s">
        <v>2272</v>
      </c>
      <c r="C287" s="47"/>
      <c r="D287" s="38">
        <v>665.0</v>
      </c>
      <c r="E287" s="38">
        <v>46.0</v>
      </c>
      <c r="F287" s="38">
        <v>554.0</v>
      </c>
      <c r="G287" s="38">
        <v>24.0</v>
      </c>
      <c r="H287" s="38">
        <v>46.0</v>
      </c>
      <c r="I287" s="48">
        <f t="shared" si="3"/>
        <v>1265</v>
      </c>
      <c r="J287" s="48">
        <f t="shared" si="4"/>
        <v>1335</v>
      </c>
      <c r="K287" s="49">
        <f t="shared" si="5"/>
        <v>0.5256916996</v>
      </c>
      <c r="L287" s="49">
        <f t="shared" si="6"/>
        <v>0.03636363636</v>
      </c>
      <c r="M287" s="49">
        <f t="shared" si="7"/>
        <v>0.437944664</v>
      </c>
      <c r="N287" s="32" t="str">
        <f t="shared" si="8"/>
        <v>Jânio</v>
      </c>
      <c r="O287" s="50" t="s">
        <v>77</v>
      </c>
      <c r="P287" s="38">
        <v>377.0</v>
      </c>
      <c r="Q287" s="38">
        <v>619.0</v>
      </c>
      <c r="R287" s="38">
        <v>139.0</v>
      </c>
      <c r="S287" s="38">
        <v>179.0</v>
      </c>
      <c r="T287" s="38">
        <v>21.0</v>
      </c>
      <c r="U287" s="48">
        <f t="shared" si="9"/>
        <v>1135</v>
      </c>
      <c r="V287" s="48">
        <f t="shared" si="10"/>
        <v>1335</v>
      </c>
      <c r="W287" s="49">
        <f t="shared" si="11"/>
        <v>0.3321585903</v>
      </c>
      <c r="X287" s="49">
        <f t="shared" si="12"/>
        <v>0.5453744493</v>
      </c>
      <c r="Y287" s="49">
        <f t="shared" si="13"/>
        <v>0.1224669604</v>
      </c>
      <c r="Z287" s="32" t="str">
        <f t="shared" si="14"/>
        <v>Milton</v>
      </c>
      <c r="AA287" s="50" t="s">
        <v>77</v>
      </c>
      <c r="AB287" s="38">
        <v>1509.0</v>
      </c>
      <c r="AC287" s="48">
        <f t="shared" si="17"/>
        <v>174</v>
      </c>
      <c r="AD287" s="51">
        <f t="shared" si="18"/>
        <v>0.8846918489</v>
      </c>
    </row>
    <row r="288">
      <c r="A288" s="23"/>
      <c r="B288" s="46" t="s">
        <v>2273</v>
      </c>
      <c r="C288" s="47"/>
      <c r="D288" s="38">
        <v>561.0</v>
      </c>
      <c r="E288" s="38">
        <v>45.0</v>
      </c>
      <c r="F288" s="38">
        <v>363.0</v>
      </c>
      <c r="G288" s="38">
        <v>17.0</v>
      </c>
      <c r="H288" s="38">
        <v>51.0</v>
      </c>
      <c r="I288" s="48">
        <f t="shared" si="3"/>
        <v>969</v>
      </c>
      <c r="J288" s="48">
        <f t="shared" si="4"/>
        <v>1037</v>
      </c>
      <c r="K288" s="49">
        <f t="shared" si="5"/>
        <v>0.5789473684</v>
      </c>
      <c r="L288" s="49">
        <f t="shared" si="6"/>
        <v>0.04643962848</v>
      </c>
      <c r="M288" s="49">
        <f t="shared" si="7"/>
        <v>0.3746130031</v>
      </c>
      <c r="N288" s="32" t="str">
        <f t="shared" si="8"/>
        <v>Jânio</v>
      </c>
      <c r="O288" s="50" t="s">
        <v>77</v>
      </c>
      <c r="P288" s="38">
        <v>246.0</v>
      </c>
      <c r="Q288" s="38">
        <v>522.0</v>
      </c>
      <c r="R288" s="38">
        <v>80.0</v>
      </c>
      <c r="S288" s="38">
        <v>166.0</v>
      </c>
      <c r="T288" s="48">
        <v>23.0</v>
      </c>
      <c r="U288" s="48">
        <f t="shared" si="9"/>
        <v>848</v>
      </c>
      <c r="V288" s="48">
        <f t="shared" si="10"/>
        <v>1037</v>
      </c>
      <c r="W288" s="49">
        <f t="shared" si="11"/>
        <v>0.2900943396</v>
      </c>
      <c r="X288" s="49">
        <f t="shared" si="12"/>
        <v>0.6155660377</v>
      </c>
      <c r="Y288" s="49">
        <f t="shared" si="13"/>
        <v>0.09433962264</v>
      </c>
      <c r="Z288" s="32" t="str">
        <f t="shared" si="14"/>
        <v>Milton</v>
      </c>
      <c r="AA288" s="50" t="s">
        <v>77</v>
      </c>
      <c r="AB288" s="38">
        <v>1201.0</v>
      </c>
      <c r="AC288" s="48">
        <f t="shared" si="17"/>
        <v>164</v>
      </c>
      <c r="AD288" s="51">
        <f t="shared" si="18"/>
        <v>0.8634471274</v>
      </c>
    </row>
    <row r="289">
      <c r="A289" s="23"/>
      <c r="B289" s="46" t="s">
        <v>2274</v>
      </c>
      <c r="C289" s="47"/>
      <c r="D289" s="38">
        <v>382.0</v>
      </c>
      <c r="E289" s="38">
        <v>22.0</v>
      </c>
      <c r="F289" s="38">
        <v>208.0</v>
      </c>
      <c r="G289" s="38">
        <v>6.0</v>
      </c>
      <c r="H289" s="38">
        <v>7.0</v>
      </c>
      <c r="I289" s="48">
        <f t="shared" si="3"/>
        <v>612</v>
      </c>
      <c r="J289" s="48">
        <f t="shared" si="4"/>
        <v>625</v>
      </c>
      <c r="K289" s="49">
        <f t="shared" si="5"/>
        <v>0.6241830065</v>
      </c>
      <c r="L289" s="49">
        <f t="shared" si="6"/>
        <v>0.03594771242</v>
      </c>
      <c r="M289" s="49">
        <f t="shared" si="7"/>
        <v>0.339869281</v>
      </c>
      <c r="N289" s="32" t="str">
        <f t="shared" si="8"/>
        <v>Jânio</v>
      </c>
      <c r="O289" s="50" t="s">
        <v>77</v>
      </c>
      <c r="P289" s="38">
        <v>106.0</v>
      </c>
      <c r="Q289" s="38">
        <v>255.0</v>
      </c>
      <c r="R289" s="38">
        <v>148.0</v>
      </c>
      <c r="S289" s="38">
        <v>111.0</v>
      </c>
      <c r="T289" s="48">
        <v>5.0</v>
      </c>
      <c r="U289" s="48">
        <f t="shared" si="9"/>
        <v>509</v>
      </c>
      <c r="V289" s="48">
        <f t="shared" si="10"/>
        <v>625</v>
      </c>
      <c r="W289" s="49">
        <f t="shared" si="11"/>
        <v>0.2082514735</v>
      </c>
      <c r="X289" s="49">
        <f t="shared" si="12"/>
        <v>0.5009823183</v>
      </c>
      <c r="Y289" s="49">
        <f t="shared" si="13"/>
        <v>0.2907662083</v>
      </c>
      <c r="Z289" s="32" t="str">
        <f t="shared" si="14"/>
        <v>Milton</v>
      </c>
      <c r="AA289" s="50" t="s">
        <v>77</v>
      </c>
      <c r="AB289" s="38">
        <v>719.0</v>
      </c>
      <c r="AC289" s="48">
        <f t="shared" si="17"/>
        <v>94</v>
      </c>
      <c r="AD289" s="51">
        <f t="shared" si="18"/>
        <v>0.8692628651</v>
      </c>
    </row>
    <row r="290">
      <c r="A290" s="24"/>
      <c r="B290" s="46" t="s">
        <v>2275</v>
      </c>
      <c r="C290" s="47"/>
      <c r="D290" s="38">
        <v>562.0</v>
      </c>
      <c r="E290" s="38">
        <v>24.0</v>
      </c>
      <c r="F290" s="38">
        <v>447.0</v>
      </c>
      <c r="G290" s="38">
        <v>58.0</v>
      </c>
      <c r="H290" s="38">
        <v>28.0</v>
      </c>
      <c r="I290" s="48">
        <f t="shared" si="3"/>
        <v>1033</v>
      </c>
      <c r="J290" s="48">
        <f t="shared" si="4"/>
        <v>1119</v>
      </c>
      <c r="K290" s="49">
        <f t="shared" si="5"/>
        <v>0.5440464666</v>
      </c>
      <c r="L290" s="49">
        <f t="shared" si="6"/>
        <v>0.02323330106</v>
      </c>
      <c r="M290" s="49">
        <f t="shared" si="7"/>
        <v>0.4327202323</v>
      </c>
      <c r="N290" s="32" t="str">
        <f t="shared" si="8"/>
        <v>Jânio</v>
      </c>
      <c r="O290" s="50" t="s">
        <v>77</v>
      </c>
      <c r="P290" s="38">
        <v>207.0</v>
      </c>
      <c r="Q290" s="38">
        <v>440.0</v>
      </c>
      <c r="R290" s="38">
        <v>311.0</v>
      </c>
      <c r="S290" s="38">
        <v>149.0</v>
      </c>
      <c r="T290" s="48">
        <v>12.0</v>
      </c>
      <c r="U290" s="48">
        <f t="shared" si="9"/>
        <v>958</v>
      </c>
      <c r="V290" s="48">
        <f t="shared" si="10"/>
        <v>1119</v>
      </c>
      <c r="W290" s="49">
        <f t="shared" si="11"/>
        <v>0.2160751566</v>
      </c>
      <c r="X290" s="49">
        <f t="shared" si="12"/>
        <v>0.4592901879</v>
      </c>
      <c r="Y290" s="49">
        <f t="shared" si="13"/>
        <v>0.3246346555</v>
      </c>
      <c r="Z290" s="32" t="str">
        <f t="shared" si="14"/>
        <v>Milton</v>
      </c>
      <c r="AA290" s="50" t="s">
        <v>77</v>
      </c>
      <c r="AB290" s="38">
        <v>1279.0</v>
      </c>
      <c r="AC290" s="48">
        <f t="shared" si="17"/>
        <v>160</v>
      </c>
      <c r="AD290" s="51">
        <f t="shared" si="18"/>
        <v>0.8749022674</v>
      </c>
    </row>
    <row r="291">
      <c r="A291" s="61" t="s">
        <v>868</v>
      </c>
      <c r="B291" s="46" t="s">
        <v>2276</v>
      </c>
      <c r="C291" s="47"/>
      <c r="D291" s="38">
        <v>2715.0</v>
      </c>
      <c r="E291" s="38">
        <v>564.0</v>
      </c>
      <c r="F291" s="38">
        <v>2096.0</v>
      </c>
      <c r="G291" s="38">
        <v>116.0</v>
      </c>
      <c r="H291" s="38">
        <v>153.0</v>
      </c>
      <c r="I291" s="48">
        <f t="shared" si="3"/>
        <v>5375</v>
      </c>
      <c r="J291" s="48">
        <f t="shared" si="4"/>
        <v>5644</v>
      </c>
      <c r="K291" s="49">
        <f t="shared" si="5"/>
        <v>0.5051162791</v>
      </c>
      <c r="L291" s="49">
        <f t="shared" si="6"/>
        <v>0.1049302326</v>
      </c>
      <c r="M291" s="49">
        <f t="shared" si="7"/>
        <v>0.3899534884</v>
      </c>
      <c r="N291" s="32" t="str">
        <f t="shared" si="8"/>
        <v>Jânio</v>
      </c>
      <c r="O291" s="50" t="s">
        <v>77</v>
      </c>
      <c r="P291" s="38">
        <v>1992.0</v>
      </c>
      <c r="Q291" s="38">
        <v>2408.0</v>
      </c>
      <c r="R291" s="38">
        <v>510.0</v>
      </c>
      <c r="S291" s="38">
        <v>653.0</v>
      </c>
      <c r="T291" s="48">
        <v>81.0</v>
      </c>
      <c r="U291" s="48">
        <f t="shared" si="9"/>
        <v>4910</v>
      </c>
      <c r="V291" s="48">
        <f t="shared" si="10"/>
        <v>5644</v>
      </c>
      <c r="W291" s="49">
        <f t="shared" si="11"/>
        <v>0.4057026477</v>
      </c>
      <c r="X291" s="49">
        <f t="shared" si="12"/>
        <v>0.4904276986</v>
      </c>
      <c r="Y291" s="49">
        <f t="shared" si="13"/>
        <v>0.1038696538</v>
      </c>
      <c r="Z291" s="32" t="str">
        <f t="shared" si="14"/>
        <v>Milton</v>
      </c>
      <c r="AA291" s="50" t="s">
        <v>77</v>
      </c>
      <c r="AB291" s="38">
        <v>6927.0</v>
      </c>
      <c r="AC291" s="48">
        <f t="shared" si="17"/>
        <v>1283</v>
      </c>
      <c r="AD291" s="51">
        <f t="shared" si="18"/>
        <v>0.8147827342</v>
      </c>
    </row>
    <row r="292">
      <c r="A292" s="23"/>
      <c r="B292" s="46" t="s">
        <v>2277</v>
      </c>
      <c r="C292" s="47"/>
      <c r="D292" s="38">
        <v>278.0</v>
      </c>
      <c r="E292" s="38">
        <v>11.0</v>
      </c>
      <c r="F292" s="38">
        <v>217.0</v>
      </c>
      <c r="G292" s="38">
        <v>15.0</v>
      </c>
      <c r="H292" s="38">
        <v>29.0</v>
      </c>
      <c r="I292" s="48">
        <f t="shared" si="3"/>
        <v>506</v>
      </c>
      <c r="J292" s="48">
        <f t="shared" si="4"/>
        <v>550</v>
      </c>
      <c r="K292" s="49">
        <f t="shared" si="5"/>
        <v>0.5494071146</v>
      </c>
      <c r="L292" s="49">
        <f t="shared" si="6"/>
        <v>0.02173913043</v>
      </c>
      <c r="M292" s="49">
        <f t="shared" si="7"/>
        <v>0.4288537549</v>
      </c>
      <c r="N292" s="32" t="str">
        <f t="shared" si="8"/>
        <v>Jânio</v>
      </c>
      <c r="O292" s="50" t="s">
        <v>77</v>
      </c>
      <c r="P292" s="38">
        <v>85.0</v>
      </c>
      <c r="Q292" s="38">
        <v>333.0</v>
      </c>
      <c r="R292" s="38">
        <v>32.0</v>
      </c>
      <c r="S292" s="38">
        <v>93.0</v>
      </c>
      <c r="T292" s="48">
        <v>7.0</v>
      </c>
      <c r="U292" s="48">
        <f t="shared" si="9"/>
        <v>450</v>
      </c>
      <c r="V292" s="48">
        <f t="shared" si="10"/>
        <v>550</v>
      </c>
      <c r="W292" s="49">
        <f t="shared" si="11"/>
        <v>0.1888888889</v>
      </c>
      <c r="X292" s="49">
        <f t="shared" si="12"/>
        <v>0.74</v>
      </c>
      <c r="Y292" s="49">
        <f t="shared" si="13"/>
        <v>0.07111111111</v>
      </c>
      <c r="Z292" s="32" t="str">
        <f t="shared" si="14"/>
        <v>Milton</v>
      </c>
      <c r="AA292" s="50" t="s">
        <v>77</v>
      </c>
      <c r="AB292" s="38">
        <v>878.0</v>
      </c>
      <c r="AC292" s="48">
        <f t="shared" si="17"/>
        <v>328</v>
      </c>
      <c r="AD292" s="51">
        <f t="shared" si="18"/>
        <v>0.6264236902</v>
      </c>
    </row>
    <row r="293">
      <c r="A293" s="23"/>
      <c r="B293" s="46" t="s">
        <v>2278</v>
      </c>
      <c r="C293" s="47"/>
      <c r="D293" s="38">
        <v>752.0</v>
      </c>
      <c r="E293" s="38">
        <v>249.0</v>
      </c>
      <c r="F293" s="38">
        <v>643.0</v>
      </c>
      <c r="G293" s="38">
        <v>37.0</v>
      </c>
      <c r="H293" s="38">
        <v>84.0</v>
      </c>
      <c r="I293" s="48">
        <f t="shared" si="3"/>
        <v>1644</v>
      </c>
      <c r="J293" s="48">
        <f t="shared" si="4"/>
        <v>1765</v>
      </c>
      <c r="K293" s="49">
        <f t="shared" si="5"/>
        <v>0.4574209246</v>
      </c>
      <c r="L293" s="49">
        <f t="shared" si="6"/>
        <v>0.151459854</v>
      </c>
      <c r="M293" s="49">
        <f t="shared" si="7"/>
        <v>0.3911192214</v>
      </c>
      <c r="N293" s="32" t="str">
        <f t="shared" si="8"/>
        <v>Jânio</v>
      </c>
      <c r="O293" s="50" t="s">
        <v>77</v>
      </c>
      <c r="P293" s="38">
        <v>656.0</v>
      </c>
      <c r="Q293" s="38">
        <v>673.0</v>
      </c>
      <c r="R293" s="38">
        <v>148.0</v>
      </c>
      <c r="S293" s="38">
        <v>261.0</v>
      </c>
      <c r="T293" s="48">
        <v>27.0</v>
      </c>
      <c r="U293" s="48">
        <f t="shared" si="9"/>
        <v>1477</v>
      </c>
      <c r="V293" s="48">
        <f t="shared" si="10"/>
        <v>1765</v>
      </c>
      <c r="W293" s="49">
        <f t="shared" si="11"/>
        <v>0.4441435342</v>
      </c>
      <c r="X293" s="49">
        <f t="shared" si="12"/>
        <v>0.4556533514</v>
      </c>
      <c r="Y293" s="49">
        <f t="shared" si="13"/>
        <v>0.1002031144</v>
      </c>
      <c r="Z293" s="32" t="str">
        <f t="shared" si="14"/>
        <v>Milton</v>
      </c>
      <c r="AA293" s="50" t="s">
        <v>77</v>
      </c>
      <c r="AB293" s="38">
        <v>2313.0</v>
      </c>
      <c r="AC293" s="48">
        <f t="shared" si="17"/>
        <v>548</v>
      </c>
      <c r="AD293" s="51">
        <f t="shared" si="18"/>
        <v>0.7630782534</v>
      </c>
    </row>
    <row r="294">
      <c r="A294" s="23"/>
      <c r="B294" s="46" t="s">
        <v>2279</v>
      </c>
      <c r="C294" s="47"/>
      <c r="D294" s="38">
        <v>557.0</v>
      </c>
      <c r="E294" s="38">
        <v>58.0</v>
      </c>
      <c r="F294" s="38">
        <v>338.0</v>
      </c>
      <c r="G294" s="38">
        <v>34.0</v>
      </c>
      <c r="H294" s="38">
        <v>54.0</v>
      </c>
      <c r="I294" s="48">
        <f t="shared" si="3"/>
        <v>953</v>
      </c>
      <c r="J294" s="48">
        <f t="shared" si="4"/>
        <v>1041</v>
      </c>
      <c r="K294" s="49">
        <f t="shared" si="5"/>
        <v>0.5844700944</v>
      </c>
      <c r="L294" s="49">
        <f t="shared" si="6"/>
        <v>0.06086044071</v>
      </c>
      <c r="M294" s="49">
        <f t="shared" si="7"/>
        <v>0.3546694648</v>
      </c>
      <c r="N294" s="32" t="str">
        <f t="shared" si="8"/>
        <v>Jânio</v>
      </c>
      <c r="O294" s="50" t="s">
        <v>77</v>
      </c>
      <c r="P294" s="38">
        <v>348.0</v>
      </c>
      <c r="Q294" s="38">
        <v>371.0</v>
      </c>
      <c r="R294" s="38">
        <v>108.0</v>
      </c>
      <c r="S294" s="38">
        <v>189.0</v>
      </c>
      <c r="T294" s="48">
        <v>25.0</v>
      </c>
      <c r="U294" s="48">
        <f t="shared" si="9"/>
        <v>827</v>
      </c>
      <c r="V294" s="48">
        <f t="shared" si="10"/>
        <v>1041</v>
      </c>
      <c r="W294" s="49">
        <f t="shared" si="11"/>
        <v>0.4207980653</v>
      </c>
      <c r="X294" s="49">
        <f t="shared" si="12"/>
        <v>0.4486094317</v>
      </c>
      <c r="Y294" s="49">
        <f t="shared" si="13"/>
        <v>0.130592503</v>
      </c>
      <c r="Z294" s="32" t="str">
        <f t="shared" si="14"/>
        <v>Milton</v>
      </c>
      <c r="AA294" s="50" t="s">
        <v>77</v>
      </c>
      <c r="AB294" s="38">
        <v>1406.0</v>
      </c>
      <c r="AC294" s="48">
        <f t="shared" si="17"/>
        <v>365</v>
      </c>
      <c r="AD294" s="51">
        <f t="shared" si="18"/>
        <v>0.740398293</v>
      </c>
    </row>
    <row r="295">
      <c r="A295" s="23"/>
      <c r="B295" s="46" t="s">
        <v>2280</v>
      </c>
      <c r="C295" s="47"/>
      <c r="D295" s="38">
        <v>521.0</v>
      </c>
      <c r="E295" s="38">
        <v>189.0</v>
      </c>
      <c r="F295" s="38">
        <v>583.0</v>
      </c>
      <c r="G295" s="38">
        <v>21.0</v>
      </c>
      <c r="H295" s="38">
        <v>39.0</v>
      </c>
      <c r="I295" s="48">
        <f t="shared" si="3"/>
        <v>1293</v>
      </c>
      <c r="J295" s="48">
        <f t="shared" si="4"/>
        <v>1353</v>
      </c>
      <c r="K295" s="49">
        <f t="shared" si="5"/>
        <v>0.4029389018</v>
      </c>
      <c r="L295" s="49">
        <f t="shared" si="6"/>
        <v>0.1461716937</v>
      </c>
      <c r="M295" s="49">
        <f t="shared" si="7"/>
        <v>0.4508894045</v>
      </c>
      <c r="N295" s="32" t="str">
        <f t="shared" si="8"/>
        <v>Adhemar</v>
      </c>
      <c r="O295" s="50" t="s">
        <v>77</v>
      </c>
      <c r="P295" s="38">
        <v>525.0</v>
      </c>
      <c r="Q295" s="38">
        <v>487.0</v>
      </c>
      <c r="R295" s="38">
        <v>124.0</v>
      </c>
      <c r="S295" s="38">
        <v>197.0</v>
      </c>
      <c r="T295" s="48">
        <v>20.0</v>
      </c>
      <c r="U295" s="48">
        <f t="shared" si="9"/>
        <v>1136</v>
      </c>
      <c r="V295" s="48">
        <f t="shared" si="10"/>
        <v>1353</v>
      </c>
      <c r="W295" s="49">
        <f t="shared" si="11"/>
        <v>0.4621478873</v>
      </c>
      <c r="X295" s="49">
        <f t="shared" si="12"/>
        <v>0.4286971831</v>
      </c>
      <c r="Y295" s="49">
        <f t="shared" si="13"/>
        <v>0.1091549296</v>
      </c>
      <c r="Z295" s="32" t="str">
        <f t="shared" si="14"/>
        <v>Jango</v>
      </c>
      <c r="AA295" s="50" t="s">
        <v>77</v>
      </c>
      <c r="AB295" s="38">
        <v>1648.0</v>
      </c>
      <c r="AC295" s="48">
        <f t="shared" si="17"/>
        <v>295</v>
      </c>
      <c r="AD295" s="51">
        <f t="shared" si="18"/>
        <v>0.8209951456</v>
      </c>
    </row>
    <row r="296">
      <c r="A296" s="23"/>
      <c r="B296" s="46" t="s">
        <v>2281</v>
      </c>
      <c r="C296" s="47"/>
      <c r="D296" s="38">
        <v>524.0</v>
      </c>
      <c r="E296" s="38">
        <v>27.0</v>
      </c>
      <c r="F296" s="38">
        <v>304.0</v>
      </c>
      <c r="G296" s="38">
        <v>25.0</v>
      </c>
      <c r="H296" s="38">
        <v>46.0</v>
      </c>
      <c r="I296" s="48">
        <f t="shared" si="3"/>
        <v>855</v>
      </c>
      <c r="J296" s="48">
        <f t="shared" si="4"/>
        <v>926</v>
      </c>
      <c r="K296" s="49">
        <f t="shared" si="5"/>
        <v>0.6128654971</v>
      </c>
      <c r="L296" s="49">
        <f t="shared" si="6"/>
        <v>0.03157894737</v>
      </c>
      <c r="M296" s="49">
        <f t="shared" si="7"/>
        <v>0.3555555556</v>
      </c>
      <c r="N296" s="32" t="str">
        <f t="shared" si="8"/>
        <v>Jânio</v>
      </c>
      <c r="O296" s="50" t="s">
        <v>77</v>
      </c>
      <c r="P296" s="38">
        <v>213.0</v>
      </c>
      <c r="Q296" s="38">
        <v>486.0</v>
      </c>
      <c r="R296" s="38">
        <v>71.0</v>
      </c>
      <c r="S296" s="38">
        <v>121.0</v>
      </c>
      <c r="T296" s="48">
        <v>35.0</v>
      </c>
      <c r="U296" s="48">
        <f t="shared" si="9"/>
        <v>770</v>
      </c>
      <c r="V296" s="48">
        <f t="shared" si="10"/>
        <v>926</v>
      </c>
      <c r="W296" s="49">
        <f t="shared" si="11"/>
        <v>0.2766233766</v>
      </c>
      <c r="X296" s="49">
        <f t="shared" si="12"/>
        <v>0.6311688312</v>
      </c>
      <c r="Y296" s="49">
        <f t="shared" si="13"/>
        <v>0.09220779221</v>
      </c>
      <c r="Z296" s="32" t="str">
        <f t="shared" si="14"/>
        <v>Milton</v>
      </c>
      <c r="AA296" s="50" t="s">
        <v>77</v>
      </c>
      <c r="AB296" s="38">
        <v>1120.0</v>
      </c>
      <c r="AC296" s="48">
        <f t="shared" si="17"/>
        <v>194</v>
      </c>
      <c r="AD296" s="51">
        <f t="shared" si="18"/>
        <v>0.8267857143</v>
      </c>
    </row>
    <row r="297">
      <c r="A297" s="24"/>
      <c r="B297" s="46" t="s">
        <v>2282</v>
      </c>
      <c r="C297" s="47"/>
      <c r="D297" s="38">
        <v>259.0</v>
      </c>
      <c r="E297" s="38">
        <v>10.0</v>
      </c>
      <c r="F297" s="38">
        <v>131.0</v>
      </c>
      <c r="G297" s="38">
        <v>19.0</v>
      </c>
      <c r="H297" s="38">
        <v>19.0</v>
      </c>
      <c r="I297" s="48">
        <f t="shared" si="3"/>
        <v>400</v>
      </c>
      <c r="J297" s="48">
        <f t="shared" si="4"/>
        <v>438</v>
      </c>
      <c r="K297" s="49">
        <f t="shared" si="5"/>
        <v>0.6475</v>
      </c>
      <c r="L297" s="49">
        <f t="shared" si="6"/>
        <v>0.025</v>
      </c>
      <c r="M297" s="49">
        <f t="shared" si="7"/>
        <v>0.3275</v>
      </c>
      <c r="N297" s="32" t="str">
        <f t="shared" si="8"/>
        <v>Jânio</v>
      </c>
      <c r="O297" s="50" t="s">
        <v>77</v>
      </c>
      <c r="P297" s="38">
        <v>99.0</v>
      </c>
      <c r="Q297" s="38">
        <v>215.0</v>
      </c>
      <c r="R297" s="38">
        <v>37.0</v>
      </c>
      <c r="S297" s="38">
        <v>82.0</v>
      </c>
      <c r="T297" s="48">
        <v>5.0</v>
      </c>
      <c r="U297" s="48">
        <f t="shared" si="9"/>
        <v>351</v>
      </c>
      <c r="V297" s="48">
        <f t="shared" si="10"/>
        <v>438</v>
      </c>
      <c r="W297" s="49">
        <f t="shared" si="11"/>
        <v>0.2820512821</v>
      </c>
      <c r="X297" s="49">
        <f t="shared" si="12"/>
        <v>0.6125356125</v>
      </c>
      <c r="Y297" s="49">
        <f t="shared" si="13"/>
        <v>0.1054131054</v>
      </c>
      <c r="Z297" s="32" t="str">
        <f t="shared" si="14"/>
        <v>Milton</v>
      </c>
      <c r="AA297" s="50" t="s">
        <v>77</v>
      </c>
      <c r="AB297" s="38">
        <v>652.0</v>
      </c>
      <c r="AC297" s="48">
        <f t="shared" si="17"/>
        <v>214</v>
      </c>
      <c r="AD297" s="51">
        <f t="shared" si="18"/>
        <v>0.6717791411</v>
      </c>
    </row>
    <row r="298">
      <c r="A298" s="61" t="s">
        <v>870</v>
      </c>
      <c r="B298" s="46" t="s">
        <v>2283</v>
      </c>
      <c r="C298" s="47"/>
      <c r="D298" s="38">
        <v>3435.0</v>
      </c>
      <c r="E298" s="38">
        <v>885.0</v>
      </c>
      <c r="F298" s="38">
        <v>1890.0</v>
      </c>
      <c r="G298" s="38">
        <v>106.0</v>
      </c>
      <c r="H298" s="38">
        <v>167.0</v>
      </c>
      <c r="I298" s="48">
        <f t="shared" si="3"/>
        <v>6210</v>
      </c>
      <c r="J298" s="48">
        <f t="shared" si="4"/>
        <v>6483</v>
      </c>
      <c r="K298" s="49">
        <f t="shared" si="5"/>
        <v>0.5531400966</v>
      </c>
      <c r="L298" s="49">
        <f t="shared" si="6"/>
        <v>0.1425120773</v>
      </c>
      <c r="M298" s="49">
        <f t="shared" si="7"/>
        <v>0.3043478261</v>
      </c>
      <c r="N298" s="32" t="str">
        <f t="shared" si="8"/>
        <v>Jânio</v>
      </c>
      <c r="O298" s="50" t="s">
        <v>77</v>
      </c>
      <c r="P298" s="38">
        <v>2237.0</v>
      </c>
      <c r="Q298" s="38">
        <v>3239.0</v>
      </c>
      <c r="R298" s="38">
        <v>477.0</v>
      </c>
      <c r="S298" s="38">
        <v>414.0</v>
      </c>
      <c r="T298" s="48">
        <v>116.0</v>
      </c>
      <c r="U298" s="48">
        <f t="shared" si="9"/>
        <v>5953</v>
      </c>
      <c r="V298" s="48">
        <f t="shared" si="10"/>
        <v>6483</v>
      </c>
      <c r="W298" s="49">
        <f t="shared" si="11"/>
        <v>0.3757769192</v>
      </c>
      <c r="X298" s="49">
        <f t="shared" si="12"/>
        <v>0.5440954141</v>
      </c>
      <c r="Y298" s="49">
        <f t="shared" si="13"/>
        <v>0.08012766672</v>
      </c>
      <c r="Z298" s="32" t="str">
        <f t="shared" si="14"/>
        <v>Milton</v>
      </c>
      <c r="AA298" s="50" t="s">
        <v>77</v>
      </c>
      <c r="AB298" s="38">
        <v>6932.0</v>
      </c>
      <c r="AC298" s="48">
        <f t="shared" si="17"/>
        <v>449</v>
      </c>
      <c r="AD298" s="51">
        <f t="shared" si="18"/>
        <v>0.9352279284</v>
      </c>
    </row>
    <row r="299">
      <c r="A299" s="23"/>
      <c r="B299" s="46" t="s">
        <v>2284</v>
      </c>
      <c r="C299" s="47"/>
      <c r="D299" s="38">
        <v>1677.0</v>
      </c>
      <c r="E299" s="38">
        <v>314.0</v>
      </c>
      <c r="F299" s="38">
        <v>1197.0</v>
      </c>
      <c r="G299" s="38">
        <v>33.0</v>
      </c>
      <c r="H299" s="38">
        <v>84.0</v>
      </c>
      <c r="I299" s="48">
        <f t="shared" si="3"/>
        <v>3188</v>
      </c>
      <c r="J299" s="48">
        <f t="shared" si="4"/>
        <v>3305</v>
      </c>
      <c r="K299" s="49">
        <f t="shared" si="5"/>
        <v>0.5260351317</v>
      </c>
      <c r="L299" s="49">
        <f t="shared" si="6"/>
        <v>0.09849435383</v>
      </c>
      <c r="M299" s="49">
        <f t="shared" si="7"/>
        <v>0.3754705144</v>
      </c>
      <c r="N299" s="32" t="str">
        <f t="shared" si="8"/>
        <v>Jânio</v>
      </c>
      <c r="O299" s="50" t="s">
        <v>77</v>
      </c>
      <c r="P299" s="38">
        <v>1176.0</v>
      </c>
      <c r="Q299" s="38">
        <v>1516.0</v>
      </c>
      <c r="R299" s="38">
        <v>282.0</v>
      </c>
      <c r="S299" s="38">
        <v>269.0</v>
      </c>
      <c r="T299" s="48">
        <v>62.0</v>
      </c>
      <c r="U299" s="48">
        <f t="shared" si="9"/>
        <v>2974</v>
      </c>
      <c r="V299" s="48">
        <f t="shared" si="10"/>
        <v>3305</v>
      </c>
      <c r="W299" s="49">
        <f t="shared" si="11"/>
        <v>0.3954270343</v>
      </c>
      <c r="X299" s="49">
        <f t="shared" si="12"/>
        <v>0.5097511769</v>
      </c>
      <c r="Y299" s="49">
        <f t="shared" si="13"/>
        <v>0.09482178884</v>
      </c>
      <c r="Z299" s="32" t="str">
        <f t="shared" si="14"/>
        <v>Milton</v>
      </c>
      <c r="AA299" s="50" t="s">
        <v>77</v>
      </c>
      <c r="AB299" s="38">
        <v>3518.0</v>
      </c>
      <c r="AC299" s="48">
        <f t="shared" si="17"/>
        <v>213</v>
      </c>
      <c r="AD299" s="51">
        <f t="shared" si="18"/>
        <v>0.9394542354</v>
      </c>
    </row>
    <row r="300">
      <c r="A300" s="24"/>
      <c r="B300" s="46" t="s">
        <v>2285</v>
      </c>
      <c r="C300" s="47"/>
      <c r="D300" s="38">
        <v>261.0</v>
      </c>
      <c r="E300" s="38">
        <v>25.0</v>
      </c>
      <c r="F300" s="38">
        <v>199.0</v>
      </c>
      <c r="G300" s="38">
        <v>14.0</v>
      </c>
      <c r="H300" s="38">
        <v>19.0</v>
      </c>
      <c r="I300" s="48">
        <f t="shared" si="3"/>
        <v>485</v>
      </c>
      <c r="J300" s="48">
        <f t="shared" si="4"/>
        <v>518</v>
      </c>
      <c r="K300" s="49">
        <f t="shared" si="5"/>
        <v>0.5381443299</v>
      </c>
      <c r="L300" s="49">
        <f t="shared" si="6"/>
        <v>0.05154639175</v>
      </c>
      <c r="M300" s="49">
        <f t="shared" si="7"/>
        <v>0.4103092784</v>
      </c>
      <c r="N300" s="32" t="str">
        <f t="shared" si="8"/>
        <v>Jânio</v>
      </c>
      <c r="O300" s="50" t="s">
        <v>77</v>
      </c>
      <c r="P300" s="38">
        <v>170.0</v>
      </c>
      <c r="Q300" s="38">
        <v>255.0</v>
      </c>
      <c r="R300" s="38">
        <v>38.0</v>
      </c>
      <c r="S300" s="38">
        <v>44.0</v>
      </c>
      <c r="T300" s="48">
        <v>11.0</v>
      </c>
      <c r="U300" s="48">
        <f t="shared" si="9"/>
        <v>463</v>
      </c>
      <c r="V300" s="48">
        <f t="shared" si="10"/>
        <v>518</v>
      </c>
      <c r="W300" s="49">
        <f t="shared" si="11"/>
        <v>0.3671706263</v>
      </c>
      <c r="X300" s="49">
        <f t="shared" si="12"/>
        <v>0.5507559395</v>
      </c>
      <c r="Y300" s="49">
        <f t="shared" si="13"/>
        <v>0.08207343413</v>
      </c>
      <c r="Z300" s="32" t="str">
        <f t="shared" si="14"/>
        <v>Milton</v>
      </c>
      <c r="AA300" s="50" t="s">
        <v>77</v>
      </c>
      <c r="AB300" s="38">
        <v>546.0</v>
      </c>
      <c r="AC300" s="48">
        <f t="shared" si="17"/>
        <v>28</v>
      </c>
      <c r="AD300" s="51">
        <f t="shared" si="18"/>
        <v>0.9487179487</v>
      </c>
    </row>
    <row r="301">
      <c r="A301" s="61" t="s">
        <v>872</v>
      </c>
      <c r="B301" s="46" t="s">
        <v>2286</v>
      </c>
      <c r="C301" s="47"/>
      <c r="D301" s="38">
        <v>1172.0</v>
      </c>
      <c r="E301" s="38">
        <v>164.0</v>
      </c>
      <c r="F301" s="38">
        <v>899.0</v>
      </c>
      <c r="G301" s="38">
        <v>26.0</v>
      </c>
      <c r="H301" s="38">
        <v>101.0</v>
      </c>
      <c r="I301" s="48">
        <f t="shared" si="3"/>
        <v>2235</v>
      </c>
      <c r="J301" s="48">
        <f t="shared" si="4"/>
        <v>2362</v>
      </c>
      <c r="K301" s="49">
        <f t="shared" si="5"/>
        <v>0.5243847875</v>
      </c>
      <c r="L301" s="49">
        <f t="shared" si="6"/>
        <v>0.07337807606</v>
      </c>
      <c r="M301" s="49">
        <f t="shared" si="7"/>
        <v>0.4022371365</v>
      </c>
      <c r="N301" s="32" t="str">
        <f t="shared" si="8"/>
        <v>Jânio</v>
      </c>
      <c r="O301" s="50" t="s">
        <v>77</v>
      </c>
      <c r="P301" s="38">
        <v>517.0</v>
      </c>
      <c r="Q301" s="38">
        <v>971.0</v>
      </c>
      <c r="R301" s="38">
        <v>508.0</v>
      </c>
      <c r="S301" s="38">
        <v>265.0</v>
      </c>
      <c r="T301" s="48">
        <v>101.0</v>
      </c>
      <c r="U301" s="48">
        <f t="shared" si="9"/>
        <v>1996</v>
      </c>
      <c r="V301" s="48">
        <f t="shared" si="10"/>
        <v>2362</v>
      </c>
      <c r="W301" s="49">
        <f t="shared" si="11"/>
        <v>0.2590180361</v>
      </c>
      <c r="X301" s="49">
        <f t="shared" si="12"/>
        <v>0.4864729459</v>
      </c>
      <c r="Y301" s="49">
        <f t="shared" si="13"/>
        <v>0.254509018</v>
      </c>
      <c r="Z301" s="32" t="str">
        <f t="shared" si="14"/>
        <v>Milton</v>
      </c>
      <c r="AA301" s="50" t="s">
        <v>77</v>
      </c>
      <c r="AB301" s="38">
        <v>2752.0</v>
      </c>
      <c r="AC301" s="48">
        <f t="shared" si="17"/>
        <v>390</v>
      </c>
      <c r="AD301" s="51">
        <f t="shared" si="18"/>
        <v>0.8582848837</v>
      </c>
    </row>
    <row r="302">
      <c r="A302" s="24"/>
      <c r="B302" s="46" t="s">
        <v>2287</v>
      </c>
      <c r="C302" s="47"/>
      <c r="D302" s="38">
        <v>341.0</v>
      </c>
      <c r="E302" s="38">
        <v>85.0</v>
      </c>
      <c r="F302" s="38">
        <v>256.0</v>
      </c>
      <c r="G302" s="38">
        <v>12.0</v>
      </c>
      <c r="H302" s="38">
        <v>46.0</v>
      </c>
      <c r="I302" s="48">
        <f t="shared" si="3"/>
        <v>682</v>
      </c>
      <c r="J302" s="48">
        <f t="shared" si="4"/>
        <v>740</v>
      </c>
      <c r="K302" s="49">
        <f t="shared" si="5"/>
        <v>0.5</v>
      </c>
      <c r="L302" s="49">
        <f t="shared" si="6"/>
        <v>0.1246334311</v>
      </c>
      <c r="M302" s="49">
        <f t="shared" si="7"/>
        <v>0.3753665689</v>
      </c>
      <c r="N302" s="32" t="str">
        <f t="shared" si="8"/>
        <v>Jânio</v>
      </c>
      <c r="O302" s="50" t="s">
        <v>77</v>
      </c>
      <c r="P302" s="38">
        <v>207.0</v>
      </c>
      <c r="Q302" s="38">
        <v>263.0</v>
      </c>
      <c r="R302" s="38">
        <v>116.0</v>
      </c>
      <c r="S302" s="38">
        <v>108.0</v>
      </c>
      <c r="T302" s="48">
        <v>46.0</v>
      </c>
      <c r="U302" s="48">
        <f t="shared" si="9"/>
        <v>586</v>
      </c>
      <c r="V302" s="48">
        <f t="shared" si="10"/>
        <v>740</v>
      </c>
      <c r="W302" s="49">
        <f t="shared" si="11"/>
        <v>0.3532423208</v>
      </c>
      <c r="X302" s="49">
        <f t="shared" si="12"/>
        <v>0.4488054608</v>
      </c>
      <c r="Y302" s="49">
        <f t="shared" si="13"/>
        <v>0.1979522184</v>
      </c>
      <c r="Z302" s="32" t="str">
        <f t="shared" si="14"/>
        <v>Milton</v>
      </c>
      <c r="AA302" s="50" t="s">
        <v>77</v>
      </c>
      <c r="AB302" s="38">
        <v>940.0</v>
      </c>
      <c r="AC302" s="48">
        <f t="shared" si="17"/>
        <v>200</v>
      </c>
      <c r="AD302" s="51">
        <f t="shared" si="18"/>
        <v>0.7872340426</v>
      </c>
    </row>
    <row r="303">
      <c r="A303" s="61" t="s">
        <v>874</v>
      </c>
      <c r="B303" s="46" t="s">
        <v>2288</v>
      </c>
      <c r="C303" s="47"/>
      <c r="D303" s="38">
        <v>1658.0</v>
      </c>
      <c r="E303" s="38">
        <v>410.0</v>
      </c>
      <c r="F303" s="38">
        <v>1198.0</v>
      </c>
      <c r="G303" s="38">
        <v>135.0</v>
      </c>
      <c r="H303" s="38">
        <v>163.0</v>
      </c>
      <c r="I303" s="48">
        <f t="shared" si="3"/>
        <v>3266</v>
      </c>
      <c r="J303" s="48">
        <f t="shared" si="4"/>
        <v>3564</v>
      </c>
      <c r="K303" s="49">
        <f t="shared" si="5"/>
        <v>0.5076546234</v>
      </c>
      <c r="L303" s="49">
        <f t="shared" si="6"/>
        <v>0.1255358236</v>
      </c>
      <c r="M303" s="49">
        <f t="shared" si="7"/>
        <v>0.366809553</v>
      </c>
      <c r="N303" s="32" t="str">
        <f t="shared" si="8"/>
        <v>Jânio</v>
      </c>
      <c r="O303" s="50" t="s">
        <v>77</v>
      </c>
      <c r="P303" s="38">
        <v>1249.0</v>
      </c>
      <c r="Q303" s="38">
        <v>1286.0</v>
      </c>
      <c r="R303" s="38">
        <v>386.0</v>
      </c>
      <c r="S303" s="38">
        <v>547.0</v>
      </c>
      <c r="T303" s="48">
        <v>96.0</v>
      </c>
      <c r="U303" s="48">
        <f t="shared" si="9"/>
        <v>2921</v>
      </c>
      <c r="V303" s="48">
        <f t="shared" si="10"/>
        <v>3564</v>
      </c>
      <c r="W303" s="49">
        <f t="shared" si="11"/>
        <v>0.42759329</v>
      </c>
      <c r="X303" s="49">
        <f t="shared" si="12"/>
        <v>0.4402601849</v>
      </c>
      <c r="Y303" s="49">
        <f t="shared" si="13"/>
        <v>0.1321465252</v>
      </c>
      <c r="Z303" s="32" t="str">
        <f t="shared" si="14"/>
        <v>Milton</v>
      </c>
      <c r="AA303" s="50" t="s">
        <v>77</v>
      </c>
      <c r="AB303" s="38">
        <v>4082.0</v>
      </c>
      <c r="AC303" s="48">
        <f t="shared" si="17"/>
        <v>518</v>
      </c>
      <c r="AD303" s="51">
        <f t="shared" si="18"/>
        <v>0.8731014209</v>
      </c>
    </row>
    <row r="304">
      <c r="A304" s="23"/>
      <c r="B304" s="46" t="s">
        <v>2289</v>
      </c>
      <c r="C304" s="47"/>
      <c r="D304" s="38">
        <v>554.0</v>
      </c>
      <c r="E304" s="38">
        <v>179.0</v>
      </c>
      <c r="F304" s="38">
        <v>248.0</v>
      </c>
      <c r="G304" s="38">
        <v>42.0</v>
      </c>
      <c r="H304" s="38">
        <v>58.0</v>
      </c>
      <c r="I304" s="48">
        <f t="shared" si="3"/>
        <v>981</v>
      </c>
      <c r="J304" s="48">
        <f t="shared" si="4"/>
        <v>1081</v>
      </c>
      <c r="K304" s="49">
        <f t="shared" si="5"/>
        <v>0.5647298675</v>
      </c>
      <c r="L304" s="49">
        <f t="shared" si="6"/>
        <v>0.1824668705</v>
      </c>
      <c r="M304" s="49">
        <f t="shared" si="7"/>
        <v>0.252803262</v>
      </c>
      <c r="N304" s="32" t="str">
        <f t="shared" si="8"/>
        <v>Jânio</v>
      </c>
      <c r="O304" s="50" t="s">
        <v>77</v>
      </c>
      <c r="P304" s="38">
        <v>316.0</v>
      </c>
      <c r="Q304" s="38">
        <v>291.0</v>
      </c>
      <c r="R304" s="38">
        <v>268.0</v>
      </c>
      <c r="S304" s="38">
        <v>169.0</v>
      </c>
      <c r="T304" s="48">
        <v>37.0</v>
      </c>
      <c r="U304" s="48">
        <f t="shared" si="9"/>
        <v>875</v>
      </c>
      <c r="V304" s="48">
        <f t="shared" si="10"/>
        <v>1081</v>
      </c>
      <c r="W304" s="49">
        <f t="shared" si="11"/>
        <v>0.3611428571</v>
      </c>
      <c r="X304" s="49">
        <f t="shared" si="12"/>
        <v>0.3325714286</v>
      </c>
      <c r="Y304" s="49">
        <f t="shared" si="13"/>
        <v>0.3062857143</v>
      </c>
      <c r="Z304" s="32" t="str">
        <f t="shared" si="14"/>
        <v>Jango</v>
      </c>
      <c r="AA304" s="50" t="s">
        <v>77</v>
      </c>
      <c r="AB304" s="38">
        <v>1259.0</v>
      </c>
      <c r="AC304" s="48">
        <f t="shared" si="17"/>
        <v>178</v>
      </c>
      <c r="AD304" s="51">
        <f t="shared" si="18"/>
        <v>0.8586179508</v>
      </c>
    </row>
    <row r="305">
      <c r="A305" s="24"/>
      <c r="B305" s="46" t="s">
        <v>2290</v>
      </c>
      <c r="C305" s="47"/>
      <c r="D305" s="38">
        <v>1072.0</v>
      </c>
      <c r="E305" s="38">
        <v>318.0</v>
      </c>
      <c r="F305" s="38">
        <v>360.0</v>
      </c>
      <c r="G305" s="38">
        <v>41.0</v>
      </c>
      <c r="H305" s="38">
        <v>81.0</v>
      </c>
      <c r="I305" s="48">
        <f t="shared" si="3"/>
        <v>1750</v>
      </c>
      <c r="J305" s="48">
        <f t="shared" si="4"/>
        <v>1872</v>
      </c>
      <c r="K305" s="49">
        <f t="shared" si="5"/>
        <v>0.6125714286</v>
      </c>
      <c r="L305" s="49">
        <f t="shared" si="6"/>
        <v>0.1817142857</v>
      </c>
      <c r="M305" s="49">
        <f t="shared" si="7"/>
        <v>0.2057142857</v>
      </c>
      <c r="N305" s="32" t="str">
        <f t="shared" si="8"/>
        <v>Jânio</v>
      </c>
      <c r="O305" s="50" t="s">
        <v>77</v>
      </c>
      <c r="P305" s="38">
        <v>532.0</v>
      </c>
      <c r="Q305" s="38">
        <v>881.0</v>
      </c>
      <c r="R305" s="38">
        <v>214.0</v>
      </c>
      <c r="S305" s="38">
        <v>196.0</v>
      </c>
      <c r="T305" s="48">
        <v>49.0</v>
      </c>
      <c r="U305" s="48">
        <f t="shared" si="9"/>
        <v>1627</v>
      </c>
      <c r="V305" s="48">
        <f t="shared" si="10"/>
        <v>1872</v>
      </c>
      <c r="W305" s="49">
        <f t="shared" si="11"/>
        <v>0.3269821758</v>
      </c>
      <c r="X305" s="49">
        <f t="shared" si="12"/>
        <v>0.5414874001</v>
      </c>
      <c r="Y305" s="49">
        <f t="shared" si="13"/>
        <v>0.1315304241</v>
      </c>
      <c r="Z305" s="32" t="str">
        <f t="shared" si="14"/>
        <v>Milton</v>
      </c>
      <c r="AA305" s="50" t="s">
        <v>77</v>
      </c>
      <c r="AB305" s="38">
        <v>2136.0</v>
      </c>
      <c r="AC305" s="48">
        <f t="shared" si="17"/>
        <v>264</v>
      </c>
      <c r="AD305" s="51">
        <f t="shared" si="18"/>
        <v>0.8764044944</v>
      </c>
    </row>
    <row r="306">
      <c r="A306" s="61" t="s">
        <v>876</v>
      </c>
      <c r="B306" s="46" t="s">
        <v>2291</v>
      </c>
      <c r="C306" s="47"/>
      <c r="D306" s="38">
        <v>2067.0</v>
      </c>
      <c r="E306" s="38">
        <v>1006.0</v>
      </c>
      <c r="F306" s="38">
        <v>1132.0</v>
      </c>
      <c r="G306" s="38">
        <v>84.0</v>
      </c>
      <c r="H306" s="38">
        <v>202.0</v>
      </c>
      <c r="I306" s="48">
        <f t="shared" si="3"/>
        <v>4205</v>
      </c>
      <c r="J306" s="48">
        <f t="shared" si="4"/>
        <v>4491</v>
      </c>
      <c r="K306" s="49">
        <f t="shared" si="5"/>
        <v>0.4915576694</v>
      </c>
      <c r="L306" s="49">
        <f t="shared" si="6"/>
        <v>0.2392390012</v>
      </c>
      <c r="M306" s="49">
        <f t="shared" si="7"/>
        <v>0.2692033294</v>
      </c>
      <c r="N306" s="32" t="str">
        <f t="shared" si="8"/>
        <v>Jânio</v>
      </c>
      <c r="O306" s="50" t="s">
        <v>77</v>
      </c>
      <c r="P306" s="38">
        <v>1734.0</v>
      </c>
      <c r="Q306" s="38">
        <v>1896.0</v>
      </c>
      <c r="R306" s="38">
        <v>300.0</v>
      </c>
      <c r="S306" s="38">
        <v>449.0</v>
      </c>
      <c r="T306" s="48">
        <v>112.0</v>
      </c>
      <c r="U306" s="48">
        <f t="shared" si="9"/>
        <v>3930</v>
      </c>
      <c r="V306" s="48">
        <f t="shared" si="10"/>
        <v>4491</v>
      </c>
      <c r="W306" s="49">
        <f t="shared" si="11"/>
        <v>0.441221374</v>
      </c>
      <c r="X306" s="49">
        <f t="shared" si="12"/>
        <v>0.4824427481</v>
      </c>
      <c r="Y306" s="49">
        <f t="shared" si="13"/>
        <v>0.07633587786</v>
      </c>
      <c r="Z306" s="32" t="str">
        <f t="shared" si="14"/>
        <v>Milton</v>
      </c>
      <c r="AA306" s="50" t="s">
        <v>77</v>
      </c>
      <c r="AB306" s="38">
        <v>5381.0</v>
      </c>
      <c r="AC306" s="48">
        <f t="shared" si="17"/>
        <v>890</v>
      </c>
      <c r="AD306" s="51">
        <f t="shared" si="18"/>
        <v>0.8346032336</v>
      </c>
    </row>
    <row r="307">
      <c r="A307" s="23"/>
      <c r="B307" s="46" t="s">
        <v>2292</v>
      </c>
      <c r="C307" s="47"/>
      <c r="D307" s="38">
        <v>1154.0</v>
      </c>
      <c r="E307" s="38">
        <v>154.0</v>
      </c>
      <c r="F307" s="38">
        <v>331.0</v>
      </c>
      <c r="G307" s="38">
        <v>46.0</v>
      </c>
      <c r="H307" s="38">
        <v>70.0</v>
      </c>
      <c r="I307" s="48">
        <f t="shared" si="3"/>
        <v>1639</v>
      </c>
      <c r="J307" s="48">
        <f t="shared" si="4"/>
        <v>1755</v>
      </c>
      <c r="K307" s="49">
        <f t="shared" si="5"/>
        <v>0.7040878585</v>
      </c>
      <c r="L307" s="49">
        <f t="shared" si="6"/>
        <v>0.09395973154</v>
      </c>
      <c r="M307" s="49">
        <f t="shared" si="7"/>
        <v>0.20195241</v>
      </c>
      <c r="N307" s="32" t="str">
        <f t="shared" si="8"/>
        <v>Jânio</v>
      </c>
      <c r="O307" s="50" t="s">
        <v>77</v>
      </c>
      <c r="P307" s="38">
        <v>315.0</v>
      </c>
      <c r="Q307" s="38">
        <v>625.0</v>
      </c>
      <c r="R307" s="38">
        <v>553.0</v>
      </c>
      <c r="S307" s="38">
        <v>209.0</v>
      </c>
      <c r="T307" s="48">
        <v>53.0</v>
      </c>
      <c r="U307" s="48">
        <f t="shared" si="9"/>
        <v>1493</v>
      </c>
      <c r="V307" s="48">
        <f t="shared" si="10"/>
        <v>1755</v>
      </c>
      <c r="W307" s="49">
        <f t="shared" si="11"/>
        <v>0.2109845948</v>
      </c>
      <c r="X307" s="49">
        <f t="shared" si="12"/>
        <v>0.4186202277</v>
      </c>
      <c r="Y307" s="49">
        <f t="shared" si="13"/>
        <v>0.3703951775</v>
      </c>
      <c r="Z307" s="32" t="str">
        <f t="shared" si="14"/>
        <v>Milton</v>
      </c>
      <c r="AA307" s="50" t="s">
        <v>77</v>
      </c>
      <c r="AB307" s="38">
        <v>2078.0</v>
      </c>
      <c r="AC307" s="48">
        <f t="shared" si="17"/>
        <v>323</v>
      </c>
      <c r="AD307" s="51">
        <f t="shared" si="18"/>
        <v>0.8445620789</v>
      </c>
    </row>
    <row r="308">
      <c r="A308" s="24"/>
      <c r="B308" s="46" t="s">
        <v>2293</v>
      </c>
      <c r="C308" s="47"/>
      <c r="D308" s="38">
        <v>836.0</v>
      </c>
      <c r="E308" s="38">
        <v>408.0</v>
      </c>
      <c r="F308" s="38">
        <v>359.0</v>
      </c>
      <c r="G308" s="38">
        <v>73.0</v>
      </c>
      <c r="H308" s="38">
        <v>90.0</v>
      </c>
      <c r="I308" s="48">
        <f t="shared" si="3"/>
        <v>1603</v>
      </c>
      <c r="J308" s="48">
        <f t="shared" si="4"/>
        <v>1766</v>
      </c>
      <c r="K308" s="49">
        <f t="shared" si="5"/>
        <v>0.521522146</v>
      </c>
      <c r="L308" s="49">
        <f t="shared" si="6"/>
        <v>0.2545227698</v>
      </c>
      <c r="M308" s="49">
        <f t="shared" si="7"/>
        <v>0.2239550842</v>
      </c>
      <c r="N308" s="32" t="str">
        <f t="shared" si="8"/>
        <v>Jânio</v>
      </c>
      <c r="O308" s="50" t="s">
        <v>77</v>
      </c>
      <c r="P308" s="38">
        <v>576.0</v>
      </c>
      <c r="Q308" s="38">
        <v>608.0</v>
      </c>
      <c r="R308" s="38">
        <v>292.0</v>
      </c>
      <c r="S308" s="38">
        <v>232.0</v>
      </c>
      <c r="T308" s="48">
        <v>58.0</v>
      </c>
      <c r="U308" s="48">
        <f t="shared" si="9"/>
        <v>1476</v>
      </c>
      <c r="V308" s="48">
        <f t="shared" si="10"/>
        <v>1766</v>
      </c>
      <c r="W308" s="49">
        <f t="shared" si="11"/>
        <v>0.3902439024</v>
      </c>
      <c r="X308" s="49">
        <f t="shared" si="12"/>
        <v>0.4119241192</v>
      </c>
      <c r="Y308" s="49">
        <f t="shared" si="13"/>
        <v>0.1978319783</v>
      </c>
      <c r="Z308" s="32" t="str">
        <f t="shared" si="14"/>
        <v>Milton</v>
      </c>
      <c r="AA308" s="50" t="s">
        <v>77</v>
      </c>
      <c r="AB308" s="38">
        <v>2030.0</v>
      </c>
      <c r="AC308" s="48">
        <f t="shared" si="17"/>
        <v>264</v>
      </c>
      <c r="AD308" s="51">
        <f t="shared" si="18"/>
        <v>0.8699507389</v>
      </c>
    </row>
    <row r="309">
      <c r="A309" s="61" t="s">
        <v>878</v>
      </c>
      <c r="B309" s="46" t="s">
        <v>2294</v>
      </c>
      <c r="C309" s="47"/>
      <c r="D309" s="38">
        <v>2662.0</v>
      </c>
      <c r="E309" s="38">
        <v>1732.0</v>
      </c>
      <c r="F309" s="38">
        <v>624.0</v>
      </c>
      <c r="G309" s="38">
        <v>143.0</v>
      </c>
      <c r="H309" s="38">
        <v>140.0</v>
      </c>
      <c r="I309" s="48">
        <f t="shared" si="3"/>
        <v>5018</v>
      </c>
      <c r="J309" s="48">
        <f t="shared" si="4"/>
        <v>5301</v>
      </c>
      <c r="K309" s="49">
        <f t="shared" si="5"/>
        <v>0.5304902352</v>
      </c>
      <c r="L309" s="49">
        <f t="shared" si="6"/>
        <v>0.3451574332</v>
      </c>
      <c r="M309" s="49">
        <f t="shared" si="7"/>
        <v>0.1243523316</v>
      </c>
      <c r="N309" s="32" t="str">
        <f t="shared" si="8"/>
        <v>Jânio</v>
      </c>
      <c r="O309" s="50" t="s">
        <v>77</v>
      </c>
      <c r="P309" s="38">
        <v>2149.0</v>
      </c>
      <c r="Q309" s="38">
        <v>1437.0</v>
      </c>
      <c r="R309" s="38">
        <v>1210.0</v>
      </c>
      <c r="S309" s="38">
        <v>383.0</v>
      </c>
      <c r="T309" s="48">
        <v>122.0</v>
      </c>
      <c r="U309" s="48">
        <f t="shared" si="9"/>
        <v>4796</v>
      </c>
      <c r="V309" s="48">
        <f t="shared" si="10"/>
        <v>5301</v>
      </c>
      <c r="W309" s="49">
        <f t="shared" si="11"/>
        <v>0.4480817348</v>
      </c>
      <c r="X309" s="49">
        <f t="shared" si="12"/>
        <v>0.2996246872</v>
      </c>
      <c r="Y309" s="49">
        <f t="shared" si="13"/>
        <v>0.252293578</v>
      </c>
      <c r="Z309" s="32" t="str">
        <f t="shared" si="14"/>
        <v>Jango</v>
      </c>
      <c r="AA309" s="50" t="s">
        <v>77</v>
      </c>
      <c r="AB309" s="38">
        <v>5678.0</v>
      </c>
      <c r="AC309" s="48">
        <f t="shared" si="17"/>
        <v>377</v>
      </c>
      <c r="AD309" s="51">
        <f t="shared" si="18"/>
        <v>0.9336033815</v>
      </c>
    </row>
    <row r="310">
      <c r="A310" s="24"/>
      <c r="B310" s="46" t="s">
        <v>2295</v>
      </c>
      <c r="C310" s="47"/>
      <c r="D310" s="38">
        <v>1495.0</v>
      </c>
      <c r="E310" s="38">
        <v>330.0</v>
      </c>
      <c r="F310" s="38">
        <v>589.0</v>
      </c>
      <c r="G310" s="38">
        <v>47.0</v>
      </c>
      <c r="H310" s="38">
        <v>97.0</v>
      </c>
      <c r="I310" s="48">
        <f t="shared" si="3"/>
        <v>2414</v>
      </c>
      <c r="J310" s="48">
        <f t="shared" si="4"/>
        <v>2558</v>
      </c>
      <c r="K310" s="49">
        <f t="shared" si="5"/>
        <v>0.6193040597</v>
      </c>
      <c r="L310" s="49">
        <f t="shared" si="6"/>
        <v>0.1367025684</v>
      </c>
      <c r="M310" s="49">
        <f t="shared" si="7"/>
        <v>0.243993372</v>
      </c>
      <c r="N310" s="32" t="str">
        <f t="shared" si="8"/>
        <v>Jânio</v>
      </c>
      <c r="O310" s="50" t="s">
        <v>77</v>
      </c>
      <c r="P310" s="38">
        <v>995.0</v>
      </c>
      <c r="Q310" s="38">
        <v>804.0</v>
      </c>
      <c r="R310" s="38">
        <v>467.0</v>
      </c>
      <c r="S310" s="38">
        <v>218.0</v>
      </c>
      <c r="T310" s="48">
        <v>74.0</v>
      </c>
      <c r="U310" s="48">
        <f t="shared" si="9"/>
        <v>2266</v>
      </c>
      <c r="V310" s="48">
        <f t="shared" si="10"/>
        <v>2558</v>
      </c>
      <c r="W310" s="49">
        <f t="shared" si="11"/>
        <v>0.4390997352</v>
      </c>
      <c r="X310" s="49">
        <f t="shared" si="12"/>
        <v>0.3548102383</v>
      </c>
      <c r="Y310" s="49">
        <f t="shared" si="13"/>
        <v>0.2060900265</v>
      </c>
      <c r="Z310" s="32" t="str">
        <f t="shared" si="14"/>
        <v>Jango</v>
      </c>
      <c r="AA310" s="50" t="s">
        <v>77</v>
      </c>
      <c r="AB310" s="38">
        <v>2657.0</v>
      </c>
      <c r="AC310" s="48">
        <f t="shared" si="17"/>
        <v>99</v>
      </c>
      <c r="AD310" s="51">
        <f t="shared" si="18"/>
        <v>0.9627399323</v>
      </c>
    </row>
    <row r="311">
      <c r="A311" s="61" t="s">
        <v>880</v>
      </c>
      <c r="B311" s="46" t="s">
        <v>2296</v>
      </c>
      <c r="C311" s="47"/>
      <c r="D311" s="38">
        <v>9163.0</v>
      </c>
      <c r="E311" s="38">
        <v>1867.0</v>
      </c>
      <c r="F311" s="38">
        <v>4539.0</v>
      </c>
      <c r="G311" s="38">
        <v>168.0</v>
      </c>
      <c r="H311" s="38">
        <v>405.0</v>
      </c>
      <c r="I311" s="48">
        <f t="shared" si="3"/>
        <v>15569</v>
      </c>
      <c r="J311" s="48">
        <f t="shared" si="4"/>
        <v>16142</v>
      </c>
      <c r="K311" s="49">
        <f t="shared" si="5"/>
        <v>0.5885413321</v>
      </c>
      <c r="L311" s="49">
        <f t="shared" si="6"/>
        <v>0.1199177853</v>
      </c>
      <c r="M311" s="49">
        <f t="shared" si="7"/>
        <v>0.2915408825</v>
      </c>
      <c r="N311" s="32" t="str">
        <f t="shared" si="8"/>
        <v>Jânio</v>
      </c>
      <c r="O311" s="50" t="s">
        <v>77</v>
      </c>
      <c r="P311" s="38">
        <v>4151.0</v>
      </c>
      <c r="Q311" s="38">
        <v>7488.0</v>
      </c>
      <c r="R311" s="38">
        <v>3239.0</v>
      </c>
      <c r="S311" s="38">
        <v>954.0</v>
      </c>
      <c r="T311" s="48">
        <v>310.0</v>
      </c>
      <c r="U311" s="48">
        <f t="shared" si="9"/>
        <v>14878</v>
      </c>
      <c r="V311" s="48">
        <f t="shared" si="10"/>
        <v>16142</v>
      </c>
      <c r="W311" s="49">
        <f t="shared" si="11"/>
        <v>0.2790025541</v>
      </c>
      <c r="X311" s="49">
        <f t="shared" si="12"/>
        <v>0.5032934534</v>
      </c>
      <c r="Y311" s="49">
        <f t="shared" si="13"/>
        <v>0.2177039925</v>
      </c>
      <c r="Z311" s="32" t="str">
        <f t="shared" si="14"/>
        <v>Milton</v>
      </c>
      <c r="AA311" s="50" t="s">
        <v>77</v>
      </c>
      <c r="AB311" s="38">
        <v>18989.0</v>
      </c>
      <c r="AC311" s="48">
        <f t="shared" si="17"/>
        <v>2847</v>
      </c>
      <c r="AD311" s="51">
        <f t="shared" si="18"/>
        <v>0.8500710938</v>
      </c>
    </row>
    <row r="312">
      <c r="A312" s="23"/>
      <c r="B312" s="46" t="s">
        <v>2297</v>
      </c>
      <c r="C312" s="47"/>
      <c r="D312" s="38">
        <v>747.0</v>
      </c>
      <c r="E312" s="38">
        <v>257.0</v>
      </c>
      <c r="F312" s="38">
        <v>206.0</v>
      </c>
      <c r="G312" s="38">
        <v>33.0</v>
      </c>
      <c r="H312" s="38">
        <v>37.0</v>
      </c>
      <c r="I312" s="48">
        <f t="shared" si="3"/>
        <v>1210</v>
      </c>
      <c r="J312" s="48">
        <f t="shared" si="4"/>
        <v>1280</v>
      </c>
      <c r="K312" s="49">
        <f t="shared" si="5"/>
        <v>0.6173553719</v>
      </c>
      <c r="L312" s="49">
        <f t="shared" si="6"/>
        <v>0.2123966942</v>
      </c>
      <c r="M312" s="49">
        <f t="shared" si="7"/>
        <v>0.1702479339</v>
      </c>
      <c r="N312" s="32" t="str">
        <f t="shared" si="8"/>
        <v>Jânio</v>
      </c>
      <c r="O312" s="50" t="s">
        <v>77</v>
      </c>
      <c r="P312" s="38">
        <v>366.0</v>
      </c>
      <c r="Q312" s="38">
        <v>606.0</v>
      </c>
      <c r="R312" s="38">
        <v>175.0</v>
      </c>
      <c r="S312" s="38">
        <v>104.0</v>
      </c>
      <c r="T312" s="48">
        <v>29.0</v>
      </c>
      <c r="U312" s="48">
        <f t="shared" si="9"/>
        <v>1147</v>
      </c>
      <c r="V312" s="48">
        <f t="shared" si="10"/>
        <v>1280</v>
      </c>
      <c r="W312" s="49">
        <f t="shared" si="11"/>
        <v>0.3190932868</v>
      </c>
      <c r="X312" s="49">
        <f t="shared" si="12"/>
        <v>0.5283347864</v>
      </c>
      <c r="Y312" s="49">
        <f t="shared" si="13"/>
        <v>0.1525719268</v>
      </c>
      <c r="Z312" s="32" t="str">
        <f t="shared" si="14"/>
        <v>Milton</v>
      </c>
      <c r="AA312" s="50" t="s">
        <v>77</v>
      </c>
      <c r="AB312" s="38">
        <v>1517.0</v>
      </c>
      <c r="AC312" s="48">
        <f t="shared" si="17"/>
        <v>237</v>
      </c>
      <c r="AD312" s="51">
        <f t="shared" si="18"/>
        <v>0.8437705999</v>
      </c>
    </row>
    <row r="313">
      <c r="A313" s="23"/>
      <c r="B313" s="46" t="s">
        <v>2298</v>
      </c>
      <c r="C313" s="47"/>
      <c r="D313" s="38">
        <v>1583.0</v>
      </c>
      <c r="E313" s="38">
        <v>192.0</v>
      </c>
      <c r="F313" s="38">
        <v>1068.0</v>
      </c>
      <c r="G313" s="38">
        <v>79.0</v>
      </c>
      <c r="H313" s="38">
        <v>136.0</v>
      </c>
      <c r="I313" s="48">
        <f t="shared" si="3"/>
        <v>2843</v>
      </c>
      <c r="J313" s="48">
        <f t="shared" si="4"/>
        <v>3058</v>
      </c>
      <c r="K313" s="49">
        <f t="shared" si="5"/>
        <v>0.5568061906</v>
      </c>
      <c r="L313" s="49">
        <f t="shared" si="6"/>
        <v>0.06753429476</v>
      </c>
      <c r="M313" s="49">
        <f t="shared" si="7"/>
        <v>0.3756595146</v>
      </c>
      <c r="N313" s="32" t="str">
        <f t="shared" si="8"/>
        <v>Jânio</v>
      </c>
      <c r="O313" s="50" t="s">
        <v>77</v>
      </c>
      <c r="P313" s="38">
        <v>771.0</v>
      </c>
      <c r="Q313" s="38">
        <v>1236.0</v>
      </c>
      <c r="R313" s="38">
        <v>416.0</v>
      </c>
      <c r="S313" s="38">
        <v>557.0</v>
      </c>
      <c r="T313" s="48">
        <v>78.0</v>
      </c>
      <c r="U313" s="48">
        <f t="shared" si="9"/>
        <v>2423</v>
      </c>
      <c r="V313" s="48">
        <f t="shared" si="10"/>
        <v>3058</v>
      </c>
      <c r="W313" s="49">
        <f t="shared" si="11"/>
        <v>0.3182005778</v>
      </c>
      <c r="X313" s="49">
        <f t="shared" si="12"/>
        <v>0.5101114321</v>
      </c>
      <c r="Y313" s="49">
        <f t="shared" si="13"/>
        <v>0.1716879901</v>
      </c>
      <c r="Z313" s="32" t="str">
        <f t="shared" si="14"/>
        <v>Milton</v>
      </c>
      <c r="AA313" s="50" t="s">
        <v>77</v>
      </c>
      <c r="AB313" s="38">
        <v>3728.0</v>
      </c>
      <c r="AC313" s="48">
        <f t="shared" si="17"/>
        <v>670</v>
      </c>
      <c r="AD313" s="51">
        <f t="shared" si="18"/>
        <v>0.82027897</v>
      </c>
    </row>
    <row r="314">
      <c r="A314" s="23"/>
      <c r="B314" s="46" t="s">
        <v>2299</v>
      </c>
      <c r="C314" s="47"/>
      <c r="D314" s="38">
        <v>650.0</v>
      </c>
      <c r="E314" s="38">
        <v>129.0</v>
      </c>
      <c r="F314" s="38">
        <v>209.0</v>
      </c>
      <c r="G314" s="38">
        <v>44.0</v>
      </c>
      <c r="H314" s="38">
        <v>75.0</v>
      </c>
      <c r="I314" s="48">
        <f t="shared" si="3"/>
        <v>988</v>
      </c>
      <c r="J314" s="48">
        <f t="shared" si="4"/>
        <v>1107</v>
      </c>
      <c r="K314" s="49">
        <f t="shared" si="5"/>
        <v>0.6578947368</v>
      </c>
      <c r="L314" s="49">
        <f t="shared" si="6"/>
        <v>0.1305668016</v>
      </c>
      <c r="M314" s="49">
        <f t="shared" si="7"/>
        <v>0.2115384615</v>
      </c>
      <c r="N314" s="32" t="str">
        <f t="shared" si="8"/>
        <v>Jânio</v>
      </c>
      <c r="O314" s="50" t="s">
        <v>77</v>
      </c>
      <c r="P314" s="38">
        <v>245.0</v>
      </c>
      <c r="Q314" s="38">
        <v>292.0</v>
      </c>
      <c r="R314" s="38">
        <v>312.0</v>
      </c>
      <c r="S314" s="38">
        <v>190.0</v>
      </c>
      <c r="T314" s="48">
        <v>68.0</v>
      </c>
      <c r="U314" s="48">
        <f t="shared" si="9"/>
        <v>849</v>
      </c>
      <c r="V314" s="48">
        <f t="shared" si="10"/>
        <v>1107</v>
      </c>
      <c r="W314" s="49">
        <f t="shared" si="11"/>
        <v>0.2885747939</v>
      </c>
      <c r="X314" s="49">
        <f t="shared" si="12"/>
        <v>0.34393404</v>
      </c>
      <c r="Y314" s="49">
        <f t="shared" si="13"/>
        <v>0.3674911661</v>
      </c>
      <c r="Z314" s="32" t="str">
        <f t="shared" si="14"/>
        <v>Ferrari</v>
      </c>
      <c r="AA314" s="50" t="s">
        <v>77</v>
      </c>
      <c r="AB314" s="38">
        <v>1618.0</v>
      </c>
      <c r="AC314" s="48">
        <f t="shared" si="17"/>
        <v>511</v>
      </c>
      <c r="AD314" s="51">
        <f t="shared" si="18"/>
        <v>0.6841779975</v>
      </c>
    </row>
    <row r="315">
      <c r="A315" s="23"/>
      <c r="B315" s="46" t="s">
        <v>2300</v>
      </c>
      <c r="C315" s="47"/>
      <c r="D315" s="38">
        <v>2371.0</v>
      </c>
      <c r="E315" s="38">
        <v>535.0</v>
      </c>
      <c r="F315" s="38">
        <v>868.0</v>
      </c>
      <c r="G315" s="38">
        <v>113.0</v>
      </c>
      <c r="H315" s="38">
        <v>195.0</v>
      </c>
      <c r="I315" s="48">
        <f t="shared" si="3"/>
        <v>3774</v>
      </c>
      <c r="J315" s="48">
        <f t="shared" si="4"/>
        <v>4082</v>
      </c>
      <c r="K315" s="49">
        <f t="shared" si="5"/>
        <v>0.628245893</v>
      </c>
      <c r="L315" s="49">
        <f t="shared" si="6"/>
        <v>0.1417594065</v>
      </c>
      <c r="M315" s="49">
        <f t="shared" si="7"/>
        <v>0.2299947006</v>
      </c>
      <c r="N315" s="32" t="str">
        <f t="shared" si="8"/>
        <v>Jânio</v>
      </c>
      <c r="O315" s="50" t="s">
        <v>77</v>
      </c>
      <c r="P315" s="38">
        <v>962.0</v>
      </c>
      <c r="Q315" s="38">
        <v>1570.0</v>
      </c>
      <c r="R315" s="38">
        <v>899.0</v>
      </c>
      <c r="S315" s="38">
        <v>484.0</v>
      </c>
      <c r="T315" s="48">
        <v>167.0</v>
      </c>
      <c r="U315" s="48">
        <f t="shared" si="9"/>
        <v>3431</v>
      </c>
      <c r="V315" s="48">
        <f t="shared" si="10"/>
        <v>4082</v>
      </c>
      <c r="W315" s="49">
        <f t="shared" si="11"/>
        <v>0.2803847275</v>
      </c>
      <c r="X315" s="49">
        <f t="shared" si="12"/>
        <v>0.4575925386</v>
      </c>
      <c r="Y315" s="49">
        <f t="shared" si="13"/>
        <v>0.2620227339</v>
      </c>
      <c r="Z315" s="32" t="str">
        <f t="shared" si="14"/>
        <v>Milton</v>
      </c>
      <c r="AA315" s="50" t="s">
        <v>77</v>
      </c>
      <c r="AB315" s="38">
        <v>5508.0</v>
      </c>
      <c r="AC315" s="48">
        <f t="shared" si="17"/>
        <v>1426</v>
      </c>
      <c r="AD315" s="51">
        <f t="shared" si="18"/>
        <v>0.7411038489</v>
      </c>
    </row>
    <row r="316">
      <c r="A316" s="24"/>
      <c r="B316" s="46" t="s">
        <v>2301</v>
      </c>
      <c r="C316" s="47"/>
      <c r="D316" s="38">
        <v>280.0</v>
      </c>
      <c r="E316" s="38">
        <v>113.0</v>
      </c>
      <c r="F316" s="38">
        <v>87.0</v>
      </c>
      <c r="G316" s="38">
        <v>11.0</v>
      </c>
      <c r="H316" s="38">
        <v>13.0</v>
      </c>
      <c r="I316" s="48">
        <f t="shared" si="3"/>
        <v>480</v>
      </c>
      <c r="J316" s="48">
        <f t="shared" si="4"/>
        <v>504</v>
      </c>
      <c r="K316" s="49">
        <f t="shared" si="5"/>
        <v>0.5833333333</v>
      </c>
      <c r="L316" s="49">
        <f t="shared" si="6"/>
        <v>0.2354166667</v>
      </c>
      <c r="M316" s="49">
        <f t="shared" si="7"/>
        <v>0.18125</v>
      </c>
      <c r="N316" s="32" t="str">
        <f t="shared" si="8"/>
        <v>Jânio</v>
      </c>
      <c r="O316" s="50" t="s">
        <v>77</v>
      </c>
      <c r="P316" s="38">
        <v>167.0</v>
      </c>
      <c r="Q316" s="38">
        <v>213.0</v>
      </c>
      <c r="R316" s="38">
        <v>73.0</v>
      </c>
      <c r="S316" s="38">
        <v>44.0</v>
      </c>
      <c r="T316" s="48">
        <v>7.0</v>
      </c>
      <c r="U316" s="48">
        <f t="shared" si="9"/>
        <v>453</v>
      </c>
      <c r="V316" s="48">
        <f t="shared" si="10"/>
        <v>504</v>
      </c>
      <c r="W316" s="49">
        <f t="shared" si="11"/>
        <v>0.3686534216</v>
      </c>
      <c r="X316" s="49">
        <f t="shared" si="12"/>
        <v>0.4701986755</v>
      </c>
      <c r="Y316" s="49">
        <f t="shared" si="13"/>
        <v>0.1611479029</v>
      </c>
      <c r="Z316" s="32" t="str">
        <f t="shared" si="14"/>
        <v>Milton</v>
      </c>
      <c r="AA316" s="50" t="s">
        <v>77</v>
      </c>
      <c r="AB316" s="38">
        <v>703.0</v>
      </c>
      <c r="AC316" s="48">
        <f t="shared" si="17"/>
        <v>199</v>
      </c>
      <c r="AD316" s="51">
        <f t="shared" si="18"/>
        <v>0.7169274538</v>
      </c>
    </row>
    <row r="317">
      <c r="A317" s="61" t="s">
        <v>882</v>
      </c>
      <c r="B317" s="46" t="s">
        <v>2302</v>
      </c>
      <c r="C317" s="47"/>
      <c r="D317" s="38">
        <v>2617.0</v>
      </c>
      <c r="E317" s="38">
        <v>672.0</v>
      </c>
      <c r="F317" s="38">
        <v>1306.0</v>
      </c>
      <c r="G317" s="38">
        <v>104.0</v>
      </c>
      <c r="H317" s="38">
        <v>172.0</v>
      </c>
      <c r="I317" s="48">
        <f t="shared" si="3"/>
        <v>4595</v>
      </c>
      <c r="J317" s="48">
        <f t="shared" si="4"/>
        <v>4871</v>
      </c>
      <c r="K317" s="49">
        <f t="shared" si="5"/>
        <v>0.5695321001</v>
      </c>
      <c r="L317" s="49">
        <f t="shared" si="6"/>
        <v>0.1462459195</v>
      </c>
      <c r="M317" s="49">
        <f t="shared" si="7"/>
        <v>0.2842219804</v>
      </c>
      <c r="N317" s="32" t="str">
        <f t="shared" si="8"/>
        <v>Jânio</v>
      </c>
      <c r="O317" s="50" t="s">
        <v>77</v>
      </c>
      <c r="P317" s="38">
        <v>1120.0</v>
      </c>
      <c r="Q317" s="38">
        <v>1324.0</v>
      </c>
      <c r="R317" s="38">
        <v>1860.0</v>
      </c>
      <c r="S317" s="38">
        <v>458.0</v>
      </c>
      <c r="T317" s="48">
        <v>109.0</v>
      </c>
      <c r="U317" s="48">
        <f t="shared" si="9"/>
        <v>4304</v>
      </c>
      <c r="V317" s="48">
        <f t="shared" si="10"/>
        <v>4871</v>
      </c>
      <c r="W317" s="49">
        <f t="shared" si="11"/>
        <v>0.2602230483</v>
      </c>
      <c r="X317" s="49">
        <f t="shared" si="12"/>
        <v>0.3076208178</v>
      </c>
      <c r="Y317" s="49">
        <f t="shared" si="13"/>
        <v>0.4321561338</v>
      </c>
      <c r="Z317" s="32" t="str">
        <f t="shared" si="14"/>
        <v>Ferrari</v>
      </c>
      <c r="AA317" s="50" t="s">
        <v>77</v>
      </c>
      <c r="AB317" s="38">
        <v>5868.0</v>
      </c>
      <c r="AC317" s="48">
        <f t="shared" si="17"/>
        <v>997</v>
      </c>
      <c r="AD317" s="51">
        <f t="shared" si="18"/>
        <v>0.8300954329</v>
      </c>
    </row>
    <row r="318">
      <c r="A318" s="23"/>
      <c r="B318" s="46" t="s">
        <v>2303</v>
      </c>
      <c r="C318" s="47"/>
      <c r="D318" s="38">
        <v>554.0</v>
      </c>
      <c r="E318" s="38">
        <v>89.0</v>
      </c>
      <c r="F318" s="38">
        <v>201.0</v>
      </c>
      <c r="G318" s="38">
        <v>42.0</v>
      </c>
      <c r="H318" s="38">
        <v>91.0</v>
      </c>
      <c r="I318" s="48">
        <f t="shared" si="3"/>
        <v>844</v>
      </c>
      <c r="J318" s="48">
        <f t="shared" si="4"/>
        <v>977</v>
      </c>
      <c r="K318" s="49">
        <f t="shared" si="5"/>
        <v>0.6563981043</v>
      </c>
      <c r="L318" s="49">
        <f t="shared" si="6"/>
        <v>0.105450237</v>
      </c>
      <c r="M318" s="49">
        <f t="shared" si="7"/>
        <v>0.2381516588</v>
      </c>
      <c r="N318" s="32" t="str">
        <f t="shared" si="8"/>
        <v>Jânio</v>
      </c>
      <c r="O318" s="50" t="s">
        <v>77</v>
      </c>
      <c r="P318" s="38">
        <v>194.0</v>
      </c>
      <c r="Q318" s="38">
        <v>273.0</v>
      </c>
      <c r="R318" s="38">
        <v>242.0</v>
      </c>
      <c r="S318" s="38">
        <v>211.0</v>
      </c>
      <c r="T318" s="38">
        <v>57.0</v>
      </c>
      <c r="U318" s="48">
        <f t="shared" si="9"/>
        <v>709</v>
      </c>
      <c r="V318" s="48">
        <f t="shared" si="10"/>
        <v>977</v>
      </c>
      <c r="W318" s="49">
        <f t="shared" si="11"/>
        <v>0.2736248237</v>
      </c>
      <c r="X318" s="49">
        <f t="shared" si="12"/>
        <v>0.3850493653</v>
      </c>
      <c r="Y318" s="49">
        <f t="shared" si="13"/>
        <v>0.341325811</v>
      </c>
      <c r="Z318" s="32" t="str">
        <f t="shared" si="14"/>
        <v>Milton</v>
      </c>
      <c r="AA318" s="50" t="s">
        <v>77</v>
      </c>
      <c r="AB318" s="38">
        <v>1543.0</v>
      </c>
      <c r="AC318" s="48">
        <f t="shared" si="17"/>
        <v>566</v>
      </c>
      <c r="AD318" s="51">
        <f t="shared" si="18"/>
        <v>0.6331821128</v>
      </c>
    </row>
    <row r="319">
      <c r="A319" s="23"/>
      <c r="B319" s="46" t="s">
        <v>2304</v>
      </c>
      <c r="C319" s="47"/>
      <c r="D319" s="38">
        <v>657.0</v>
      </c>
      <c r="E319" s="38">
        <v>68.0</v>
      </c>
      <c r="F319" s="38">
        <v>251.0</v>
      </c>
      <c r="G319" s="38">
        <v>35.0</v>
      </c>
      <c r="H319" s="38">
        <v>76.0</v>
      </c>
      <c r="I319" s="48">
        <f t="shared" si="3"/>
        <v>976</v>
      </c>
      <c r="J319" s="48">
        <f t="shared" si="4"/>
        <v>1087</v>
      </c>
      <c r="K319" s="49">
        <f t="shared" si="5"/>
        <v>0.6731557377</v>
      </c>
      <c r="L319" s="49">
        <f t="shared" si="6"/>
        <v>0.06967213115</v>
      </c>
      <c r="M319" s="49">
        <f t="shared" si="7"/>
        <v>0.2571721311</v>
      </c>
      <c r="N319" s="32" t="str">
        <f t="shared" si="8"/>
        <v>Jânio</v>
      </c>
      <c r="O319" s="50" t="s">
        <v>77</v>
      </c>
      <c r="P319" s="38">
        <v>225.0</v>
      </c>
      <c r="Q319" s="38">
        <v>472.0</v>
      </c>
      <c r="R319" s="38">
        <v>133.0</v>
      </c>
      <c r="S319" s="38">
        <v>213.0</v>
      </c>
      <c r="T319" s="38">
        <v>44.0</v>
      </c>
      <c r="U319" s="48">
        <f t="shared" si="9"/>
        <v>830</v>
      </c>
      <c r="V319" s="48">
        <f t="shared" si="10"/>
        <v>1087</v>
      </c>
      <c r="W319" s="49">
        <f t="shared" si="11"/>
        <v>0.2710843373</v>
      </c>
      <c r="X319" s="49">
        <f t="shared" si="12"/>
        <v>0.5686746988</v>
      </c>
      <c r="Y319" s="49">
        <f t="shared" si="13"/>
        <v>0.1602409639</v>
      </c>
      <c r="Z319" s="32" t="str">
        <f t="shared" si="14"/>
        <v>Milton</v>
      </c>
      <c r="AA319" s="50" t="s">
        <v>77</v>
      </c>
      <c r="AB319" s="38">
        <v>1520.0</v>
      </c>
      <c r="AC319" s="48">
        <f t="shared" si="17"/>
        <v>433</v>
      </c>
      <c r="AD319" s="51">
        <f t="shared" si="18"/>
        <v>0.7151315789</v>
      </c>
    </row>
    <row r="320">
      <c r="A320" s="24"/>
      <c r="B320" s="46" t="s">
        <v>2305</v>
      </c>
      <c r="C320" s="47"/>
      <c r="D320" s="38">
        <v>1416.0</v>
      </c>
      <c r="E320" s="38">
        <v>691.0</v>
      </c>
      <c r="F320" s="38">
        <v>630.0</v>
      </c>
      <c r="G320" s="38">
        <v>94.0</v>
      </c>
      <c r="H320" s="38">
        <v>176.0</v>
      </c>
      <c r="I320" s="48">
        <f t="shared" si="3"/>
        <v>2737</v>
      </c>
      <c r="J320" s="48">
        <f t="shared" si="4"/>
        <v>3007</v>
      </c>
      <c r="K320" s="49">
        <f t="shared" si="5"/>
        <v>0.517354768</v>
      </c>
      <c r="L320" s="49">
        <f t="shared" si="6"/>
        <v>0.2524662039</v>
      </c>
      <c r="M320" s="49">
        <f t="shared" si="7"/>
        <v>0.2301790281</v>
      </c>
      <c r="N320" s="32" t="str">
        <f t="shared" si="8"/>
        <v>Jânio</v>
      </c>
      <c r="O320" s="50" t="s">
        <v>77</v>
      </c>
      <c r="P320" s="38">
        <v>1143.0</v>
      </c>
      <c r="Q320" s="38">
        <v>994.0</v>
      </c>
      <c r="R320" s="38">
        <v>378.0</v>
      </c>
      <c r="S320" s="38">
        <v>376.0</v>
      </c>
      <c r="T320" s="38">
        <v>116.0</v>
      </c>
      <c r="U320" s="48">
        <f t="shared" si="9"/>
        <v>2515</v>
      </c>
      <c r="V320" s="48">
        <f t="shared" si="10"/>
        <v>3007</v>
      </c>
      <c r="W320" s="49">
        <f t="shared" si="11"/>
        <v>0.454473161</v>
      </c>
      <c r="X320" s="49">
        <f t="shared" si="12"/>
        <v>0.3952286282</v>
      </c>
      <c r="Y320" s="49">
        <f t="shared" si="13"/>
        <v>0.1502982107</v>
      </c>
      <c r="Z320" s="32" t="str">
        <f t="shared" si="14"/>
        <v>Jango</v>
      </c>
      <c r="AA320" s="50" t="s">
        <v>77</v>
      </c>
      <c r="AB320" s="38">
        <v>4024.0</v>
      </c>
      <c r="AC320" s="48">
        <f t="shared" si="17"/>
        <v>1017</v>
      </c>
      <c r="AD320" s="51">
        <f t="shared" si="18"/>
        <v>0.7472664016</v>
      </c>
    </row>
    <row r="321">
      <c r="A321" s="110" t="s">
        <v>884</v>
      </c>
      <c r="B321" s="46" t="s">
        <v>2306</v>
      </c>
      <c r="C321" s="47"/>
      <c r="D321" s="38">
        <v>2493.0</v>
      </c>
      <c r="E321" s="38">
        <v>386.0</v>
      </c>
      <c r="F321" s="38">
        <v>1474.0</v>
      </c>
      <c r="G321" s="38">
        <v>79.0</v>
      </c>
      <c r="H321" s="38">
        <v>116.0</v>
      </c>
      <c r="I321" s="48">
        <f t="shared" si="3"/>
        <v>4353</v>
      </c>
      <c r="J321" s="48">
        <f t="shared" si="4"/>
        <v>4548</v>
      </c>
      <c r="K321" s="49">
        <f t="shared" si="5"/>
        <v>0.5727084769</v>
      </c>
      <c r="L321" s="49">
        <f t="shared" si="6"/>
        <v>0.08867447737</v>
      </c>
      <c r="M321" s="49">
        <f t="shared" si="7"/>
        <v>0.3386170457</v>
      </c>
      <c r="N321" s="32" t="str">
        <f t="shared" si="8"/>
        <v>Jânio</v>
      </c>
      <c r="O321" s="50" t="s">
        <v>77</v>
      </c>
      <c r="P321" s="38">
        <v>1331.0</v>
      </c>
      <c r="Q321" s="38">
        <v>2392.0</v>
      </c>
      <c r="R321" s="38">
        <v>330.0</v>
      </c>
      <c r="S321" s="38">
        <v>435.0</v>
      </c>
      <c r="T321" s="38">
        <v>60.0</v>
      </c>
      <c r="U321" s="48">
        <f t="shared" si="9"/>
        <v>4053</v>
      </c>
      <c r="V321" s="48">
        <f t="shared" si="10"/>
        <v>4548</v>
      </c>
      <c r="W321" s="49">
        <f t="shared" si="11"/>
        <v>0.328398717</v>
      </c>
      <c r="X321" s="49">
        <f t="shared" si="12"/>
        <v>0.5901801135</v>
      </c>
      <c r="Y321" s="49">
        <f t="shared" si="13"/>
        <v>0.0814211695</v>
      </c>
      <c r="Z321" s="32" t="str">
        <f t="shared" si="14"/>
        <v>Milton</v>
      </c>
      <c r="AA321" s="50" t="s">
        <v>77</v>
      </c>
      <c r="AB321" s="38">
        <v>5553.0</v>
      </c>
      <c r="AC321" s="48">
        <f t="shared" si="17"/>
        <v>1005</v>
      </c>
      <c r="AD321" s="51">
        <f t="shared" si="18"/>
        <v>0.8190167477</v>
      </c>
    </row>
    <row r="322">
      <c r="A322" s="61" t="s">
        <v>886</v>
      </c>
      <c r="B322" s="46" t="s">
        <v>2307</v>
      </c>
      <c r="C322" s="47"/>
      <c r="D322" s="38">
        <v>1059.0</v>
      </c>
      <c r="E322" s="38">
        <v>226.0</v>
      </c>
      <c r="F322" s="38">
        <v>560.0</v>
      </c>
      <c r="G322" s="38">
        <v>37.0</v>
      </c>
      <c r="H322" s="38">
        <v>54.0</v>
      </c>
      <c r="I322" s="48">
        <f t="shared" si="3"/>
        <v>1845</v>
      </c>
      <c r="J322" s="48">
        <f t="shared" si="4"/>
        <v>1936</v>
      </c>
      <c r="K322" s="49">
        <f t="shared" si="5"/>
        <v>0.5739837398</v>
      </c>
      <c r="L322" s="49">
        <f t="shared" si="6"/>
        <v>0.1224932249</v>
      </c>
      <c r="M322" s="49">
        <f t="shared" si="7"/>
        <v>0.3035230352</v>
      </c>
      <c r="N322" s="32" t="str">
        <f t="shared" si="8"/>
        <v>Jânio</v>
      </c>
      <c r="O322" s="50" t="s">
        <v>77</v>
      </c>
      <c r="P322" s="38">
        <v>587.0</v>
      </c>
      <c r="Q322" s="38">
        <v>801.0</v>
      </c>
      <c r="R322" s="55">
        <v>276.0</v>
      </c>
      <c r="S322" s="38">
        <v>252.0</v>
      </c>
      <c r="T322" s="38">
        <v>20.0</v>
      </c>
      <c r="U322" s="48">
        <f t="shared" si="9"/>
        <v>1664</v>
      </c>
      <c r="V322" s="114">
        <f t="shared" si="10"/>
        <v>1936</v>
      </c>
      <c r="W322" s="49">
        <f t="shared" si="11"/>
        <v>0.3527644231</v>
      </c>
      <c r="X322" s="49">
        <f t="shared" si="12"/>
        <v>0.4813701923</v>
      </c>
      <c r="Y322" s="49">
        <f t="shared" si="13"/>
        <v>0.1658653846</v>
      </c>
      <c r="Z322" s="32" t="str">
        <f t="shared" si="14"/>
        <v>Milton</v>
      </c>
      <c r="AA322" s="50" t="s">
        <v>77</v>
      </c>
      <c r="AB322" s="88">
        <v>3037.0</v>
      </c>
      <c r="AC322" s="89">
        <f>AB322-(V322+V323)</f>
        <v>605</v>
      </c>
      <c r="AD322" s="94">
        <f>(V322+V323)/AB322</f>
        <v>0.8007902535</v>
      </c>
    </row>
    <row r="323">
      <c r="A323" s="24"/>
      <c r="B323" s="46" t="s">
        <v>2308</v>
      </c>
      <c r="C323" s="47"/>
      <c r="D323" s="38">
        <v>236.0</v>
      </c>
      <c r="E323" s="38">
        <v>33.0</v>
      </c>
      <c r="F323" s="38">
        <v>190.0</v>
      </c>
      <c r="G323" s="38">
        <v>9.0</v>
      </c>
      <c r="H323" s="38">
        <v>28.0</v>
      </c>
      <c r="I323" s="48">
        <f t="shared" si="3"/>
        <v>459</v>
      </c>
      <c r="J323" s="48">
        <f t="shared" si="4"/>
        <v>496</v>
      </c>
      <c r="K323" s="49">
        <f t="shared" si="5"/>
        <v>0.51416122</v>
      </c>
      <c r="L323" s="49">
        <f t="shared" si="6"/>
        <v>0.07189542484</v>
      </c>
      <c r="M323" s="49">
        <f t="shared" si="7"/>
        <v>0.4139433551</v>
      </c>
      <c r="N323" s="32" t="str">
        <f t="shared" si="8"/>
        <v>Jânio</v>
      </c>
      <c r="O323" s="50" t="s">
        <v>77</v>
      </c>
      <c r="P323" s="38">
        <v>132.0</v>
      </c>
      <c r="Q323" s="38">
        <v>160.0</v>
      </c>
      <c r="R323" s="38">
        <v>87.0</v>
      </c>
      <c r="S323" s="38">
        <v>105.0</v>
      </c>
      <c r="T323" s="38">
        <v>12.0</v>
      </c>
      <c r="U323" s="48">
        <f t="shared" si="9"/>
        <v>379</v>
      </c>
      <c r="V323" s="48">
        <f t="shared" si="10"/>
        <v>496</v>
      </c>
      <c r="W323" s="49">
        <f t="shared" si="11"/>
        <v>0.3482849604</v>
      </c>
      <c r="X323" s="49">
        <f t="shared" si="12"/>
        <v>0.4221635884</v>
      </c>
      <c r="Y323" s="49">
        <f t="shared" si="13"/>
        <v>0.2295514512</v>
      </c>
      <c r="Z323" s="32" t="str">
        <f t="shared" si="14"/>
        <v>Milton</v>
      </c>
      <c r="AA323" s="50" t="s">
        <v>77</v>
      </c>
      <c r="AB323" s="24"/>
      <c r="AC323" s="24"/>
      <c r="AD323" s="24"/>
    </row>
    <row r="324">
      <c r="A324" s="61" t="s">
        <v>888</v>
      </c>
      <c r="B324" s="46" t="s">
        <v>2309</v>
      </c>
      <c r="C324" s="47"/>
      <c r="D324" s="38">
        <v>875.0</v>
      </c>
      <c r="E324" s="38">
        <v>859.0</v>
      </c>
      <c r="F324" s="38">
        <v>189.0</v>
      </c>
      <c r="G324" s="38">
        <v>20.0</v>
      </c>
      <c r="H324" s="38">
        <v>71.0</v>
      </c>
      <c r="I324" s="48">
        <f t="shared" si="3"/>
        <v>1923</v>
      </c>
      <c r="J324" s="48">
        <f t="shared" si="4"/>
        <v>2014</v>
      </c>
      <c r="K324" s="49">
        <f t="shared" si="5"/>
        <v>0.4550182007</v>
      </c>
      <c r="L324" s="49">
        <f t="shared" si="6"/>
        <v>0.4466978679</v>
      </c>
      <c r="M324" s="49">
        <f t="shared" si="7"/>
        <v>0.09828393136</v>
      </c>
      <c r="N324" s="32" t="str">
        <f t="shared" si="8"/>
        <v>Jânio</v>
      </c>
      <c r="O324" s="50" t="s">
        <v>77</v>
      </c>
      <c r="P324" s="38">
        <v>923.0</v>
      </c>
      <c r="Q324" s="38">
        <v>820.0</v>
      </c>
      <c r="R324" s="38">
        <v>86.0</v>
      </c>
      <c r="S324" s="38">
        <v>126.0</v>
      </c>
      <c r="T324" s="38">
        <v>59.0</v>
      </c>
      <c r="U324" s="48">
        <f t="shared" si="9"/>
        <v>1829</v>
      </c>
      <c r="V324" s="48">
        <f t="shared" si="10"/>
        <v>2014</v>
      </c>
      <c r="W324" s="49">
        <f t="shared" si="11"/>
        <v>0.5046473483</v>
      </c>
      <c r="X324" s="49">
        <f t="shared" si="12"/>
        <v>0.4483324221</v>
      </c>
      <c r="Y324" s="49">
        <f t="shared" si="13"/>
        <v>0.04702022963</v>
      </c>
      <c r="Z324" s="32" t="str">
        <f t="shared" si="14"/>
        <v>Jango</v>
      </c>
      <c r="AA324" s="50" t="s">
        <v>77</v>
      </c>
      <c r="AB324" s="38">
        <v>2292.0</v>
      </c>
      <c r="AC324" s="48">
        <f t="shared" ref="AC324:AC357" si="19">AB324-V324</f>
        <v>278</v>
      </c>
      <c r="AD324" s="51">
        <f t="shared" ref="AD324:AD357" si="20">V324/AB324</f>
        <v>0.8787085515</v>
      </c>
    </row>
    <row r="325">
      <c r="A325" s="24"/>
      <c r="B325" s="46" t="s">
        <v>2310</v>
      </c>
      <c r="C325" s="47"/>
      <c r="D325" s="38">
        <v>491.0</v>
      </c>
      <c r="E325" s="38">
        <v>50.0</v>
      </c>
      <c r="F325" s="38">
        <v>91.0</v>
      </c>
      <c r="G325" s="38">
        <v>12.0</v>
      </c>
      <c r="H325" s="38">
        <v>34.0</v>
      </c>
      <c r="I325" s="48">
        <f t="shared" si="3"/>
        <v>632</v>
      </c>
      <c r="J325" s="48">
        <f t="shared" si="4"/>
        <v>678</v>
      </c>
      <c r="K325" s="49">
        <f t="shared" si="5"/>
        <v>0.7768987342</v>
      </c>
      <c r="L325" s="49">
        <f t="shared" si="6"/>
        <v>0.07911392405</v>
      </c>
      <c r="M325" s="49">
        <f t="shared" si="7"/>
        <v>0.1439873418</v>
      </c>
      <c r="N325" s="32" t="str">
        <f t="shared" si="8"/>
        <v>Jânio</v>
      </c>
      <c r="O325" s="50" t="s">
        <v>77</v>
      </c>
      <c r="P325" s="38">
        <v>88.0</v>
      </c>
      <c r="Q325" s="38">
        <v>445.0</v>
      </c>
      <c r="R325" s="38">
        <v>93.0</v>
      </c>
      <c r="S325" s="38">
        <v>18.0</v>
      </c>
      <c r="T325" s="38">
        <v>34.0</v>
      </c>
      <c r="U325" s="48">
        <f t="shared" si="9"/>
        <v>626</v>
      </c>
      <c r="V325" s="48">
        <f t="shared" si="10"/>
        <v>678</v>
      </c>
      <c r="W325" s="49">
        <f t="shared" si="11"/>
        <v>0.1405750799</v>
      </c>
      <c r="X325" s="49">
        <f t="shared" si="12"/>
        <v>0.7108626198</v>
      </c>
      <c r="Y325" s="49">
        <f t="shared" si="13"/>
        <v>0.1485623003</v>
      </c>
      <c r="Z325" s="32" t="str">
        <f t="shared" si="14"/>
        <v>Milton</v>
      </c>
      <c r="AA325" s="50" t="s">
        <v>77</v>
      </c>
      <c r="AB325" s="38">
        <v>757.0</v>
      </c>
      <c r="AC325" s="48">
        <f t="shared" si="19"/>
        <v>79</v>
      </c>
      <c r="AD325" s="51">
        <f t="shared" si="20"/>
        <v>0.8956406869</v>
      </c>
    </row>
    <row r="326">
      <c r="A326" s="61" t="s">
        <v>890</v>
      </c>
      <c r="B326" s="46" t="s">
        <v>2311</v>
      </c>
      <c r="C326" s="47"/>
      <c r="D326" s="38">
        <v>2089.0</v>
      </c>
      <c r="E326" s="38">
        <v>416.0</v>
      </c>
      <c r="F326" s="38">
        <v>1532.0</v>
      </c>
      <c r="G326" s="38">
        <v>71.0</v>
      </c>
      <c r="H326" s="38">
        <v>98.0</v>
      </c>
      <c r="I326" s="48">
        <f t="shared" si="3"/>
        <v>4037</v>
      </c>
      <c r="J326" s="48">
        <f t="shared" si="4"/>
        <v>4206</v>
      </c>
      <c r="K326" s="49">
        <f t="shared" si="5"/>
        <v>0.517463463</v>
      </c>
      <c r="L326" s="49">
        <f t="shared" si="6"/>
        <v>0.1030468169</v>
      </c>
      <c r="M326" s="49">
        <f t="shared" si="7"/>
        <v>0.3794897201</v>
      </c>
      <c r="N326" s="32" t="str">
        <f t="shared" si="8"/>
        <v>Jânio</v>
      </c>
      <c r="O326" s="50" t="s">
        <v>77</v>
      </c>
      <c r="P326" s="38">
        <v>1381.0</v>
      </c>
      <c r="Q326" s="38">
        <v>1904.0</v>
      </c>
      <c r="R326" s="38">
        <v>331.0</v>
      </c>
      <c r="S326" s="38">
        <v>556.0</v>
      </c>
      <c r="T326" s="38">
        <v>34.0</v>
      </c>
      <c r="U326" s="48">
        <f t="shared" si="9"/>
        <v>3616</v>
      </c>
      <c r="V326" s="48">
        <f t="shared" si="10"/>
        <v>4206</v>
      </c>
      <c r="W326" s="49">
        <f t="shared" si="11"/>
        <v>0.3819137168</v>
      </c>
      <c r="X326" s="49">
        <f t="shared" si="12"/>
        <v>0.5265486726</v>
      </c>
      <c r="Y326" s="49">
        <f t="shared" si="13"/>
        <v>0.09153761062</v>
      </c>
      <c r="Z326" s="32" t="str">
        <f t="shared" si="14"/>
        <v>Milton</v>
      </c>
      <c r="AA326" s="50" t="s">
        <v>77</v>
      </c>
      <c r="AB326" s="38">
        <v>5081.0</v>
      </c>
      <c r="AC326" s="48">
        <f t="shared" si="19"/>
        <v>875</v>
      </c>
      <c r="AD326" s="51">
        <f t="shared" si="20"/>
        <v>0.8277898052</v>
      </c>
    </row>
    <row r="327">
      <c r="A327" s="24"/>
      <c r="B327" s="46" t="s">
        <v>2312</v>
      </c>
      <c r="C327" s="47"/>
      <c r="D327" s="38">
        <v>1135.0</v>
      </c>
      <c r="E327" s="38">
        <v>127.0</v>
      </c>
      <c r="F327" s="38">
        <v>662.0</v>
      </c>
      <c r="G327" s="38">
        <v>54.0</v>
      </c>
      <c r="H327" s="38">
        <v>77.0</v>
      </c>
      <c r="I327" s="48">
        <f t="shared" si="3"/>
        <v>1924</v>
      </c>
      <c r="J327" s="48">
        <f t="shared" si="4"/>
        <v>2055</v>
      </c>
      <c r="K327" s="49">
        <f t="shared" si="5"/>
        <v>0.5899168399</v>
      </c>
      <c r="L327" s="49">
        <f t="shared" si="6"/>
        <v>0.06600831601</v>
      </c>
      <c r="M327" s="49">
        <f t="shared" si="7"/>
        <v>0.3440748441</v>
      </c>
      <c r="N327" s="32" t="str">
        <f t="shared" si="8"/>
        <v>Jânio</v>
      </c>
      <c r="O327" s="50" t="s">
        <v>77</v>
      </c>
      <c r="P327" s="38">
        <v>532.0</v>
      </c>
      <c r="Q327" s="38">
        <v>1011.0</v>
      </c>
      <c r="R327" s="38">
        <v>167.0</v>
      </c>
      <c r="S327" s="38">
        <v>287.0</v>
      </c>
      <c r="T327" s="38">
        <v>58.0</v>
      </c>
      <c r="U327" s="48">
        <f t="shared" si="9"/>
        <v>1710</v>
      </c>
      <c r="V327" s="48">
        <f t="shared" si="10"/>
        <v>2055</v>
      </c>
      <c r="W327" s="49">
        <f t="shared" si="11"/>
        <v>0.3111111111</v>
      </c>
      <c r="X327" s="49">
        <f t="shared" si="12"/>
        <v>0.5912280702</v>
      </c>
      <c r="Y327" s="49">
        <f t="shared" si="13"/>
        <v>0.09766081871</v>
      </c>
      <c r="Z327" s="32" t="str">
        <f t="shared" si="14"/>
        <v>Milton</v>
      </c>
      <c r="AA327" s="50" t="s">
        <v>77</v>
      </c>
      <c r="AB327" s="38">
        <v>2502.0</v>
      </c>
      <c r="AC327" s="48">
        <f t="shared" si="19"/>
        <v>447</v>
      </c>
      <c r="AD327" s="51">
        <f t="shared" si="20"/>
        <v>0.8213429257</v>
      </c>
    </row>
    <row r="328">
      <c r="A328" s="61" t="s">
        <v>892</v>
      </c>
      <c r="B328" s="46" t="s">
        <v>2313</v>
      </c>
      <c r="C328" s="47"/>
      <c r="D328" s="38">
        <v>889.0</v>
      </c>
      <c r="E328" s="38">
        <v>62.0</v>
      </c>
      <c r="F328" s="38">
        <v>483.0</v>
      </c>
      <c r="G328" s="38">
        <v>66.0</v>
      </c>
      <c r="H328" s="38">
        <v>73.0</v>
      </c>
      <c r="I328" s="48">
        <f t="shared" si="3"/>
        <v>1434</v>
      </c>
      <c r="J328" s="48">
        <f t="shared" si="4"/>
        <v>1573</v>
      </c>
      <c r="K328" s="49">
        <f t="shared" si="5"/>
        <v>0.619944212</v>
      </c>
      <c r="L328" s="49">
        <f t="shared" si="6"/>
        <v>0.04323570432</v>
      </c>
      <c r="M328" s="49">
        <f t="shared" si="7"/>
        <v>0.3368200837</v>
      </c>
      <c r="N328" s="32" t="str">
        <f t="shared" si="8"/>
        <v>Jânio</v>
      </c>
      <c r="O328" s="50" t="s">
        <v>77</v>
      </c>
      <c r="P328" s="38">
        <v>329.0</v>
      </c>
      <c r="Q328" s="38">
        <v>495.0</v>
      </c>
      <c r="R328" s="38">
        <v>450.0</v>
      </c>
      <c r="S328" s="38">
        <v>249.0</v>
      </c>
      <c r="T328" s="38">
        <v>50.0</v>
      </c>
      <c r="U328" s="48">
        <f t="shared" si="9"/>
        <v>1274</v>
      </c>
      <c r="V328" s="48">
        <f t="shared" si="10"/>
        <v>1573</v>
      </c>
      <c r="W328" s="49">
        <f t="shared" si="11"/>
        <v>0.2582417582</v>
      </c>
      <c r="X328" s="49">
        <f t="shared" si="12"/>
        <v>0.3885400314</v>
      </c>
      <c r="Y328" s="49">
        <f t="shared" si="13"/>
        <v>0.3532182104</v>
      </c>
      <c r="Z328" s="32" t="str">
        <f t="shared" si="14"/>
        <v>Milton</v>
      </c>
      <c r="AA328" s="50" t="s">
        <v>77</v>
      </c>
      <c r="AB328" s="38">
        <v>1798.0</v>
      </c>
      <c r="AC328" s="48">
        <f t="shared" si="19"/>
        <v>225</v>
      </c>
      <c r="AD328" s="51">
        <f t="shared" si="20"/>
        <v>0.8748609566</v>
      </c>
    </row>
    <row r="329">
      <c r="A329" s="23"/>
      <c r="B329" s="46" t="s">
        <v>2314</v>
      </c>
      <c r="C329" s="47"/>
      <c r="D329" s="38">
        <v>696.0</v>
      </c>
      <c r="E329" s="38">
        <v>104.0</v>
      </c>
      <c r="F329" s="38">
        <v>416.0</v>
      </c>
      <c r="G329" s="38">
        <v>43.0</v>
      </c>
      <c r="H329" s="38">
        <v>39.0</v>
      </c>
      <c r="I329" s="48">
        <f t="shared" si="3"/>
        <v>1216</v>
      </c>
      <c r="J329" s="48">
        <f t="shared" si="4"/>
        <v>1298</v>
      </c>
      <c r="K329" s="49">
        <f t="shared" si="5"/>
        <v>0.5723684211</v>
      </c>
      <c r="L329" s="49">
        <f t="shared" si="6"/>
        <v>0.08552631579</v>
      </c>
      <c r="M329" s="49">
        <f t="shared" si="7"/>
        <v>0.3421052632</v>
      </c>
      <c r="N329" s="32" t="str">
        <f t="shared" si="8"/>
        <v>Jânio</v>
      </c>
      <c r="O329" s="50" t="s">
        <v>77</v>
      </c>
      <c r="P329" s="38">
        <v>210.0</v>
      </c>
      <c r="Q329" s="38">
        <v>458.0</v>
      </c>
      <c r="R329" s="38">
        <v>471.0</v>
      </c>
      <c r="S329" s="38">
        <v>134.0</v>
      </c>
      <c r="T329" s="38">
        <v>25.0</v>
      </c>
      <c r="U329" s="48">
        <f t="shared" si="9"/>
        <v>1139</v>
      </c>
      <c r="V329" s="48">
        <f t="shared" si="10"/>
        <v>1298</v>
      </c>
      <c r="W329" s="49">
        <f t="shared" si="11"/>
        <v>0.1843722564</v>
      </c>
      <c r="X329" s="49">
        <f t="shared" si="12"/>
        <v>0.4021071115</v>
      </c>
      <c r="Y329" s="49">
        <f t="shared" si="13"/>
        <v>0.4135206321</v>
      </c>
      <c r="Z329" s="32" t="str">
        <f t="shared" si="14"/>
        <v>Ferrari</v>
      </c>
      <c r="AA329" s="50" t="s">
        <v>77</v>
      </c>
      <c r="AB329" s="38">
        <v>1653.0</v>
      </c>
      <c r="AC329" s="48">
        <f t="shared" si="19"/>
        <v>355</v>
      </c>
      <c r="AD329" s="51">
        <f t="shared" si="20"/>
        <v>0.7852389595</v>
      </c>
    </row>
    <row r="330">
      <c r="A330" s="24"/>
      <c r="B330" s="46" t="s">
        <v>2315</v>
      </c>
      <c r="C330" s="47"/>
      <c r="D330" s="38">
        <v>681.0</v>
      </c>
      <c r="E330" s="38">
        <v>172.0</v>
      </c>
      <c r="F330" s="38">
        <v>570.0</v>
      </c>
      <c r="G330" s="38">
        <v>22.0</v>
      </c>
      <c r="H330" s="38">
        <v>43.0</v>
      </c>
      <c r="I330" s="48">
        <f t="shared" si="3"/>
        <v>1423</v>
      </c>
      <c r="J330" s="48">
        <f t="shared" si="4"/>
        <v>1488</v>
      </c>
      <c r="K330" s="49">
        <f t="shared" si="5"/>
        <v>0.478566409</v>
      </c>
      <c r="L330" s="49">
        <f t="shared" si="6"/>
        <v>0.1208713985</v>
      </c>
      <c r="M330" s="49">
        <f t="shared" si="7"/>
        <v>0.4005621926</v>
      </c>
      <c r="N330" s="32" t="str">
        <f t="shared" si="8"/>
        <v>Jânio</v>
      </c>
      <c r="O330" s="50" t="s">
        <v>77</v>
      </c>
      <c r="P330" s="38">
        <v>499.0</v>
      </c>
      <c r="Q330" s="38">
        <v>592.0</v>
      </c>
      <c r="R330" s="38">
        <v>175.0</v>
      </c>
      <c r="S330" s="38">
        <v>201.0</v>
      </c>
      <c r="T330" s="38">
        <v>21.0</v>
      </c>
      <c r="U330" s="48">
        <f t="shared" si="9"/>
        <v>1266</v>
      </c>
      <c r="V330" s="48">
        <f t="shared" si="10"/>
        <v>1488</v>
      </c>
      <c r="W330" s="49">
        <f t="shared" si="11"/>
        <v>0.3941548183</v>
      </c>
      <c r="X330" s="49">
        <f t="shared" si="12"/>
        <v>0.467614534</v>
      </c>
      <c r="Y330" s="49">
        <f t="shared" si="13"/>
        <v>0.1382306477</v>
      </c>
      <c r="Z330" s="32" t="str">
        <f t="shared" si="14"/>
        <v>Milton</v>
      </c>
      <c r="AA330" s="50" t="s">
        <v>77</v>
      </c>
      <c r="AB330" s="38">
        <v>1656.0</v>
      </c>
      <c r="AC330" s="48">
        <f t="shared" si="19"/>
        <v>168</v>
      </c>
      <c r="AD330" s="51">
        <f t="shared" si="20"/>
        <v>0.8985507246</v>
      </c>
    </row>
    <row r="331">
      <c r="A331" s="61" t="s">
        <v>894</v>
      </c>
      <c r="B331" s="46" t="s">
        <v>2316</v>
      </c>
      <c r="C331" s="47"/>
      <c r="D331" s="38">
        <v>22235.0</v>
      </c>
      <c r="E331" s="38">
        <v>6563.0</v>
      </c>
      <c r="F331" s="38">
        <v>11539.0</v>
      </c>
      <c r="G331" s="38">
        <v>561.0</v>
      </c>
      <c r="H331" s="38">
        <v>1317.0</v>
      </c>
      <c r="I331" s="48">
        <f t="shared" si="3"/>
        <v>40337</v>
      </c>
      <c r="J331" s="48">
        <f t="shared" si="4"/>
        <v>42215</v>
      </c>
      <c r="K331" s="49">
        <f t="shared" si="5"/>
        <v>0.5512308798</v>
      </c>
      <c r="L331" s="49">
        <f t="shared" si="6"/>
        <v>0.162704217</v>
      </c>
      <c r="M331" s="49">
        <f t="shared" si="7"/>
        <v>0.2860649032</v>
      </c>
      <c r="N331" s="32" t="str">
        <f t="shared" si="8"/>
        <v>Jânio</v>
      </c>
      <c r="O331" s="50" t="s">
        <v>77</v>
      </c>
      <c r="P331" s="38">
        <v>13140.0</v>
      </c>
      <c r="Q331" s="38">
        <v>14555.0</v>
      </c>
      <c r="R331" s="38">
        <v>10695.0</v>
      </c>
      <c r="S331" s="55">
        <v>2858.0</v>
      </c>
      <c r="T331" s="38">
        <v>967.0</v>
      </c>
      <c r="U331" s="48">
        <f t="shared" si="9"/>
        <v>38390</v>
      </c>
      <c r="V331" s="114">
        <f t="shared" si="10"/>
        <v>42215</v>
      </c>
      <c r="W331" s="49">
        <f t="shared" si="11"/>
        <v>0.3422766345</v>
      </c>
      <c r="X331" s="49">
        <f t="shared" si="12"/>
        <v>0.3791351915</v>
      </c>
      <c r="Y331" s="49">
        <f t="shared" si="13"/>
        <v>0.278588174</v>
      </c>
      <c r="Z331" s="32" t="str">
        <f t="shared" si="14"/>
        <v>Milton</v>
      </c>
      <c r="AA331" s="50" t="s">
        <v>77</v>
      </c>
      <c r="AB331" s="38">
        <v>45233.0</v>
      </c>
      <c r="AC331" s="48">
        <f t="shared" si="19"/>
        <v>3018</v>
      </c>
      <c r="AD331" s="51">
        <f t="shared" si="20"/>
        <v>0.9332788009</v>
      </c>
    </row>
    <row r="332">
      <c r="A332" s="24"/>
      <c r="B332" s="46" t="s">
        <v>2317</v>
      </c>
      <c r="C332" s="47"/>
      <c r="D332" s="38">
        <v>917.0</v>
      </c>
      <c r="E332" s="38">
        <v>742.0</v>
      </c>
      <c r="F332" s="38">
        <v>225.0</v>
      </c>
      <c r="G332" s="38">
        <v>63.0</v>
      </c>
      <c r="H332" s="38">
        <v>98.0</v>
      </c>
      <c r="I332" s="48">
        <f t="shared" si="3"/>
        <v>1884</v>
      </c>
      <c r="J332" s="48">
        <f t="shared" si="4"/>
        <v>2045</v>
      </c>
      <c r="K332" s="49">
        <f t="shared" si="5"/>
        <v>0.4867303609</v>
      </c>
      <c r="L332" s="49">
        <f t="shared" si="6"/>
        <v>0.3938428875</v>
      </c>
      <c r="M332" s="49">
        <f t="shared" si="7"/>
        <v>0.1194267516</v>
      </c>
      <c r="N332" s="32" t="str">
        <f t="shared" si="8"/>
        <v>Jânio</v>
      </c>
      <c r="O332" s="50" t="s">
        <v>77</v>
      </c>
      <c r="P332" s="38">
        <v>900.0</v>
      </c>
      <c r="Q332" s="38">
        <v>828.0</v>
      </c>
      <c r="R332" s="38">
        <v>106.0</v>
      </c>
      <c r="S332" s="38">
        <v>150.0</v>
      </c>
      <c r="T332" s="38">
        <v>61.0</v>
      </c>
      <c r="U332" s="48">
        <f t="shared" si="9"/>
        <v>1834</v>
      </c>
      <c r="V332" s="48">
        <f t="shared" si="10"/>
        <v>2045</v>
      </c>
      <c r="W332" s="49">
        <f t="shared" si="11"/>
        <v>0.4907306434</v>
      </c>
      <c r="X332" s="49">
        <f t="shared" si="12"/>
        <v>0.4514721919</v>
      </c>
      <c r="Y332" s="49">
        <f t="shared" si="13"/>
        <v>0.05779716467</v>
      </c>
      <c r="Z332" s="32" t="str">
        <f t="shared" si="14"/>
        <v>Jango</v>
      </c>
      <c r="AA332" s="50" t="s">
        <v>77</v>
      </c>
      <c r="AB332" s="38">
        <v>3167.0</v>
      </c>
      <c r="AC332" s="48">
        <f t="shared" si="19"/>
        <v>1122</v>
      </c>
      <c r="AD332" s="51">
        <f t="shared" si="20"/>
        <v>0.645721503</v>
      </c>
    </row>
    <row r="333">
      <c r="A333" s="110" t="s">
        <v>896</v>
      </c>
      <c r="B333" s="46" t="s">
        <v>2318</v>
      </c>
      <c r="C333" s="47"/>
      <c r="D333" s="38">
        <v>2113.0</v>
      </c>
      <c r="E333" s="38">
        <v>237.0</v>
      </c>
      <c r="F333" s="38">
        <v>458.0</v>
      </c>
      <c r="G333" s="38">
        <v>76.0</v>
      </c>
      <c r="H333" s="38">
        <v>171.0</v>
      </c>
      <c r="I333" s="48">
        <f t="shared" si="3"/>
        <v>2808</v>
      </c>
      <c r="J333" s="48">
        <f t="shared" si="4"/>
        <v>3055</v>
      </c>
      <c r="K333" s="49">
        <f t="shared" si="5"/>
        <v>0.7524928775</v>
      </c>
      <c r="L333" s="49">
        <f t="shared" si="6"/>
        <v>0.0844017094</v>
      </c>
      <c r="M333" s="49">
        <f t="shared" si="7"/>
        <v>0.1631054131</v>
      </c>
      <c r="N333" s="32" t="str">
        <f t="shared" si="8"/>
        <v>Jânio</v>
      </c>
      <c r="O333" s="50" t="s">
        <v>77</v>
      </c>
      <c r="P333" s="38">
        <v>509.0</v>
      </c>
      <c r="Q333" s="38">
        <v>1512.0</v>
      </c>
      <c r="R333" s="38">
        <v>498.0</v>
      </c>
      <c r="S333" s="38">
        <v>442.0</v>
      </c>
      <c r="T333" s="38">
        <v>94.0</v>
      </c>
      <c r="U333" s="48">
        <f t="shared" si="9"/>
        <v>2519</v>
      </c>
      <c r="V333" s="48">
        <f t="shared" si="10"/>
        <v>3055</v>
      </c>
      <c r="W333" s="49">
        <f t="shared" si="11"/>
        <v>0.2020643112</v>
      </c>
      <c r="X333" s="49">
        <f t="shared" si="12"/>
        <v>0.6002381898</v>
      </c>
      <c r="Y333" s="49">
        <f t="shared" si="13"/>
        <v>0.197697499</v>
      </c>
      <c r="Z333" s="32" t="str">
        <f t="shared" si="14"/>
        <v>Milton</v>
      </c>
      <c r="AA333" s="50" t="s">
        <v>77</v>
      </c>
      <c r="AB333" s="38">
        <v>4430.0</v>
      </c>
      <c r="AC333" s="48">
        <f t="shared" si="19"/>
        <v>1375</v>
      </c>
      <c r="AD333" s="51">
        <f t="shared" si="20"/>
        <v>0.6896162528</v>
      </c>
    </row>
    <row r="334">
      <c r="A334" s="61" t="s">
        <v>898</v>
      </c>
      <c r="B334" s="46" t="s">
        <v>1954</v>
      </c>
      <c r="C334" s="47"/>
      <c r="D334" s="38">
        <v>8483.0</v>
      </c>
      <c r="E334" s="38">
        <v>1924.0</v>
      </c>
      <c r="F334" s="38">
        <v>6848.0</v>
      </c>
      <c r="G334" s="38">
        <v>401.0</v>
      </c>
      <c r="H334" s="38">
        <v>702.0</v>
      </c>
      <c r="I334" s="48">
        <f t="shared" si="3"/>
        <v>17255</v>
      </c>
      <c r="J334" s="48">
        <f t="shared" si="4"/>
        <v>18358</v>
      </c>
      <c r="K334" s="49">
        <f t="shared" si="5"/>
        <v>0.4916256158</v>
      </c>
      <c r="L334" s="49">
        <f t="shared" si="6"/>
        <v>0.1115039119</v>
      </c>
      <c r="M334" s="49">
        <f t="shared" si="7"/>
        <v>0.3968704723</v>
      </c>
      <c r="N334" s="32" t="str">
        <f t="shared" si="8"/>
        <v>Jânio</v>
      </c>
      <c r="O334" s="50" t="s">
        <v>77</v>
      </c>
      <c r="P334" s="38">
        <v>4606.0</v>
      </c>
      <c r="Q334" s="38">
        <v>8915.0</v>
      </c>
      <c r="R334" s="38">
        <v>2774.0</v>
      </c>
      <c r="S334" s="38">
        <v>1419.0</v>
      </c>
      <c r="T334" s="38">
        <v>644.0</v>
      </c>
      <c r="U334" s="48">
        <f t="shared" si="9"/>
        <v>16295</v>
      </c>
      <c r="V334" s="48">
        <f t="shared" si="10"/>
        <v>18358</v>
      </c>
      <c r="W334" s="49">
        <f t="shared" si="11"/>
        <v>0.2826633937</v>
      </c>
      <c r="X334" s="49">
        <f t="shared" si="12"/>
        <v>0.5471003375</v>
      </c>
      <c r="Y334" s="49">
        <f t="shared" si="13"/>
        <v>0.1702362688</v>
      </c>
      <c r="Z334" s="32" t="str">
        <f t="shared" si="14"/>
        <v>Milton</v>
      </c>
      <c r="AA334" s="50" t="s">
        <v>77</v>
      </c>
      <c r="AB334" s="38">
        <v>19572.0</v>
      </c>
      <c r="AC334" s="48">
        <f t="shared" si="19"/>
        <v>1214</v>
      </c>
      <c r="AD334" s="51">
        <f t="shared" si="20"/>
        <v>0.9379726139</v>
      </c>
    </row>
    <row r="335">
      <c r="A335" s="23"/>
      <c r="B335" s="46" t="s">
        <v>2319</v>
      </c>
      <c r="C335" s="47"/>
      <c r="D335" s="38">
        <v>321.0</v>
      </c>
      <c r="E335" s="38">
        <v>48.0</v>
      </c>
      <c r="F335" s="38">
        <v>197.0</v>
      </c>
      <c r="G335" s="38">
        <v>14.0</v>
      </c>
      <c r="H335" s="38">
        <v>33.0</v>
      </c>
      <c r="I335" s="48">
        <f t="shared" si="3"/>
        <v>566</v>
      </c>
      <c r="J335" s="48">
        <f t="shared" si="4"/>
        <v>613</v>
      </c>
      <c r="K335" s="49">
        <f t="shared" si="5"/>
        <v>0.5671378092</v>
      </c>
      <c r="L335" s="49">
        <f t="shared" si="6"/>
        <v>0.08480565371</v>
      </c>
      <c r="M335" s="49">
        <f t="shared" si="7"/>
        <v>0.3480565371</v>
      </c>
      <c r="N335" s="32" t="str">
        <f t="shared" si="8"/>
        <v>Jânio</v>
      </c>
      <c r="O335" s="50" t="s">
        <v>77</v>
      </c>
      <c r="P335" s="38">
        <v>159.0</v>
      </c>
      <c r="Q335" s="38">
        <v>207.0</v>
      </c>
      <c r="R335" s="38">
        <v>149.0</v>
      </c>
      <c r="S335" s="38">
        <v>70.0</v>
      </c>
      <c r="T335" s="38">
        <v>28.0</v>
      </c>
      <c r="U335" s="48">
        <f t="shared" si="9"/>
        <v>515</v>
      </c>
      <c r="V335" s="48">
        <f t="shared" si="10"/>
        <v>613</v>
      </c>
      <c r="W335" s="49">
        <f t="shared" si="11"/>
        <v>0.3087378641</v>
      </c>
      <c r="X335" s="49">
        <f t="shared" si="12"/>
        <v>0.4019417476</v>
      </c>
      <c r="Y335" s="49">
        <f t="shared" si="13"/>
        <v>0.2893203883</v>
      </c>
      <c r="Z335" s="32" t="str">
        <f t="shared" si="14"/>
        <v>Milton</v>
      </c>
      <c r="AA335" s="50" t="s">
        <v>77</v>
      </c>
      <c r="AB335" s="38">
        <v>688.0</v>
      </c>
      <c r="AC335" s="48">
        <f t="shared" si="19"/>
        <v>75</v>
      </c>
      <c r="AD335" s="51">
        <f t="shared" si="20"/>
        <v>0.8909883721</v>
      </c>
    </row>
    <row r="336">
      <c r="A336" s="23"/>
      <c r="B336" s="46" t="s">
        <v>2320</v>
      </c>
      <c r="C336" s="47"/>
      <c r="D336" s="38">
        <v>209.0</v>
      </c>
      <c r="E336" s="38">
        <v>100.0</v>
      </c>
      <c r="F336" s="38">
        <v>206.0</v>
      </c>
      <c r="G336" s="38">
        <v>17.0</v>
      </c>
      <c r="H336" s="38">
        <v>35.0</v>
      </c>
      <c r="I336" s="48">
        <f t="shared" si="3"/>
        <v>515</v>
      </c>
      <c r="J336" s="48">
        <f t="shared" si="4"/>
        <v>567</v>
      </c>
      <c r="K336" s="49">
        <f t="shared" si="5"/>
        <v>0.4058252427</v>
      </c>
      <c r="L336" s="49">
        <f t="shared" si="6"/>
        <v>0.1941747573</v>
      </c>
      <c r="M336" s="49">
        <f t="shared" si="7"/>
        <v>0.4</v>
      </c>
      <c r="N336" s="32" t="str">
        <f t="shared" si="8"/>
        <v>Jânio</v>
      </c>
      <c r="O336" s="50" t="s">
        <v>77</v>
      </c>
      <c r="P336" s="38">
        <v>197.0</v>
      </c>
      <c r="Q336" s="38">
        <v>173.0</v>
      </c>
      <c r="R336" s="38">
        <v>96.0</v>
      </c>
      <c r="S336" s="38">
        <v>86.0</v>
      </c>
      <c r="T336" s="38">
        <v>15.0</v>
      </c>
      <c r="U336" s="48">
        <f t="shared" si="9"/>
        <v>466</v>
      </c>
      <c r="V336" s="48">
        <f t="shared" si="10"/>
        <v>567</v>
      </c>
      <c r="W336" s="49">
        <f t="shared" si="11"/>
        <v>0.4227467811</v>
      </c>
      <c r="X336" s="49">
        <f t="shared" si="12"/>
        <v>0.3712446352</v>
      </c>
      <c r="Y336" s="49">
        <f t="shared" si="13"/>
        <v>0.2060085837</v>
      </c>
      <c r="Z336" s="32" t="str">
        <f t="shared" si="14"/>
        <v>Jango</v>
      </c>
      <c r="AA336" s="50" t="s">
        <v>77</v>
      </c>
      <c r="AB336" s="38">
        <v>622.0</v>
      </c>
      <c r="AC336" s="48">
        <f t="shared" si="19"/>
        <v>55</v>
      </c>
      <c r="AD336" s="51">
        <f t="shared" si="20"/>
        <v>0.9115755627</v>
      </c>
    </row>
    <row r="337">
      <c r="A337" s="23"/>
      <c r="B337" s="46" t="s">
        <v>2321</v>
      </c>
      <c r="C337" s="47"/>
      <c r="D337" s="38">
        <v>1161.0</v>
      </c>
      <c r="E337" s="38">
        <v>318.0</v>
      </c>
      <c r="F337" s="38">
        <v>356.0</v>
      </c>
      <c r="G337" s="38">
        <v>56.0</v>
      </c>
      <c r="H337" s="38">
        <v>108.0</v>
      </c>
      <c r="I337" s="48">
        <f t="shared" si="3"/>
        <v>1835</v>
      </c>
      <c r="J337" s="48">
        <f t="shared" si="4"/>
        <v>1999</v>
      </c>
      <c r="K337" s="49">
        <f t="shared" si="5"/>
        <v>0.6326975477</v>
      </c>
      <c r="L337" s="49">
        <f t="shared" si="6"/>
        <v>0.1732970027</v>
      </c>
      <c r="M337" s="49">
        <f t="shared" si="7"/>
        <v>0.1940054496</v>
      </c>
      <c r="N337" s="32" t="str">
        <f t="shared" si="8"/>
        <v>Jânio</v>
      </c>
      <c r="O337" s="50" t="s">
        <v>77</v>
      </c>
      <c r="P337" s="38">
        <v>582.0</v>
      </c>
      <c r="Q337" s="38">
        <v>586.0</v>
      </c>
      <c r="R337" s="38">
        <v>582.0</v>
      </c>
      <c r="S337" s="38">
        <v>180.0</v>
      </c>
      <c r="T337" s="38">
        <v>69.0</v>
      </c>
      <c r="U337" s="48">
        <f t="shared" si="9"/>
        <v>1750</v>
      </c>
      <c r="V337" s="48">
        <f t="shared" si="10"/>
        <v>1999</v>
      </c>
      <c r="W337" s="49">
        <f t="shared" si="11"/>
        <v>0.3325714286</v>
      </c>
      <c r="X337" s="49">
        <f t="shared" si="12"/>
        <v>0.3348571429</v>
      </c>
      <c r="Y337" s="49">
        <f t="shared" si="13"/>
        <v>0.3325714286</v>
      </c>
      <c r="Z337" s="32" t="str">
        <f t="shared" si="14"/>
        <v>Milton</v>
      </c>
      <c r="AA337" s="50" t="s">
        <v>77</v>
      </c>
      <c r="AB337" s="38">
        <v>2118.0</v>
      </c>
      <c r="AC337" s="48">
        <f t="shared" si="19"/>
        <v>119</v>
      </c>
      <c r="AD337" s="51">
        <f t="shared" si="20"/>
        <v>0.9438149197</v>
      </c>
    </row>
    <row r="338">
      <c r="A338" s="24"/>
      <c r="B338" s="46" t="s">
        <v>2322</v>
      </c>
      <c r="C338" s="47"/>
      <c r="D338" s="38">
        <v>540.0</v>
      </c>
      <c r="E338" s="38">
        <v>90.0</v>
      </c>
      <c r="F338" s="38">
        <v>491.0</v>
      </c>
      <c r="G338" s="38">
        <v>33.0</v>
      </c>
      <c r="H338" s="38">
        <v>33.0</v>
      </c>
      <c r="I338" s="48">
        <f t="shared" si="3"/>
        <v>1121</v>
      </c>
      <c r="J338" s="48">
        <f t="shared" si="4"/>
        <v>1187</v>
      </c>
      <c r="K338" s="49">
        <f t="shared" si="5"/>
        <v>0.4817127565</v>
      </c>
      <c r="L338" s="49">
        <f t="shared" si="6"/>
        <v>0.08028545941</v>
      </c>
      <c r="M338" s="49">
        <f t="shared" si="7"/>
        <v>0.4380017841</v>
      </c>
      <c r="N338" s="32" t="str">
        <f t="shared" si="8"/>
        <v>Jânio</v>
      </c>
      <c r="O338" s="50" t="s">
        <v>77</v>
      </c>
      <c r="P338" s="38">
        <v>428.0</v>
      </c>
      <c r="Q338" s="38">
        <v>460.0</v>
      </c>
      <c r="R338" s="38">
        <v>170.0</v>
      </c>
      <c r="S338" s="38">
        <v>112.0</v>
      </c>
      <c r="T338" s="38">
        <v>17.0</v>
      </c>
      <c r="U338" s="48">
        <f t="shared" si="9"/>
        <v>1058</v>
      </c>
      <c r="V338" s="48">
        <f t="shared" si="10"/>
        <v>1187</v>
      </c>
      <c r="W338" s="49">
        <f t="shared" si="11"/>
        <v>0.404536862</v>
      </c>
      <c r="X338" s="49">
        <f t="shared" si="12"/>
        <v>0.4347826087</v>
      </c>
      <c r="Y338" s="49">
        <f t="shared" si="13"/>
        <v>0.1606805293</v>
      </c>
      <c r="Z338" s="32" t="str">
        <f t="shared" si="14"/>
        <v>Milton</v>
      </c>
      <c r="AA338" s="50" t="s">
        <v>77</v>
      </c>
      <c r="AB338" s="38">
        <v>1264.0</v>
      </c>
      <c r="AC338" s="48">
        <f t="shared" si="19"/>
        <v>77</v>
      </c>
      <c r="AD338" s="51">
        <f t="shared" si="20"/>
        <v>0.9390822785</v>
      </c>
    </row>
    <row r="339">
      <c r="A339" s="61" t="s">
        <v>817</v>
      </c>
      <c r="B339" s="46" t="s">
        <v>2323</v>
      </c>
      <c r="C339" s="47"/>
      <c r="D339" s="38">
        <v>859.0</v>
      </c>
      <c r="E339" s="38">
        <v>168.0</v>
      </c>
      <c r="F339" s="38">
        <v>544.0</v>
      </c>
      <c r="G339" s="38">
        <v>46.0</v>
      </c>
      <c r="H339" s="38">
        <v>58.0</v>
      </c>
      <c r="I339" s="48">
        <f t="shared" si="3"/>
        <v>1571</v>
      </c>
      <c r="J339" s="48">
        <f t="shared" si="4"/>
        <v>1675</v>
      </c>
      <c r="K339" s="49">
        <f t="shared" si="5"/>
        <v>0.546785487</v>
      </c>
      <c r="L339" s="49">
        <f t="shared" si="6"/>
        <v>0.1069382559</v>
      </c>
      <c r="M339" s="49">
        <f t="shared" si="7"/>
        <v>0.3462762572</v>
      </c>
      <c r="N339" s="32" t="str">
        <f t="shared" si="8"/>
        <v>Jânio</v>
      </c>
      <c r="O339" s="50" t="s">
        <v>77</v>
      </c>
      <c r="P339" s="38">
        <v>533.0</v>
      </c>
      <c r="Q339" s="38">
        <v>659.0</v>
      </c>
      <c r="R339" s="38">
        <v>213.0</v>
      </c>
      <c r="S339" s="38">
        <v>230.0</v>
      </c>
      <c r="T339" s="38">
        <v>40.0</v>
      </c>
      <c r="U339" s="48">
        <f t="shared" si="9"/>
        <v>1405</v>
      </c>
      <c r="V339" s="48">
        <f t="shared" si="10"/>
        <v>1675</v>
      </c>
      <c r="W339" s="49">
        <f t="shared" si="11"/>
        <v>0.3793594306</v>
      </c>
      <c r="X339" s="49">
        <f t="shared" si="12"/>
        <v>0.4690391459</v>
      </c>
      <c r="Y339" s="49">
        <f t="shared" si="13"/>
        <v>0.1516014235</v>
      </c>
      <c r="Z339" s="32" t="str">
        <f t="shared" si="14"/>
        <v>Milton</v>
      </c>
      <c r="AA339" s="50" t="s">
        <v>77</v>
      </c>
      <c r="AB339" s="38">
        <v>1909.0</v>
      </c>
      <c r="AC339" s="48">
        <f t="shared" si="19"/>
        <v>234</v>
      </c>
      <c r="AD339" s="51">
        <f t="shared" si="20"/>
        <v>0.8774227344</v>
      </c>
    </row>
    <row r="340">
      <c r="A340" s="23"/>
      <c r="B340" s="46" t="s">
        <v>2324</v>
      </c>
      <c r="C340" s="47"/>
      <c r="D340" s="38">
        <v>827.0</v>
      </c>
      <c r="E340" s="38">
        <v>60.0</v>
      </c>
      <c r="F340" s="38">
        <v>346.0</v>
      </c>
      <c r="G340" s="38">
        <v>51.0</v>
      </c>
      <c r="H340" s="38">
        <v>50.0</v>
      </c>
      <c r="I340" s="48">
        <f t="shared" si="3"/>
        <v>1233</v>
      </c>
      <c r="J340" s="48">
        <f t="shared" si="4"/>
        <v>1334</v>
      </c>
      <c r="K340" s="49">
        <f t="shared" si="5"/>
        <v>0.6707218167</v>
      </c>
      <c r="L340" s="49">
        <f t="shared" si="6"/>
        <v>0.04866180049</v>
      </c>
      <c r="M340" s="49">
        <f t="shared" si="7"/>
        <v>0.2806163828</v>
      </c>
      <c r="N340" s="32" t="str">
        <f t="shared" si="8"/>
        <v>Jânio</v>
      </c>
      <c r="O340" s="50" t="s">
        <v>77</v>
      </c>
      <c r="P340" s="38">
        <v>507.0</v>
      </c>
      <c r="Q340" s="38">
        <v>525.0</v>
      </c>
      <c r="R340" s="38">
        <v>107.0</v>
      </c>
      <c r="S340" s="38">
        <v>160.0</v>
      </c>
      <c r="T340" s="38">
        <v>35.0</v>
      </c>
      <c r="U340" s="48">
        <f t="shared" si="9"/>
        <v>1139</v>
      </c>
      <c r="V340" s="48">
        <f t="shared" si="10"/>
        <v>1334</v>
      </c>
      <c r="W340" s="49">
        <f t="shared" si="11"/>
        <v>0.4451273047</v>
      </c>
      <c r="X340" s="49">
        <f t="shared" si="12"/>
        <v>0.4609306409</v>
      </c>
      <c r="Y340" s="49">
        <f t="shared" si="13"/>
        <v>0.09394205443</v>
      </c>
      <c r="Z340" s="32" t="str">
        <f t="shared" si="14"/>
        <v>Milton</v>
      </c>
      <c r="AA340" s="50" t="s">
        <v>77</v>
      </c>
      <c r="AB340" s="38">
        <v>1561.0</v>
      </c>
      <c r="AC340" s="48">
        <f t="shared" si="19"/>
        <v>227</v>
      </c>
      <c r="AD340" s="51">
        <f t="shared" si="20"/>
        <v>0.8545803972</v>
      </c>
    </row>
    <row r="341">
      <c r="A341" s="24"/>
      <c r="B341" s="46" t="s">
        <v>2325</v>
      </c>
      <c r="C341" s="47"/>
      <c r="D341" s="38">
        <v>966.0</v>
      </c>
      <c r="E341" s="38">
        <v>137.0</v>
      </c>
      <c r="F341" s="38">
        <v>635.0</v>
      </c>
      <c r="G341" s="38">
        <v>40.0</v>
      </c>
      <c r="H341" s="38">
        <v>72.0</v>
      </c>
      <c r="I341" s="48">
        <f t="shared" si="3"/>
        <v>1738</v>
      </c>
      <c r="J341" s="48">
        <f t="shared" si="4"/>
        <v>1850</v>
      </c>
      <c r="K341" s="49">
        <f t="shared" si="5"/>
        <v>0.5558112773</v>
      </c>
      <c r="L341" s="49">
        <f t="shared" si="6"/>
        <v>0.07882623705</v>
      </c>
      <c r="M341" s="49">
        <f t="shared" si="7"/>
        <v>0.3653624856</v>
      </c>
      <c r="N341" s="32" t="str">
        <f t="shared" si="8"/>
        <v>Jânio</v>
      </c>
      <c r="O341" s="50" t="s">
        <v>77</v>
      </c>
      <c r="P341" s="38">
        <v>509.0</v>
      </c>
      <c r="Q341" s="38">
        <v>827.0</v>
      </c>
      <c r="R341" s="38">
        <v>245.0</v>
      </c>
      <c r="S341" s="38">
        <v>221.0</v>
      </c>
      <c r="T341" s="38">
        <v>48.0</v>
      </c>
      <c r="U341" s="48">
        <f t="shared" si="9"/>
        <v>1581</v>
      </c>
      <c r="V341" s="48">
        <f t="shared" si="10"/>
        <v>1850</v>
      </c>
      <c r="W341" s="49">
        <f t="shared" si="11"/>
        <v>0.3219481341</v>
      </c>
      <c r="X341" s="49">
        <f t="shared" si="12"/>
        <v>0.523086654</v>
      </c>
      <c r="Y341" s="49">
        <f t="shared" si="13"/>
        <v>0.1549652119</v>
      </c>
      <c r="Z341" s="32" t="str">
        <f t="shared" si="14"/>
        <v>Milton</v>
      </c>
      <c r="AA341" s="50" t="s">
        <v>77</v>
      </c>
      <c r="AB341" s="38">
        <v>2165.0</v>
      </c>
      <c r="AC341" s="48">
        <f t="shared" si="19"/>
        <v>315</v>
      </c>
      <c r="AD341" s="51">
        <f t="shared" si="20"/>
        <v>0.8545034642</v>
      </c>
    </row>
    <row r="342">
      <c r="A342" s="61" t="s">
        <v>1229</v>
      </c>
      <c r="B342" s="46" t="s">
        <v>2326</v>
      </c>
      <c r="C342" s="47"/>
      <c r="D342" s="38">
        <v>812.0</v>
      </c>
      <c r="E342" s="38">
        <v>172.0</v>
      </c>
      <c r="F342" s="38">
        <v>527.0</v>
      </c>
      <c r="G342" s="38">
        <v>19.0</v>
      </c>
      <c r="H342" s="38">
        <v>84.0</v>
      </c>
      <c r="I342" s="48">
        <f t="shared" si="3"/>
        <v>1511</v>
      </c>
      <c r="J342" s="48">
        <f t="shared" si="4"/>
        <v>1614</v>
      </c>
      <c r="K342" s="49">
        <f t="shared" si="5"/>
        <v>0.5373924553</v>
      </c>
      <c r="L342" s="49">
        <f t="shared" si="6"/>
        <v>0.1138318994</v>
      </c>
      <c r="M342" s="49">
        <f t="shared" si="7"/>
        <v>0.3487756453</v>
      </c>
      <c r="N342" s="32" t="str">
        <f t="shared" si="8"/>
        <v>Jânio</v>
      </c>
      <c r="O342" s="50" t="s">
        <v>77</v>
      </c>
      <c r="P342" s="38">
        <v>429.0</v>
      </c>
      <c r="Q342" s="38">
        <v>576.0</v>
      </c>
      <c r="R342" s="38">
        <v>240.0</v>
      </c>
      <c r="S342" s="38">
        <v>329.0</v>
      </c>
      <c r="T342" s="38">
        <v>40.0</v>
      </c>
      <c r="U342" s="48">
        <f t="shared" si="9"/>
        <v>1245</v>
      </c>
      <c r="V342" s="48">
        <f t="shared" si="10"/>
        <v>1614</v>
      </c>
      <c r="W342" s="49">
        <f t="shared" si="11"/>
        <v>0.3445783133</v>
      </c>
      <c r="X342" s="49">
        <f t="shared" si="12"/>
        <v>0.4626506024</v>
      </c>
      <c r="Y342" s="49">
        <f t="shared" si="13"/>
        <v>0.1927710843</v>
      </c>
      <c r="Z342" s="32" t="str">
        <f t="shared" si="14"/>
        <v>Milton</v>
      </c>
      <c r="AA342" s="50" t="s">
        <v>77</v>
      </c>
      <c r="AB342" s="38">
        <v>1801.0</v>
      </c>
      <c r="AC342" s="48">
        <f t="shared" si="19"/>
        <v>187</v>
      </c>
      <c r="AD342" s="51">
        <f t="shared" si="20"/>
        <v>0.8961687951</v>
      </c>
    </row>
    <row r="343">
      <c r="A343" s="24"/>
      <c r="B343" s="46" t="s">
        <v>2327</v>
      </c>
      <c r="C343" s="47"/>
      <c r="D343" s="38">
        <v>838.0</v>
      </c>
      <c r="E343" s="38">
        <v>107.0</v>
      </c>
      <c r="F343" s="38">
        <v>271.0</v>
      </c>
      <c r="G343" s="38">
        <v>17.0</v>
      </c>
      <c r="H343" s="38">
        <v>35.0</v>
      </c>
      <c r="I343" s="48">
        <f t="shared" si="3"/>
        <v>1216</v>
      </c>
      <c r="J343" s="48">
        <f t="shared" si="4"/>
        <v>1268</v>
      </c>
      <c r="K343" s="49">
        <f t="shared" si="5"/>
        <v>0.6891447368</v>
      </c>
      <c r="L343" s="49">
        <f t="shared" si="6"/>
        <v>0.08799342105</v>
      </c>
      <c r="M343" s="49">
        <f t="shared" si="7"/>
        <v>0.2228618421</v>
      </c>
      <c r="N343" s="32" t="str">
        <f t="shared" si="8"/>
        <v>Jânio</v>
      </c>
      <c r="O343" s="50" t="s">
        <v>77</v>
      </c>
      <c r="P343" s="38">
        <v>296.0</v>
      </c>
      <c r="Q343" s="38">
        <v>291.0</v>
      </c>
      <c r="R343" s="38">
        <v>550.0</v>
      </c>
      <c r="S343" s="38">
        <v>105.0</v>
      </c>
      <c r="T343" s="38">
        <v>26.0</v>
      </c>
      <c r="U343" s="48">
        <f t="shared" si="9"/>
        <v>1137</v>
      </c>
      <c r="V343" s="48">
        <f t="shared" si="10"/>
        <v>1268</v>
      </c>
      <c r="W343" s="49">
        <f t="shared" si="11"/>
        <v>0.2603342128</v>
      </c>
      <c r="X343" s="49">
        <f t="shared" si="12"/>
        <v>0.2559366755</v>
      </c>
      <c r="Y343" s="49">
        <f t="shared" si="13"/>
        <v>0.4837291117</v>
      </c>
      <c r="Z343" s="32" t="str">
        <f t="shared" si="14"/>
        <v>Ferrari</v>
      </c>
      <c r="AA343" s="50" t="s">
        <v>77</v>
      </c>
      <c r="AB343" s="38">
        <v>1358.0</v>
      </c>
      <c r="AC343" s="48">
        <f t="shared" si="19"/>
        <v>90</v>
      </c>
      <c r="AD343" s="51">
        <f t="shared" si="20"/>
        <v>0.9337260677</v>
      </c>
    </row>
    <row r="344">
      <c r="A344" s="110" t="s">
        <v>1234</v>
      </c>
      <c r="B344" s="46" t="s">
        <v>2328</v>
      </c>
      <c r="C344" s="47"/>
      <c r="D344" s="38">
        <v>1290.0</v>
      </c>
      <c r="E344" s="38">
        <v>212.0</v>
      </c>
      <c r="F344" s="38">
        <v>1002.0</v>
      </c>
      <c r="G344" s="38">
        <v>80.0</v>
      </c>
      <c r="H344" s="38">
        <v>94.0</v>
      </c>
      <c r="I344" s="48">
        <f t="shared" si="3"/>
        <v>2504</v>
      </c>
      <c r="J344" s="48">
        <f t="shared" si="4"/>
        <v>2678</v>
      </c>
      <c r="K344" s="49">
        <f t="shared" si="5"/>
        <v>0.5151757188</v>
      </c>
      <c r="L344" s="49">
        <f t="shared" si="6"/>
        <v>0.08466453674</v>
      </c>
      <c r="M344" s="49">
        <f t="shared" si="7"/>
        <v>0.4001597444</v>
      </c>
      <c r="N344" s="32" t="str">
        <f t="shared" si="8"/>
        <v>Jânio</v>
      </c>
      <c r="O344" s="50" t="s">
        <v>77</v>
      </c>
      <c r="P344" s="38">
        <v>640.0</v>
      </c>
      <c r="Q344" s="38">
        <v>919.0</v>
      </c>
      <c r="R344" s="38">
        <v>725.0</v>
      </c>
      <c r="S344" s="38">
        <v>319.0</v>
      </c>
      <c r="T344" s="38">
        <v>75.0</v>
      </c>
      <c r="U344" s="48">
        <f t="shared" si="9"/>
        <v>2284</v>
      </c>
      <c r="V344" s="48">
        <f t="shared" si="10"/>
        <v>2678</v>
      </c>
      <c r="W344" s="49">
        <f t="shared" si="11"/>
        <v>0.2802101576</v>
      </c>
      <c r="X344" s="49">
        <f t="shared" si="12"/>
        <v>0.4023642732</v>
      </c>
      <c r="Y344" s="49">
        <f t="shared" si="13"/>
        <v>0.3174255692</v>
      </c>
      <c r="Z344" s="32" t="str">
        <f t="shared" si="14"/>
        <v>Milton</v>
      </c>
      <c r="AA344" s="50" t="s">
        <v>77</v>
      </c>
      <c r="AB344" s="38">
        <v>2954.0</v>
      </c>
      <c r="AC344" s="48">
        <f t="shared" si="19"/>
        <v>276</v>
      </c>
      <c r="AD344" s="51">
        <f t="shared" si="20"/>
        <v>0.9065673663</v>
      </c>
    </row>
    <row r="345">
      <c r="A345" s="61" t="s">
        <v>1236</v>
      </c>
      <c r="B345" s="46" t="s">
        <v>2329</v>
      </c>
      <c r="C345" s="47"/>
      <c r="D345" s="38">
        <v>4095.0</v>
      </c>
      <c r="E345" s="38">
        <v>1289.0</v>
      </c>
      <c r="F345" s="38">
        <v>3531.0</v>
      </c>
      <c r="G345" s="38">
        <v>158.0</v>
      </c>
      <c r="H345" s="38">
        <v>284.0</v>
      </c>
      <c r="I345" s="48">
        <f t="shared" si="3"/>
        <v>8915</v>
      </c>
      <c r="J345" s="48">
        <f t="shared" si="4"/>
        <v>9357</v>
      </c>
      <c r="K345" s="49">
        <f t="shared" si="5"/>
        <v>0.4593381941</v>
      </c>
      <c r="L345" s="49">
        <f t="shared" si="6"/>
        <v>0.1445877734</v>
      </c>
      <c r="M345" s="49">
        <f t="shared" si="7"/>
        <v>0.3960740325</v>
      </c>
      <c r="N345" s="32" t="str">
        <f t="shared" si="8"/>
        <v>Jânio</v>
      </c>
      <c r="O345" s="50" t="s">
        <v>77</v>
      </c>
      <c r="P345" s="38">
        <v>3303.0</v>
      </c>
      <c r="Q345" s="38">
        <v>3843.0</v>
      </c>
      <c r="R345" s="38">
        <v>1036.0</v>
      </c>
      <c r="S345" s="38">
        <v>1052.0</v>
      </c>
      <c r="T345" s="38">
        <v>123.0</v>
      </c>
      <c r="U345" s="48">
        <f t="shared" si="9"/>
        <v>8182</v>
      </c>
      <c r="V345" s="48">
        <f t="shared" si="10"/>
        <v>9357</v>
      </c>
      <c r="W345" s="49">
        <f t="shared" si="11"/>
        <v>0.4036910291</v>
      </c>
      <c r="X345" s="49">
        <f t="shared" si="12"/>
        <v>0.4696895625</v>
      </c>
      <c r="Y345" s="49">
        <f t="shared" si="13"/>
        <v>0.1266194085</v>
      </c>
      <c r="Z345" s="32" t="str">
        <f t="shared" si="14"/>
        <v>Milton</v>
      </c>
      <c r="AA345" s="50" t="s">
        <v>77</v>
      </c>
      <c r="AB345" s="38">
        <v>10387.0</v>
      </c>
      <c r="AC345" s="48">
        <f t="shared" si="19"/>
        <v>1030</v>
      </c>
      <c r="AD345" s="51">
        <f t="shared" si="20"/>
        <v>0.9008375854</v>
      </c>
    </row>
    <row r="346">
      <c r="A346" s="23"/>
      <c r="B346" s="46" t="s">
        <v>2330</v>
      </c>
      <c r="C346" s="47"/>
      <c r="D346" s="38">
        <v>1490.0</v>
      </c>
      <c r="E346" s="38">
        <v>272.0</v>
      </c>
      <c r="F346" s="38">
        <v>583.0</v>
      </c>
      <c r="G346" s="38">
        <v>68.0</v>
      </c>
      <c r="H346" s="38">
        <v>94.0</v>
      </c>
      <c r="I346" s="48">
        <f t="shared" si="3"/>
        <v>2345</v>
      </c>
      <c r="J346" s="48">
        <f t="shared" si="4"/>
        <v>2507</v>
      </c>
      <c r="K346" s="49">
        <f t="shared" si="5"/>
        <v>0.6353944563</v>
      </c>
      <c r="L346" s="49">
        <f t="shared" si="6"/>
        <v>0.1159914712</v>
      </c>
      <c r="M346" s="49">
        <f t="shared" si="7"/>
        <v>0.2486140725</v>
      </c>
      <c r="N346" s="32" t="str">
        <f t="shared" si="8"/>
        <v>Jânio</v>
      </c>
      <c r="O346" s="50" t="s">
        <v>77</v>
      </c>
      <c r="P346" s="38">
        <v>661.0</v>
      </c>
      <c r="Q346" s="38">
        <v>1177.0</v>
      </c>
      <c r="R346" s="38">
        <v>327.0</v>
      </c>
      <c r="S346" s="38">
        <v>302.0</v>
      </c>
      <c r="T346" s="38">
        <v>40.0</v>
      </c>
      <c r="U346" s="48">
        <f t="shared" si="9"/>
        <v>2165</v>
      </c>
      <c r="V346" s="48">
        <f t="shared" si="10"/>
        <v>2507</v>
      </c>
      <c r="W346" s="49">
        <f t="shared" si="11"/>
        <v>0.3053117783</v>
      </c>
      <c r="X346" s="49">
        <f t="shared" si="12"/>
        <v>0.5436489607</v>
      </c>
      <c r="Y346" s="49">
        <f t="shared" si="13"/>
        <v>0.151039261</v>
      </c>
      <c r="Z346" s="32" t="str">
        <f t="shared" si="14"/>
        <v>Milton</v>
      </c>
      <c r="AA346" s="50" t="s">
        <v>77</v>
      </c>
      <c r="AB346" s="38">
        <v>2731.0</v>
      </c>
      <c r="AC346" s="48">
        <f t="shared" si="19"/>
        <v>224</v>
      </c>
      <c r="AD346" s="51">
        <f t="shared" si="20"/>
        <v>0.9179787624</v>
      </c>
    </row>
    <row r="347">
      <c r="A347" s="23"/>
      <c r="B347" s="46" t="s">
        <v>2331</v>
      </c>
      <c r="C347" s="47"/>
      <c r="D347" s="38">
        <v>1101.0</v>
      </c>
      <c r="E347" s="38">
        <v>264.0</v>
      </c>
      <c r="F347" s="38">
        <v>1129.0</v>
      </c>
      <c r="G347" s="38">
        <v>40.0</v>
      </c>
      <c r="H347" s="38">
        <v>67.0</v>
      </c>
      <c r="I347" s="48">
        <f t="shared" si="3"/>
        <v>2494</v>
      </c>
      <c r="J347" s="48">
        <f t="shared" si="4"/>
        <v>2601</v>
      </c>
      <c r="K347" s="49">
        <f t="shared" si="5"/>
        <v>0.4414595028</v>
      </c>
      <c r="L347" s="49">
        <f t="shared" si="6"/>
        <v>0.1058540497</v>
      </c>
      <c r="M347" s="49">
        <f t="shared" si="7"/>
        <v>0.4526864475</v>
      </c>
      <c r="N347" s="32" t="str">
        <f t="shared" si="8"/>
        <v>Adhemar</v>
      </c>
      <c r="O347" s="50" t="s">
        <v>77</v>
      </c>
      <c r="P347" s="38">
        <v>707.0</v>
      </c>
      <c r="Q347" s="38">
        <v>1033.0</v>
      </c>
      <c r="R347" s="38">
        <v>644.0</v>
      </c>
      <c r="S347" s="38">
        <v>182.0</v>
      </c>
      <c r="T347" s="38">
        <v>35.0</v>
      </c>
      <c r="U347" s="48">
        <f t="shared" si="9"/>
        <v>2384</v>
      </c>
      <c r="V347" s="48">
        <f t="shared" si="10"/>
        <v>2601</v>
      </c>
      <c r="W347" s="49">
        <f t="shared" si="11"/>
        <v>0.2965604027</v>
      </c>
      <c r="X347" s="49">
        <f t="shared" si="12"/>
        <v>0.4333053691</v>
      </c>
      <c r="Y347" s="49">
        <f t="shared" si="13"/>
        <v>0.2701342282</v>
      </c>
      <c r="Z347" s="32" t="str">
        <f t="shared" si="14"/>
        <v>Milton</v>
      </c>
      <c r="AA347" s="50" t="s">
        <v>77</v>
      </c>
      <c r="AB347" s="38">
        <v>2865.0</v>
      </c>
      <c r="AC347" s="48">
        <f t="shared" si="19"/>
        <v>264</v>
      </c>
      <c r="AD347" s="51">
        <f t="shared" si="20"/>
        <v>0.9078534031</v>
      </c>
    </row>
    <row r="348">
      <c r="A348" s="23"/>
      <c r="B348" s="46" t="s">
        <v>2332</v>
      </c>
      <c r="C348" s="47"/>
      <c r="D348" s="38">
        <v>574.0</v>
      </c>
      <c r="E348" s="38">
        <v>100.0</v>
      </c>
      <c r="F348" s="38">
        <v>432.0</v>
      </c>
      <c r="G348" s="38">
        <v>20.0</v>
      </c>
      <c r="H348" s="38">
        <v>47.0</v>
      </c>
      <c r="I348" s="48">
        <f t="shared" si="3"/>
        <v>1106</v>
      </c>
      <c r="J348" s="48">
        <f t="shared" si="4"/>
        <v>1173</v>
      </c>
      <c r="K348" s="49">
        <f t="shared" si="5"/>
        <v>0.5189873418</v>
      </c>
      <c r="L348" s="49">
        <f t="shared" si="6"/>
        <v>0.0904159132</v>
      </c>
      <c r="M348" s="49">
        <f t="shared" si="7"/>
        <v>0.390596745</v>
      </c>
      <c r="N348" s="32" t="str">
        <f t="shared" si="8"/>
        <v>Jânio</v>
      </c>
      <c r="O348" s="50" t="s">
        <v>77</v>
      </c>
      <c r="P348" s="38">
        <v>400.0</v>
      </c>
      <c r="Q348" s="38">
        <v>474.0</v>
      </c>
      <c r="R348" s="38">
        <v>102.0</v>
      </c>
      <c r="S348" s="38">
        <v>177.0</v>
      </c>
      <c r="T348" s="38">
        <v>20.0</v>
      </c>
      <c r="U348" s="48">
        <f t="shared" si="9"/>
        <v>976</v>
      </c>
      <c r="V348" s="48">
        <f t="shared" si="10"/>
        <v>1173</v>
      </c>
      <c r="W348" s="49">
        <f t="shared" si="11"/>
        <v>0.4098360656</v>
      </c>
      <c r="X348" s="49">
        <f t="shared" si="12"/>
        <v>0.4856557377</v>
      </c>
      <c r="Y348" s="49">
        <f t="shared" si="13"/>
        <v>0.1045081967</v>
      </c>
      <c r="Z348" s="32" t="str">
        <f t="shared" si="14"/>
        <v>Milton</v>
      </c>
      <c r="AA348" s="50" t="s">
        <v>77</v>
      </c>
      <c r="AB348" s="38">
        <v>1257.0</v>
      </c>
      <c r="AC348" s="48">
        <f t="shared" si="19"/>
        <v>84</v>
      </c>
      <c r="AD348" s="51">
        <f t="shared" si="20"/>
        <v>0.9331742243</v>
      </c>
    </row>
    <row r="349">
      <c r="A349" s="24"/>
      <c r="B349" s="46" t="s">
        <v>2333</v>
      </c>
      <c r="C349" s="47"/>
      <c r="D349" s="38">
        <v>455.0</v>
      </c>
      <c r="E349" s="38">
        <v>87.0</v>
      </c>
      <c r="F349" s="38">
        <v>253.0</v>
      </c>
      <c r="G349" s="38">
        <v>20.0</v>
      </c>
      <c r="H349" s="38">
        <v>36.0</v>
      </c>
      <c r="I349" s="48">
        <f t="shared" si="3"/>
        <v>795</v>
      </c>
      <c r="J349" s="48">
        <f t="shared" si="4"/>
        <v>851</v>
      </c>
      <c r="K349" s="49">
        <f t="shared" si="5"/>
        <v>0.572327044</v>
      </c>
      <c r="L349" s="49">
        <f t="shared" si="6"/>
        <v>0.1094339623</v>
      </c>
      <c r="M349" s="49">
        <f t="shared" si="7"/>
        <v>0.3182389937</v>
      </c>
      <c r="N349" s="32" t="str">
        <f t="shared" si="8"/>
        <v>Jânio</v>
      </c>
      <c r="O349" s="50" t="s">
        <v>77</v>
      </c>
      <c r="P349" s="38">
        <v>227.0</v>
      </c>
      <c r="Q349" s="38">
        <v>382.0</v>
      </c>
      <c r="R349" s="38">
        <v>74.0</v>
      </c>
      <c r="S349" s="38">
        <v>154.0</v>
      </c>
      <c r="T349" s="38">
        <v>14.0</v>
      </c>
      <c r="U349" s="48">
        <f t="shared" si="9"/>
        <v>683</v>
      </c>
      <c r="V349" s="48">
        <f t="shared" si="10"/>
        <v>851</v>
      </c>
      <c r="W349" s="49">
        <f t="shared" si="11"/>
        <v>0.3323572474</v>
      </c>
      <c r="X349" s="49">
        <f t="shared" si="12"/>
        <v>0.5592972182</v>
      </c>
      <c r="Y349" s="49">
        <f t="shared" si="13"/>
        <v>0.1083455344</v>
      </c>
      <c r="Z349" s="32" t="str">
        <f t="shared" si="14"/>
        <v>Milton</v>
      </c>
      <c r="AA349" s="50" t="s">
        <v>77</v>
      </c>
      <c r="AB349" s="38">
        <v>1013.0</v>
      </c>
      <c r="AC349" s="48">
        <f t="shared" si="19"/>
        <v>162</v>
      </c>
      <c r="AD349" s="51">
        <f t="shared" si="20"/>
        <v>0.8400789733</v>
      </c>
    </row>
    <row r="350">
      <c r="A350" s="61" t="s">
        <v>1238</v>
      </c>
      <c r="B350" s="46" t="s">
        <v>219</v>
      </c>
      <c r="C350" s="47"/>
      <c r="D350" s="38">
        <v>1176.0</v>
      </c>
      <c r="E350" s="38">
        <v>212.0</v>
      </c>
      <c r="F350" s="38">
        <v>277.0</v>
      </c>
      <c r="G350" s="38">
        <v>38.0</v>
      </c>
      <c r="H350" s="38">
        <v>46.0</v>
      </c>
      <c r="I350" s="48">
        <f t="shared" si="3"/>
        <v>1665</v>
      </c>
      <c r="J350" s="48">
        <f t="shared" si="4"/>
        <v>1749</v>
      </c>
      <c r="K350" s="49">
        <f t="shared" si="5"/>
        <v>0.7063063063</v>
      </c>
      <c r="L350" s="49">
        <f t="shared" si="6"/>
        <v>0.1273273273</v>
      </c>
      <c r="M350" s="49">
        <f t="shared" si="7"/>
        <v>0.1663663664</v>
      </c>
      <c r="N350" s="32" t="str">
        <f t="shared" si="8"/>
        <v>Jânio</v>
      </c>
      <c r="O350" s="50" t="s">
        <v>77</v>
      </c>
      <c r="P350" s="38">
        <v>464.0</v>
      </c>
      <c r="Q350" s="38">
        <v>977.0</v>
      </c>
      <c r="R350" s="38">
        <v>115.0</v>
      </c>
      <c r="S350" s="38">
        <v>156.0</v>
      </c>
      <c r="T350" s="38">
        <v>37.0</v>
      </c>
      <c r="U350" s="48">
        <f t="shared" si="9"/>
        <v>1556</v>
      </c>
      <c r="V350" s="48">
        <f t="shared" si="10"/>
        <v>1749</v>
      </c>
      <c r="W350" s="49">
        <f t="shared" si="11"/>
        <v>0.2982005141</v>
      </c>
      <c r="X350" s="49">
        <f t="shared" si="12"/>
        <v>0.6278920308</v>
      </c>
      <c r="Y350" s="49">
        <f t="shared" si="13"/>
        <v>0.07390745501</v>
      </c>
      <c r="Z350" s="32" t="str">
        <f t="shared" si="14"/>
        <v>Milton</v>
      </c>
      <c r="AA350" s="50" t="s">
        <v>77</v>
      </c>
      <c r="AB350" s="38">
        <v>1841.0</v>
      </c>
      <c r="AC350" s="48">
        <f t="shared" si="19"/>
        <v>92</v>
      </c>
      <c r="AD350" s="51">
        <f t="shared" si="20"/>
        <v>0.9500271592</v>
      </c>
    </row>
    <row r="351">
      <c r="A351" s="23"/>
      <c r="B351" s="46" t="s">
        <v>2334</v>
      </c>
      <c r="C351" s="47"/>
      <c r="D351" s="38">
        <v>327.0</v>
      </c>
      <c r="E351" s="38">
        <v>52.0</v>
      </c>
      <c r="F351" s="38">
        <v>211.0</v>
      </c>
      <c r="G351" s="38">
        <v>14.0</v>
      </c>
      <c r="H351" s="38">
        <v>40.0</v>
      </c>
      <c r="I351" s="48">
        <f t="shared" si="3"/>
        <v>590</v>
      </c>
      <c r="J351" s="48">
        <f t="shared" si="4"/>
        <v>644</v>
      </c>
      <c r="K351" s="49">
        <f t="shared" si="5"/>
        <v>0.5542372881</v>
      </c>
      <c r="L351" s="49">
        <f t="shared" si="6"/>
        <v>0.08813559322</v>
      </c>
      <c r="M351" s="49">
        <f t="shared" si="7"/>
        <v>0.3576271186</v>
      </c>
      <c r="N351" s="32" t="str">
        <f t="shared" si="8"/>
        <v>Jânio</v>
      </c>
      <c r="O351" s="50" t="s">
        <v>77</v>
      </c>
      <c r="P351" s="38">
        <v>195.0</v>
      </c>
      <c r="Q351" s="38">
        <v>288.0</v>
      </c>
      <c r="R351" s="38">
        <v>61.0</v>
      </c>
      <c r="S351" s="38">
        <v>83.0</v>
      </c>
      <c r="T351" s="38">
        <v>17.0</v>
      </c>
      <c r="U351" s="48">
        <f t="shared" si="9"/>
        <v>544</v>
      </c>
      <c r="V351" s="48">
        <f t="shared" si="10"/>
        <v>644</v>
      </c>
      <c r="W351" s="49">
        <f t="shared" si="11"/>
        <v>0.3584558824</v>
      </c>
      <c r="X351" s="49">
        <f t="shared" si="12"/>
        <v>0.5294117647</v>
      </c>
      <c r="Y351" s="49">
        <f t="shared" si="13"/>
        <v>0.1121323529</v>
      </c>
      <c r="Z351" s="32" t="str">
        <f t="shared" si="14"/>
        <v>Milton</v>
      </c>
      <c r="AA351" s="50" t="s">
        <v>77</v>
      </c>
      <c r="AB351" s="38">
        <v>690.0</v>
      </c>
      <c r="AC351" s="48">
        <f t="shared" si="19"/>
        <v>46</v>
      </c>
      <c r="AD351" s="51">
        <f t="shared" si="20"/>
        <v>0.9333333333</v>
      </c>
    </row>
    <row r="352">
      <c r="A352" s="24"/>
      <c r="B352" s="46" t="s">
        <v>2335</v>
      </c>
      <c r="C352" s="47"/>
      <c r="D352" s="38">
        <v>307.0</v>
      </c>
      <c r="E352" s="38">
        <v>26.0</v>
      </c>
      <c r="F352" s="38">
        <v>142.0</v>
      </c>
      <c r="G352" s="38">
        <v>18.0</v>
      </c>
      <c r="H352" s="38">
        <v>24.0</v>
      </c>
      <c r="I352" s="48">
        <f t="shared" si="3"/>
        <v>475</v>
      </c>
      <c r="J352" s="48">
        <f t="shared" si="4"/>
        <v>517</v>
      </c>
      <c r="K352" s="49">
        <f t="shared" si="5"/>
        <v>0.6463157895</v>
      </c>
      <c r="L352" s="49">
        <f t="shared" si="6"/>
        <v>0.05473684211</v>
      </c>
      <c r="M352" s="49">
        <f t="shared" si="7"/>
        <v>0.2989473684</v>
      </c>
      <c r="N352" s="32" t="str">
        <f t="shared" si="8"/>
        <v>Jânio</v>
      </c>
      <c r="O352" s="50" t="s">
        <v>77</v>
      </c>
      <c r="P352" s="38">
        <v>104.0</v>
      </c>
      <c r="Q352" s="38">
        <v>253.0</v>
      </c>
      <c r="R352" s="38">
        <v>45.0</v>
      </c>
      <c r="S352" s="38">
        <v>99.0</v>
      </c>
      <c r="T352" s="38">
        <v>16.0</v>
      </c>
      <c r="U352" s="48">
        <f t="shared" si="9"/>
        <v>402</v>
      </c>
      <c r="V352" s="48">
        <f t="shared" si="10"/>
        <v>517</v>
      </c>
      <c r="W352" s="49">
        <f t="shared" si="11"/>
        <v>0.2587064677</v>
      </c>
      <c r="X352" s="49">
        <f t="shared" si="12"/>
        <v>0.6293532338</v>
      </c>
      <c r="Y352" s="49">
        <f t="shared" si="13"/>
        <v>0.1119402985</v>
      </c>
      <c r="Z352" s="32" t="str">
        <f t="shared" si="14"/>
        <v>Milton</v>
      </c>
      <c r="AA352" s="50" t="s">
        <v>77</v>
      </c>
      <c r="AB352" s="38">
        <v>617.0</v>
      </c>
      <c r="AC352" s="48">
        <f t="shared" si="19"/>
        <v>100</v>
      </c>
      <c r="AD352" s="51">
        <f t="shared" si="20"/>
        <v>0.8379254457</v>
      </c>
    </row>
    <row r="353">
      <c r="A353" s="110" t="s">
        <v>1240</v>
      </c>
      <c r="B353" s="46" t="s">
        <v>2336</v>
      </c>
      <c r="C353" s="47"/>
      <c r="D353" s="38">
        <v>2211.0</v>
      </c>
      <c r="E353" s="38">
        <v>578.0</v>
      </c>
      <c r="F353" s="38">
        <v>1067.0</v>
      </c>
      <c r="G353" s="38">
        <v>150.0</v>
      </c>
      <c r="H353" s="38">
        <v>222.0</v>
      </c>
      <c r="I353" s="48">
        <f t="shared" si="3"/>
        <v>3856</v>
      </c>
      <c r="J353" s="48">
        <f t="shared" si="4"/>
        <v>4228</v>
      </c>
      <c r="K353" s="49">
        <f t="shared" si="5"/>
        <v>0.5733921162</v>
      </c>
      <c r="L353" s="49">
        <f t="shared" si="6"/>
        <v>0.1498962656</v>
      </c>
      <c r="M353" s="49">
        <f t="shared" si="7"/>
        <v>0.2767116183</v>
      </c>
      <c r="N353" s="32" t="str">
        <f t="shared" si="8"/>
        <v>Jânio</v>
      </c>
      <c r="O353" s="50" t="s">
        <v>77</v>
      </c>
      <c r="P353" s="38">
        <v>1326.0</v>
      </c>
      <c r="Q353" s="38">
        <v>1577.0</v>
      </c>
      <c r="R353" s="38">
        <v>604.0</v>
      </c>
      <c r="S353" s="38">
        <v>579.0</v>
      </c>
      <c r="T353" s="38">
        <v>142.0</v>
      </c>
      <c r="U353" s="48">
        <f t="shared" si="9"/>
        <v>3507</v>
      </c>
      <c r="V353" s="48">
        <f t="shared" si="10"/>
        <v>4228</v>
      </c>
      <c r="W353" s="49">
        <f t="shared" si="11"/>
        <v>0.378100941</v>
      </c>
      <c r="X353" s="49">
        <f t="shared" si="12"/>
        <v>0.4496720844</v>
      </c>
      <c r="Y353" s="49">
        <f t="shared" si="13"/>
        <v>0.1722269746</v>
      </c>
      <c r="Z353" s="32" t="str">
        <f t="shared" si="14"/>
        <v>Milton</v>
      </c>
      <c r="AA353" s="50" t="s">
        <v>77</v>
      </c>
      <c r="AB353" s="38">
        <v>4896.0</v>
      </c>
      <c r="AC353" s="48">
        <f t="shared" si="19"/>
        <v>668</v>
      </c>
      <c r="AD353" s="51">
        <f t="shared" si="20"/>
        <v>0.8635620915</v>
      </c>
    </row>
    <row r="354">
      <c r="A354" s="61" t="s">
        <v>1242</v>
      </c>
      <c r="B354" s="46" t="s">
        <v>2337</v>
      </c>
      <c r="C354" s="47"/>
      <c r="D354" s="38">
        <v>2873.0</v>
      </c>
      <c r="E354" s="38">
        <v>846.0</v>
      </c>
      <c r="F354" s="38">
        <v>951.0</v>
      </c>
      <c r="G354" s="38">
        <v>116.0</v>
      </c>
      <c r="H354" s="38">
        <v>213.0</v>
      </c>
      <c r="I354" s="48">
        <f t="shared" si="3"/>
        <v>4670</v>
      </c>
      <c r="J354" s="48">
        <f t="shared" si="4"/>
        <v>4999</v>
      </c>
      <c r="K354" s="49">
        <f t="shared" si="5"/>
        <v>0.6152034261</v>
      </c>
      <c r="L354" s="49">
        <f t="shared" si="6"/>
        <v>0.1811563169</v>
      </c>
      <c r="M354" s="49">
        <f t="shared" si="7"/>
        <v>0.203640257</v>
      </c>
      <c r="N354" s="32" t="str">
        <f t="shared" si="8"/>
        <v>Jânio</v>
      </c>
      <c r="O354" s="50" t="s">
        <v>77</v>
      </c>
      <c r="P354" s="38">
        <v>1393.0</v>
      </c>
      <c r="Q354" s="38">
        <v>1819.0</v>
      </c>
      <c r="R354" s="38">
        <v>1070.0</v>
      </c>
      <c r="S354" s="38">
        <v>504.0</v>
      </c>
      <c r="T354" s="38">
        <v>213.0</v>
      </c>
      <c r="U354" s="48">
        <f t="shared" si="9"/>
        <v>4282</v>
      </c>
      <c r="V354" s="48">
        <f t="shared" si="10"/>
        <v>4999</v>
      </c>
      <c r="W354" s="49">
        <f t="shared" si="11"/>
        <v>0.3253152732</v>
      </c>
      <c r="X354" s="49">
        <f t="shared" si="12"/>
        <v>0.4248014946</v>
      </c>
      <c r="Y354" s="49">
        <f t="shared" si="13"/>
        <v>0.2498832321</v>
      </c>
      <c r="Z354" s="32" t="str">
        <f t="shared" si="14"/>
        <v>Milton</v>
      </c>
      <c r="AA354" s="50" t="s">
        <v>77</v>
      </c>
      <c r="AB354" s="38">
        <v>5893.0</v>
      </c>
      <c r="AC354" s="48">
        <f t="shared" si="19"/>
        <v>894</v>
      </c>
      <c r="AD354" s="51">
        <f t="shared" si="20"/>
        <v>0.8482945868</v>
      </c>
    </row>
    <row r="355">
      <c r="A355" s="23"/>
      <c r="B355" s="46" t="s">
        <v>2338</v>
      </c>
      <c r="C355" s="47"/>
      <c r="D355" s="38">
        <v>1462.0</v>
      </c>
      <c r="E355" s="38">
        <v>425.0</v>
      </c>
      <c r="F355" s="55">
        <v>569.0</v>
      </c>
      <c r="G355" s="38">
        <v>70.0</v>
      </c>
      <c r="H355" s="38">
        <v>295.0</v>
      </c>
      <c r="I355" s="48">
        <f t="shared" si="3"/>
        <v>2456</v>
      </c>
      <c r="J355" s="114">
        <f t="shared" si="4"/>
        <v>2821</v>
      </c>
      <c r="K355" s="49">
        <f t="shared" si="5"/>
        <v>0.595276873</v>
      </c>
      <c r="L355" s="49">
        <f t="shared" si="6"/>
        <v>0.1730456026</v>
      </c>
      <c r="M355" s="49">
        <f t="shared" si="7"/>
        <v>0.2316775244</v>
      </c>
      <c r="N355" s="32" t="str">
        <f t="shared" si="8"/>
        <v>Jânio</v>
      </c>
      <c r="O355" s="50" t="s">
        <v>77</v>
      </c>
      <c r="P355" s="38">
        <v>686.0</v>
      </c>
      <c r="Q355" s="38">
        <v>835.0</v>
      </c>
      <c r="R355" s="38">
        <v>698.0</v>
      </c>
      <c r="S355" s="38">
        <v>307.0</v>
      </c>
      <c r="T355" s="38">
        <v>295.0</v>
      </c>
      <c r="U355" s="48">
        <f t="shared" si="9"/>
        <v>2219</v>
      </c>
      <c r="V355" s="48">
        <f t="shared" si="10"/>
        <v>2821</v>
      </c>
      <c r="W355" s="49">
        <f t="shared" si="11"/>
        <v>0.309148265</v>
      </c>
      <c r="X355" s="49">
        <f t="shared" si="12"/>
        <v>0.3762956287</v>
      </c>
      <c r="Y355" s="49">
        <f t="shared" si="13"/>
        <v>0.3145561064</v>
      </c>
      <c r="Z355" s="32" t="str">
        <f t="shared" si="14"/>
        <v>Milton</v>
      </c>
      <c r="AA355" s="50" t="s">
        <v>77</v>
      </c>
      <c r="AB355" s="38">
        <v>4086.0</v>
      </c>
      <c r="AC355" s="48">
        <f t="shared" si="19"/>
        <v>1265</v>
      </c>
      <c r="AD355" s="51">
        <f t="shared" si="20"/>
        <v>0.6904062653</v>
      </c>
    </row>
    <row r="356">
      <c r="A356" s="24"/>
      <c r="B356" s="46" t="s">
        <v>2339</v>
      </c>
      <c r="C356" s="47"/>
      <c r="D356" s="38">
        <v>510.0</v>
      </c>
      <c r="E356" s="38">
        <v>91.0</v>
      </c>
      <c r="F356" s="38">
        <v>153.0</v>
      </c>
      <c r="G356" s="38">
        <v>17.0</v>
      </c>
      <c r="H356" s="38">
        <v>50.0</v>
      </c>
      <c r="I356" s="48">
        <f t="shared" si="3"/>
        <v>754</v>
      </c>
      <c r="J356" s="48">
        <f t="shared" si="4"/>
        <v>821</v>
      </c>
      <c r="K356" s="49">
        <f t="shared" si="5"/>
        <v>0.6763925729</v>
      </c>
      <c r="L356" s="49">
        <f t="shared" si="6"/>
        <v>0.1206896552</v>
      </c>
      <c r="M356" s="49">
        <f t="shared" si="7"/>
        <v>0.2029177719</v>
      </c>
      <c r="N356" s="32" t="str">
        <f t="shared" si="8"/>
        <v>Jânio</v>
      </c>
      <c r="O356" s="50" t="s">
        <v>77</v>
      </c>
      <c r="P356" s="38">
        <v>192.0</v>
      </c>
      <c r="Q356" s="38">
        <v>382.0</v>
      </c>
      <c r="R356" s="38">
        <v>141.0</v>
      </c>
      <c r="S356" s="38">
        <v>56.0</v>
      </c>
      <c r="T356" s="38">
        <v>50.0</v>
      </c>
      <c r="U356" s="48">
        <f t="shared" si="9"/>
        <v>715</v>
      </c>
      <c r="V356" s="48">
        <f t="shared" si="10"/>
        <v>821</v>
      </c>
      <c r="W356" s="49">
        <f t="shared" si="11"/>
        <v>0.2685314685</v>
      </c>
      <c r="X356" s="49">
        <f t="shared" si="12"/>
        <v>0.5342657343</v>
      </c>
      <c r="Y356" s="49">
        <f t="shared" si="13"/>
        <v>0.1972027972</v>
      </c>
      <c r="Z356" s="32" t="str">
        <f t="shared" si="14"/>
        <v>Milton</v>
      </c>
      <c r="AA356" s="50" t="s">
        <v>77</v>
      </c>
      <c r="AB356" s="38">
        <v>973.0</v>
      </c>
      <c r="AC356" s="48">
        <f t="shared" si="19"/>
        <v>152</v>
      </c>
      <c r="AD356" s="51">
        <f t="shared" si="20"/>
        <v>0.8437821172</v>
      </c>
    </row>
    <row r="357">
      <c r="A357" s="86" t="s">
        <v>2340</v>
      </c>
      <c r="B357" s="123" t="s">
        <v>2341</v>
      </c>
      <c r="C357" s="124"/>
      <c r="D357" s="88">
        <v>49790.0</v>
      </c>
      <c r="E357" s="88">
        <v>14853.0</v>
      </c>
      <c r="F357" s="88">
        <v>16264.0</v>
      </c>
      <c r="G357" s="88">
        <v>827.0</v>
      </c>
      <c r="H357" s="88">
        <v>1664.0</v>
      </c>
      <c r="I357" s="89">
        <f t="shared" si="3"/>
        <v>80907</v>
      </c>
      <c r="J357" s="89">
        <f t="shared" si="4"/>
        <v>83398</v>
      </c>
      <c r="K357" s="90">
        <f t="shared" si="5"/>
        <v>0.615397926</v>
      </c>
      <c r="L357" s="90">
        <f t="shared" si="6"/>
        <v>0.1835811487</v>
      </c>
      <c r="M357" s="90">
        <f t="shared" si="7"/>
        <v>0.2010209253</v>
      </c>
      <c r="N357" s="91" t="str">
        <f t="shared" si="8"/>
        <v>Jânio</v>
      </c>
      <c r="O357" s="92" t="s">
        <v>77</v>
      </c>
      <c r="P357" s="88">
        <v>25228.0</v>
      </c>
      <c r="Q357" s="88">
        <v>44527.0</v>
      </c>
      <c r="R357" s="88">
        <v>9275.0</v>
      </c>
      <c r="S357" s="88">
        <v>2833.0</v>
      </c>
      <c r="T357" s="88">
        <v>1535.0</v>
      </c>
      <c r="U357" s="89">
        <f t="shared" si="9"/>
        <v>79030</v>
      </c>
      <c r="V357" s="89">
        <f t="shared" si="10"/>
        <v>83398</v>
      </c>
      <c r="W357" s="90">
        <f t="shared" si="11"/>
        <v>0.3192205492</v>
      </c>
      <c r="X357" s="90">
        <f t="shared" si="12"/>
        <v>0.5634189548</v>
      </c>
      <c r="Y357" s="90">
        <f t="shared" si="13"/>
        <v>0.117360496</v>
      </c>
      <c r="Z357" s="91" t="str">
        <f t="shared" si="14"/>
        <v>Milton</v>
      </c>
      <c r="AA357" s="92" t="s">
        <v>77</v>
      </c>
      <c r="AB357" s="88">
        <v>90927.0</v>
      </c>
      <c r="AC357" s="89">
        <f t="shared" si="19"/>
        <v>7529</v>
      </c>
      <c r="AD357" s="94">
        <f t="shared" si="20"/>
        <v>0.9171973121</v>
      </c>
      <c r="AE357" s="136"/>
    </row>
    <row r="358">
      <c r="A358" s="95" t="s">
        <v>2342</v>
      </c>
      <c r="B358" s="24"/>
      <c r="C358" s="124"/>
      <c r="D358" s="24"/>
      <c r="E358" s="24"/>
      <c r="F358" s="24"/>
      <c r="G358" s="24"/>
      <c r="H358" s="24"/>
      <c r="I358" s="24"/>
      <c r="J358" s="24"/>
      <c r="K358" s="24"/>
      <c r="L358" s="24"/>
      <c r="M358" s="24"/>
      <c r="N358" s="24"/>
      <c r="P358" s="24"/>
      <c r="Q358" s="24"/>
      <c r="R358" s="24"/>
      <c r="S358" s="24"/>
      <c r="T358" s="24"/>
      <c r="U358" s="24"/>
      <c r="V358" s="24"/>
      <c r="W358" s="24"/>
      <c r="X358" s="24"/>
      <c r="Y358" s="24"/>
      <c r="Z358" s="24"/>
      <c r="AB358" s="24"/>
      <c r="AC358" s="24"/>
      <c r="AD358" s="24"/>
      <c r="AE358" s="125"/>
    </row>
    <row r="359">
      <c r="A359" s="61" t="s">
        <v>2342</v>
      </c>
      <c r="B359" s="46" t="s">
        <v>2343</v>
      </c>
      <c r="C359" s="47"/>
      <c r="D359" s="38">
        <v>2989.0</v>
      </c>
      <c r="E359" s="38">
        <v>1637.0</v>
      </c>
      <c r="F359" s="38">
        <v>1220.0</v>
      </c>
      <c r="G359" s="38">
        <v>98.0</v>
      </c>
      <c r="H359" s="38">
        <v>248.0</v>
      </c>
      <c r="I359" s="48">
        <f t="shared" ref="I359:I382" si="21">SUM(D359:F359)</f>
        <v>5846</v>
      </c>
      <c r="J359" s="48">
        <f t="shared" ref="J359:J382" si="22">SUM(G359:I359)</f>
        <v>6192</v>
      </c>
      <c r="K359" s="49">
        <f t="shared" ref="K359:K382" si="23">D359/I359</f>
        <v>0.5112897708</v>
      </c>
      <c r="L359" s="49">
        <f t="shared" ref="L359:L382" si="24">E359/I359</f>
        <v>0.2800205269</v>
      </c>
      <c r="M359" s="49">
        <f t="shared" ref="M359:M382" si="25">F359/I359</f>
        <v>0.2086897024</v>
      </c>
      <c r="N359" s="32" t="str">
        <f t="shared" ref="N359:N382" si="26">IF(LARGE(D359:F359,1)=0,#REF!,IF(LARGE(D359:F359,1)=LARGE(D359:F359,2),$D$6,IF(LARGE(D359:F359,1)=D359,$D$3,IF(LARGE(D359:F359,1)=E359,$D$4,IF(LARGE(D359:F359,1)=F359,$D$5)))))</f>
        <v>Jânio</v>
      </c>
      <c r="O359" s="50" t="s">
        <v>77</v>
      </c>
      <c r="P359" s="38">
        <v>2730.0</v>
      </c>
      <c r="Q359" s="38">
        <v>2296.0</v>
      </c>
      <c r="R359" s="55">
        <v>607.0</v>
      </c>
      <c r="S359" s="38">
        <v>306.0</v>
      </c>
      <c r="T359" s="38">
        <v>253.0</v>
      </c>
      <c r="U359" s="48">
        <f t="shared" ref="U359:U382" si="27">SUM(P359:R359)</f>
        <v>5633</v>
      </c>
      <c r="V359" s="114">
        <f t="shared" ref="V359:V382" si="28">SUM(S359:U359)</f>
        <v>6192</v>
      </c>
      <c r="W359" s="49">
        <f t="shared" ref="W359:W382" si="29">P359/U359</f>
        <v>0.4846440618</v>
      </c>
      <c r="X359" s="49">
        <f t="shared" ref="X359:X382" si="30">Q359/U359</f>
        <v>0.4075980827</v>
      </c>
      <c r="Y359" s="49">
        <f t="shared" ref="Y359:Y382" si="31">R359/U359</f>
        <v>0.1077578555</v>
      </c>
      <c r="Z359" s="32" t="str">
        <f t="shared" ref="Z359:Z382" si="32">IF(LARGE(P359:R359,1)=0,#REF!,IF(LARGE(P359:R359,1)=LARGE(P359:R359,2),$F$6,IF(LARGE(P359:R359,1)=P359,$F$3,IF(LARGE(P359:R359,1)=Q359,$F$4,IF(LARGE(P359:R359,1)=R359,$F$5)))))</f>
        <v>Jango</v>
      </c>
      <c r="AA359" s="50" t="s">
        <v>77</v>
      </c>
      <c r="AB359" s="38">
        <v>8772.0</v>
      </c>
      <c r="AC359" s="48">
        <f t="shared" ref="AC359:AC382" si="33">AB359-V359</f>
        <v>2580</v>
      </c>
      <c r="AD359" s="51">
        <f t="shared" ref="AD359:AD382" si="34">V359/AB359</f>
        <v>0.7058823529</v>
      </c>
    </row>
    <row r="360">
      <c r="A360" s="23"/>
      <c r="B360" s="46" t="s">
        <v>634</v>
      </c>
      <c r="C360" s="47"/>
      <c r="D360" s="38">
        <v>8856.0</v>
      </c>
      <c r="E360" s="38">
        <v>3014.0</v>
      </c>
      <c r="F360" s="38">
        <v>4123.0</v>
      </c>
      <c r="G360" s="38">
        <v>181.0</v>
      </c>
      <c r="H360" s="38">
        <v>376.0</v>
      </c>
      <c r="I360" s="48">
        <f t="shared" si="21"/>
        <v>15993</v>
      </c>
      <c r="J360" s="48">
        <f t="shared" si="22"/>
        <v>16550</v>
      </c>
      <c r="K360" s="49">
        <f t="shared" si="23"/>
        <v>0.5537422622</v>
      </c>
      <c r="L360" s="49">
        <f t="shared" si="24"/>
        <v>0.1884574501</v>
      </c>
      <c r="M360" s="49">
        <f t="shared" si="25"/>
        <v>0.2578002876</v>
      </c>
      <c r="N360" s="32" t="str">
        <f t="shared" si="26"/>
        <v>Jânio</v>
      </c>
      <c r="O360" s="50" t="s">
        <v>77</v>
      </c>
      <c r="P360" s="38">
        <v>6227.0</v>
      </c>
      <c r="Q360" s="38">
        <v>6666.0</v>
      </c>
      <c r="R360" s="38">
        <v>2615.0</v>
      </c>
      <c r="S360" s="38">
        <v>682.0</v>
      </c>
      <c r="T360" s="38">
        <v>360.0</v>
      </c>
      <c r="U360" s="48">
        <f t="shared" si="27"/>
        <v>15508</v>
      </c>
      <c r="V360" s="48">
        <f t="shared" si="28"/>
        <v>16550</v>
      </c>
      <c r="W360" s="49">
        <f t="shared" si="29"/>
        <v>0.4015346918</v>
      </c>
      <c r="X360" s="49">
        <f t="shared" si="30"/>
        <v>0.4298426619</v>
      </c>
      <c r="Y360" s="49">
        <f t="shared" si="31"/>
        <v>0.1686226464</v>
      </c>
      <c r="Z360" s="32" t="str">
        <f t="shared" si="32"/>
        <v>Milton</v>
      </c>
      <c r="AA360" s="50" t="s">
        <v>77</v>
      </c>
      <c r="AB360" s="38">
        <v>18890.0</v>
      </c>
      <c r="AC360" s="48">
        <f t="shared" si="33"/>
        <v>2340</v>
      </c>
      <c r="AD360" s="51">
        <f t="shared" si="34"/>
        <v>0.8761249338</v>
      </c>
    </row>
    <row r="361">
      <c r="A361" s="23"/>
      <c r="B361" s="46" t="s">
        <v>2344</v>
      </c>
      <c r="C361" s="47"/>
      <c r="D361" s="38">
        <v>4663.0</v>
      </c>
      <c r="E361" s="38">
        <v>1221.0</v>
      </c>
      <c r="F361" s="38">
        <v>1619.0</v>
      </c>
      <c r="G361" s="38">
        <v>122.0</v>
      </c>
      <c r="H361" s="38">
        <v>269.0</v>
      </c>
      <c r="I361" s="48">
        <f t="shared" si="21"/>
        <v>7503</v>
      </c>
      <c r="J361" s="48">
        <f t="shared" si="22"/>
        <v>7894</v>
      </c>
      <c r="K361" s="49">
        <f t="shared" si="23"/>
        <v>0.6214847394</v>
      </c>
      <c r="L361" s="49">
        <f t="shared" si="24"/>
        <v>0.162734906</v>
      </c>
      <c r="M361" s="49">
        <f t="shared" si="25"/>
        <v>0.2157803545</v>
      </c>
      <c r="N361" s="32" t="str">
        <f t="shared" si="26"/>
        <v>Jânio</v>
      </c>
      <c r="O361" s="50" t="s">
        <v>77</v>
      </c>
      <c r="P361" s="38">
        <v>2538.0</v>
      </c>
      <c r="Q361" s="38">
        <v>3791.0</v>
      </c>
      <c r="R361" s="38">
        <v>870.0</v>
      </c>
      <c r="S361" s="38">
        <v>513.0</v>
      </c>
      <c r="T361" s="38">
        <v>182.0</v>
      </c>
      <c r="U361" s="48">
        <f t="shared" si="27"/>
        <v>7199</v>
      </c>
      <c r="V361" s="48">
        <f t="shared" si="28"/>
        <v>7894</v>
      </c>
      <c r="W361" s="49">
        <f t="shared" si="29"/>
        <v>0.3525489651</v>
      </c>
      <c r="X361" s="49">
        <f t="shared" si="30"/>
        <v>0.5266009168</v>
      </c>
      <c r="Y361" s="49">
        <f t="shared" si="31"/>
        <v>0.1208501181</v>
      </c>
      <c r="Z361" s="32" t="str">
        <f t="shared" si="32"/>
        <v>Milton</v>
      </c>
      <c r="AA361" s="50" t="s">
        <v>77</v>
      </c>
      <c r="AB361" s="38">
        <v>9578.0</v>
      </c>
      <c r="AC361" s="48">
        <f t="shared" si="33"/>
        <v>1684</v>
      </c>
      <c r="AD361" s="51">
        <f t="shared" si="34"/>
        <v>0.8241804134</v>
      </c>
    </row>
    <row r="362">
      <c r="A362" s="23"/>
      <c r="B362" s="46" t="s">
        <v>2345</v>
      </c>
      <c r="C362" s="47"/>
      <c r="D362" s="38">
        <v>769.0</v>
      </c>
      <c r="E362" s="38">
        <v>175.0</v>
      </c>
      <c r="F362" s="38">
        <v>226.0</v>
      </c>
      <c r="G362" s="38">
        <v>26.0</v>
      </c>
      <c r="H362" s="38">
        <v>48.0</v>
      </c>
      <c r="I362" s="48">
        <f t="shared" si="21"/>
        <v>1170</v>
      </c>
      <c r="J362" s="48">
        <f t="shared" si="22"/>
        <v>1244</v>
      </c>
      <c r="K362" s="49">
        <f t="shared" si="23"/>
        <v>0.6572649573</v>
      </c>
      <c r="L362" s="49">
        <f t="shared" si="24"/>
        <v>0.1495726496</v>
      </c>
      <c r="M362" s="49">
        <f t="shared" si="25"/>
        <v>0.1931623932</v>
      </c>
      <c r="N362" s="32" t="str">
        <f t="shared" si="26"/>
        <v>Jânio</v>
      </c>
      <c r="O362" s="50" t="s">
        <v>77</v>
      </c>
      <c r="P362" s="38">
        <v>400.0</v>
      </c>
      <c r="Q362" s="38">
        <v>378.0</v>
      </c>
      <c r="R362" s="38">
        <v>305.0</v>
      </c>
      <c r="S362" s="38">
        <v>124.0</v>
      </c>
      <c r="T362" s="38">
        <v>37.0</v>
      </c>
      <c r="U362" s="48">
        <f t="shared" si="27"/>
        <v>1083</v>
      </c>
      <c r="V362" s="48">
        <f t="shared" si="28"/>
        <v>1244</v>
      </c>
      <c r="W362" s="49">
        <f t="shared" si="29"/>
        <v>0.3693444137</v>
      </c>
      <c r="X362" s="49">
        <f t="shared" si="30"/>
        <v>0.3490304709</v>
      </c>
      <c r="Y362" s="49">
        <f t="shared" si="31"/>
        <v>0.2816251154</v>
      </c>
      <c r="Z362" s="32" t="str">
        <f t="shared" si="32"/>
        <v>Jango</v>
      </c>
      <c r="AA362" s="50" t="s">
        <v>77</v>
      </c>
      <c r="AB362" s="38">
        <v>1406.0</v>
      </c>
      <c r="AC362" s="48">
        <f t="shared" si="33"/>
        <v>162</v>
      </c>
      <c r="AD362" s="51">
        <f t="shared" si="34"/>
        <v>0.8847795164</v>
      </c>
    </row>
    <row r="363">
      <c r="A363" s="23"/>
      <c r="B363" s="46" t="s">
        <v>1232</v>
      </c>
      <c r="C363" s="47"/>
      <c r="D363" s="38">
        <v>869.0</v>
      </c>
      <c r="E363" s="38">
        <v>162.0</v>
      </c>
      <c r="F363" s="38">
        <v>511.0</v>
      </c>
      <c r="G363" s="38">
        <v>31.0</v>
      </c>
      <c r="H363" s="38">
        <v>42.0</v>
      </c>
      <c r="I363" s="48">
        <f t="shared" si="21"/>
        <v>1542</v>
      </c>
      <c r="J363" s="48">
        <f t="shared" si="22"/>
        <v>1615</v>
      </c>
      <c r="K363" s="49">
        <f t="shared" si="23"/>
        <v>0.5635538262</v>
      </c>
      <c r="L363" s="49">
        <f t="shared" si="24"/>
        <v>0.1050583658</v>
      </c>
      <c r="M363" s="49">
        <f t="shared" si="25"/>
        <v>0.331387808</v>
      </c>
      <c r="N363" s="32" t="str">
        <f t="shared" si="26"/>
        <v>Jânio</v>
      </c>
      <c r="O363" s="50" t="s">
        <v>77</v>
      </c>
      <c r="P363" s="38">
        <v>440.0</v>
      </c>
      <c r="Q363" s="38">
        <v>755.0</v>
      </c>
      <c r="R363" s="38">
        <v>235.0</v>
      </c>
      <c r="S363" s="38">
        <v>168.0</v>
      </c>
      <c r="T363" s="38">
        <v>17.0</v>
      </c>
      <c r="U363" s="48">
        <f t="shared" si="27"/>
        <v>1430</v>
      </c>
      <c r="V363" s="48">
        <f t="shared" si="28"/>
        <v>1615</v>
      </c>
      <c r="W363" s="49">
        <f t="shared" si="29"/>
        <v>0.3076923077</v>
      </c>
      <c r="X363" s="49">
        <f t="shared" si="30"/>
        <v>0.527972028</v>
      </c>
      <c r="Y363" s="49">
        <f t="shared" si="31"/>
        <v>0.1643356643</v>
      </c>
      <c r="Z363" s="32" t="str">
        <f t="shared" si="32"/>
        <v>Milton</v>
      </c>
      <c r="AA363" s="50" t="s">
        <v>77</v>
      </c>
      <c r="AB363" s="38">
        <v>1945.0</v>
      </c>
      <c r="AC363" s="48">
        <f t="shared" si="33"/>
        <v>330</v>
      </c>
      <c r="AD363" s="51">
        <f t="shared" si="34"/>
        <v>0.8303341902</v>
      </c>
    </row>
    <row r="364">
      <c r="A364" s="23"/>
      <c r="B364" s="46" t="s">
        <v>2346</v>
      </c>
      <c r="C364" s="47"/>
      <c r="D364" s="38">
        <v>248.0</v>
      </c>
      <c r="E364" s="38">
        <v>122.0</v>
      </c>
      <c r="F364" s="38">
        <v>72.0</v>
      </c>
      <c r="G364" s="38">
        <v>11.0</v>
      </c>
      <c r="H364" s="38">
        <v>11.0</v>
      </c>
      <c r="I364" s="48">
        <f t="shared" si="21"/>
        <v>442</v>
      </c>
      <c r="J364" s="48">
        <f t="shared" si="22"/>
        <v>464</v>
      </c>
      <c r="K364" s="49">
        <f t="shared" si="23"/>
        <v>0.5610859729</v>
      </c>
      <c r="L364" s="49">
        <f t="shared" si="24"/>
        <v>0.2760180995</v>
      </c>
      <c r="M364" s="49">
        <f t="shared" si="25"/>
        <v>0.1628959276</v>
      </c>
      <c r="N364" s="32" t="str">
        <f t="shared" si="26"/>
        <v>Jânio</v>
      </c>
      <c r="O364" s="50" t="s">
        <v>77</v>
      </c>
      <c r="P364" s="38">
        <v>158.0</v>
      </c>
      <c r="Q364" s="38">
        <v>221.0</v>
      </c>
      <c r="R364" s="38">
        <v>37.0</v>
      </c>
      <c r="S364" s="38">
        <v>35.0</v>
      </c>
      <c r="T364" s="38">
        <v>13.0</v>
      </c>
      <c r="U364" s="48">
        <f t="shared" si="27"/>
        <v>416</v>
      </c>
      <c r="V364" s="48">
        <f t="shared" si="28"/>
        <v>464</v>
      </c>
      <c r="W364" s="49">
        <f t="shared" si="29"/>
        <v>0.3798076923</v>
      </c>
      <c r="X364" s="49">
        <f t="shared" si="30"/>
        <v>0.53125</v>
      </c>
      <c r="Y364" s="49">
        <f t="shared" si="31"/>
        <v>0.08894230769</v>
      </c>
      <c r="Z364" s="32" t="str">
        <f t="shared" si="32"/>
        <v>Milton</v>
      </c>
      <c r="AA364" s="50" t="s">
        <v>77</v>
      </c>
      <c r="AB364" s="38">
        <v>517.0</v>
      </c>
      <c r="AC364" s="48">
        <f t="shared" si="33"/>
        <v>53</v>
      </c>
      <c r="AD364" s="51">
        <f t="shared" si="34"/>
        <v>0.8974854932</v>
      </c>
    </row>
    <row r="365">
      <c r="A365" s="23"/>
      <c r="B365" s="46" t="s">
        <v>2347</v>
      </c>
      <c r="C365" s="47"/>
      <c r="D365" s="38">
        <v>262.0</v>
      </c>
      <c r="E365" s="38">
        <v>104.0</v>
      </c>
      <c r="F365" s="38">
        <v>121.0</v>
      </c>
      <c r="G365" s="38">
        <v>9.0</v>
      </c>
      <c r="H365" s="38">
        <v>15.0</v>
      </c>
      <c r="I365" s="48">
        <f t="shared" si="21"/>
        <v>487</v>
      </c>
      <c r="J365" s="48">
        <f t="shared" si="22"/>
        <v>511</v>
      </c>
      <c r="K365" s="49">
        <f t="shared" si="23"/>
        <v>0.5379876797</v>
      </c>
      <c r="L365" s="49">
        <f t="shared" si="24"/>
        <v>0.2135523614</v>
      </c>
      <c r="M365" s="49">
        <f t="shared" si="25"/>
        <v>0.2484599589</v>
      </c>
      <c r="N365" s="32" t="str">
        <f t="shared" si="26"/>
        <v>Jânio</v>
      </c>
      <c r="O365" s="50" t="s">
        <v>77</v>
      </c>
      <c r="P365" s="38">
        <v>202.0</v>
      </c>
      <c r="Q365" s="38">
        <v>162.0</v>
      </c>
      <c r="R365" s="38">
        <v>97.0</v>
      </c>
      <c r="S365" s="38">
        <v>36.0</v>
      </c>
      <c r="T365" s="38">
        <v>14.0</v>
      </c>
      <c r="U365" s="48">
        <f t="shared" si="27"/>
        <v>461</v>
      </c>
      <c r="V365" s="48">
        <f t="shared" si="28"/>
        <v>511</v>
      </c>
      <c r="W365" s="49">
        <f t="shared" si="29"/>
        <v>0.4381778742</v>
      </c>
      <c r="X365" s="49">
        <f t="shared" si="30"/>
        <v>0.3514099783</v>
      </c>
      <c r="Y365" s="49">
        <f t="shared" si="31"/>
        <v>0.2104121475</v>
      </c>
      <c r="Z365" s="32" t="str">
        <f t="shared" si="32"/>
        <v>Jango</v>
      </c>
      <c r="AA365" s="50" t="s">
        <v>77</v>
      </c>
      <c r="AB365" s="38">
        <v>597.0</v>
      </c>
      <c r="AC365" s="48">
        <f t="shared" si="33"/>
        <v>86</v>
      </c>
      <c r="AD365" s="51">
        <f t="shared" si="34"/>
        <v>0.8559463987</v>
      </c>
    </row>
    <row r="366">
      <c r="A366" s="23"/>
      <c r="B366" s="46" t="s">
        <v>2348</v>
      </c>
      <c r="C366" s="47"/>
      <c r="D366" s="38">
        <v>636.0</v>
      </c>
      <c r="E366" s="38">
        <v>107.0</v>
      </c>
      <c r="F366" s="38">
        <v>165.0</v>
      </c>
      <c r="G366" s="38">
        <v>22.0</v>
      </c>
      <c r="H366" s="38">
        <v>27.0</v>
      </c>
      <c r="I366" s="48">
        <f t="shared" si="21"/>
        <v>908</v>
      </c>
      <c r="J366" s="48">
        <f t="shared" si="22"/>
        <v>957</v>
      </c>
      <c r="K366" s="49">
        <f t="shared" si="23"/>
        <v>0.7004405286</v>
      </c>
      <c r="L366" s="49">
        <f t="shared" si="24"/>
        <v>0.1178414097</v>
      </c>
      <c r="M366" s="49">
        <f t="shared" si="25"/>
        <v>0.1817180617</v>
      </c>
      <c r="N366" s="32" t="str">
        <f t="shared" si="26"/>
        <v>Jânio</v>
      </c>
      <c r="O366" s="50" t="s">
        <v>77</v>
      </c>
      <c r="P366" s="38">
        <v>311.0</v>
      </c>
      <c r="Q366" s="38">
        <v>383.0</v>
      </c>
      <c r="R366" s="38">
        <v>144.0</v>
      </c>
      <c r="S366" s="38">
        <v>100.0</v>
      </c>
      <c r="T366" s="38">
        <v>19.0</v>
      </c>
      <c r="U366" s="48">
        <f t="shared" si="27"/>
        <v>838</v>
      </c>
      <c r="V366" s="48">
        <f t="shared" si="28"/>
        <v>957</v>
      </c>
      <c r="W366" s="49">
        <f t="shared" si="29"/>
        <v>0.3711217184</v>
      </c>
      <c r="X366" s="49">
        <f t="shared" si="30"/>
        <v>0.4570405728</v>
      </c>
      <c r="Y366" s="49">
        <f t="shared" si="31"/>
        <v>0.1718377088</v>
      </c>
      <c r="Z366" s="32" t="str">
        <f t="shared" si="32"/>
        <v>Milton</v>
      </c>
      <c r="AA366" s="50" t="s">
        <v>77</v>
      </c>
      <c r="AB366" s="38">
        <v>1115.0</v>
      </c>
      <c r="AC366" s="48">
        <f t="shared" si="33"/>
        <v>158</v>
      </c>
      <c r="AD366" s="51">
        <f t="shared" si="34"/>
        <v>0.8582959641</v>
      </c>
    </row>
    <row r="367">
      <c r="A367" s="23"/>
      <c r="B367" s="46" t="s">
        <v>2349</v>
      </c>
      <c r="C367" s="47"/>
      <c r="D367" s="38">
        <v>962.0</v>
      </c>
      <c r="E367" s="38">
        <v>139.0</v>
      </c>
      <c r="F367" s="38">
        <v>138.0</v>
      </c>
      <c r="G367" s="38">
        <v>30.0</v>
      </c>
      <c r="H367" s="38">
        <v>41.0</v>
      </c>
      <c r="I367" s="48">
        <f t="shared" si="21"/>
        <v>1239</v>
      </c>
      <c r="J367" s="48">
        <f t="shared" si="22"/>
        <v>1310</v>
      </c>
      <c r="K367" s="49">
        <f t="shared" si="23"/>
        <v>0.7764326069</v>
      </c>
      <c r="L367" s="49">
        <f t="shared" si="24"/>
        <v>0.1121872478</v>
      </c>
      <c r="M367" s="49">
        <f t="shared" si="25"/>
        <v>0.1113801453</v>
      </c>
      <c r="N367" s="32" t="str">
        <f t="shared" si="26"/>
        <v>Jânio</v>
      </c>
      <c r="O367" s="50" t="s">
        <v>77</v>
      </c>
      <c r="P367" s="38">
        <v>299.0</v>
      </c>
      <c r="Q367" s="38">
        <v>674.0</v>
      </c>
      <c r="R367" s="38">
        <v>132.0</v>
      </c>
      <c r="S367" s="38">
        <v>183.0</v>
      </c>
      <c r="T367" s="38">
        <v>22.0</v>
      </c>
      <c r="U367" s="48">
        <f t="shared" si="27"/>
        <v>1105</v>
      </c>
      <c r="V367" s="48">
        <f t="shared" si="28"/>
        <v>1310</v>
      </c>
      <c r="W367" s="49">
        <f t="shared" si="29"/>
        <v>0.2705882353</v>
      </c>
      <c r="X367" s="49">
        <f t="shared" si="30"/>
        <v>0.6099547511</v>
      </c>
      <c r="Y367" s="49">
        <f t="shared" si="31"/>
        <v>0.1194570136</v>
      </c>
      <c r="Z367" s="32" t="str">
        <f t="shared" si="32"/>
        <v>Milton</v>
      </c>
      <c r="AA367" s="50" t="s">
        <v>77</v>
      </c>
      <c r="AB367" s="38">
        <v>1510.0</v>
      </c>
      <c r="AC367" s="48">
        <f t="shared" si="33"/>
        <v>200</v>
      </c>
      <c r="AD367" s="51">
        <f t="shared" si="34"/>
        <v>0.8675496689</v>
      </c>
    </row>
    <row r="368">
      <c r="A368" s="24"/>
      <c r="B368" s="46" t="s">
        <v>2350</v>
      </c>
      <c r="C368" s="47"/>
      <c r="D368" s="38">
        <v>898.0</v>
      </c>
      <c r="E368" s="38">
        <v>214.0</v>
      </c>
      <c r="F368" s="38">
        <v>261.0</v>
      </c>
      <c r="G368" s="38">
        <v>55.0</v>
      </c>
      <c r="H368" s="38">
        <v>46.0</v>
      </c>
      <c r="I368" s="48">
        <f t="shared" si="21"/>
        <v>1373</v>
      </c>
      <c r="J368" s="48">
        <f t="shared" si="22"/>
        <v>1474</v>
      </c>
      <c r="K368" s="49">
        <f t="shared" si="23"/>
        <v>0.6540422433</v>
      </c>
      <c r="L368" s="49">
        <f t="shared" si="24"/>
        <v>0.1558630736</v>
      </c>
      <c r="M368" s="49">
        <f t="shared" si="25"/>
        <v>0.1900946832</v>
      </c>
      <c r="N368" s="32" t="str">
        <f t="shared" si="26"/>
        <v>Jânio</v>
      </c>
      <c r="O368" s="50" t="s">
        <v>77</v>
      </c>
      <c r="P368" s="38">
        <v>472.0</v>
      </c>
      <c r="Q368" s="38">
        <v>430.0</v>
      </c>
      <c r="R368" s="38">
        <v>303.0</v>
      </c>
      <c r="S368" s="38">
        <v>234.0</v>
      </c>
      <c r="T368" s="38">
        <v>35.0</v>
      </c>
      <c r="U368" s="48">
        <f t="shared" si="27"/>
        <v>1205</v>
      </c>
      <c r="V368" s="48">
        <f t="shared" si="28"/>
        <v>1474</v>
      </c>
      <c r="W368" s="49">
        <f t="shared" si="29"/>
        <v>0.3917012448</v>
      </c>
      <c r="X368" s="49">
        <f t="shared" si="30"/>
        <v>0.356846473</v>
      </c>
      <c r="Y368" s="49">
        <f t="shared" si="31"/>
        <v>0.2514522822</v>
      </c>
      <c r="Z368" s="32" t="str">
        <f t="shared" si="32"/>
        <v>Jango</v>
      </c>
      <c r="AA368" s="50" t="s">
        <v>77</v>
      </c>
      <c r="AB368" s="38">
        <v>1804.0</v>
      </c>
      <c r="AC368" s="48">
        <f t="shared" si="33"/>
        <v>330</v>
      </c>
      <c r="AD368" s="51">
        <f t="shared" si="34"/>
        <v>0.8170731707</v>
      </c>
    </row>
    <row r="369">
      <c r="A369" s="61" t="s">
        <v>2351</v>
      </c>
      <c r="B369" s="46" t="s">
        <v>2352</v>
      </c>
      <c r="C369" s="47"/>
      <c r="D369" s="38">
        <v>1210.0</v>
      </c>
      <c r="E369" s="38">
        <v>103.0</v>
      </c>
      <c r="F369" s="38">
        <v>567.0</v>
      </c>
      <c r="G369" s="38">
        <v>29.0</v>
      </c>
      <c r="H369" s="38">
        <v>69.0</v>
      </c>
      <c r="I369" s="48">
        <f t="shared" si="21"/>
        <v>1880</v>
      </c>
      <c r="J369" s="48">
        <f t="shared" si="22"/>
        <v>1978</v>
      </c>
      <c r="K369" s="49">
        <f t="shared" si="23"/>
        <v>0.6436170213</v>
      </c>
      <c r="L369" s="49">
        <f t="shared" si="24"/>
        <v>0.05478723404</v>
      </c>
      <c r="M369" s="49">
        <f t="shared" si="25"/>
        <v>0.3015957447</v>
      </c>
      <c r="N369" s="32" t="str">
        <f t="shared" si="26"/>
        <v>Jânio</v>
      </c>
      <c r="O369" s="50" t="s">
        <v>77</v>
      </c>
      <c r="P369" s="38">
        <v>390.0</v>
      </c>
      <c r="Q369" s="38">
        <v>859.0</v>
      </c>
      <c r="R369" s="38">
        <v>346.0</v>
      </c>
      <c r="S369" s="38">
        <v>339.0</v>
      </c>
      <c r="T369" s="38">
        <v>44.0</v>
      </c>
      <c r="U369" s="48">
        <f t="shared" si="27"/>
        <v>1595</v>
      </c>
      <c r="V369" s="48">
        <f t="shared" si="28"/>
        <v>1978</v>
      </c>
      <c r="W369" s="49">
        <f t="shared" si="29"/>
        <v>0.2445141066</v>
      </c>
      <c r="X369" s="49">
        <f t="shared" si="30"/>
        <v>0.5385579937</v>
      </c>
      <c r="Y369" s="49">
        <f t="shared" si="31"/>
        <v>0.2169278997</v>
      </c>
      <c r="Z369" s="32" t="str">
        <f t="shared" si="32"/>
        <v>Milton</v>
      </c>
      <c r="AA369" s="50" t="s">
        <v>77</v>
      </c>
      <c r="AB369" s="38">
        <v>2312.0</v>
      </c>
      <c r="AC369" s="48">
        <f t="shared" si="33"/>
        <v>334</v>
      </c>
      <c r="AD369" s="51">
        <f t="shared" si="34"/>
        <v>0.8555363322</v>
      </c>
    </row>
    <row r="370">
      <c r="A370" s="24"/>
      <c r="B370" s="46" t="s">
        <v>2353</v>
      </c>
      <c r="C370" s="47"/>
      <c r="D370" s="38">
        <v>250.0</v>
      </c>
      <c r="E370" s="38">
        <v>57.0</v>
      </c>
      <c r="F370" s="38">
        <v>195.0</v>
      </c>
      <c r="G370" s="38">
        <v>6.0</v>
      </c>
      <c r="H370" s="38">
        <v>28.0</v>
      </c>
      <c r="I370" s="48">
        <f t="shared" si="21"/>
        <v>502</v>
      </c>
      <c r="J370" s="48">
        <f t="shared" si="22"/>
        <v>536</v>
      </c>
      <c r="K370" s="49">
        <f t="shared" si="23"/>
        <v>0.4980079681</v>
      </c>
      <c r="L370" s="49">
        <f t="shared" si="24"/>
        <v>0.1135458167</v>
      </c>
      <c r="M370" s="49">
        <f t="shared" si="25"/>
        <v>0.3884462151</v>
      </c>
      <c r="N370" s="32" t="str">
        <f t="shared" si="26"/>
        <v>Jânio</v>
      </c>
      <c r="O370" s="50" t="s">
        <v>77</v>
      </c>
      <c r="P370" s="38">
        <v>178.0</v>
      </c>
      <c r="Q370" s="38">
        <v>148.0</v>
      </c>
      <c r="R370" s="38">
        <v>108.0</v>
      </c>
      <c r="S370" s="38">
        <v>90.0</v>
      </c>
      <c r="T370" s="38">
        <v>12.0</v>
      </c>
      <c r="U370" s="48">
        <f t="shared" si="27"/>
        <v>434</v>
      </c>
      <c r="V370" s="48">
        <f t="shared" si="28"/>
        <v>536</v>
      </c>
      <c r="W370" s="49">
        <f t="shared" si="29"/>
        <v>0.4101382488</v>
      </c>
      <c r="X370" s="49">
        <f t="shared" si="30"/>
        <v>0.3410138249</v>
      </c>
      <c r="Y370" s="49">
        <f t="shared" si="31"/>
        <v>0.2488479263</v>
      </c>
      <c r="Z370" s="32" t="str">
        <f t="shared" si="32"/>
        <v>Jango</v>
      </c>
      <c r="AA370" s="50" t="s">
        <v>77</v>
      </c>
      <c r="AB370" s="38">
        <v>608.0</v>
      </c>
      <c r="AC370" s="48">
        <f t="shared" si="33"/>
        <v>72</v>
      </c>
      <c r="AD370" s="51">
        <f t="shared" si="34"/>
        <v>0.8815789474</v>
      </c>
    </row>
    <row r="371">
      <c r="A371" s="61" t="s">
        <v>2354</v>
      </c>
      <c r="B371" s="46" t="s">
        <v>1713</v>
      </c>
      <c r="C371" s="47"/>
      <c r="D371" s="38">
        <v>8832.0</v>
      </c>
      <c r="E371" s="38">
        <v>2645.0</v>
      </c>
      <c r="F371" s="38">
        <v>5940.0</v>
      </c>
      <c r="G371" s="38">
        <v>243.0</v>
      </c>
      <c r="H371" s="38">
        <v>412.0</v>
      </c>
      <c r="I371" s="48">
        <f t="shared" si="21"/>
        <v>17417</v>
      </c>
      <c r="J371" s="48">
        <f t="shared" si="22"/>
        <v>18072</v>
      </c>
      <c r="K371" s="49">
        <f t="shared" si="23"/>
        <v>0.5070907734</v>
      </c>
      <c r="L371" s="49">
        <f t="shared" si="24"/>
        <v>0.1518631222</v>
      </c>
      <c r="M371" s="49">
        <f t="shared" si="25"/>
        <v>0.3410461044</v>
      </c>
      <c r="N371" s="32" t="str">
        <f t="shared" si="26"/>
        <v>Jânio</v>
      </c>
      <c r="O371" s="50" t="s">
        <v>77</v>
      </c>
      <c r="P371" s="38">
        <v>5406.0</v>
      </c>
      <c r="Q371" s="38">
        <v>6806.0</v>
      </c>
      <c r="R371" s="38">
        <v>4721.0</v>
      </c>
      <c r="S371" s="38">
        <v>841.0</v>
      </c>
      <c r="T371" s="38">
        <v>298.0</v>
      </c>
      <c r="U371" s="48">
        <f t="shared" si="27"/>
        <v>16933</v>
      </c>
      <c r="V371" s="48">
        <f t="shared" si="28"/>
        <v>18072</v>
      </c>
      <c r="W371" s="49">
        <f t="shared" si="29"/>
        <v>0.3192582531</v>
      </c>
      <c r="X371" s="49">
        <f t="shared" si="30"/>
        <v>0.401937046</v>
      </c>
      <c r="Y371" s="49">
        <f t="shared" si="31"/>
        <v>0.2788047009</v>
      </c>
      <c r="Z371" s="32" t="str">
        <f t="shared" si="32"/>
        <v>Milton</v>
      </c>
      <c r="AA371" s="50" t="s">
        <v>77</v>
      </c>
      <c r="AB371" s="38">
        <v>19361.0</v>
      </c>
      <c r="AC371" s="48">
        <f t="shared" si="33"/>
        <v>1289</v>
      </c>
      <c r="AD371" s="51">
        <f t="shared" si="34"/>
        <v>0.9334228604</v>
      </c>
    </row>
    <row r="372">
      <c r="A372" s="24"/>
      <c r="B372" s="46" t="s">
        <v>2355</v>
      </c>
      <c r="C372" s="47"/>
      <c r="D372" s="38">
        <v>440.0</v>
      </c>
      <c r="E372" s="38">
        <v>148.0</v>
      </c>
      <c r="F372" s="38">
        <v>422.0</v>
      </c>
      <c r="G372" s="38">
        <v>43.0</v>
      </c>
      <c r="H372" s="38">
        <v>56.0</v>
      </c>
      <c r="I372" s="48">
        <f t="shared" si="21"/>
        <v>1010</v>
      </c>
      <c r="J372" s="48">
        <f t="shared" si="22"/>
        <v>1109</v>
      </c>
      <c r="K372" s="49">
        <f t="shared" si="23"/>
        <v>0.4356435644</v>
      </c>
      <c r="L372" s="49">
        <f t="shared" si="24"/>
        <v>0.1465346535</v>
      </c>
      <c r="M372" s="49">
        <f t="shared" si="25"/>
        <v>0.4178217822</v>
      </c>
      <c r="N372" s="32" t="str">
        <f t="shared" si="26"/>
        <v>Jânio</v>
      </c>
      <c r="O372" s="50" t="s">
        <v>77</v>
      </c>
      <c r="P372" s="38">
        <v>308.0</v>
      </c>
      <c r="Q372" s="38">
        <v>378.0</v>
      </c>
      <c r="R372" s="38">
        <v>273.0</v>
      </c>
      <c r="S372" s="38">
        <v>119.0</v>
      </c>
      <c r="T372" s="38">
        <v>31.0</v>
      </c>
      <c r="U372" s="48">
        <f t="shared" si="27"/>
        <v>959</v>
      </c>
      <c r="V372" s="48">
        <f t="shared" si="28"/>
        <v>1109</v>
      </c>
      <c r="W372" s="49">
        <f t="shared" si="29"/>
        <v>0.3211678832</v>
      </c>
      <c r="X372" s="49">
        <f t="shared" si="30"/>
        <v>0.3941605839</v>
      </c>
      <c r="Y372" s="49">
        <f t="shared" si="31"/>
        <v>0.2846715328</v>
      </c>
      <c r="Z372" s="32" t="str">
        <f t="shared" si="32"/>
        <v>Milton</v>
      </c>
      <c r="AA372" s="50" t="s">
        <v>77</v>
      </c>
      <c r="AB372" s="38">
        <v>1251.0</v>
      </c>
      <c r="AC372" s="48">
        <f t="shared" si="33"/>
        <v>142</v>
      </c>
      <c r="AD372" s="51">
        <f t="shared" si="34"/>
        <v>0.8864908074</v>
      </c>
    </row>
    <row r="373">
      <c r="A373" s="61" t="s">
        <v>2356</v>
      </c>
      <c r="B373" s="46" t="s">
        <v>2357</v>
      </c>
      <c r="C373" s="47"/>
      <c r="D373" s="38">
        <v>3698.0</v>
      </c>
      <c r="E373" s="38">
        <v>3481.0</v>
      </c>
      <c r="F373" s="38">
        <v>1706.0</v>
      </c>
      <c r="G373" s="38">
        <v>167.0</v>
      </c>
      <c r="H373" s="38">
        <v>250.0</v>
      </c>
      <c r="I373" s="48">
        <f t="shared" si="21"/>
        <v>8885</v>
      </c>
      <c r="J373" s="48">
        <f t="shared" si="22"/>
        <v>9302</v>
      </c>
      <c r="K373" s="49">
        <f t="shared" si="23"/>
        <v>0.4162070906</v>
      </c>
      <c r="L373" s="49">
        <f t="shared" si="24"/>
        <v>0.3917839055</v>
      </c>
      <c r="M373" s="49">
        <f t="shared" si="25"/>
        <v>0.1920090039</v>
      </c>
      <c r="N373" s="32" t="str">
        <f t="shared" si="26"/>
        <v>Jânio</v>
      </c>
      <c r="O373" s="50" t="s">
        <v>77</v>
      </c>
      <c r="P373" s="38">
        <v>3819.0</v>
      </c>
      <c r="Q373" s="38">
        <v>3036.0</v>
      </c>
      <c r="R373" s="38">
        <v>1886.0</v>
      </c>
      <c r="S373" s="38">
        <v>333.0</v>
      </c>
      <c r="T373" s="38">
        <v>228.0</v>
      </c>
      <c r="U373" s="48">
        <f t="shared" si="27"/>
        <v>8741</v>
      </c>
      <c r="V373" s="48">
        <f t="shared" si="28"/>
        <v>9302</v>
      </c>
      <c r="W373" s="49">
        <f t="shared" si="29"/>
        <v>0.4369065324</v>
      </c>
      <c r="X373" s="49">
        <f t="shared" si="30"/>
        <v>0.3473286809</v>
      </c>
      <c r="Y373" s="49">
        <f t="shared" si="31"/>
        <v>0.2157647866</v>
      </c>
      <c r="Z373" s="32" t="str">
        <f t="shared" si="32"/>
        <v>Jango</v>
      </c>
      <c r="AA373" s="50" t="s">
        <v>77</v>
      </c>
      <c r="AB373" s="38">
        <v>10306.0</v>
      </c>
      <c r="AC373" s="48">
        <f t="shared" si="33"/>
        <v>1004</v>
      </c>
      <c r="AD373" s="51">
        <f t="shared" si="34"/>
        <v>0.9025810208</v>
      </c>
    </row>
    <row r="374">
      <c r="A374" s="23"/>
      <c r="B374" s="46" t="s">
        <v>2358</v>
      </c>
      <c r="C374" s="47"/>
      <c r="D374" s="38">
        <v>1237.0</v>
      </c>
      <c r="E374" s="38">
        <v>153.0</v>
      </c>
      <c r="F374" s="38">
        <v>891.0</v>
      </c>
      <c r="G374" s="38">
        <v>58.0</v>
      </c>
      <c r="H374" s="38">
        <v>138.0</v>
      </c>
      <c r="I374" s="48">
        <f t="shared" si="21"/>
        <v>2281</v>
      </c>
      <c r="J374" s="48">
        <f t="shared" si="22"/>
        <v>2477</v>
      </c>
      <c r="K374" s="49">
        <f t="shared" si="23"/>
        <v>0.5423060061</v>
      </c>
      <c r="L374" s="49">
        <f t="shared" si="24"/>
        <v>0.06707584393</v>
      </c>
      <c r="M374" s="49">
        <f t="shared" si="25"/>
        <v>0.3906181499</v>
      </c>
      <c r="N374" s="32" t="str">
        <f t="shared" si="26"/>
        <v>Jânio</v>
      </c>
      <c r="O374" s="50" t="s">
        <v>77</v>
      </c>
      <c r="P374" s="38">
        <v>723.0</v>
      </c>
      <c r="Q374" s="38">
        <v>934.0</v>
      </c>
      <c r="R374" s="38">
        <v>426.0</v>
      </c>
      <c r="S374" s="38">
        <v>305.0</v>
      </c>
      <c r="T374" s="38">
        <v>89.0</v>
      </c>
      <c r="U374" s="48">
        <f t="shared" si="27"/>
        <v>2083</v>
      </c>
      <c r="V374" s="48">
        <f t="shared" si="28"/>
        <v>2477</v>
      </c>
      <c r="W374" s="49">
        <f t="shared" si="29"/>
        <v>0.3470955353</v>
      </c>
      <c r="X374" s="49">
        <f t="shared" si="30"/>
        <v>0.4483917427</v>
      </c>
      <c r="Y374" s="49">
        <f t="shared" si="31"/>
        <v>0.204512722</v>
      </c>
      <c r="Z374" s="32" t="str">
        <f t="shared" si="32"/>
        <v>Milton</v>
      </c>
      <c r="AA374" s="50" t="s">
        <v>77</v>
      </c>
      <c r="AB374" s="38">
        <v>2760.0</v>
      </c>
      <c r="AC374" s="48">
        <f t="shared" si="33"/>
        <v>283</v>
      </c>
      <c r="AD374" s="51">
        <f t="shared" si="34"/>
        <v>0.8974637681</v>
      </c>
    </row>
    <row r="375">
      <c r="A375" s="23"/>
      <c r="B375" s="46" t="s">
        <v>2359</v>
      </c>
      <c r="C375" s="47"/>
      <c r="D375" s="38">
        <v>507.0</v>
      </c>
      <c r="E375" s="38">
        <v>363.0</v>
      </c>
      <c r="F375" s="38">
        <v>373.0</v>
      </c>
      <c r="G375" s="38">
        <v>37.0</v>
      </c>
      <c r="H375" s="38">
        <v>91.0</v>
      </c>
      <c r="I375" s="48">
        <f t="shared" si="21"/>
        <v>1243</v>
      </c>
      <c r="J375" s="48">
        <f t="shared" si="22"/>
        <v>1371</v>
      </c>
      <c r="K375" s="49">
        <f t="shared" si="23"/>
        <v>0.4078841512</v>
      </c>
      <c r="L375" s="49">
        <f t="shared" si="24"/>
        <v>0.2920353982</v>
      </c>
      <c r="M375" s="49">
        <f t="shared" si="25"/>
        <v>0.3000804505</v>
      </c>
      <c r="N375" s="32" t="str">
        <f t="shared" si="26"/>
        <v>Jânio</v>
      </c>
      <c r="O375" s="50" t="s">
        <v>77</v>
      </c>
      <c r="P375" s="38">
        <v>536.0</v>
      </c>
      <c r="Q375" s="38">
        <v>442.0</v>
      </c>
      <c r="R375" s="38">
        <v>131.0</v>
      </c>
      <c r="S375" s="38">
        <v>179.0</v>
      </c>
      <c r="T375" s="38">
        <v>83.0</v>
      </c>
      <c r="U375" s="48">
        <f t="shared" si="27"/>
        <v>1109</v>
      </c>
      <c r="V375" s="48">
        <f t="shared" si="28"/>
        <v>1371</v>
      </c>
      <c r="W375" s="49">
        <f t="shared" si="29"/>
        <v>0.4833183048</v>
      </c>
      <c r="X375" s="49">
        <f t="shared" si="30"/>
        <v>0.3985572588</v>
      </c>
      <c r="Y375" s="49">
        <f t="shared" si="31"/>
        <v>0.1181244364</v>
      </c>
      <c r="Z375" s="32" t="str">
        <f t="shared" si="32"/>
        <v>Jango</v>
      </c>
      <c r="AA375" s="50" t="s">
        <v>77</v>
      </c>
      <c r="AB375" s="38">
        <v>1673.0</v>
      </c>
      <c r="AC375" s="48">
        <f t="shared" si="33"/>
        <v>302</v>
      </c>
      <c r="AD375" s="51">
        <f t="shared" si="34"/>
        <v>0.8194859534</v>
      </c>
    </row>
    <row r="376">
      <c r="A376" s="24"/>
      <c r="B376" s="46" t="s">
        <v>2360</v>
      </c>
      <c r="C376" s="47"/>
      <c r="D376" s="38">
        <v>1504.0</v>
      </c>
      <c r="E376" s="38">
        <v>619.0</v>
      </c>
      <c r="F376" s="38">
        <v>605.0</v>
      </c>
      <c r="G376" s="38">
        <v>41.0</v>
      </c>
      <c r="H376" s="38">
        <v>93.0</v>
      </c>
      <c r="I376" s="48">
        <f t="shared" si="21"/>
        <v>2728</v>
      </c>
      <c r="J376" s="48">
        <f t="shared" si="22"/>
        <v>2862</v>
      </c>
      <c r="K376" s="49">
        <f t="shared" si="23"/>
        <v>0.5513196481</v>
      </c>
      <c r="L376" s="49">
        <f t="shared" si="24"/>
        <v>0.2269061584</v>
      </c>
      <c r="M376" s="49">
        <f t="shared" si="25"/>
        <v>0.2217741935</v>
      </c>
      <c r="N376" s="32" t="str">
        <f t="shared" si="26"/>
        <v>Jânio</v>
      </c>
      <c r="O376" s="50" t="s">
        <v>77</v>
      </c>
      <c r="P376" s="38">
        <v>794.0</v>
      </c>
      <c r="Q376" s="38">
        <v>1232.0</v>
      </c>
      <c r="R376" s="38">
        <v>596.0</v>
      </c>
      <c r="S376" s="38">
        <v>151.0</v>
      </c>
      <c r="T376" s="38">
        <v>89.0</v>
      </c>
      <c r="U376" s="48">
        <f t="shared" si="27"/>
        <v>2622</v>
      </c>
      <c r="V376" s="48">
        <f t="shared" si="28"/>
        <v>2862</v>
      </c>
      <c r="W376" s="49">
        <f t="shared" si="29"/>
        <v>0.3028222731</v>
      </c>
      <c r="X376" s="49">
        <f t="shared" si="30"/>
        <v>0.469870328</v>
      </c>
      <c r="Y376" s="49">
        <f t="shared" si="31"/>
        <v>0.2273073989</v>
      </c>
      <c r="Z376" s="32" t="str">
        <f t="shared" si="32"/>
        <v>Milton</v>
      </c>
      <c r="AA376" s="50" t="s">
        <v>77</v>
      </c>
      <c r="AB376" s="38">
        <v>3211.0</v>
      </c>
      <c r="AC376" s="48">
        <f t="shared" si="33"/>
        <v>349</v>
      </c>
      <c r="AD376" s="51">
        <f t="shared" si="34"/>
        <v>0.891311118</v>
      </c>
    </row>
    <row r="377">
      <c r="A377" s="61" t="s">
        <v>2361</v>
      </c>
      <c r="B377" s="46" t="s">
        <v>2362</v>
      </c>
      <c r="C377" s="47"/>
      <c r="D377" s="38">
        <v>2324.0</v>
      </c>
      <c r="E377" s="38">
        <v>1151.0</v>
      </c>
      <c r="F377" s="38">
        <v>925.0</v>
      </c>
      <c r="G377" s="38">
        <v>133.0</v>
      </c>
      <c r="H377" s="38">
        <v>166.0</v>
      </c>
      <c r="I377" s="48">
        <f t="shared" si="21"/>
        <v>4400</v>
      </c>
      <c r="J377" s="48">
        <f t="shared" si="22"/>
        <v>4699</v>
      </c>
      <c r="K377" s="49">
        <f t="shared" si="23"/>
        <v>0.5281818182</v>
      </c>
      <c r="L377" s="49">
        <f t="shared" si="24"/>
        <v>0.2615909091</v>
      </c>
      <c r="M377" s="49">
        <f t="shared" si="25"/>
        <v>0.2102272727</v>
      </c>
      <c r="N377" s="32" t="str">
        <f t="shared" si="26"/>
        <v>Jânio</v>
      </c>
      <c r="O377" s="50" t="s">
        <v>77</v>
      </c>
      <c r="P377" s="38">
        <v>1515.0</v>
      </c>
      <c r="Q377" s="38">
        <v>2175.0</v>
      </c>
      <c r="R377" s="38">
        <v>404.0</v>
      </c>
      <c r="S377" s="38">
        <v>495.0</v>
      </c>
      <c r="T377" s="38">
        <v>110.0</v>
      </c>
      <c r="U377" s="48">
        <f t="shared" si="27"/>
        <v>4094</v>
      </c>
      <c r="V377" s="48">
        <f t="shared" si="28"/>
        <v>4699</v>
      </c>
      <c r="W377" s="49">
        <f t="shared" si="29"/>
        <v>0.3700537372</v>
      </c>
      <c r="X377" s="49">
        <f t="shared" si="30"/>
        <v>0.5312652662</v>
      </c>
      <c r="Y377" s="49">
        <f t="shared" si="31"/>
        <v>0.09868099658</v>
      </c>
      <c r="Z377" s="32" t="str">
        <f t="shared" si="32"/>
        <v>Milton</v>
      </c>
      <c r="AA377" s="50" t="s">
        <v>77</v>
      </c>
      <c r="AB377" s="38">
        <v>5215.0</v>
      </c>
      <c r="AC377" s="48">
        <f t="shared" si="33"/>
        <v>516</v>
      </c>
      <c r="AD377" s="51">
        <f t="shared" si="34"/>
        <v>0.90105465</v>
      </c>
    </row>
    <row r="378">
      <c r="A378" s="24"/>
      <c r="B378" s="46" t="s">
        <v>2363</v>
      </c>
      <c r="C378" s="47"/>
      <c r="D378" s="38">
        <v>753.0</v>
      </c>
      <c r="E378" s="38">
        <v>370.0</v>
      </c>
      <c r="F378" s="38">
        <v>237.0</v>
      </c>
      <c r="G378" s="38">
        <v>53.0</v>
      </c>
      <c r="H378" s="38">
        <v>73.0</v>
      </c>
      <c r="I378" s="48">
        <f t="shared" si="21"/>
        <v>1360</v>
      </c>
      <c r="J378" s="48">
        <f t="shared" si="22"/>
        <v>1486</v>
      </c>
      <c r="K378" s="49">
        <f t="shared" si="23"/>
        <v>0.5536764706</v>
      </c>
      <c r="L378" s="49">
        <f t="shared" si="24"/>
        <v>0.2720588235</v>
      </c>
      <c r="M378" s="49">
        <f t="shared" si="25"/>
        <v>0.1742647059</v>
      </c>
      <c r="N378" s="32" t="str">
        <f t="shared" si="26"/>
        <v>Jânio</v>
      </c>
      <c r="O378" s="50" t="s">
        <v>77</v>
      </c>
      <c r="P378" s="38">
        <v>485.0</v>
      </c>
      <c r="Q378" s="38">
        <v>646.0</v>
      </c>
      <c r="R378" s="38">
        <v>122.0</v>
      </c>
      <c r="S378" s="38">
        <v>176.0</v>
      </c>
      <c r="T378" s="38">
        <v>57.0</v>
      </c>
      <c r="U378" s="48">
        <f t="shared" si="27"/>
        <v>1253</v>
      </c>
      <c r="V378" s="48">
        <f t="shared" si="28"/>
        <v>1486</v>
      </c>
      <c r="W378" s="49">
        <f t="shared" si="29"/>
        <v>0.3870710295</v>
      </c>
      <c r="X378" s="49">
        <f t="shared" si="30"/>
        <v>0.5155626496</v>
      </c>
      <c r="Y378" s="49">
        <f t="shared" si="31"/>
        <v>0.09736632083</v>
      </c>
      <c r="Z378" s="32" t="str">
        <f t="shared" si="32"/>
        <v>Milton</v>
      </c>
      <c r="AA378" s="50" t="s">
        <v>77</v>
      </c>
      <c r="AB378" s="38">
        <v>1788.0</v>
      </c>
      <c r="AC378" s="48">
        <f t="shared" si="33"/>
        <v>302</v>
      </c>
      <c r="AD378" s="51">
        <f t="shared" si="34"/>
        <v>0.8310961969</v>
      </c>
    </row>
    <row r="379">
      <c r="A379" s="61" t="s">
        <v>2364</v>
      </c>
      <c r="B379" s="46" t="s">
        <v>2365</v>
      </c>
      <c r="C379" s="47"/>
      <c r="D379" s="38">
        <v>3983.0</v>
      </c>
      <c r="E379" s="38">
        <v>847.0</v>
      </c>
      <c r="F379" s="38">
        <v>1641.0</v>
      </c>
      <c r="G379" s="38">
        <v>116.0</v>
      </c>
      <c r="H379" s="38">
        <v>304.0</v>
      </c>
      <c r="I379" s="48">
        <f t="shared" si="21"/>
        <v>6471</v>
      </c>
      <c r="J379" s="48">
        <f t="shared" si="22"/>
        <v>6891</v>
      </c>
      <c r="K379" s="49">
        <f t="shared" si="23"/>
        <v>0.6155153763</v>
      </c>
      <c r="L379" s="49">
        <f t="shared" si="24"/>
        <v>0.1308916705</v>
      </c>
      <c r="M379" s="49">
        <f t="shared" si="25"/>
        <v>0.2535929532</v>
      </c>
      <c r="N379" s="32" t="str">
        <f t="shared" si="26"/>
        <v>Jânio</v>
      </c>
      <c r="O379" s="50" t="s">
        <v>77</v>
      </c>
      <c r="P379" s="38">
        <v>2028.0</v>
      </c>
      <c r="Q379" s="38">
        <v>3299.0</v>
      </c>
      <c r="R379" s="38">
        <v>595.0</v>
      </c>
      <c r="S379" s="38">
        <v>710.0</v>
      </c>
      <c r="T379" s="38">
        <v>259.0</v>
      </c>
      <c r="U379" s="48">
        <f t="shared" si="27"/>
        <v>5922</v>
      </c>
      <c r="V379" s="48">
        <f t="shared" si="28"/>
        <v>6891</v>
      </c>
      <c r="W379" s="49">
        <f t="shared" si="29"/>
        <v>0.3424518744</v>
      </c>
      <c r="X379" s="49">
        <f t="shared" si="30"/>
        <v>0.5570753124</v>
      </c>
      <c r="Y379" s="49">
        <f t="shared" si="31"/>
        <v>0.1004728132</v>
      </c>
      <c r="Z379" s="32" t="str">
        <f t="shared" si="32"/>
        <v>Milton</v>
      </c>
      <c r="AA379" s="50" t="s">
        <v>77</v>
      </c>
      <c r="AB379" s="38">
        <v>8129.0</v>
      </c>
      <c r="AC379" s="48">
        <f t="shared" si="33"/>
        <v>1238</v>
      </c>
      <c r="AD379" s="51">
        <f t="shared" si="34"/>
        <v>0.8477057449</v>
      </c>
    </row>
    <row r="380">
      <c r="A380" s="23"/>
      <c r="B380" s="46" t="s">
        <v>2366</v>
      </c>
      <c r="C380" s="47"/>
      <c r="D380" s="38">
        <v>1476.0</v>
      </c>
      <c r="E380" s="38">
        <v>79.0</v>
      </c>
      <c r="F380" s="38">
        <v>385.0</v>
      </c>
      <c r="G380" s="38">
        <v>40.0</v>
      </c>
      <c r="H380" s="38">
        <v>87.0</v>
      </c>
      <c r="I380" s="48">
        <f t="shared" si="21"/>
        <v>1940</v>
      </c>
      <c r="J380" s="48">
        <f t="shared" si="22"/>
        <v>2067</v>
      </c>
      <c r="K380" s="49">
        <f t="shared" si="23"/>
        <v>0.7608247423</v>
      </c>
      <c r="L380" s="49">
        <f t="shared" si="24"/>
        <v>0.04072164948</v>
      </c>
      <c r="M380" s="49">
        <f t="shared" si="25"/>
        <v>0.1984536082</v>
      </c>
      <c r="N380" s="32" t="str">
        <f t="shared" si="26"/>
        <v>Jânio</v>
      </c>
      <c r="O380" s="50" t="s">
        <v>77</v>
      </c>
      <c r="P380" s="38">
        <v>351.0</v>
      </c>
      <c r="Q380" s="38">
        <v>1360.0</v>
      </c>
      <c r="R380" s="38">
        <v>114.0</v>
      </c>
      <c r="S380" s="38">
        <v>167.0</v>
      </c>
      <c r="T380" s="38">
        <v>75.0</v>
      </c>
      <c r="U380" s="48">
        <f t="shared" si="27"/>
        <v>1825</v>
      </c>
      <c r="V380" s="48">
        <f t="shared" si="28"/>
        <v>2067</v>
      </c>
      <c r="W380" s="49">
        <f t="shared" si="29"/>
        <v>0.1923287671</v>
      </c>
      <c r="X380" s="49">
        <f t="shared" si="30"/>
        <v>0.7452054795</v>
      </c>
      <c r="Y380" s="49">
        <f t="shared" si="31"/>
        <v>0.06246575342</v>
      </c>
      <c r="Z380" s="32" t="str">
        <f t="shared" si="32"/>
        <v>Milton</v>
      </c>
      <c r="AA380" s="50" t="s">
        <v>77</v>
      </c>
      <c r="AB380" s="38">
        <v>2365.0</v>
      </c>
      <c r="AC380" s="48">
        <f t="shared" si="33"/>
        <v>298</v>
      </c>
      <c r="AD380" s="51">
        <f t="shared" si="34"/>
        <v>0.8739957717</v>
      </c>
    </row>
    <row r="381">
      <c r="A381" s="24"/>
      <c r="B381" s="46" t="s">
        <v>2367</v>
      </c>
      <c r="C381" s="47"/>
      <c r="D381" s="38">
        <v>862.0</v>
      </c>
      <c r="E381" s="38">
        <v>239.0</v>
      </c>
      <c r="F381" s="38">
        <v>442.0</v>
      </c>
      <c r="G381" s="38">
        <v>31.0</v>
      </c>
      <c r="H381" s="38">
        <v>74.0</v>
      </c>
      <c r="I381" s="48">
        <f t="shared" si="21"/>
        <v>1543</v>
      </c>
      <c r="J381" s="48">
        <f t="shared" si="22"/>
        <v>1648</v>
      </c>
      <c r="K381" s="49">
        <f t="shared" si="23"/>
        <v>0.5586519767</v>
      </c>
      <c r="L381" s="49">
        <f t="shared" si="24"/>
        <v>0.1548930655</v>
      </c>
      <c r="M381" s="49">
        <f t="shared" si="25"/>
        <v>0.2864549579</v>
      </c>
      <c r="N381" s="32" t="str">
        <f t="shared" si="26"/>
        <v>Jânio</v>
      </c>
      <c r="O381" s="50" t="s">
        <v>77</v>
      </c>
      <c r="P381" s="38">
        <v>443.0</v>
      </c>
      <c r="Q381" s="38">
        <v>741.0</v>
      </c>
      <c r="R381" s="38">
        <v>226.0</v>
      </c>
      <c r="S381" s="38">
        <v>180.0</v>
      </c>
      <c r="T381" s="38">
        <v>58.0</v>
      </c>
      <c r="U381" s="48">
        <f t="shared" si="27"/>
        <v>1410</v>
      </c>
      <c r="V381" s="48">
        <f t="shared" si="28"/>
        <v>1648</v>
      </c>
      <c r="W381" s="49">
        <f t="shared" si="29"/>
        <v>0.3141843972</v>
      </c>
      <c r="X381" s="49">
        <f t="shared" si="30"/>
        <v>0.5255319149</v>
      </c>
      <c r="Y381" s="49">
        <f t="shared" si="31"/>
        <v>0.1602836879</v>
      </c>
      <c r="Z381" s="32" t="str">
        <f t="shared" si="32"/>
        <v>Milton</v>
      </c>
      <c r="AA381" s="50" t="s">
        <v>77</v>
      </c>
      <c r="AB381" s="38">
        <v>1896.0</v>
      </c>
      <c r="AC381" s="48">
        <f t="shared" si="33"/>
        <v>248</v>
      </c>
      <c r="AD381" s="51">
        <f t="shared" si="34"/>
        <v>0.8691983122</v>
      </c>
    </row>
    <row r="382">
      <c r="A382" s="86" t="s">
        <v>2368</v>
      </c>
      <c r="B382" s="123" t="s">
        <v>2369</v>
      </c>
      <c r="C382" s="124"/>
      <c r="D382" s="88">
        <v>9971.0</v>
      </c>
      <c r="E382" s="88">
        <v>2743.0</v>
      </c>
      <c r="F382" s="88">
        <v>6128.0</v>
      </c>
      <c r="G382" s="88">
        <v>242.0</v>
      </c>
      <c r="H382" s="88">
        <v>429.0</v>
      </c>
      <c r="I382" s="89">
        <f t="shared" si="21"/>
        <v>18842</v>
      </c>
      <c r="J382" s="89">
        <f t="shared" si="22"/>
        <v>19513</v>
      </c>
      <c r="K382" s="90">
        <f t="shared" si="23"/>
        <v>0.5291901072</v>
      </c>
      <c r="L382" s="90">
        <f t="shared" si="24"/>
        <v>0.1455790256</v>
      </c>
      <c r="M382" s="90">
        <f t="shared" si="25"/>
        <v>0.3252308672</v>
      </c>
      <c r="N382" s="91" t="str">
        <f t="shared" si="26"/>
        <v>Jânio</v>
      </c>
      <c r="O382" s="92" t="s">
        <v>77</v>
      </c>
      <c r="P382" s="88">
        <v>4930.0</v>
      </c>
      <c r="Q382" s="88">
        <v>9531.0</v>
      </c>
      <c r="R382" s="88">
        <v>3553.0</v>
      </c>
      <c r="S382" s="88">
        <v>1178.0</v>
      </c>
      <c r="T382" s="88">
        <v>321.0</v>
      </c>
      <c r="U382" s="89">
        <f t="shared" si="27"/>
        <v>18014</v>
      </c>
      <c r="V382" s="89">
        <f t="shared" si="28"/>
        <v>19513</v>
      </c>
      <c r="W382" s="90">
        <f t="shared" si="29"/>
        <v>0.2736760298</v>
      </c>
      <c r="X382" s="90">
        <f t="shared" si="30"/>
        <v>0.5290884867</v>
      </c>
      <c r="Y382" s="90">
        <f t="shared" si="31"/>
        <v>0.1972354835</v>
      </c>
      <c r="Z382" s="91" t="str">
        <f t="shared" si="32"/>
        <v>Milton</v>
      </c>
      <c r="AA382" s="92" t="s">
        <v>77</v>
      </c>
      <c r="AB382" s="88">
        <v>22246.0</v>
      </c>
      <c r="AC382" s="89">
        <f t="shared" si="33"/>
        <v>2733</v>
      </c>
      <c r="AD382" s="94">
        <f t="shared" si="34"/>
        <v>0.8771464533</v>
      </c>
      <c r="AE382" s="136"/>
    </row>
    <row r="383">
      <c r="A383" s="95" t="s">
        <v>2370</v>
      </c>
      <c r="B383" s="24"/>
      <c r="C383" s="124"/>
      <c r="D383" s="24"/>
      <c r="E383" s="24"/>
      <c r="F383" s="24"/>
      <c r="G383" s="24"/>
      <c r="H383" s="24"/>
      <c r="I383" s="24"/>
      <c r="J383" s="24"/>
      <c r="K383" s="24"/>
      <c r="L383" s="24"/>
      <c r="M383" s="24"/>
      <c r="N383" s="24"/>
      <c r="P383" s="24"/>
      <c r="Q383" s="24"/>
      <c r="R383" s="24"/>
      <c r="S383" s="24"/>
      <c r="T383" s="24"/>
      <c r="U383" s="24"/>
      <c r="V383" s="24"/>
      <c r="W383" s="24"/>
      <c r="X383" s="24"/>
      <c r="Y383" s="24"/>
      <c r="Z383" s="24"/>
      <c r="AB383" s="24"/>
      <c r="AC383" s="24"/>
      <c r="AD383" s="24"/>
      <c r="AE383" s="136"/>
    </row>
    <row r="384">
      <c r="A384" s="61" t="s">
        <v>2370</v>
      </c>
      <c r="B384" s="46" t="s">
        <v>2371</v>
      </c>
      <c r="C384" s="47"/>
      <c r="D384" s="38">
        <v>451.0</v>
      </c>
      <c r="E384" s="38">
        <v>53.0</v>
      </c>
      <c r="F384" s="38">
        <v>152.0</v>
      </c>
      <c r="G384" s="38">
        <v>25.0</v>
      </c>
      <c r="H384" s="38">
        <v>44.0</v>
      </c>
      <c r="I384" s="48">
        <f t="shared" ref="I384:I521" si="35">SUM(D384:F384)</f>
        <v>656</v>
      </c>
      <c r="J384" s="48">
        <f t="shared" ref="J384:J521" si="36">SUM(G384:I384)</f>
        <v>725</v>
      </c>
      <c r="K384" s="49">
        <f t="shared" ref="K384:K521" si="37">D384/I384</f>
        <v>0.6875</v>
      </c>
      <c r="L384" s="49">
        <f t="shared" ref="L384:L521" si="38">E384/I384</f>
        <v>0.08079268293</v>
      </c>
      <c r="M384" s="49">
        <f t="shared" ref="M384:M521" si="39">F384/I384</f>
        <v>0.2317073171</v>
      </c>
      <c r="N384" s="32" t="str">
        <f t="shared" ref="N384:N521" si="40">IF(LARGE(D384:F384,1)=0,#REF!,IF(LARGE(D384:F384,1)=LARGE(D384:F384,2),$D$6,IF(LARGE(D384:F384,1)=D384,$D$3,IF(LARGE(D384:F384,1)=E384,$D$4,IF(LARGE(D384:F384,1)=F384,$D$5)))))</f>
        <v>Jânio</v>
      </c>
      <c r="O384" s="50" t="s">
        <v>77</v>
      </c>
      <c r="P384" s="38">
        <v>198.0</v>
      </c>
      <c r="Q384" s="38">
        <v>155.0</v>
      </c>
      <c r="R384" s="38">
        <v>249.0</v>
      </c>
      <c r="S384" s="38">
        <v>105.0</v>
      </c>
      <c r="T384" s="38">
        <v>18.0</v>
      </c>
      <c r="U384" s="48">
        <f t="shared" ref="U384:U521" si="41">SUM(P384:R384)</f>
        <v>602</v>
      </c>
      <c r="V384" s="48">
        <f t="shared" ref="V384:V521" si="42">SUM(S384:U384)</f>
        <v>725</v>
      </c>
      <c r="W384" s="49">
        <f t="shared" ref="W384:W521" si="43">P384/U384</f>
        <v>0.3289036545</v>
      </c>
      <c r="X384" s="49">
        <f t="shared" ref="X384:X521" si="44">Q384/U384</f>
        <v>0.2574750831</v>
      </c>
      <c r="Y384" s="49">
        <f t="shared" ref="Y384:Y521" si="45">R384/U384</f>
        <v>0.4136212625</v>
      </c>
      <c r="Z384" s="32" t="str">
        <f t="shared" ref="Z384:Z521" si="46">IF(LARGE(P384:R384,1)=0,#REF!,IF(LARGE(P384:R384,1)=LARGE(P384:R384,2),$F$6,IF(LARGE(P384:R384,1)=P384,$F$3,IF(LARGE(P384:R384,1)=Q384,$F$4,IF(LARGE(P384:R384,1)=R384,$F$5)))))</f>
        <v>Ferrari</v>
      </c>
      <c r="AA384" s="50" t="s">
        <v>77</v>
      </c>
      <c r="AB384" s="38">
        <v>845.0</v>
      </c>
      <c r="AC384" s="48">
        <f t="shared" ref="AC384:AC521" si="47">AB384-V384</f>
        <v>120</v>
      </c>
      <c r="AD384" s="51">
        <f t="shared" ref="AD384:AD521" si="48">V384/AB384</f>
        <v>0.8579881657</v>
      </c>
    </row>
    <row r="385">
      <c r="A385" s="23"/>
      <c r="B385" s="46" t="s">
        <v>2372</v>
      </c>
      <c r="C385" s="47"/>
      <c r="D385" s="38">
        <v>606.0</v>
      </c>
      <c r="E385" s="38">
        <v>111.0</v>
      </c>
      <c r="F385" s="38">
        <v>359.0</v>
      </c>
      <c r="G385" s="38">
        <v>60.0</v>
      </c>
      <c r="H385" s="38">
        <v>126.0</v>
      </c>
      <c r="I385" s="48">
        <f t="shared" si="35"/>
        <v>1076</v>
      </c>
      <c r="J385" s="48">
        <f t="shared" si="36"/>
        <v>1262</v>
      </c>
      <c r="K385" s="49">
        <f t="shared" si="37"/>
        <v>0.563197026</v>
      </c>
      <c r="L385" s="49">
        <f t="shared" si="38"/>
        <v>0.1031598513</v>
      </c>
      <c r="M385" s="49">
        <f t="shared" si="39"/>
        <v>0.3336431227</v>
      </c>
      <c r="N385" s="32" t="str">
        <f t="shared" si="40"/>
        <v>Jânio</v>
      </c>
      <c r="O385" s="50" t="s">
        <v>77</v>
      </c>
      <c r="P385" s="38">
        <v>319.0</v>
      </c>
      <c r="Q385" s="38">
        <v>344.0</v>
      </c>
      <c r="R385" s="38">
        <v>229.0</v>
      </c>
      <c r="S385" s="38">
        <v>299.0</v>
      </c>
      <c r="T385" s="38">
        <v>71.0</v>
      </c>
      <c r="U385" s="48">
        <f t="shared" si="41"/>
        <v>892</v>
      </c>
      <c r="V385" s="48">
        <f t="shared" si="42"/>
        <v>1262</v>
      </c>
      <c r="W385" s="49">
        <f t="shared" si="43"/>
        <v>0.3576233184</v>
      </c>
      <c r="X385" s="49">
        <f t="shared" si="44"/>
        <v>0.3856502242</v>
      </c>
      <c r="Y385" s="49">
        <f t="shared" si="45"/>
        <v>0.2567264574</v>
      </c>
      <c r="Z385" s="32" t="str">
        <f t="shared" si="46"/>
        <v>Milton</v>
      </c>
      <c r="AA385" s="50" t="s">
        <v>77</v>
      </c>
      <c r="AB385" s="38">
        <v>1654.0</v>
      </c>
      <c r="AC385" s="48">
        <f t="shared" si="47"/>
        <v>392</v>
      </c>
      <c r="AD385" s="51">
        <f t="shared" si="48"/>
        <v>0.7629987908</v>
      </c>
    </row>
    <row r="386">
      <c r="A386" s="23"/>
      <c r="B386" s="46" t="s">
        <v>2373</v>
      </c>
      <c r="C386" s="47"/>
      <c r="D386" s="38">
        <v>293.0</v>
      </c>
      <c r="E386" s="38">
        <v>9.0</v>
      </c>
      <c r="F386" s="38">
        <v>90.0</v>
      </c>
      <c r="G386" s="38">
        <v>13.0</v>
      </c>
      <c r="H386" s="38">
        <v>13.0</v>
      </c>
      <c r="I386" s="48">
        <f t="shared" si="35"/>
        <v>392</v>
      </c>
      <c r="J386" s="48">
        <f t="shared" si="36"/>
        <v>418</v>
      </c>
      <c r="K386" s="49">
        <f t="shared" si="37"/>
        <v>0.7474489796</v>
      </c>
      <c r="L386" s="49">
        <f t="shared" si="38"/>
        <v>0.02295918367</v>
      </c>
      <c r="M386" s="49">
        <f t="shared" si="39"/>
        <v>0.2295918367</v>
      </c>
      <c r="N386" s="32" t="str">
        <f t="shared" si="40"/>
        <v>Jânio</v>
      </c>
      <c r="O386" s="50" t="s">
        <v>77</v>
      </c>
      <c r="P386" s="38">
        <v>92.0</v>
      </c>
      <c r="Q386" s="38">
        <v>170.0</v>
      </c>
      <c r="R386" s="38">
        <v>111.0</v>
      </c>
      <c r="S386" s="38">
        <v>39.0</v>
      </c>
      <c r="T386" s="38">
        <v>6.0</v>
      </c>
      <c r="U386" s="48">
        <f t="shared" si="41"/>
        <v>373</v>
      </c>
      <c r="V386" s="48">
        <f t="shared" si="42"/>
        <v>418</v>
      </c>
      <c r="W386" s="49">
        <f t="shared" si="43"/>
        <v>0.2466487936</v>
      </c>
      <c r="X386" s="49">
        <f t="shared" si="44"/>
        <v>0.4557640751</v>
      </c>
      <c r="Y386" s="49">
        <f t="shared" si="45"/>
        <v>0.2975871314</v>
      </c>
      <c r="Z386" s="32" t="str">
        <f t="shared" si="46"/>
        <v>Milton</v>
      </c>
      <c r="AA386" s="50" t="s">
        <v>77</v>
      </c>
      <c r="AB386" s="38">
        <v>517.0</v>
      </c>
      <c r="AC386" s="48">
        <f t="shared" si="47"/>
        <v>99</v>
      </c>
      <c r="AD386" s="51">
        <f t="shared" si="48"/>
        <v>0.8085106383</v>
      </c>
    </row>
    <row r="387">
      <c r="A387" s="23"/>
      <c r="B387" s="46" t="s">
        <v>2374</v>
      </c>
      <c r="C387" s="47"/>
      <c r="D387" s="38">
        <v>766.0</v>
      </c>
      <c r="E387" s="38">
        <v>57.0</v>
      </c>
      <c r="F387" s="38">
        <v>516.0</v>
      </c>
      <c r="G387" s="38">
        <v>43.0</v>
      </c>
      <c r="H387" s="38">
        <v>39.0</v>
      </c>
      <c r="I387" s="48">
        <f t="shared" si="35"/>
        <v>1339</v>
      </c>
      <c r="J387" s="48">
        <f t="shared" si="36"/>
        <v>1421</v>
      </c>
      <c r="K387" s="49">
        <f t="shared" si="37"/>
        <v>0.572068708</v>
      </c>
      <c r="L387" s="49">
        <f t="shared" si="38"/>
        <v>0.0425690814</v>
      </c>
      <c r="M387" s="49">
        <f t="shared" si="39"/>
        <v>0.3853622106</v>
      </c>
      <c r="N387" s="32" t="str">
        <f t="shared" si="40"/>
        <v>Jânio</v>
      </c>
      <c r="O387" s="50" t="s">
        <v>77</v>
      </c>
      <c r="P387" s="38">
        <v>155.0</v>
      </c>
      <c r="Q387" s="38">
        <v>703.0</v>
      </c>
      <c r="R387" s="38">
        <v>424.0</v>
      </c>
      <c r="S387" s="38">
        <v>113.0</v>
      </c>
      <c r="T387" s="38">
        <v>26.0</v>
      </c>
      <c r="U387" s="48">
        <f t="shared" si="41"/>
        <v>1282</v>
      </c>
      <c r="V387" s="48">
        <f t="shared" si="42"/>
        <v>1421</v>
      </c>
      <c r="W387" s="49">
        <f t="shared" si="43"/>
        <v>0.1209048362</v>
      </c>
      <c r="X387" s="49">
        <f t="shared" si="44"/>
        <v>0.5483619345</v>
      </c>
      <c r="Y387" s="49">
        <f t="shared" si="45"/>
        <v>0.3307332293</v>
      </c>
      <c r="Z387" s="32" t="str">
        <f t="shared" si="46"/>
        <v>Milton</v>
      </c>
      <c r="AA387" s="50" t="s">
        <v>77</v>
      </c>
      <c r="AB387" s="38">
        <v>1644.0</v>
      </c>
      <c r="AC387" s="48">
        <f t="shared" si="47"/>
        <v>223</v>
      </c>
      <c r="AD387" s="51">
        <f t="shared" si="48"/>
        <v>0.8643552311</v>
      </c>
    </row>
    <row r="388">
      <c r="A388" s="23"/>
      <c r="B388" s="46" t="s">
        <v>2375</v>
      </c>
      <c r="C388" s="47"/>
      <c r="D388" s="38">
        <v>316.0</v>
      </c>
      <c r="E388" s="38">
        <v>14.0</v>
      </c>
      <c r="F388" s="38">
        <v>202.0</v>
      </c>
      <c r="G388" s="38">
        <v>16.0</v>
      </c>
      <c r="H388" s="38">
        <v>17.0</v>
      </c>
      <c r="I388" s="48">
        <f t="shared" si="35"/>
        <v>532</v>
      </c>
      <c r="J388" s="48">
        <f t="shared" si="36"/>
        <v>565</v>
      </c>
      <c r="K388" s="49">
        <f t="shared" si="37"/>
        <v>0.5939849624</v>
      </c>
      <c r="L388" s="49">
        <f t="shared" si="38"/>
        <v>0.02631578947</v>
      </c>
      <c r="M388" s="49">
        <f t="shared" si="39"/>
        <v>0.3796992481</v>
      </c>
      <c r="N388" s="32" t="str">
        <f t="shared" si="40"/>
        <v>Jânio</v>
      </c>
      <c r="O388" s="50" t="s">
        <v>77</v>
      </c>
      <c r="P388" s="38">
        <v>98.0</v>
      </c>
      <c r="Q388" s="38">
        <v>187.0</v>
      </c>
      <c r="R388" s="38">
        <v>194.0</v>
      </c>
      <c r="S388" s="38">
        <v>77.0</v>
      </c>
      <c r="T388" s="38">
        <v>9.0</v>
      </c>
      <c r="U388" s="48">
        <f t="shared" si="41"/>
        <v>479</v>
      </c>
      <c r="V388" s="48">
        <f t="shared" si="42"/>
        <v>565</v>
      </c>
      <c r="W388" s="49">
        <f t="shared" si="43"/>
        <v>0.2045929019</v>
      </c>
      <c r="X388" s="49">
        <f t="shared" si="44"/>
        <v>0.3903966597</v>
      </c>
      <c r="Y388" s="49">
        <f t="shared" si="45"/>
        <v>0.4050104384</v>
      </c>
      <c r="Z388" s="32" t="str">
        <f t="shared" si="46"/>
        <v>Ferrari</v>
      </c>
      <c r="AA388" s="50" t="s">
        <v>77</v>
      </c>
      <c r="AB388" s="38">
        <v>688.0</v>
      </c>
      <c r="AC388" s="48">
        <f t="shared" si="47"/>
        <v>123</v>
      </c>
      <c r="AD388" s="51">
        <f t="shared" si="48"/>
        <v>0.8212209302</v>
      </c>
    </row>
    <row r="389">
      <c r="A389" s="23"/>
      <c r="B389" s="46" t="s">
        <v>2376</v>
      </c>
      <c r="C389" s="47"/>
      <c r="D389" s="38">
        <v>651.0</v>
      </c>
      <c r="E389" s="38">
        <v>132.0</v>
      </c>
      <c r="F389" s="38">
        <v>314.0</v>
      </c>
      <c r="G389" s="38">
        <v>21.0</v>
      </c>
      <c r="H389" s="38">
        <v>43.0</v>
      </c>
      <c r="I389" s="48">
        <f t="shared" si="35"/>
        <v>1097</v>
      </c>
      <c r="J389" s="48">
        <f t="shared" si="36"/>
        <v>1161</v>
      </c>
      <c r="K389" s="49">
        <f t="shared" si="37"/>
        <v>0.5934366454</v>
      </c>
      <c r="L389" s="49">
        <f t="shared" si="38"/>
        <v>0.1203281677</v>
      </c>
      <c r="M389" s="49">
        <f t="shared" si="39"/>
        <v>0.2862351869</v>
      </c>
      <c r="N389" s="32" t="str">
        <f t="shared" si="40"/>
        <v>Jânio</v>
      </c>
      <c r="O389" s="50" t="s">
        <v>77</v>
      </c>
      <c r="P389" s="38">
        <v>343.0</v>
      </c>
      <c r="Q389" s="38">
        <v>491.0</v>
      </c>
      <c r="R389" s="38">
        <v>134.0</v>
      </c>
      <c r="S389" s="38">
        <v>168.0</v>
      </c>
      <c r="T389" s="38">
        <v>25.0</v>
      </c>
      <c r="U389" s="48">
        <f t="shared" si="41"/>
        <v>968</v>
      </c>
      <c r="V389" s="48">
        <f t="shared" si="42"/>
        <v>1161</v>
      </c>
      <c r="W389" s="49">
        <f t="shared" si="43"/>
        <v>0.354338843</v>
      </c>
      <c r="X389" s="49">
        <f t="shared" si="44"/>
        <v>0.507231405</v>
      </c>
      <c r="Y389" s="49">
        <f t="shared" si="45"/>
        <v>0.1384297521</v>
      </c>
      <c r="Z389" s="32" t="str">
        <f t="shared" si="46"/>
        <v>Milton</v>
      </c>
      <c r="AA389" s="50" t="s">
        <v>77</v>
      </c>
      <c r="AB389" s="38">
        <v>1363.0</v>
      </c>
      <c r="AC389" s="48">
        <f t="shared" si="47"/>
        <v>202</v>
      </c>
      <c r="AD389" s="51">
        <f t="shared" si="48"/>
        <v>0.8517975055</v>
      </c>
    </row>
    <row r="390">
      <c r="A390" s="23"/>
      <c r="B390" s="46" t="s">
        <v>2377</v>
      </c>
      <c r="C390" s="47"/>
      <c r="D390" s="38">
        <v>1062.0</v>
      </c>
      <c r="E390" s="38">
        <v>119.0</v>
      </c>
      <c r="F390" s="38">
        <v>891.0</v>
      </c>
      <c r="G390" s="38">
        <v>105.0</v>
      </c>
      <c r="H390" s="38">
        <v>70.0</v>
      </c>
      <c r="I390" s="48">
        <f t="shared" si="35"/>
        <v>2072</v>
      </c>
      <c r="J390" s="48">
        <f t="shared" si="36"/>
        <v>2247</v>
      </c>
      <c r="K390" s="49">
        <f t="shared" si="37"/>
        <v>0.5125482625</v>
      </c>
      <c r="L390" s="49">
        <f t="shared" si="38"/>
        <v>0.05743243243</v>
      </c>
      <c r="M390" s="49">
        <f t="shared" si="39"/>
        <v>0.430019305</v>
      </c>
      <c r="N390" s="32" t="str">
        <f t="shared" si="40"/>
        <v>Jânio</v>
      </c>
      <c r="O390" s="50" t="s">
        <v>77</v>
      </c>
      <c r="P390" s="38">
        <v>513.0</v>
      </c>
      <c r="Q390" s="38">
        <v>792.0</v>
      </c>
      <c r="R390" s="38">
        <v>384.0</v>
      </c>
      <c r="S390" s="38">
        <v>511.0</v>
      </c>
      <c r="T390" s="38">
        <v>47.0</v>
      </c>
      <c r="U390" s="48">
        <f t="shared" si="41"/>
        <v>1689</v>
      </c>
      <c r="V390" s="48">
        <f t="shared" si="42"/>
        <v>2247</v>
      </c>
      <c r="W390" s="49">
        <f t="shared" si="43"/>
        <v>0.3037300178</v>
      </c>
      <c r="X390" s="49">
        <f t="shared" si="44"/>
        <v>0.4689165187</v>
      </c>
      <c r="Y390" s="49">
        <f t="shared" si="45"/>
        <v>0.2273534636</v>
      </c>
      <c r="Z390" s="32" t="str">
        <f t="shared" si="46"/>
        <v>Milton</v>
      </c>
      <c r="AA390" s="50" t="s">
        <v>77</v>
      </c>
      <c r="AB390" s="38">
        <v>2692.0</v>
      </c>
      <c r="AC390" s="48">
        <f t="shared" si="47"/>
        <v>445</v>
      </c>
      <c r="AD390" s="51">
        <f t="shared" si="48"/>
        <v>0.8346953938</v>
      </c>
    </row>
    <row r="391">
      <c r="A391" s="24"/>
      <c r="B391" s="46" t="s">
        <v>2378</v>
      </c>
      <c r="C391" s="47"/>
      <c r="D391" s="38">
        <v>848.0</v>
      </c>
      <c r="E391" s="38">
        <v>165.0</v>
      </c>
      <c r="F391" s="38">
        <v>640.0</v>
      </c>
      <c r="G391" s="38">
        <v>53.0</v>
      </c>
      <c r="H391" s="38">
        <v>64.0</v>
      </c>
      <c r="I391" s="48">
        <f t="shared" si="35"/>
        <v>1653</v>
      </c>
      <c r="J391" s="48">
        <f t="shared" si="36"/>
        <v>1770</v>
      </c>
      <c r="K391" s="49">
        <f t="shared" si="37"/>
        <v>0.5130066546</v>
      </c>
      <c r="L391" s="49">
        <f t="shared" si="38"/>
        <v>0.0998185118</v>
      </c>
      <c r="M391" s="49">
        <f t="shared" si="39"/>
        <v>0.3871748336</v>
      </c>
      <c r="N391" s="32" t="str">
        <f t="shared" si="40"/>
        <v>Jânio</v>
      </c>
      <c r="O391" s="50" t="s">
        <v>77</v>
      </c>
      <c r="P391" s="38">
        <v>610.0</v>
      </c>
      <c r="Q391" s="38">
        <v>655.0</v>
      </c>
      <c r="R391" s="38">
        <v>198.0</v>
      </c>
      <c r="S391" s="38">
        <v>276.0</v>
      </c>
      <c r="T391" s="38">
        <v>31.0</v>
      </c>
      <c r="U391" s="48">
        <f t="shared" si="41"/>
        <v>1463</v>
      </c>
      <c r="V391" s="48">
        <f t="shared" si="42"/>
        <v>1770</v>
      </c>
      <c r="W391" s="49">
        <f t="shared" si="43"/>
        <v>0.4169514696</v>
      </c>
      <c r="X391" s="49">
        <f t="shared" si="44"/>
        <v>0.4477101846</v>
      </c>
      <c r="Y391" s="49">
        <f t="shared" si="45"/>
        <v>0.1353383459</v>
      </c>
      <c r="Z391" s="32" t="str">
        <f t="shared" si="46"/>
        <v>Milton</v>
      </c>
      <c r="AA391" s="50" t="s">
        <v>77</v>
      </c>
      <c r="AB391" s="38">
        <v>2035.0</v>
      </c>
      <c r="AC391" s="48">
        <f t="shared" si="47"/>
        <v>265</v>
      </c>
      <c r="AD391" s="51">
        <f t="shared" si="48"/>
        <v>0.8697788698</v>
      </c>
    </row>
    <row r="392">
      <c r="A392" s="61" t="s">
        <v>2379</v>
      </c>
      <c r="B392" s="46" t="s">
        <v>2380</v>
      </c>
      <c r="C392" s="47"/>
      <c r="D392" s="38">
        <v>6923.0</v>
      </c>
      <c r="E392" s="38">
        <v>2386.0</v>
      </c>
      <c r="F392" s="38">
        <v>6660.0</v>
      </c>
      <c r="G392" s="38">
        <v>210.0</v>
      </c>
      <c r="H392" s="38">
        <v>367.0</v>
      </c>
      <c r="I392" s="48">
        <f t="shared" si="35"/>
        <v>15969</v>
      </c>
      <c r="J392" s="48">
        <f t="shared" si="36"/>
        <v>16546</v>
      </c>
      <c r="K392" s="49">
        <f t="shared" si="37"/>
        <v>0.4335274595</v>
      </c>
      <c r="L392" s="49">
        <f t="shared" si="38"/>
        <v>0.1494144906</v>
      </c>
      <c r="M392" s="49">
        <f t="shared" si="39"/>
        <v>0.41705805</v>
      </c>
      <c r="N392" s="32" t="str">
        <f t="shared" si="40"/>
        <v>Jânio</v>
      </c>
      <c r="O392" s="50" t="s">
        <v>77</v>
      </c>
      <c r="P392" s="38">
        <v>6181.0</v>
      </c>
      <c r="Q392" s="38">
        <v>6983.0</v>
      </c>
      <c r="R392" s="38">
        <v>2073.0</v>
      </c>
      <c r="S392" s="38">
        <v>1099.0</v>
      </c>
      <c r="T392" s="38">
        <v>210.0</v>
      </c>
      <c r="U392" s="48">
        <f t="shared" si="41"/>
        <v>15237</v>
      </c>
      <c r="V392" s="48">
        <f t="shared" si="42"/>
        <v>16546</v>
      </c>
      <c r="W392" s="49">
        <f t="shared" si="43"/>
        <v>0.4056572816</v>
      </c>
      <c r="X392" s="49">
        <f t="shared" si="44"/>
        <v>0.4582923148</v>
      </c>
      <c r="Y392" s="49">
        <f t="shared" si="45"/>
        <v>0.1360504036</v>
      </c>
      <c r="Z392" s="32" t="str">
        <f t="shared" si="46"/>
        <v>Milton</v>
      </c>
      <c r="AA392" s="50" t="s">
        <v>77</v>
      </c>
      <c r="AB392" s="38">
        <v>17784.0</v>
      </c>
      <c r="AC392" s="48">
        <f t="shared" si="47"/>
        <v>1238</v>
      </c>
      <c r="AD392" s="51">
        <f t="shared" si="48"/>
        <v>0.9303868646</v>
      </c>
    </row>
    <row r="393">
      <c r="A393" s="24"/>
      <c r="B393" s="46" t="s">
        <v>2381</v>
      </c>
      <c r="C393" s="47"/>
      <c r="D393" s="38">
        <v>329.0</v>
      </c>
      <c r="E393" s="38">
        <v>106.0</v>
      </c>
      <c r="F393" s="38">
        <v>212.0</v>
      </c>
      <c r="G393" s="38">
        <v>19.0</v>
      </c>
      <c r="H393" s="38">
        <v>23.0</v>
      </c>
      <c r="I393" s="48">
        <f t="shared" si="35"/>
        <v>647</v>
      </c>
      <c r="J393" s="48">
        <f t="shared" si="36"/>
        <v>689</v>
      </c>
      <c r="K393" s="49">
        <f t="shared" si="37"/>
        <v>0.5085007728</v>
      </c>
      <c r="L393" s="49">
        <f t="shared" si="38"/>
        <v>0.1638330757</v>
      </c>
      <c r="M393" s="49">
        <f t="shared" si="39"/>
        <v>0.3276661515</v>
      </c>
      <c r="N393" s="32" t="str">
        <f t="shared" si="40"/>
        <v>Jânio</v>
      </c>
      <c r="O393" s="50" t="s">
        <v>77</v>
      </c>
      <c r="P393" s="38">
        <v>200.0</v>
      </c>
      <c r="Q393" s="38">
        <v>240.0</v>
      </c>
      <c r="R393" s="38">
        <v>97.0</v>
      </c>
      <c r="S393" s="38">
        <v>142.0</v>
      </c>
      <c r="T393" s="38">
        <v>10.0</v>
      </c>
      <c r="U393" s="48">
        <f t="shared" si="41"/>
        <v>537</v>
      </c>
      <c r="V393" s="48">
        <f t="shared" si="42"/>
        <v>689</v>
      </c>
      <c r="W393" s="49">
        <f t="shared" si="43"/>
        <v>0.3724394786</v>
      </c>
      <c r="X393" s="49">
        <f t="shared" si="44"/>
        <v>0.4469273743</v>
      </c>
      <c r="Y393" s="49">
        <f t="shared" si="45"/>
        <v>0.1806331471</v>
      </c>
      <c r="Z393" s="32" t="str">
        <f t="shared" si="46"/>
        <v>Milton</v>
      </c>
      <c r="AA393" s="50" t="s">
        <v>77</v>
      </c>
      <c r="AB393" s="38">
        <v>817.0</v>
      </c>
      <c r="AC393" s="48">
        <f t="shared" si="47"/>
        <v>128</v>
      </c>
      <c r="AD393" s="51">
        <f t="shared" si="48"/>
        <v>0.8433292534</v>
      </c>
    </row>
    <row r="394">
      <c r="A394" s="61" t="s">
        <v>2382</v>
      </c>
      <c r="B394" s="46" t="s">
        <v>2383</v>
      </c>
      <c r="C394" s="47"/>
      <c r="D394" s="38">
        <v>1213.0</v>
      </c>
      <c r="E394" s="38">
        <v>86.0</v>
      </c>
      <c r="F394" s="38">
        <v>929.0</v>
      </c>
      <c r="G394" s="38">
        <v>53.0</v>
      </c>
      <c r="H394" s="38">
        <v>117.0</v>
      </c>
      <c r="I394" s="48">
        <f t="shared" si="35"/>
        <v>2228</v>
      </c>
      <c r="J394" s="48">
        <f t="shared" si="36"/>
        <v>2398</v>
      </c>
      <c r="K394" s="49">
        <f t="shared" si="37"/>
        <v>0.5444344704</v>
      </c>
      <c r="L394" s="49">
        <f t="shared" si="38"/>
        <v>0.03859964093</v>
      </c>
      <c r="M394" s="49">
        <f t="shared" si="39"/>
        <v>0.4169658887</v>
      </c>
      <c r="N394" s="32" t="str">
        <f t="shared" si="40"/>
        <v>Jânio</v>
      </c>
      <c r="O394" s="50" t="s">
        <v>77</v>
      </c>
      <c r="P394" s="38">
        <v>722.0</v>
      </c>
      <c r="Q394" s="38">
        <v>1060.0</v>
      </c>
      <c r="R394" s="38">
        <v>152.0</v>
      </c>
      <c r="S394" s="38">
        <v>378.0</v>
      </c>
      <c r="T394" s="38">
        <v>86.0</v>
      </c>
      <c r="U394" s="48">
        <f t="shared" si="41"/>
        <v>1934</v>
      </c>
      <c r="V394" s="48">
        <f t="shared" si="42"/>
        <v>2398</v>
      </c>
      <c r="W394" s="49">
        <f t="shared" si="43"/>
        <v>0.373319545</v>
      </c>
      <c r="X394" s="49">
        <f t="shared" si="44"/>
        <v>0.5480868666</v>
      </c>
      <c r="Y394" s="49">
        <f t="shared" si="45"/>
        <v>0.07859358842</v>
      </c>
      <c r="Z394" s="32" t="str">
        <f t="shared" si="46"/>
        <v>Milton</v>
      </c>
      <c r="AA394" s="50" t="s">
        <v>77</v>
      </c>
      <c r="AB394" s="38">
        <v>2709.0</v>
      </c>
      <c r="AC394" s="48">
        <f t="shared" si="47"/>
        <v>311</v>
      </c>
      <c r="AD394" s="51">
        <f t="shared" si="48"/>
        <v>0.8851974898</v>
      </c>
    </row>
    <row r="395">
      <c r="A395" s="24"/>
      <c r="B395" s="46" t="s">
        <v>2384</v>
      </c>
      <c r="C395" s="47"/>
      <c r="D395" s="38">
        <v>643.0</v>
      </c>
      <c r="E395" s="38">
        <v>15.0</v>
      </c>
      <c r="F395" s="38">
        <v>150.0</v>
      </c>
      <c r="G395" s="38">
        <v>22.0</v>
      </c>
      <c r="H395" s="38">
        <v>34.0</v>
      </c>
      <c r="I395" s="48">
        <f t="shared" si="35"/>
        <v>808</v>
      </c>
      <c r="J395" s="48">
        <f t="shared" si="36"/>
        <v>864</v>
      </c>
      <c r="K395" s="49">
        <f t="shared" si="37"/>
        <v>0.7957920792</v>
      </c>
      <c r="L395" s="49">
        <f t="shared" si="38"/>
        <v>0.01856435644</v>
      </c>
      <c r="M395" s="49">
        <f t="shared" si="39"/>
        <v>0.1856435644</v>
      </c>
      <c r="N395" s="32" t="str">
        <f t="shared" si="40"/>
        <v>Jânio</v>
      </c>
      <c r="O395" s="50" t="s">
        <v>77</v>
      </c>
      <c r="P395" s="38">
        <v>112.0</v>
      </c>
      <c r="Q395" s="38">
        <v>594.0</v>
      </c>
      <c r="R395" s="38">
        <v>70.0</v>
      </c>
      <c r="S395" s="38">
        <v>79.0</v>
      </c>
      <c r="T395" s="38">
        <v>9.0</v>
      </c>
      <c r="U395" s="48">
        <f t="shared" si="41"/>
        <v>776</v>
      </c>
      <c r="V395" s="48">
        <f t="shared" si="42"/>
        <v>864</v>
      </c>
      <c r="W395" s="49">
        <f t="shared" si="43"/>
        <v>0.1443298969</v>
      </c>
      <c r="X395" s="49">
        <f t="shared" si="44"/>
        <v>0.7654639175</v>
      </c>
      <c r="Y395" s="49">
        <f t="shared" si="45"/>
        <v>0.09020618557</v>
      </c>
      <c r="Z395" s="32" t="str">
        <f t="shared" si="46"/>
        <v>Milton</v>
      </c>
      <c r="AA395" s="50" t="s">
        <v>77</v>
      </c>
      <c r="AB395" s="38">
        <v>992.0</v>
      </c>
      <c r="AC395" s="48">
        <f t="shared" si="47"/>
        <v>128</v>
      </c>
      <c r="AD395" s="51">
        <f t="shared" si="48"/>
        <v>0.8709677419</v>
      </c>
    </row>
    <row r="396">
      <c r="A396" s="61" t="s">
        <v>2385</v>
      </c>
      <c r="B396" s="46" t="s">
        <v>2386</v>
      </c>
      <c r="C396" s="47"/>
      <c r="D396" s="38">
        <v>2850.0</v>
      </c>
      <c r="E396" s="38">
        <v>232.0</v>
      </c>
      <c r="F396" s="38">
        <v>2577.0</v>
      </c>
      <c r="G396" s="38">
        <v>82.0</v>
      </c>
      <c r="H396" s="38">
        <v>132.0</v>
      </c>
      <c r="I396" s="48">
        <f t="shared" si="35"/>
        <v>5659</v>
      </c>
      <c r="J396" s="48">
        <f t="shared" si="36"/>
        <v>5873</v>
      </c>
      <c r="K396" s="49">
        <f t="shared" si="37"/>
        <v>0.5036225482</v>
      </c>
      <c r="L396" s="49">
        <f t="shared" si="38"/>
        <v>0.04099664252</v>
      </c>
      <c r="M396" s="49">
        <f t="shared" si="39"/>
        <v>0.4553808093</v>
      </c>
      <c r="N396" s="32" t="str">
        <f t="shared" si="40"/>
        <v>Jânio</v>
      </c>
      <c r="O396" s="50" t="s">
        <v>77</v>
      </c>
      <c r="P396" s="38">
        <v>1743.0</v>
      </c>
      <c r="Q396" s="38">
        <v>2600.0</v>
      </c>
      <c r="R396" s="38">
        <v>926.0</v>
      </c>
      <c r="S396" s="38">
        <v>521.0</v>
      </c>
      <c r="T396" s="38">
        <v>83.0</v>
      </c>
      <c r="U396" s="48">
        <f t="shared" si="41"/>
        <v>5269</v>
      </c>
      <c r="V396" s="48">
        <f t="shared" si="42"/>
        <v>5873</v>
      </c>
      <c r="W396" s="49">
        <f t="shared" si="43"/>
        <v>0.3308028089</v>
      </c>
      <c r="X396" s="49">
        <f t="shared" si="44"/>
        <v>0.493452268</v>
      </c>
      <c r="Y396" s="49">
        <f t="shared" si="45"/>
        <v>0.1757449231</v>
      </c>
      <c r="Z396" s="32" t="str">
        <f t="shared" si="46"/>
        <v>Milton</v>
      </c>
      <c r="AA396" s="50" t="s">
        <v>77</v>
      </c>
      <c r="AB396" s="38">
        <v>6422.0</v>
      </c>
      <c r="AC396" s="48">
        <f t="shared" si="47"/>
        <v>549</v>
      </c>
      <c r="AD396" s="51">
        <f t="shared" si="48"/>
        <v>0.9145126129</v>
      </c>
    </row>
    <row r="397">
      <c r="A397" s="24"/>
      <c r="B397" s="46" t="s">
        <v>2387</v>
      </c>
      <c r="C397" s="47"/>
      <c r="D397" s="38">
        <v>304.0</v>
      </c>
      <c r="E397" s="38">
        <v>34.0</v>
      </c>
      <c r="F397" s="38">
        <v>402.0</v>
      </c>
      <c r="G397" s="38">
        <v>19.0</v>
      </c>
      <c r="H397" s="38">
        <v>29.0</v>
      </c>
      <c r="I397" s="48">
        <f t="shared" si="35"/>
        <v>740</v>
      </c>
      <c r="J397" s="48">
        <f t="shared" si="36"/>
        <v>788</v>
      </c>
      <c r="K397" s="49">
        <f t="shared" si="37"/>
        <v>0.4108108108</v>
      </c>
      <c r="L397" s="49">
        <f t="shared" si="38"/>
        <v>0.04594594595</v>
      </c>
      <c r="M397" s="49">
        <f t="shared" si="39"/>
        <v>0.5432432432</v>
      </c>
      <c r="N397" s="32" t="str">
        <f t="shared" si="40"/>
        <v>Adhemar</v>
      </c>
      <c r="O397" s="50" t="s">
        <v>77</v>
      </c>
      <c r="P397" s="38">
        <v>287.0</v>
      </c>
      <c r="Q397" s="38">
        <v>277.0</v>
      </c>
      <c r="R397" s="38">
        <v>66.0</v>
      </c>
      <c r="S397" s="38">
        <v>141.0</v>
      </c>
      <c r="T397" s="38">
        <v>17.0</v>
      </c>
      <c r="U397" s="48">
        <f t="shared" si="41"/>
        <v>630</v>
      </c>
      <c r="V397" s="48">
        <f t="shared" si="42"/>
        <v>788</v>
      </c>
      <c r="W397" s="49">
        <f t="shared" si="43"/>
        <v>0.4555555556</v>
      </c>
      <c r="X397" s="49">
        <f t="shared" si="44"/>
        <v>0.4396825397</v>
      </c>
      <c r="Y397" s="49">
        <f t="shared" si="45"/>
        <v>0.1047619048</v>
      </c>
      <c r="Z397" s="32" t="str">
        <f t="shared" si="46"/>
        <v>Jango</v>
      </c>
      <c r="AA397" s="50" t="s">
        <v>77</v>
      </c>
      <c r="AB397" s="38">
        <v>855.0</v>
      </c>
      <c r="AC397" s="48">
        <f t="shared" si="47"/>
        <v>67</v>
      </c>
      <c r="AD397" s="51">
        <f t="shared" si="48"/>
        <v>0.9216374269</v>
      </c>
    </row>
    <row r="398">
      <c r="A398" s="61" t="s">
        <v>2388</v>
      </c>
      <c r="B398" s="46" t="s">
        <v>2389</v>
      </c>
      <c r="C398" s="47"/>
      <c r="D398" s="38">
        <v>915.0</v>
      </c>
      <c r="E398" s="38">
        <v>148.0</v>
      </c>
      <c r="F398" s="38">
        <v>663.0</v>
      </c>
      <c r="G398" s="38">
        <v>54.0</v>
      </c>
      <c r="H398" s="38">
        <v>44.0</v>
      </c>
      <c r="I398" s="48">
        <f t="shared" si="35"/>
        <v>1726</v>
      </c>
      <c r="J398" s="48">
        <f t="shared" si="36"/>
        <v>1824</v>
      </c>
      <c r="K398" s="49">
        <f t="shared" si="37"/>
        <v>0.5301274623</v>
      </c>
      <c r="L398" s="49">
        <f t="shared" si="38"/>
        <v>0.08574739282</v>
      </c>
      <c r="M398" s="49">
        <f t="shared" si="39"/>
        <v>0.3841251448</v>
      </c>
      <c r="N398" s="32" t="str">
        <f t="shared" si="40"/>
        <v>Jânio</v>
      </c>
      <c r="O398" s="50" t="s">
        <v>77</v>
      </c>
      <c r="P398" s="38">
        <v>651.0</v>
      </c>
      <c r="Q398" s="38">
        <v>729.0</v>
      </c>
      <c r="R398" s="38">
        <v>198.0</v>
      </c>
      <c r="S398" s="38">
        <v>223.0</v>
      </c>
      <c r="T398" s="38">
        <v>23.0</v>
      </c>
      <c r="U398" s="48">
        <f t="shared" si="41"/>
        <v>1578</v>
      </c>
      <c r="V398" s="48">
        <f t="shared" si="42"/>
        <v>1824</v>
      </c>
      <c r="W398" s="49">
        <f t="shared" si="43"/>
        <v>0.4125475285</v>
      </c>
      <c r="X398" s="49">
        <f t="shared" si="44"/>
        <v>0.4619771863</v>
      </c>
      <c r="Y398" s="49">
        <f t="shared" si="45"/>
        <v>0.1254752852</v>
      </c>
      <c r="Z398" s="32" t="str">
        <f t="shared" si="46"/>
        <v>Milton</v>
      </c>
      <c r="AA398" s="50" t="s">
        <v>77</v>
      </c>
      <c r="AB398" s="38">
        <v>2015.0</v>
      </c>
      <c r="AC398" s="48">
        <f t="shared" si="47"/>
        <v>191</v>
      </c>
      <c r="AD398" s="51">
        <f t="shared" si="48"/>
        <v>0.9052109181</v>
      </c>
    </row>
    <row r="399">
      <c r="A399" s="23"/>
      <c r="B399" s="46" t="s">
        <v>2390</v>
      </c>
      <c r="C399" s="47"/>
      <c r="D399" s="38">
        <v>261.0</v>
      </c>
      <c r="E399" s="38">
        <v>40.0</v>
      </c>
      <c r="F399" s="38">
        <v>189.0</v>
      </c>
      <c r="G399" s="38">
        <v>8.0</v>
      </c>
      <c r="H399" s="38">
        <v>10.0</v>
      </c>
      <c r="I399" s="48">
        <f t="shared" si="35"/>
        <v>490</v>
      </c>
      <c r="J399" s="48">
        <f t="shared" si="36"/>
        <v>508</v>
      </c>
      <c r="K399" s="49">
        <f t="shared" si="37"/>
        <v>0.5326530612</v>
      </c>
      <c r="L399" s="49">
        <f t="shared" si="38"/>
        <v>0.08163265306</v>
      </c>
      <c r="M399" s="49">
        <f t="shared" si="39"/>
        <v>0.3857142857</v>
      </c>
      <c r="N399" s="32" t="str">
        <f t="shared" si="40"/>
        <v>Jânio</v>
      </c>
      <c r="O399" s="50" t="s">
        <v>77</v>
      </c>
      <c r="P399" s="38">
        <v>122.0</v>
      </c>
      <c r="Q399" s="38">
        <v>154.0</v>
      </c>
      <c r="R399" s="38">
        <v>157.0</v>
      </c>
      <c r="S399" s="38">
        <v>70.0</v>
      </c>
      <c r="T399" s="38">
        <v>5.0</v>
      </c>
      <c r="U399" s="48">
        <f t="shared" si="41"/>
        <v>433</v>
      </c>
      <c r="V399" s="48">
        <f t="shared" si="42"/>
        <v>508</v>
      </c>
      <c r="W399" s="49">
        <f t="shared" si="43"/>
        <v>0.2817551963</v>
      </c>
      <c r="X399" s="49">
        <f t="shared" si="44"/>
        <v>0.3556581986</v>
      </c>
      <c r="Y399" s="49">
        <f t="shared" si="45"/>
        <v>0.3625866051</v>
      </c>
      <c r="Z399" s="32" t="str">
        <f t="shared" si="46"/>
        <v>Ferrari</v>
      </c>
      <c r="AA399" s="50" t="s">
        <v>77</v>
      </c>
      <c r="AB399" s="38">
        <v>568.0</v>
      </c>
      <c r="AC399" s="48">
        <f t="shared" si="47"/>
        <v>60</v>
      </c>
      <c r="AD399" s="51">
        <f t="shared" si="48"/>
        <v>0.8943661972</v>
      </c>
    </row>
    <row r="400">
      <c r="A400" s="24"/>
      <c r="B400" s="46" t="s">
        <v>2391</v>
      </c>
      <c r="C400" s="47"/>
      <c r="D400" s="38">
        <v>194.0</v>
      </c>
      <c r="E400" s="38">
        <v>82.0</v>
      </c>
      <c r="F400" s="38">
        <v>175.0</v>
      </c>
      <c r="G400" s="38">
        <v>28.0</v>
      </c>
      <c r="H400" s="38">
        <v>26.0</v>
      </c>
      <c r="I400" s="48">
        <f t="shared" si="35"/>
        <v>451</v>
      </c>
      <c r="J400" s="48">
        <f t="shared" si="36"/>
        <v>505</v>
      </c>
      <c r="K400" s="49">
        <f t="shared" si="37"/>
        <v>0.4301552106</v>
      </c>
      <c r="L400" s="49">
        <f t="shared" si="38"/>
        <v>0.1818181818</v>
      </c>
      <c r="M400" s="49">
        <f t="shared" si="39"/>
        <v>0.3880266075</v>
      </c>
      <c r="N400" s="32" t="str">
        <f t="shared" si="40"/>
        <v>Jânio</v>
      </c>
      <c r="O400" s="50" t="s">
        <v>77</v>
      </c>
      <c r="P400" s="38">
        <v>81.0</v>
      </c>
      <c r="Q400" s="38">
        <v>151.0</v>
      </c>
      <c r="R400" s="38">
        <v>219.0</v>
      </c>
      <c r="S400" s="38">
        <v>49.0</v>
      </c>
      <c r="T400" s="38">
        <v>5.0</v>
      </c>
      <c r="U400" s="48">
        <f t="shared" si="41"/>
        <v>451</v>
      </c>
      <c r="V400" s="48">
        <f t="shared" si="42"/>
        <v>505</v>
      </c>
      <c r="W400" s="49">
        <f t="shared" si="43"/>
        <v>0.1796008869</v>
      </c>
      <c r="X400" s="49">
        <f t="shared" si="44"/>
        <v>0.3348115299</v>
      </c>
      <c r="Y400" s="49">
        <f t="shared" si="45"/>
        <v>0.4855875831</v>
      </c>
      <c r="Z400" s="32" t="str">
        <f t="shared" si="46"/>
        <v>Ferrari</v>
      </c>
      <c r="AA400" s="50" t="s">
        <v>77</v>
      </c>
      <c r="AB400" s="38">
        <v>585.0</v>
      </c>
      <c r="AC400" s="48">
        <f t="shared" si="47"/>
        <v>80</v>
      </c>
      <c r="AD400" s="51">
        <f t="shared" si="48"/>
        <v>0.8632478632</v>
      </c>
    </row>
    <row r="401">
      <c r="A401" s="61" t="s">
        <v>2392</v>
      </c>
      <c r="B401" s="46" t="s">
        <v>2393</v>
      </c>
      <c r="C401" s="47"/>
      <c r="D401" s="38">
        <v>3591.0</v>
      </c>
      <c r="E401" s="38">
        <v>883.0</v>
      </c>
      <c r="F401" s="38">
        <v>2558.0</v>
      </c>
      <c r="G401" s="38">
        <v>104.0</v>
      </c>
      <c r="H401" s="38">
        <v>280.0</v>
      </c>
      <c r="I401" s="48">
        <f t="shared" si="35"/>
        <v>7032</v>
      </c>
      <c r="J401" s="48">
        <f t="shared" si="36"/>
        <v>7416</v>
      </c>
      <c r="K401" s="49">
        <f t="shared" si="37"/>
        <v>0.510665529</v>
      </c>
      <c r="L401" s="49">
        <f t="shared" si="38"/>
        <v>0.1255688282</v>
      </c>
      <c r="M401" s="49">
        <f t="shared" si="39"/>
        <v>0.3637656428</v>
      </c>
      <c r="N401" s="32" t="str">
        <f t="shared" si="40"/>
        <v>Jânio</v>
      </c>
      <c r="O401" s="50" t="s">
        <v>77</v>
      </c>
      <c r="P401" s="38">
        <v>2594.0</v>
      </c>
      <c r="Q401" s="38">
        <v>2657.0</v>
      </c>
      <c r="R401" s="38">
        <v>1255.0</v>
      </c>
      <c r="S401" s="38">
        <v>749.0</v>
      </c>
      <c r="T401" s="38">
        <v>161.0</v>
      </c>
      <c r="U401" s="48">
        <f t="shared" si="41"/>
        <v>6506</v>
      </c>
      <c r="V401" s="48">
        <f t="shared" si="42"/>
        <v>7416</v>
      </c>
      <c r="W401" s="49">
        <f t="shared" si="43"/>
        <v>0.3987088841</v>
      </c>
      <c r="X401" s="49">
        <f t="shared" si="44"/>
        <v>0.4083922533</v>
      </c>
      <c r="Y401" s="49">
        <f t="shared" si="45"/>
        <v>0.1928988626</v>
      </c>
      <c r="Z401" s="32" t="str">
        <f t="shared" si="46"/>
        <v>Milton</v>
      </c>
      <c r="AA401" s="50" t="s">
        <v>77</v>
      </c>
      <c r="AB401" s="38">
        <v>7960.0</v>
      </c>
      <c r="AC401" s="48">
        <f t="shared" si="47"/>
        <v>544</v>
      </c>
      <c r="AD401" s="51">
        <f t="shared" si="48"/>
        <v>0.9316582915</v>
      </c>
    </row>
    <row r="402">
      <c r="A402" s="23"/>
      <c r="B402" s="46" t="s">
        <v>2394</v>
      </c>
      <c r="C402" s="47"/>
      <c r="D402" s="38">
        <v>1464.0</v>
      </c>
      <c r="E402" s="38">
        <v>141.0</v>
      </c>
      <c r="F402" s="38">
        <v>1152.0</v>
      </c>
      <c r="G402" s="38">
        <v>52.0</v>
      </c>
      <c r="H402" s="38">
        <v>170.0</v>
      </c>
      <c r="I402" s="48">
        <f t="shared" si="35"/>
        <v>2757</v>
      </c>
      <c r="J402" s="48">
        <f t="shared" si="36"/>
        <v>2979</v>
      </c>
      <c r="K402" s="49">
        <f t="shared" si="37"/>
        <v>0.5310119695</v>
      </c>
      <c r="L402" s="49">
        <f t="shared" si="38"/>
        <v>0.05114254625</v>
      </c>
      <c r="M402" s="49">
        <f t="shared" si="39"/>
        <v>0.4178454842</v>
      </c>
      <c r="N402" s="32" t="str">
        <f t="shared" si="40"/>
        <v>Jânio</v>
      </c>
      <c r="O402" s="50" t="s">
        <v>77</v>
      </c>
      <c r="P402" s="38">
        <v>934.0</v>
      </c>
      <c r="Q402" s="38">
        <v>829.0</v>
      </c>
      <c r="R402" s="38">
        <v>457.0</v>
      </c>
      <c r="S402" s="38">
        <v>711.0</v>
      </c>
      <c r="T402" s="38">
        <v>48.0</v>
      </c>
      <c r="U402" s="48">
        <f t="shared" si="41"/>
        <v>2220</v>
      </c>
      <c r="V402" s="48">
        <f t="shared" si="42"/>
        <v>2979</v>
      </c>
      <c r="W402" s="49">
        <f t="shared" si="43"/>
        <v>0.4207207207</v>
      </c>
      <c r="X402" s="49">
        <f t="shared" si="44"/>
        <v>0.3734234234</v>
      </c>
      <c r="Y402" s="49">
        <f t="shared" si="45"/>
        <v>0.2058558559</v>
      </c>
      <c r="Z402" s="32" t="str">
        <f t="shared" si="46"/>
        <v>Jango</v>
      </c>
      <c r="AA402" s="50" t="s">
        <v>77</v>
      </c>
      <c r="AB402" s="38">
        <v>3179.0</v>
      </c>
      <c r="AC402" s="48">
        <f t="shared" si="47"/>
        <v>200</v>
      </c>
      <c r="AD402" s="51">
        <f t="shared" si="48"/>
        <v>0.9370871343</v>
      </c>
    </row>
    <row r="403">
      <c r="A403" s="24"/>
      <c r="B403" s="46" t="s">
        <v>2395</v>
      </c>
      <c r="C403" s="47"/>
      <c r="D403" s="38">
        <v>1689.0</v>
      </c>
      <c r="E403" s="38">
        <v>389.0</v>
      </c>
      <c r="F403" s="38">
        <v>908.0</v>
      </c>
      <c r="G403" s="38">
        <v>41.0</v>
      </c>
      <c r="H403" s="38">
        <v>106.0</v>
      </c>
      <c r="I403" s="48">
        <f t="shared" si="35"/>
        <v>2986</v>
      </c>
      <c r="J403" s="48">
        <f t="shared" si="36"/>
        <v>3133</v>
      </c>
      <c r="K403" s="49">
        <f t="shared" si="37"/>
        <v>0.5656396517</v>
      </c>
      <c r="L403" s="49">
        <f t="shared" si="38"/>
        <v>0.1302746149</v>
      </c>
      <c r="M403" s="49">
        <f t="shared" si="39"/>
        <v>0.3040857334</v>
      </c>
      <c r="N403" s="32" t="str">
        <f t="shared" si="40"/>
        <v>Jânio</v>
      </c>
      <c r="O403" s="50" t="s">
        <v>77</v>
      </c>
      <c r="P403" s="38">
        <v>1182.0</v>
      </c>
      <c r="Q403" s="38">
        <v>1360.0</v>
      </c>
      <c r="R403" s="38">
        <v>324.0</v>
      </c>
      <c r="S403" s="38">
        <v>209.0</v>
      </c>
      <c r="T403" s="38">
        <v>58.0</v>
      </c>
      <c r="U403" s="48">
        <f t="shared" si="41"/>
        <v>2866</v>
      </c>
      <c r="V403" s="48">
        <f t="shared" si="42"/>
        <v>3133</v>
      </c>
      <c r="W403" s="49">
        <f t="shared" si="43"/>
        <v>0.4124214934</v>
      </c>
      <c r="X403" s="49">
        <f t="shared" si="44"/>
        <v>0.4745289602</v>
      </c>
      <c r="Y403" s="49">
        <f t="shared" si="45"/>
        <v>0.1130495464</v>
      </c>
      <c r="Z403" s="32" t="str">
        <f t="shared" si="46"/>
        <v>Milton</v>
      </c>
      <c r="AA403" s="50" t="s">
        <v>77</v>
      </c>
      <c r="AB403" s="38">
        <v>3371.0</v>
      </c>
      <c r="AC403" s="48">
        <f t="shared" si="47"/>
        <v>238</v>
      </c>
      <c r="AD403" s="51">
        <f t="shared" si="48"/>
        <v>0.9293978048</v>
      </c>
    </row>
    <row r="404">
      <c r="A404" s="61" t="s">
        <v>2396</v>
      </c>
      <c r="B404" s="46" t="s">
        <v>2397</v>
      </c>
      <c r="C404" s="47"/>
      <c r="D404" s="38">
        <v>1020.0</v>
      </c>
      <c r="E404" s="38">
        <v>118.0</v>
      </c>
      <c r="F404" s="38">
        <v>275.0</v>
      </c>
      <c r="G404" s="38">
        <v>28.0</v>
      </c>
      <c r="H404" s="38">
        <v>44.0</v>
      </c>
      <c r="I404" s="48">
        <f t="shared" si="35"/>
        <v>1413</v>
      </c>
      <c r="J404" s="48">
        <f t="shared" si="36"/>
        <v>1485</v>
      </c>
      <c r="K404" s="49">
        <f t="shared" si="37"/>
        <v>0.7218683652</v>
      </c>
      <c r="L404" s="49">
        <f t="shared" si="38"/>
        <v>0.08351026185</v>
      </c>
      <c r="M404" s="49">
        <f t="shared" si="39"/>
        <v>0.194621373</v>
      </c>
      <c r="N404" s="32" t="str">
        <f t="shared" si="40"/>
        <v>Jânio</v>
      </c>
      <c r="O404" s="50" t="s">
        <v>77</v>
      </c>
      <c r="P404" s="38">
        <v>354.0</v>
      </c>
      <c r="Q404" s="38">
        <v>693.0</v>
      </c>
      <c r="R404" s="38">
        <v>220.0</v>
      </c>
      <c r="S404" s="38">
        <v>186.0</v>
      </c>
      <c r="T404" s="38">
        <v>32.0</v>
      </c>
      <c r="U404" s="48">
        <f t="shared" si="41"/>
        <v>1267</v>
      </c>
      <c r="V404" s="48">
        <f t="shared" si="42"/>
        <v>1485</v>
      </c>
      <c r="W404" s="49">
        <f t="shared" si="43"/>
        <v>0.2794001579</v>
      </c>
      <c r="X404" s="49">
        <f t="shared" si="44"/>
        <v>0.546961326</v>
      </c>
      <c r="Y404" s="49">
        <f t="shared" si="45"/>
        <v>0.1736385162</v>
      </c>
      <c r="Z404" s="32" t="str">
        <f t="shared" si="46"/>
        <v>Milton</v>
      </c>
      <c r="AA404" s="50" t="s">
        <v>77</v>
      </c>
      <c r="AB404" s="38">
        <v>6490.0</v>
      </c>
      <c r="AC404" s="48">
        <f t="shared" si="47"/>
        <v>5005</v>
      </c>
      <c r="AD404" s="51">
        <f t="shared" si="48"/>
        <v>0.2288135593</v>
      </c>
    </row>
    <row r="405">
      <c r="A405" s="23"/>
      <c r="B405" s="46" t="s">
        <v>2398</v>
      </c>
      <c r="C405" s="47"/>
      <c r="D405" s="38">
        <v>1144.0</v>
      </c>
      <c r="E405" s="38">
        <v>224.0</v>
      </c>
      <c r="F405" s="38">
        <v>569.0</v>
      </c>
      <c r="G405" s="38">
        <v>39.0</v>
      </c>
      <c r="H405" s="38">
        <v>88.0</v>
      </c>
      <c r="I405" s="48">
        <f t="shared" si="35"/>
        <v>1937</v>
      </c>
      <c r="J405" s="48">
        <f t="shared" si="36"/>
        <v>2064</v>
      </c>
      <c r="K405" s="49">
        <f t="shared" si="37"/>
        <v>0.5906040268</v>
      </c>
      <c r="L405" s="49">
        <f t="shared" si="38"/>
        <v>0.1156427465</v>
      </c>
      <c r="M405" s="49">
        <f t="shared" si="39"/>
        <v>0.2937532266</v>
      </c>
      <c r="N405" s="32" t="str">
        <f t="shared" si="40"/>
        <v>Jânio</v>
      </c>
      <c r="O405" s="50" t="s">
        <v>77</v>
      </c>
      <c r="P405" s="38">
        <v>635.0</v>
      </c>
      <c r="Q405" s="38">
        <v>928.0</v>
      </c>
      <c r="R405" s="38">
        <v>200.0</v>
      </c>
      <c r="S405" s="38">
        <v>247.0</v>
      </c>
      <c r="T405" s="38">
        <v>54.0</v>
      </c>
      <c r="U405" s="48">
        <f t="shared" si="41"/>
        <v>1763</v>
      </c>
      <c r="V405" s="48">
        <f t="shared" si="42"/>
        <v>2064</v>
      </c>
      <c r="W405" s="49">
        <f t="shared" si="43"/>
        <v>0.3601815088</v>
      </c>
      <c r="X405" s="49">
        <f t="shared" si="44"/>
        <v>0.5263754963</v>
      </c>
      <c r="Y405" s="49">
        <f t="shared" si="45"/>
        <v>0.1134429949</v>
      </c>
      <c r="Z405" s="32" t="str">
        <f t="shared" si="46"/>
        <v>Milton</v>
      </c>
      <c r="AA405" s="50" t="s">
        <v>77</v>
      </c>
      <c r="AB405" s="38">
        <v>2349.0</v>
      </c>
      <c r="AC405" s="48">
        <f t="shared" si="47"/>
        <v>285</v>
      </c>
      <c r="AD405" s="51">
        <f t="shared" si="48"/>
        <v>0.8786717752</v>
      </c>
    </row>
    <row r="406">
      <c r="A406" s="24"/>
      <c r="B406" s="46" t="s">
        <v>2399</v>
      </c>
      <c r="C406" s="47"/>
      <c r="D406" s="38">
        <v>632.0</v>
      </c>
      <c r="E406" s="38">
        <v>31.0</v>
      </c>
      <c r="F406" s="38">
        <v>104.0</v>
      </c>
      <c r="G406" s="38">
        <v>29.0</v>
      </c>
      <c r="H406" s="38">
        <v>45.0</v>
      </c>
      <c r="I406" s="48">
        <f t="shared" si="35"/>
        <v>767</v>
      </c>
      <c r="J406" s="48">
        <f t="shared" si="36"/>
        <v>841</v>
      </c>
      <c r="K406" s="49">
        <f t="shared" si="37"/>
        <v>0.8239895698</v>
      </c>
      <c r="L406" s="49">
        <f t="shared" si="38"/>
        <v>0.04041720991</v>
      </c>
      <c r="M406" s="49">
        <f t="shared" si="39"/>
        <v>0.1355932203</v>
      </c>
      <c r="N406" s="32" t="str">
        <f t="shared" si="40"/>
        <v>Jânio</v>
      </c>
      <c r="O406" s="50" t="s">
        <v>77</v>
      </c>
      <c r="P406" s="38">
        <v>205.0</v>
      </c>
      <c r="Q406" s="38">
        <v>348.0</v>
      </c>
      <c r="R406" s="38">
        <v>78.0</v>
      </c>
      <c r="S406" s="38">
        <v>174.0</v>
      </c>
      <c r="T406" s="38">
        <v>36.0</v>
      </c>
      <c r="U406" s="48">
        <f t="shared" si="41"/>
        <v>631</v>
      </c>
      <c r="V406" s="48">
        <f t="shared" si="42"/>
        <v>841</v>
      </c>
      <c r="W406" s="49">
        <f t="shared" si="43"/>
        <v>0.324881141</v>
      </c>
      <c r="X406" s="49">
        <f t="shared" si="44"/>
        <v>0.5515055468</v>
      </c>
      <c r="Y406" s="49">
        <f t="shared" si="45"/>
        <v>0.1236133122</v>
      </c>
      <c r="Z406" s="32" t="str">
        <f t="shared" si="46"/>
        <v>Milton</v>
      </c>
      <c r="AA406" s="50" t="s">
        <v>77</v>
      </c>
      <c r="AB406" s="38">
        <v>1074.0</v>
      </c>
      <c r="AC406" s="48">
        <f t="shared" si="47"/>
        <v>233</v>
      </c>
      <c r="AD406" s="51">
        <f t="shared" si="48"/>
        <v>0.7830540037</v>
      </c>
    </row>
    <row r="407">
      <c r="A407" s="61" t="s">
        <v>2400</v>
      </c>
      <c r="B407" s="46" t="s">
        <v>1419</v>
      </c>
      <c r="C407" s="47"/>
      <c r="D407" s="38">
        <v>2040.0</v>
      </c>
      <c r="E407" s="38">
        <v>299.0</v>
      </c>
      <c r="F407" s="38">
        <v>526.0</v>
      </c>
      <c r="G407" s="38">
        <v>105.0</v>
      </c>
      <c r="H407" s="38">
        <v>108.0</v>
      </c>
      <c r="I407" s="48">
        <f t="shared" si="35"/>
        <v>2865</v>
      </c>
      <c r="J407" s="48">
        <f t="shared" si="36"/>
        <v>3078</v>
      </c>
      <c r="K407" s="49">
        <f t="shared" si="37"/>
        <v>0.7120418848</v>
      </c>
      <c r="L407" s="49">
        <f t="shared" si="38"/>
        <v>0.1043630017</v>
      </c>
      <c r="M407" s="49">
        <f t="shared" si="39"/>
        <v>0.1835951134</v>
      </c>
      <c r="N407" s="32" t="str">
        <f t="shared" si="40"/>
        <v>Jânio</v>
      </c>
      <c r="O407" s="50" t="s">
        <v>77</v>
      </c>
      <c r="P407" s="38">
        <v>691.0</v>
      </c>
      <c r="Q407" s="38">
        <v>1415.0</v>
      </c>
      <c r="R407" s="38">
        <v>467.0</v>
      </c>
      <c r="S407" s="38">
        <v>436.0</v>
      </c>
      <c r="T407" s="38">
        <v>69.0</v>
      </c>
      <c r="U407" s="48">
        <f t="shared" si="41"/>
        <v>2573</v>
      </c>
      <c r="V407" s="48">
        <f t="shared" si="42"/>
        <v>3078</v>
      </c>
      <c r="W407" s="49">
        <f t="shared" si="43"/>
        <v>0.2685581034</v>
      </c>
      <c r="X407" s="49">
        <f t="shared" si="44"/>
        <v>0.5499417023</v>
      </c>
      <c r="Y407" s="49">
        <f t="shared" si="45"/>
        <v>0.1815001943</v>
      </c>
      <c r="Z407" s="32" t="str">
        <f t="shared" si="46"/>
        <v>Milton</v>
      </c>
      <c r="AA407" s="50" t="s">
        <v>77</v>
      </c>
      <c r="AB407" s="38">
        <v>3466.0</v>
      </c>
      <c r="AC407" s="48">
        <f t="shared" si="47"/>
        <v>388</v>
      </c>
      <c r="AD407" s="51">
        <f t="shared" si="48"/>
        <v>0.8880553953</v>
      </c>
    </row>
    <row r="408">
      <c r="A408" s="23"/>
      <c r="B408" s="46" t="s">
        <v>2401</v>
      </c>
      <c r="C408" s="47"/>
      <c r="D408" s="38">
        <v>360.0</v>
      </c>
      <c r="E408" s="38">
        <v>46.0</v>
      </c>
      <c r="F408" s="38">
        <v>178.0</v>
      </c>
      <c r="G408" s="38">
        <v>38.0</v>
      </c>
      <c r="H408" s="38">
        <v>21.0</v>
      </c>
      <c r="I408" s="48">
        <f t="shared" si="35"/>
        <v>584</v>
      </c>
      <c r="J408" s="48">
        <f t="shared" si="36"/>
        <v>643</v>
      </c>
      <c r="K408" s="49">
        <f t="shared" si="37"/>
        <v>0.6164383562</v>
      </c>
      <c r="L408" s="49">
        <f t="shared" si="38"/>
        <v>0.07876712329</v>
      </c>
      <c r="M408" s="49">
        <f t="shared" si="39"/>
        <v>0.3047945205</v>
      </c>
      <c r="N408" s="32" t="str">
        <f t="shared" si="40"/>
        <v>Jânio</v>
      </c>
      <c r="O408" s="50" t="s">
        <v>77</v>
      </c>
      <c r="P408" s="38">
        <v>150.0</v>
      </c>
      <c r="Q408" s="38">
        <v>267.0</v>
      </c>
      <c r="R408" s="38">
        <v>82.0</v>
      </c>
      <c r="S408" s="38">
        <v>70.0</v>
      </c>
      <c r="T408" s="38">
        <v>74.0</v>
      </c>
      <c r="U408" s="48">
        <f t="shared" si="41"/>
        <v>499</v>
      </c>
      <c r="V408" s="48">
        <f t="shared" si="42"/>
        <v>643</v>
      </c>
      <c r="W408" s="49">
        <f t="shared" si="43"/>
        <v>0.3006012024</v>
      </c>
      <c r="X408" s="49">
        <f t="shared" si="44"/>
        <v>0.5350701403</v>
      </c>
      <c r="Y408" s="49">
        <f t="shared" si="45"/>
        <v>0.1643286573</v>
      </c>
      <c r="Z408" s="32" t="str">
        <f t="shared" si="46"/>
        <v>Milton</v>
      </c>
      <c r="AA408" s="50" t="s">
        <v>77</v>
      </c>
      <c r="AB408" s="38">
        <v>720.0</v>
      </c>
      <c r="AC408" s="48">
        <f t="shared" si="47"/>
        <v>77</v>
      </c>
      <c r="AD408" s="51">
        <f t="shared" si="48"/>
        <v>0.8930555556</v>
      </c>
    </row>
    <row r="409">
      <c r="A409" s="24"/>
      <c r="B409" s="46" t="s">
        <v>2402</v>
      </c>
      <c r="C409" s="47"/>
      <c r="D409" s="38">
        <v>515.0</v>
      </c>
      <c r="E409" s="38">
        <v>233.0</v>
      </c>
      <c r="F409" s="38">
        <v>128.0</v>
      </c>
      <c r="G409" s="38">
        <v>26.0</v>
      </c>
      <c r="H409" s="38">
        <v>37.0</v>
      </c>
      <c r="I409" s="48">
        <f t="shared" si="35"/>
        <v>876</v>
      </c>
      <c r="J409" s="48">
        <f t="shared" si="36"/>
        <v>939</v>
      </c>
      <c r="K409" s="49">
        <f t="shared" si="37"/>
        <v>0.5878995434</v>
      </c>
      <c r="L409" s="49">
        <f t="shared" si="38"/>
        <v>0.2659817352</v>
      </c>
      <c r="M409" s="49">
        <f t="shared" si="39"/>
        <v>0.1461187215</v>
      </c>
      <c r="N409" s="32" t="str">
        <f t="shared" si="40"/>
        <v>Jânio</v>
      </c>
      <c r="O409" s="50" t="s">
        <v>77</v>
      </c>
      <c r="P409" s="38">
        <v>271.0</v>
      </c>
      <c r="Q409" s="38">
        <v>461.0</v>
      </c>
      <c r="R409" s="38">
        <v>46.0</v>
      </c>
      <c r="S409" s="38">
        <v>140.0</v>
      </c>
      <c r="T409" s="38">
        <v>21.0</v>
      </c>
      <c r="U409" s="48">
        <f t="shared" si="41"/>
        <v>778</v>
      </c>
      <c r="V409" s="48">
        <f t="shared" si="42"/>
        <v>939</v>
      </c>
      <c r="W409" s="49">
        <f t="shared" si="43"/>
        <v>0.3483290488</v>
      </c>
      <c r="X409" s="49">
        <f t="shared" si="44"/>
        <v>0.5925449871</v>
      </c>
      <c r="Y409" s="49">
        <f t="shared" si="45"/>
        <v>0.05912596401</v>
      </c>
      <c r="Z409" s="32" t="str">
        <f t="shared" si="46"/>
        <v>Milton</v>
      </c>
      <c r="AA409" s="50" t="s">
        <v>77</v>
      </c>
      <c r="AB409" s="38">
        <v>1041.0</v>
      </c>
      <c r="AC409" s="48">
        <f t="shared" si="47"/>
        <v>102</v>
      </c>
      <c r="AD409" s="51">
        <f t="shared" si="48"/>
        <v>0.9020172911</v>
      </c>
    </row>
    <row r="410">
      <c r="A410" s="61" t="s">
        <v>2403</v>
      </c>
      <c r="B410" s="46" t="s">
        <v>2404</v>
      </c>
      <c r="C410" s="47"/>
      <c r="D410" s="55">
        <v>1759.0</v>
      </c>
      <c r="E410" s="38">
        <v>251.0</v>
      </c>
      <c r="F410" s="38">
        <v>756.0</v>
      </c>
      <c r="G410" s="38">
        <v>60.0</v>
      </c>
      <c r="H410" s="38">
        <v>120.0</v>
      </c>
      <c r="I410" s="48">
        <f t="shared" si="35"/>
        <v>2766</v>
      </c>
      <c r="J410" s="114">
        <f t="shared" si="36"/>
        <v>2946</v>
      </c>
      <c r="K410" s="49">
        <f t="shared" si="37"/>
        <v>0.6359363702</v>
      </c>
      <c r="L410" s="49">
        <f t="shared" si="38"/>
        <v>0.09074475777</v>
      </c>
      <c r="M410" s="49">
        <f t="shared" si="39"/>
        <v>0.273318872</v>
      </c>
      <c r="N410" s="32" t="str">
        <f t="shared" si="40"/>
        <v>Jânio</v>
      </c>
      <c r="O410" s="50" t="s">
        <v>77</v>
      </c>
      <c r="P410" s="38">
        <v>909.0</v>
      </c>
      <c r="Q410" s="38">
        <v>1196.0</v>
      </c>
      <c r="R410" s="38">
        <v>410.0</v>
      </c>
      <c r="S410" s="38">
        <v>361.0</v>
      </c>
      <c r="T410" s="38">
        <v>70.0</v>
      </c>
      <c r="U410" s="48">
        <f t="shared" si="41"/>
        <v>2515</v>
      </c>
      <c r="V410" s="48">
        <f t="shared" si="42"/>
        <v>2946</v>
      </c>
      <c r="W410" s="49">
        <f t="shared" si="43"/>
        <v>0.3614314115</v>
      </c>
      <c r="X410" s="49">
        <f t="shared" si="44"/>
        <v>0.4755467197</v>
      </c>
      <c r="Y410" s="49">
        <f t="shared" si="45"/>
        <v>0.1630218688</v>
      </c>
      <c r="Z410" s="32" t="str">
        <f t="shared" si="46"/>
        <v>Milton</v>
      </c>
      <c r="AA410" s="50" t="s">
        <v>77</v>
      </c>
      <c r="AB410" s="38">
        <v>3157.0</v>
      </c>
      <c r="AC410" s="48">
        <f t="shared" si="47"/>
        <v>211</v>
      </c>
      <c r="AD410" s="51">
        <f t="shared" si="48"/>
        <v>0.9331643966</v>
      </c>
    </row>
    <row r="411">
      <c r="A411" s="24"/>
      <c r="B411" s="46" t="s">
        <v>2405</v>
      </c>
      <c r="C411" s="47"/>
      <c r="D411" s="38">
        <v>1084.0</v>
      </c>
      <c r="E411" s="38">
        <v>425.0</v>
      </c>
      <c r="F411" s="38">
        <v>270.0</v>
      </c>
      <c r="G411" s="38">
        <v>51.0</v>
      </c>
      <c r="H411" s="38">
        <v>79.0</v>
      </c>
      <c r="I411" s="48">
        <f t="shared" si="35"/>
        <v>1779</v>
      </c>
      <c r="J411" s="48">
        <f t="shared" si="36"/>
        <v>1909</v>
      </c>
      <c r="K411" s="49">
        <f t="shared" si="37"/>
        <v>0.6093310849</v>
      </c>
      <c r="L411" s="49">
        <f t="shared" si="38"/>
        <v>0.2388982574</v>
      </c>
      <c r="M411" s="49">
        <f t="shared" si="39"/>
        <v>0.1517706577</v>
      </c>
      <c r="N411" s="32" t="str">
        <f t="shared" si="40"/>
        <v>Jânio</v>
      </c>
      <c r="O411" s="50" t="s">
        <v>77</v>
      </c>
      <c r="P411" s="38">
        <v>583.0</v>
      </c>
      <c r="Q411" s="38">
        <v>529.0</v>
      </c>
      <c r="R411" s="38">
        <v>519.0</v>
      </c>
      <c r="S411" s="38">
        <v>230.0</v>
      </c>
      <c r="T411" s="38">
        <v>48.0</v>
      </c>
      <c r="U411" s="48">
        <f t="shared" si="41"/>
        <v>1631</v>
      </c>
      <c r="V411" s="48">
        <f t="shared" si="42"/>
        <v>1909</v>
      </c>
      <c r="W411" s="49">
        <f t="shared" si="43"/>
        <v>0.3574494175</v>
      </c>
      <c r="X411" s="49">
        <f t="shared" si="44"/>
        <v>0.3243408952</v>
      </c>
      <c r="Y411" s="49">
        <f t="shared" si="45"/>
        <v>0.3182096873</v>
      </c>
      <c r="Z411" s="32" t="str">
        <f t="shared" si="46"/>
        <v>Jango</v>
      </c>
      <c r="AA411" s="50" t="s">
        <v>77</v>
      </c>
      <c r="AB411" s="38">
        <v>2083.0</v>
      </c>
      <c r="AC411" s="48">
        <f t="shared" si="47"/>
        <v>174</v>
      </c>
      <c r="AD411" s="51">
        <f t="shared" si="48"/>
        <v>0.9164666347</v>
      </c>
    </row>
    <row r="412">
      <c r="A412" s="61" t="s">
        <v>2406</v>
      </c>
      <c r="B412" s="46" t="s">
        <v>2407</v>
      </c>
      <c r="C412" s="47"/>
      <c r="D412" s="38">
        <v>2405.0</v>
      </c>
      <c r="E412" s="38">
        <v>512.0</v>
      </c>
      <c r="F412" s="38">
        <v>1439.0</v>
      </c>
      <c r="G412" s="38">
        <v>161.0</v>
      </c>
      <c r="H412" s="38">
        <v>266.0</v>
      </c>
      <c r="I412" s="48">
        <f t="shared" si="35"/>
        <v>4356</v>
      </c>
      <c r="J412" s="48">
        <f t="shared" si="36"/>
        <v>4783</v>
      </c>
      <c r="K412" s="49">
        <f t="shared" si="37"/>
        <v>0.5521120294</v>
      </c>
      <c r="L412" s="49">
        <f t="shared" si="38"/>
        <v>0.1175390266</v>
      </c>
      <c r="M412" s="49">
        <f t="shared" si="39"/>
        <v>0.330348944</v>
      </c>
      <c r="N412" s="32" t="str">
        <f t="shared" si="40"/>
        <v>Jânio</v>
      </c>
      <c r="O412" s="50" t="s">
        <v>77</v>
      </c>
      <c r="P412" s="38">
        <v>1282.0</v>
      </c>
      <c r="Q412" s="38">
        <v>1212.0</v>
      </c>
      <c r="R412" s="38">
        <v>1390.0</v>
      </c>
      <c r="S412" s="38">
        <v>720.0</v>
      </c>
      <c r="T412" s="38">
        <v>179.0</v>
      </c>
      <c r="U412" s="48">
        <f t="shared" si="41"/>
        <v>3884</v>
      </c>
      <c r="V412" s="48">
        <f t="shared" si="42"/>
        <v>4783</v>
      </c>
      <c r="W412" s="49">
        <f t="shared" si="43"/>
        <v>0.3300720906</v>
      </c>
      <c r="X412" s="49">
        <f t="shared" si="44"/>
        <v>0.3120494336</v>
      </c>
      <c r="Y412" s="49">
        <f t="shared" si="45"/>
        <v>0.3578784758</v>
      </c>
      <c r="Z412" s="32" t="str">
        <f t="shared" si="46"/>
        <v>Ferrari</v>
      </c>
      <c r="AA412" s="50" t="s">
        <v>77</v>
      </c>
      <c r="AB412" s="38">
        <v>5463.0</v>
      </c>
      <c r="AC412" s="48">
        <f t="shared" si="47"/>
        <v>680</v>
      </c>
      <c r="AD412" s="51">
        <f t="shared" si="48"/>
        <v>0.8755262676</v>
      </c>
    </row>
    <row r="413">
      <c r="A413" s="23"/>
      <c r="B413" s="46" t="s">
        <v>2408</v>
      </c>
      <c r="C413" s="47"/>
      <c r="D413" s="38">
        <v>388.0</v>
      </c>
      <c r="E413" s="38">
        <v>67.0</v>
      </c>
      <c r="F413" s="38">
        <v>374.0</v>
      </c>
      <c r="G413" s="38">
        <v>32.0</v>
      </c>
      <c r="H413" s="38">
        <v>64.0</v>
      </c>
      <c r="I413" s="48">
        <f t="shared" si="35"/>
        <v>829</v>
      </c>
      <c r="J413" s="48">
        <f t="shared" si="36"/>
        <v>925</v>
      </c>
      <c r="K413" s="49">
        <f t="shared" si="37"/>
        <v>0.4680337756</v>
      </c>
      <c r="L413" s="49">
        <f t="shared" si="38"/>
        <v>0.08082026538</v>
      </c>
      <c r="M413" s="49">
        <f t="shared" si="39"/>
        <v>0.451145959</v>
      </c>
      <c r="N413" s="32" t="str">
        <f t="shared" si="40"/>
        <v>Jânio</v>
      </c>
      <c r="O413" s="50" t="s">
        <v>77</v>
      </c>
      <c r="P413" s="38">
        <v>284.0</v>
      </c>
      <c r="Q413" s="38">
        <v>325.0</v>
      </c>
      <c r="R413" s="38">
        <v>109.0</v>
      </c>
      <c r="S413" s="38">
        <v>179.0</v>
      </c>
      <c r="T413" s="38">
        <v>28.0</v>
      </c>
      <c r="U413" s="48">
        <f t="shared" si="41"/>
        <v>718</v>
      </c>
      <c r="V413" s="48">
        <f t="shared" si="42"/>
        <v>925</v>
      </c>
      <c r="W413" s="49">
        <f t="shared" si="43"/>
        <v>0.3955431755</v>
      </c>
      <c r="X413" s="49">
        <f t="shared" si="44"/>
        <v>0.4526462396</v>
      </c>
      <c r="Y413" s="49">
        <f t="shared" si="45"/>
        <v>0.151810585</v>
      </c>
      <c r="Z413" s="32" t="str">
        <f t="shared" si="46"/>
        <v>Milton</v>
      </c>
      <c r="AA413" s="50" t="s">
        <v>77</v>
      </c>
      <c r="AB413" s="38">
        <v>1119.0</v>
      </c>
      <c r="AC413" s="48">
        <f t="shared" si="47"/>
        <v>194</v>
      </c>
      <c r="AD413" s="51">
        <f t="shared" si="48"/>
        <v>0.8266309205</v>
      </c>
    </row>
    <row r="414">
      <c r="A414" s="24"/>
      <c r="B414" s="46" t="s">
        <v>2409</v>
      </c>
      <c r="C414" s="47"/>
      <c r="D414" s="38">
        <v>1072.0</v>
      </c>
      <c r="E414" s="38">
        <v>355.0</v>
      </c>
      <c r="F414" s="38">
        <v>1266.0</v>
      </c>
      <c r="G414" s="38">
        <v>104.0</v>
      </c>
      <c r="H414" s="38">
        <v>206.0</v>
      </c>
      <c r="I414" s="48">
        <f t="shared" si="35"/>
        <v>2693</v>
      </c>
      <c r="J414" s="48">
        <f t="shared" si="36"/>
        <v>3003</v>
      </c>
      <c r="K414" s="49">
        <f t="shared" si="37"/>
        <v>0.398069068</v>
      </c>
      <c r="L414" s="49">
        <f t="shared" si="38"/>
        <v>0.1318232455</v>
      </c>
      <c r="M414" s="49">
        <f t="shared" si="39"/>
        <v>0.4701076866</v>
      </c>
      <c r="N414" s="32" t="str">
        <f t="shared" si="40"/>
        <v>Adhemar</v>
      </c>
      <c r="O414" s="50" t="s">
        <v>77</v>
      </c>
      <c r="P414" s="55">
        <v>737.0</v>
      </c>
      <c r="Q414" s="38">
        <v>804.0</v>
      </c>
      <c r="R414" s="38">
        <v>903.0</v>
      </c>
      <c r="S414" s="55">
        <v>469.0</v>
      </c>
      <c r="T414" s="38">
        <v>90.0</v>
      </c>
      <c r="U414" s="48">
        <f t="shared" si="41"/>
        <v>2444</v>
      </c>
      <c r="V414" s="48">
        <f t="shared" si="42"/>
        <v>3003</v>
      </c>
      <c r="W414" s="49">
        <f t="shared" si="43"/>
        <v>0.3015548282</v>
      </c>
      <c r="X414" s="49">
        <f t="shared" si="44"/>
        <v>0.3289689034</v>
      </c>
      <c r="Y414" s="49">
        <f t="shared" si="45"/>
        <v>0.3694762684</v>
      </c>
      <c r="Z414" s="32" t="str">
        <f t="shared" si="46"/>
        <v>Ferrari</v>
      </c>
      <c r="AA414" s="50" t="s">
        <v>77</v>
      </c>
      <c r="AB414" s="38">
        <v>3633.0</v>
      </c>
      <c r="AC414" s="48">
        <f t="shared" si="47"/>
        <v>630</v>
      </c>
      <c r="AD414" s="51">
        <f t="shared" si="48"/>
        <v>0.8265895954</v>
      </c>
    </row>
    <row r="415">
      <c r="A415" s="110" t="s">
        <v>2410</v>
      </c>
      <c r="B415" s="46" t="s">
        <v>2411</v>
      </c>
      <c r="C415" s="47"/>
      <c r="D415" s="38">
        <v>2396.0</v>
      </c>
      <c r="E415" s="38">
        <v>655.0</v>
      </c>
      <c r="F415" s="38">
        <v>951.0</v>
      </c>
      <c r="G415" s="38">
        <v>134.0</v>
      </c>
      <c r="H415" s="38">
        <v>144.0</v>
      </c>
      <c r="I415" s="48">
        <f t="shared" si="35"/>
        <v>4002</v>
      </c>
      <c r="J415" s="48">
        <f t="shared" si="36"/>
        <v>4280</v>
      </c>
      <c r="K415" s="49">
        <f t="shared" si="37"/>
        <v>0.5987006497</v>
      </c>
      <c r="L415" s="49">
        <f t="shared" si="38"/>
        <v>0.1636681659</v>
      </c>
      <c r="M415" s="49">
        <f t="shared" si="39"/>
        <v>0.2376311844</v>
      </c>
      <c r="N415" s="32" t="str">
        <f t="shared" si="40"/>
        <v>Jânio</v>
      </c>
      <c r="O415" s="50" t="s">
        <v>77</v>
      </c>
      <c r="P415" s="38">
        <v>1129.0</v>
      </c>
      <c r="Q415" s="38">
        <v>2091.0</v>
      </c>
      <c r="R415" s="38">
        <v>374.0</v>
      </c>
      <c r="S415" s="38">
        <v>568.0</v>
      </c>
      <c r="T415" s="38">
        <v>118.0</v>
      </c>
      <c r="U415" s="48">
        <f t="shared" si="41"/>
        <v>3594</v>
      </c>
      <c r="V415" s="48">
        <f t="shared" si="42"/>
        <v>4280</v>
      </c>
      <c r="W415" s="49">
        <f t="shared" si="43"/>
        <v>0.3141346689</v>
      </c>
      <c r="X415" s="49">
        <f t="shared" si="44"/>
        <v>0.581803005</v>
      </c>
      <c r="Y415" s="49">
        <f t="shared" si="45"/>
        <v>0.1040623261</v>
      </c>
      <c r="Z415" s="32" t="str">
        <f t="shared" si="46"/>
        <v>Milton</v>
      </c>
      <c r="AA415" s="50" t="s">
        <v>77</v>
      </c>
      <c r="AB415" s="38">
        <v>4789.0</v>
      </c>
      <c r="AC415" s="48">
        <f t="shared" si="47"/>
        <v>509</v>
      </c>
      <c r="AD415" s="51">
        <f t="shared" si="48"/>
        <v>0.893714763</v>
      </c>
    </row>
    <row r="416">
      <c r="A416" s="61" t="s">
        <v>2412</v>
      </c>
      <c r="B416" s="46" t="s">
        <v>2413</v>
      </c>
      <c r="C416" s="47"/>
      <c r="D416" s="38">
        <v>18140.0</v>
      </c>
      <c r="E416" s="38">
        <v>8279.0</v>
      </c>
      <c r="F416" s="38">
        <v>16047.0</v>
      </c>
      <c r="G416" s="38">
        <v>577.0</v>
      </c>
      <c r="H416" s="38">
        <v>1313.0</v>
      </c>
      <c r="I416" s="48">
        <f t="shared" si="35"/>
        <v>42466</v>
      </c>
      <c r="J416" s="48">
        <f t="shared" si="36"/>
        <v>44356</v>
      </c>
      <c r="K416" s="49">
        <f t="shared" si="37"/>
        <v>0.4271652616</v>
      </c>
      <c r="L416" s="49">
        <f t="shared" si="38"/>
        <v>0.1949559648</v>
      </c>
      <c r="M416" s="49">
        <f t="shared" si="39"/>
        <v>0.3778787736</v>
      </c>
      <c r="N416" s="32" t="str">
        <f t="shared" si="40"/>
        <v>Jânio</v>
      </c>
      <c r="O416" s="50" t="s">
        <v>77</v>
      </c>
      <c r="P416" s="38">
        <v>17490.0</v>
      </c>
      <c r="Q416" s="38">
        <v>15661.0</v>
      </c>
      <c r="R416" s="55">
        <v>7904.0</v>
      </c>
      <c r="S416" s="38">
        <v>2336.0</v>
      </c>
      <c r="T416" s="38">
        <v>965.0</v>
      </c>
      <c r="U416" s="48">
        <f t="shared" si="41"/>
        <v>41055</v>
      </c>
      <c r="V416" s="114">
        <f t="shared" si="42"/>
        <v>44356</v>
      </c>
      <c r="W416" s="49">
        <f t="shared" si="43"/>
        <v>0.4260138838</v>
      </c>
      <c r="X416" s="49">
        <f t="shared" si="44"/>
        <v>0.3814638899</v>
      </c>
      <c r="Y416" s="49">
        <f t="shared" si="45"/>
        <v>0.1925222263</v>
      </c>
      <c r="Z416" s="32" t="str">
        <f t="shared" si="46"/>
        <v>Jango</v>
      </c>
      <c r="AA416" s="50" t="s">
        <v>77</v>
      </c>
      <c r="AB416" s="38">
        <v>47339.0</v>
      </c>
      <c r="AC416" s="48">
        <f t="shared" si="47"/>
        <v>2983</v>
      </c>
      <c r="AD416" s="51">
        <f t="shared" si="48"/>
        <v>0.9369864171</v>
      </c>
    </row>
    <row r="417">
      <c r="A417" s="23"/>
      <c r="B417" s="46" t="s">
        <v>2414</v>
      </c>
      <c r="C417" s="47"/>
      <c r="D417" s="38">
        <v>1298.0</v>
      </c>
      <c r="E417" s="38">
        <v>352.0</v>
      </c>
      <c r="F417" s="38">
        <v>730.0</v>
      </c>
      <c r="G417" s="38">
        <v>60.0</v>
      </c>
      <c r="H417" s="38">
        <v>122.0</v>
      </c>
      <c r="I417" s="48">
        <f t="shared" si="35"/>
        <v>2380</v>
      </c>
      <c r="J417" s="48">
        <f t="shared" si="36"/>
        <v>2562</v>
      </c>
      <c r="K417" s="49">
        <f t="shared" si="37"/>
        <v>0.5453781513</v>
      </c>
      <c r="L417" s="49">
        <f t="shared" si="38"/>
        <v>0.1478991597</v>
      </c>
      <c r="M417" s="49">
        <f t="shared" si="39"/>
        <v>0.3067226891</v>
      </c>
      <c r="N417" s="32" t="str">
        <f t="shared" si="40"/>
        <v>Jânio</v>
      </c>
      <c r="O417" s="50" t="s">
        <v>77</v>
      </c>
      <c r="P417" s="38">
        <v>720.0</v>
      </c>
      <c r="Q417" s="38">
        <v>988.0</v>
      </c>
      <c r="R417" s="38">
        <v>381.0</v>
      </c>
      <c r="S417" s="38">
        <v>421.0</v>
      </c>
      <c r="T417" s="38">
        <v>52.0</v>
      </c>
      <c r="U417" s="48">
        <f t="shared" si="41"/>
        <v>2089</v>
      </c>
      <c r="V417" s="48">
        <f t="shared" si="42"/>
        <v>2562</v>
      </c>
      <c r="W417" s="49">
        <f t="shared" si="43"/>
        <v>0.344662518</v>
      </c>
      <c r="X417" s="49">
        <f t="shared" si="44"/>
        <v>0.4729535663</v>
      </c>
      <c r="Y417" s="49">
        <f t="shared" si="45"/>
        <v>0.1823839157</v>
      </c>
      <c r="Z417" s="32" t="str">
        <f t="shared" si="46"/>
        <v>Milton</v>
      </c>
      <c r="AA417" s="50" t="s">
        <v>77</v>
      </c>
      <c r="AB417" s="38">
        <v>2774.0</v>
      </c>
      <c r="AC417" s="48">
        <f t="shared" si="47"/>
        <v>212</v>
      </c>
      <c r="AD417" s="51">
        <f t="shared" si="48"/>
        <v>0.9235760634</v>
      </c>
    </row>
    <row r="418">
      <c r="A418" s="24"/>
      <c r="B418" s="46" t="s">
        <v>2415</v>
      </c>
      <c r="C418" s="47"/>
      <c r="D418" s="38">
        <v>608.0</v>
      </c>
      <c r="E418" s="38">
        <v>71.0</v>
      </c>
      <c r="F418" s="38">
        <v>523.0</v>
      </c>
      <c r="G418" s="38">
        <v>62.0</v>
      </c>
      <c r="H418" s="38">
        <v>112.0</v>
      </c>
      <c r="I418" s="48">
        <f t="shared" si="35"/>
        <v>1202</v>
      </c>
      <c r="J418" s="48">
        <f t="shared" si="36"/>
        <v>1376</v>
      </c>
      <c r="K418" s="49">
        <f t="shared" si="37"/>
        <v>0.5058236273</v>
      </c>
      <c r="L418" s="49">
        <f t="shared" si="38"/>
        <v>0.05906821963</v>
      </c>
      <c r="M418" s="49">
        <f t="shared" si="39"/>
        <v>0.4351081531</v>
      </c>
      <c r="N418" s="32" t="str">
        <f t="shared" si="40"/>
        <v>Jânio</v>
      </c>
      <c r="O418" s="50" t="s">
        <v>77</v>
      </c>
      <c r="P418" s="38">
        <v>432.0</v>
      </c>
      <c r="Q418" s="38">
        <v>481.0</v>
      </c>
      <c r="R418" s="38">
        <v>91.0</v>
      </c>
      <c r="S418" s="38">
        <v>319.0</v>
      </c>
      <c r="T418" s="38">
        <v>53.0</v>
      </c>
      <c r="U418" s="48">
        <f t="shared" si="41"/>
        <v>1004</v>
      </c>
      <c r="V418" s="48">
        <f t="shared" si="42"/>
        <v>1376</v>
      </c>
      <c r="W418" s="49">
        <f t="shared" si="43"/>
        <v>0.4302788845</v>
      </c>
      <c r="X418" s="49">
        <f t="shared" si="44"/>
        <v>0.4790836653</v>
      </c>
      <c r="Y418" s="49">
        <f t="shared" si="45"/>
        <v>0.0906374502</v>
      </c>
      <c r="Z418" s="32" t="str">
        <f t="shared" si="46"/>
        <v>Milton</v>
      </c>
      <c r="AA418" s="50" t="s">
        <v>77</v>
      </c>
      <c r="AB418" s="38">
        <v>1504.0</v>
      </c>
      <c r="AC418" s="48">
        <f t="shared" si="47"/>
        <v>128</v>
      </c>
      <c r="AD418" s="51">
        <f t="shared" si="48"/>
        <v>0.914893617</v>
      </c>
    </row>
    <row r="419">
      <c r="A419" s="61" t="s">
        <v>2416</v>
      </c>
      <c r="B419" s="46" t="s">
        <v>2417</v>
      </c>
      <c r="C419" s="47"/>
      <c r="D419" s="38">
        <v>2229.0</v>
      </c>
      <c r="E419" s="38">
        <v>995.0</v>
      </c>
      <c r="F419" s="38">
        <v>550.0</v>
      </c>
      <c r="G419" s="38">
        <v>82.0</v>
      </c>
      <c r="H419" s="38">
        <v>111.0</v>
      </c>
      <c r="I419" s="48">
        <f t="shared" si="35"/>
        <v>3774</v>
      </c>
      <c r="J419" s="48">
        <f t="shared" si="36"/>
        <v>3967</v>
      </c>
      <c r="K419" s="49">
        <f t="shared" si="37"/>
        <v>0.5906200318</v>
      </c>
      <c r="L419" s="49">
        <f t="shared" si="38"/>
        <v>0.2636459989</v>
      </c>
      <c r="M419" s="49">
        <f t="shared" si="39"/>
        <v>0.1457339693</v>
      </c>
      <c r="N419" s="32" t="str">
        <f t="shared" si="40"/>
        <v>Jânio</v>
      </c>
      <c r="O419" s="50" t="s">
        <v>77</v>
      </c>
      <c r="P419" s="38">
        <v>1385.0</v>
      </c>
      <c r="Q419" s="38">
        <v>1531.0</v>
      </c>
      <c r="R419" s="38">
        <v>670.0</v>
      </c>
      <c r="S419" s="38">
        <v>317.0</v>
      </c>
      <c r="T419" s="38">
        <v>64.0</v>
      </c>
      <c r="U419" s="48">
        <f t="shared" si="41"/>
        <v>3586</v>
      </c>
      <c r="V419" s="48">
        <f t="shared" si="42"/>
        <v>3967</v>
      </c>
      <c r="W419" s="49">
        <f t="shared" si="43"/>
        <v>0.3862242052</v>
      </c>
      <c r="X419" s="49">
        <f t="shared" si="44"/>
        <v>0.4269380926</v>
      </c>
      <c r="Y419" s="49">
        <f t="shared" si="45"/>
        <v>0.1868377022</v>
      </c>
      <c r="Z419" s="32" t="str">
        <f t="shared" si="46"/>
        <v>Milton</v>
      </c>
      <c r="AA419" s="50" t="s">
        <v>77</v>
      </c>
      <c r="AB419" s="38">
        <v>4559.0</v>
      </c>
      <c r="AC419" s="48">
        <f t="shared" si="47"/>
        <v>592</v>
      </c>
      <c r="AD419" s="51">
        <f t="shared" si="48"/>
        <v>0.8701469621</v>
      </c>
    </row>
    <row r="420">
      <c r="A420" s="23"/>
      <c r="B420" s="46" t="s">
        <v>2418</v>
      </c>
      <c r="C420" s="47"/>
      <c r="D420" s="38">
        <v>624.0</v>
      </c>
      <c r="E420" s="38">
        <v>131.0</v>
      </c>
      <c r="F420" s="38">
        <v>398.0</v>
      </c>
      <c r="G420" s="38">
        <v>65.0</v>
      </c>
      <c r="H420" s="38">
        <v>111.0</v>
      </c>
      <c r="I420" s="48">
        <f t="shared" si="35"/>
        <v>1153</v>
      </c>
      <c r="J420" s="48">
        <f t="shared" si="36"/>
        <v>1329</v>
      </c>
      <c r="K420" s="49">
        <f t="shared" si="37"/>
        <v>0.5411968777</v>
      </c>
      <c r="L420" s="49">
        <f t="shared" si="38"/>
        <v>0.1136166522</v>
      </c>
      <c r="M420" s="49">
        <f t="shared" si="39"/>
        <v>0.3451864701</v>
      </c>
      <c r="N420" s="32" t="str">
        <f t="shared" si="40"/>
        <v>Jânio</v>
      </c>
      <c r="O420" s="50" t="s">
        <v>77</v>
      </c>
      <c r="P420" s="38">
        <v>363.0</v>
      </c>
      <c r="Q420" s="38">
        <v>469.0</v>
      </c>
      <c r="R420" s="38">
        <v>147.0</v>
      </c>
      <c r="S420" s="38">
        <v>282.0</v>
      </c>
      <c r="T420" s="38">
        <v>68.0</v>
      </c>
      <c r="U420" s="48">
        <f t="shared" si="41"/>
        <v>979</v>
      </c>
      <c r="V420" s="48">
        <f t="shared" si="42"/>
        <v>1329</v>
      </c>
      <c r="W420" s="49">
        <f t="shared" si="43"/>
        <v>0.3707865169</v>
      </c>
      <c r="X420" s="49">
        <f t="shared" si="44"/>
        <v>0.4790602656</v>
      </c>
      <c r="Y420" s="49">
        <f t="shared" si="45"/>
        <v>0.1501532176</v>
      </c>
      <c r="Z420" s="32" t="str">
        <f t="shared" si="46"/>
        <v>Milton</v>
      </c>
      <c r="AA420" s="50" t="s">
        <v>77</v>
      </c>
      <c r="AB420" s="38">
        <v>1672.0</v>
      </c>
      <c r="AC420" s="48">
        <f t="shared" si="47"/>
        <v>343</v>
      </c>
      <c r="AD420" s="51">
        <f t="shared" si="48"/>
        <v>0.7948564593</v>
      </c>
    </row>
    <row r="421">
      <c r="A421" s="24"/>
      <c r="B421" s="46" t="s">
        <v>2419</v>
      </c>
      <c r="C421" s="47"/>
      <c r="D421" s="38">
        <v>805.0</v>
      </c>
      <c r="E421" s="38">
        <v>240.0</v>
      </c>
      <c r="F421" s="38">
        <v>187.0</v>
      </c>
      <c r="G421" s="38">
        <v>48.0</v>
      </c>
      <c r="H421" s="38">
        <v>62.0</v>
      </c>
      <c r="I421" s="48">
        <f t="shared" si="35"/>
        <v>1232</v>
      </c>
      <c r="J421" s="48">
        <f t="shared" si="36"/>
        <v>1342</v>
      </c>
      <c r="K421" s="49">
        <f t="shared" si="37"/>
        <v>0.6534090909</v>
      </c>
      <c r="L421" s="49">
        <f t="shared" si="38"/>
        <v>0.1948051948</v>
      </c>
      <c r="M421" s="49">
        <f t="shared" si="39"/>
        <v>0.1517857143</v>
      </c>
      <c r="N421" s="32" t="str">
        <f t="shared" si="40"/>
        <v>Jânio</v>
      </c>
      <c r="O421" s="50" t="s">
        <v>77</v>
      </c>
      <c r="P421" s="38">
        <v>387.0</v>
      </c>
      <c r="Q421" s="38">
        <v>517.0</v>
      </c>
      <c r="R421" s="38">
        <v>215.0</v>
      </c>
      <c r="S421" s="38">
        <v>189.0</v>
      </c>
      <c r="T421" s="38">
        <v>34.0</v>
      </c>
      <c r="U421" s="48">
        <f t="shared" si="41"/>
        <v>1119</v>
      </c>
      <c r="V421" s="48">
        <f t="shared" si="42"/>
        <v>1342</v>
      </c>
      <c r="W421" s="49">
        <f t="shared" si="43"/>
        <v>0.345844504</v>
      </c>
      <c r="X421" s="49">
        <f t="shared" si="44"/>
        <v>0.4620196604</v>
      </c>
      <c r="Y421" s="49">
        <f t="shared" si="45"/>
        <v>0.1921358356</v>
      </c>
      <c r="Z421" s="32" t="str">
        <f t="shared" si="46"/>
        <v>Milton</v>
      </c>
      <c r="AA421" s="50" t="s">
        <v>77</v>
      </c>
      <c r="AB421" s="38">
        <v>1667.0</v>
      </c>
      <c r="AC421" s="48">
        <f t="shared" si="47"/>
        <v>325</v>
      </c>
      <c r="AD421" s="51">
        <f t="shared" si="48"/>
        <v>0.8050389922</v>
      </c>
    </row>
    <row r="422">
      <c r="A422" s="61" t="s">
        <v>2420</v>
      </c>
      <c r="B422" s="46" t="s">
        <v>2421</v>
      </c>
      <c r="C422" s="47"/>
      <c r="D422" s="38">
        <v>3414.0</v>
      </c>
      <c r="E422" s="38">
        <v>1083.0</v>
      </c>
      <c r="F422" s="38">
        <v>1156.0</v>
      </c>
      <c r="G422" s="38">
        <v>134.0</v>
      </c>
      <c r="H422" s="38">
        <v>115.0</v>
      </c>
      <c r="I422" s="48">
        <f t="shared" si="35"/>
        <v>5653</v>
      </c>
      <c r="J422" s="48">
        <f t="shared" si="36"/>
        <v>5902</v>
      </c>
      <c r="K422" s="49">
        <f t="shared" si="37"/>
        <v>0.6039271183</v>
      </c>
      <c r="L422" s="49">
        <f t="shared" si="38"/>
        <v>0.1915796922</v>
      </c>
      <c r="M422" s="49">
        <f t="shared" si="39"/>
        <v>0.2044931895</v>
      </c>
      <c r="N422" s="32" t="str">
        <f t="shared" si="40"/>
        <v>Jânio</v>
      </c>
      <c r="O422" s="50" t="s">
        <v>77</v>
      </c>
      <c r="P422" s="38">
        <v>1507.0</v>
      </c>
      <c r="Q422" s="38">
        <v>1908.0</v>
      </c>
      <c r="R422" s="38">
        <v>2068.0</v>
      </c>
      <c r="S422" s="38">
        <v>332.0</v>
      </c>
      <c r="T422" s="38">
        <v>87.0</v>
      </c>
      <c r="U422" s="48">
        <f t="shared" si="41"/>
        <v>5483</v>
      </c>
      <c r="V422" s="48">
        <f t="shared" si="42"/>
        <v>5902</v>
      </c>
      <c r="W422" s="49">
        <f t="shared" si="43"/>
        <v>0.2748495349</v>
      </c>
      <c r="X422" s="49">
        <f t="shared" si="44"/>
        <v>0.3479846799</v>
      </c>
      <c r="Y422" s="49">
        <f t="shared" si="45"/>
        <v>0.3771657852</v>
      </c>
      <c r="Z422" s="32" t="str">
        <f t="shared" si="46"/>
        <v>Ferrari</v>
      </c>
      <c r="AA422" s="50" t="s">
        <v>77</v>
      </c>
      <c r="AB422" s="38">
        <v>6460.0</v>
      </c>
      <c r="AC422" s="48">
        <f t="shared" si="47"/>
        <v>558</v>
      </c>
      <c r="AD422" s="51">
        <f t="shared" si="48"/>
        <v>0.913622291</v>
      </c>
    </row>
    <row r="423">
      <c r="A423" s="23"/>
      <c r="B423" s="46" t="s">
        <v>2422</v>
      </c>
      <c r="C423" s="47"/>
      <c r="D423" s="38">
        <v>463.0</v>
      </c>
      <c r="E423" s="38">
        <v>37.0</v>
      </c>
      <c r="F423" s="38">
        <v>115.0</v>
      </c>
      <c r="G423" s="38">
        <v>16.0</v>
      </c>
      <c r="H423" s="38">
        <v>23.0</v>
      </c>
      <c r="I423" s="48">
        <f t="shared" si="35"/>
        <v>615</v>
      </c>
      <c r="J423" s="48">
        <f t="shared" si="36"/>
        <v>654</v>
      </c>
      <c r="K423" s="49">
        <f t="shared" si="37"/>
        <v>0.7528455285</v>
      </c>
      <c r="L423" s="49">
        <f t="shared" si="38"/>
        <v>0.06016260163</v>
      </c>
      <c r="M423" s="49">
        <f t="shared" si="39"/>
        <v>0.1869918699</v>
      </c>
      <c r="N423" s="32" t="str">
        <f t="shared" si="40"/>
        <v>Jânio</v>
      </c>
      <c r="O423" s="50" t="s">
        <v>77</v>
      </c>
      <c r="P423" s="38">
        <v>127.0</v>
      </c>
      <c r="Q423" s="38">
        <v>321.0</v>
      </c>
      <c r="R423" s="38">
        <v>147.0</v>
      </c>
      <c r="S423" s="38">
        <v>46.0</v>
      </c>
      <c r="T423" s="38">
        <v>13.0</v>
      </c>
      <c r="U423" s="48">
        <f t="shared" si="41"/>
        <v>595</v>
      </c>
      <c r="V423" s="48">
        <f t="shared" si="42"/>
        <v>654</v>
      </c>
      <c r="W423" s="49">
        <f t="shared" si="43"/>
        <v>0.2134453782</v>
      </c>
      <c r="X423" s="49">
        <f t="shared" si="44"/>
        <v>0.5394957983</v>
      </c>
      <c r="Y423" s="49">
        <f t="shared" si="45"/>
        <v>0.2470588235</v>
      </c>
      <c r="Z423" s="32" t="str">
        <f t="shared" si="46"/>
        <v>Milton</v>
      </c>
      <c r="AA423" s="50" t="s">
        <v>77</v>
      </c>
      <c r="AB423" s="38">
        <v>725.0</v>
      </c>
      <c r="AC423" s="48">
        <f t="shared" si="47"/>
        <v>71</v>
      </c>
      <c r="AD423" s="51">
        <f t="shared" si="48"/>
        <v>0.9020689655</v>
      </c>
    </row>
    <row r="424">
      <c r="A424" s="24"/>
      <c r="B424" s="46" t="s">
        <v>2423</v>
      </c>
      <c r="C424" s="47"/>
      <c r="D424" s="38">
        <v>613.0</v>
      </c>
      <c r="E424" s="38">
        <v>34.0</v>
      </c>
      <c r="F424" s="38">
        <v>423.0</v>
      </c>
      <c r="G424" s="38">
        <v>31.0</v>
      </c>
      <c r="H424" s="38">
        <v>29.0</v>
      </c>
      <c r="I424" s="48">
        <f t="shared" si="35"/>
        <v>1070</v>
      </c>
      <c r="J424" s="48">
        <f t="shared" si="36"/>
        <v>1130</v>
      </c>
      <c r="K424" s="49">
        <f t="shared" si="37"/>
        <v>0.5728971963</v>
      </c>
      <c r="L424" s="49">
        <f t="shared" si="38"/>
        <v>0.03177570093</v>
      </c>
      <c r="M424" s="49">
        <f t="shared" si="39"/>
        <v>0.3953271028</v>
      </c>
      <c r="N424" s="32" t="str">
        <f t="shared" si="40"/>
        <v>Jânio</v>
      </c>
      <c r="O424" s="50" t="s">
        <v>77</v>
      </c>
      <c r="P424" s="38">
        <v>301.0</v>
      </c>
      <c r="Q424" s="38">
        <v>529.0</v>
      </c>
      <c r="R424" s="38">
        <v>127.0</v>
      </c>
      <c r="S424" s="38">
        <v>159.0</v>
      </c>
      <c r="T424" s="38">
        <v>14.0</v>
      </c>
      <c r="U424" s="48">
        <f t="shared" si="41"/>
        <v>957</v>
      </c>
      <c r="V424" s="48">
        <f t="shared" si="42"/>
        <v>1130</v>
      </c>
      <c r="W424" s="49">
        <f t="shared" si="43"/>
        <v>0.3145245559</v>
      </c>
      <c r="X424" s="49">
        <f t="shared" si="44"/>
        <v>0.55276907</v>
      </c>
      <c r="Y424" s="49">
        <f t="shared" si="45"/>
        <v>0.1327063741</v>
      </c>
      <c r="Z424" s="32" t="str">
        <f t="shared" si="46"/>
        <v>Milton</v>
      </c>
      <c r="AA424" s="50" t="s">
        <v>77</v>
      </c>
      <c r="AB424" s="38">
        <v>1226.0</v>
      </c>
      <c r="AC424" s="48">
        <f t="shared" si="47"/>
        <v>96</v>
      </c>
      <c r="AD424" s="51">
        <f t="shared" si="48"/>
        <v>0.9216965742</v>
      </c>
    </row>
    <row r="425">
      <c r="A425" s="61" t="s">
        <v>2424</v>
      </c>
      <c r="B425" s="46" t="s">
        <v>2425</v>
      </c>
      <c r="C425" s="47"/>
      <c r="D425" s="38">
        <v>3245.0</v>
      </c>
      <c r="E425" s="38">
        <v>2514.0</v>
      </c>
      <c r="F425" s="38">
        <v>1092.0</v>
      </c>
      <c r="G425" s="38">
        <v>122.0</v>
      </c>
      <c r="H425" s="38">
        <v>96.0</v>
      </c>
      <c r="I425" s="48">
        <f t="shared" si="35"/>
        <v>6851</v>
      </c>
      <c r="J425" s="48">
        <f t="shared" si="36"/>
        <v>7069</v>
      </c>
      <c r="K425" s="49">
        <f t="shared" si="37"/>
        <v>0.4736534812</v>
      </c>
      <c r="L425" s="49">
        <f t="shared" si="38"/>
        <v>0.3669537294</v>
      </c>
      <c r="M425" s="49">
        <f t="shared" si="39"/>
        <v>0.1593927894</v>
      </c>
      <c r="N425" s="32" t="str">
        <f t="shared" si="40"/>
        <v>Jânio</v>
      </c>
      <c r="O425" s="50" t="s">
        <v>77</v>
      </c>
      <c r="P425" s="38">
        <v>3258.0</v>
      </c>
      <c r="Q425" s="38">
        <v>2906.0</v>
      </c>
      <c r="R425" s="38">
        <v>553.0</v>
      </c>
      <c r="S425" s="38">
        <v>250.0</v>
      </c>
      <c r="T425" s="38">
        <v>102.0</v>
      </c>
      <c r="U425" s="48">
        <f t="shared" si="41"/>
        <v>6717</v>
      </c>
      <c r="V425" s="48">
        <f t="shared" si="42"/>
        <v>7069</v>
      </c>
      <c r="W425" s="49">
        <f t="shared" si="43"/>
        <v>0.4850379634</v>
      </c>
      <c r="X425" s="49">
        <f t="shared" si="44"/>
        <v>0.4326336162</v>
      </c>
      <c r="Y425" s="49">
        <f t="shared" si="45"/>
        <v>0.08232842043</v>
      </c>
      <c r="Z425" s="32" t="str">
        <f t="shared" si="46"/>
        <v>Jango</v>
      </c>
      <c r="AA425" s="50" t="s">
        <v>77</v>
      </c>
      <c r="AB425" s="38">
        <v>7229.0</v>
      </c>
      <c r="AC425" s="48">
        <f t="shared" si="47"/>
        <v>160</v>
      </c>
      <c r="AD425" s="51">
        <f t="shared" si="48"/>
        <v>0.9778669249</v>
      </c>
    </row>
    <row r="426">
      <c r="A426" s="23"/>
      <c r="B426" s="46" t="s">
        <v>2426</v>
      </c>
      <c r="C426" s="47"/>
      <c r="D426" s="38">
        <v>646.0</v>
      </c>
      <c r="E426" s="38">
        <v>85.0</v>
      </c>
      <c r="F426" s="38">
        <v>272.0</v>
      </c>
      <c r="G426" s="38">
        <v>23.0</v>
      </c>
      <c r="H426" s="38">
        <v>26.0</v>
      </c>
      <c r="I426" s="48">
        <f t="shared" si="35"/>
        <v>1003</v>
      </c>
      <c r="J426" s="48">
        <f t="shared" si="36"/>
        <v>1052</v>
      </c>
      <c r="K426" s="49">
        <f t="shared" si="37"/>
        <v>0.6440677966</v>
      </c>
      <c r="L426" s="49">
        <f t="shared" si="38"/>
        <v>0.08474576271</v>
      </c>
      <c r="M426" s="49">
        <f t="shared" si="39"/>
        <v>0.2711864407</v>
      </c>
      <c r="N426" s="32" t="str">
        <f t="shared" si="40"/>
        <v>Jânio</v>
      </c>
      <c r="O426" s="50" t="s">
        <v>77</v>
      </c>
      <c r="P426" s="38">
        <v>441.0</v>
      </c>
      <c r="Q426" s="38">
        <v>230.0</v>
      </c>
      <c r="R426" s="38">
        <v>257.0</v>
      </c>
      <c r="S426" s="38">
        <v>109.0</v>
      </c>
      <c r="T426" s="38">
        <v>15.0</v>
      </c>
      <c r="U426" s="48">
        <f t="shared" si="41"/>
        <v>928</v>
      </c>
      <c r="V426" s="48">
        <f t="shared" si="42"/>
        <v>1052</v>
      </c>
      <c r="W426" s="49">
        <f t="shared" si="43"/>
        <v>0.4752155172</v>
      </c>
      <c r="X426" s="49">
        <f t="shared" si="44"/>
        <v>0.2478448276</v>
      </c>
      <c r="Y426" s="49">
        <f t="shared" si="45"/>
        <v>0.2769396552</v>
      </c>
      <c r="Z426" s="32" t="str">
        <f t="shared" si="46"/>
        <v>Jango</v>
      </c>
      <c r="AA426" s="50" t="s">
        <v>77</v>
      </c>
      <c r="AB426" s="38">
        <v>1105.0</v>
      </c>
      <c r="AC426" s="48">
        <f t="shared" si="47"/>
        <v>53</v>
      </c>
      <c r="AD426" s="51">
        <f t="shared" si="48"/>
        <v>0.9520361991</v>
      </c>
    </row>
    <row r="427">
      <c r="A427" s="23"/>
      <c r="B427" s="46" t="s">
        <v>2427</v>
      </c>
      <c r="C427" s="47"/>
      <c r="D427" s="38">
        <v>468.0</v>
      </c>
      <c r="E427" s="38">
        <v>90.0</v>
      </c>
      <c r="F427" s="38">
        <v>460.0</v>
      </c>
      <c r="G427" s="38">
        <v>19.0</v>
      </c>
      <c r="H427" s="38">
        <v>50.0</v>
      </c>
      <c r="I427" s="48">
        <f t="shared" si="35"/>
        <v>1018</v>
      </c>
      <c r="J427" s="48">
        <f t="shared" si="36"/>
        <v>1087</v>
      </c>
      <c r="K427" s="49">
        <f t="shared" si="37"/>
        <v>0.4597249509</v>
      </c>
      <c r="L427" s="49">
        <f t="shared" si="38"/>
        <v>0.0884086444</v>
      </c>
      <c r="M427" s="49">
        <f t="shared" si="39"/>
        <v>0.4518664047</v>
      </c>
      <c r="N427" s="32" t="str">
        <f t="shared" si="40"/>
        <v>Jânio</v>
      </c>
      <c r="O427" s="50" t="s">
        <v>77</v>
      </c>
      <c r="P427" s="38">
        <v>307.0</v>
      </c>
      <c r="Q427" s="38">
        <v>410.0</v>
      </c>
      <c r="R427" s="38">
        <v>208.0</v>
      </c>
      <c r="S427" s="38">
        <v>128.0</v>
      </c>
      <c r="T427" s="38">
        <v>34.0</v>
      </c>
      <c r="U427" s="48">
        <f t="shared" si="41"/>
        <v>925</v>
      </c>
      <c r="V427" s="48">
        <f t="shared" si="42"/>
        <v>1087</v>
      </c>
      <c r="W427" s="49">
        <f t="shared" si="43"/>
        <v>0.3318918919</v>
      </c>
      <c r="X427" s="49">
        <f t="shared" si="44"/>
        <v>0.4432432432</v>
      </c>
      <c r="Y427" s="49">
        <f t="shared" si="45"/>
        <v>0.2248648649</v>
      </c>
      <c r="Z427" s="32" t="str">
        <f t="shared" si="46"/>
        <v>Milton</v>
      </c>
      <c r="AA427" s="50" t="s">
        <v>77</v>
      </c>
      <c r="AB427" s="38">
        <v>1145.0</v>
      </c>
      <c r="AC427" s="48">
        <f t="shared" si="47"/>
        <v>58</v>
      </c>
      <c r="AD427" s="51">
        <f t="shared" si="48"/>
        <v>0.9493449782</v>
      </c>
    </row>
    <row r="428">
      <c r="A428" s="24"/>
      <c r="B428" s="46" t="s">
        <v>2428</v>
      </c>
      <c r="C428" s="47"/>
      <c r="D428" s="38">
        <v>1070.0</v>
      </c>
      <c r="E428" s="38">
        <v>67.0</v>
      </c>
      <c r="F428" s="38">
        <v>378.0</v>
      </c>
      <c r="G428" s="38">
        <v>49.0</v>
      </c>
      <c r="H428" s="38">
        <v>67.0</v>
      </c>
      <c r="I428" s="48">
        <f t="shared" si="35"/>
        <v>1515</v>
      </c>
      <c r="J428" s="48">
        <f t="shared" si="36"/>
        <v>1631</v>
      </c>
      <c r="K428" s="49">
        <f t="shared" si="37"/>
        <v>0.7062706271</v>
      </c>
      <c r="L428" s="49">
        <f t="shared" si="38"/>
        <v>0.04422442244</v>
      </c>
      <c r="M428" s="49">
        <f t="shared" si="39"/>
        <v>0.2495049505</v>
      </c>
      <c r="N428" s="32" t="str">
        <f t="shared" si="40"/>
        <v>Jânio</v>
      </c>
      <c r="O428" s="50" t="s">
        <v>77</v>
      </c>
      <c r="P428" s="38">
        <v>288.0</v>
      </c>
      <c r="Q428" s="38">
        <v>841.0</v>
      </c>
      <c r="R428" s="38">
        <v>113.0</v>
      </c>
      <c r="S428" s="38">
        <v>351.0</v>
      </c>
      <c r="T428" s="38">
        <v>38.0</v>
      </c>
      <c r="U428" s="48">
        <f t="shared" si="41"/>
        <v>1242</v>
      </c>
      <c r="V428" s="48">
        <f t="shared" si="42"/>
        <v>1631</v>
      </c>
      <c r="W428" s="49">
        <f t="shared" si="43"/>
        <v>0.231884058</v>
      </c>
      <c r="X428" s="49">
        <f t="shared" si="44"/>
        <v>0.6771336554</v>
      </c>
      <c r="Y428" s="49">
        <f t="shared" si="45"/>
        <v>0.09098228663</v>
      </c>
      <c r="Z428" s="32" t="str">
        <f t="shared" si="46"/>
        <v>Milton</v>
      </c>
      <c r="AA428" s="50" t="s">
        <v>77</v>
      </c>
      <c r="AB428" s="38">
        <v>1961.0</v>
      </c>
      <c r="AC428" s="48">
        <f t="shared" si="47"/>
        <v>330</v>
      </c>
      <c r="AD428" s="51">
        <f t="shared" si="48"/>
        <v>0.831718511</v>
      </c>
    </row>
    <row r="429">
      <c r="A429" s="61" t="s">
        <v>2429</v>
      </c>
      <c r="B429" s="46" t="s">
        <v>2430</v>
      </c>
      <c r="C429" s="47"/>
      <c r="D429" s="38">
        <v>8825.0</v>
      </c>
      <c r="E429" s="38">
        <v>2826.0</v>
      </c>
      <c r="F429" s="38">
        <v>7001.0</v>
      </c>
      <c r="G429" s="38">
        <v>286.0</v>
      </c>
      <c r="H429" s="38">
        <v>604.0</v>
      </c>
      <c r="I429" s="48">
        <f t="shared" si="35"/>
        <v>18652</v>
      </c>
      <c r="J429" s="48">
        <f t="shared" si="36"/>
        <v>19542</v>
      </c>
      <c r="K429" s="49">
        <f t="shared" si="37"/>
        <v>0.4731396097</v>
      </c>
      <c r="L429" s="49">
        <f t="shared" si="38"/>
        <v>0.1515119022</v>
      </c>
      <c r="M429" s="49">
        <f t="shared" si="39"/>
        <v>0.3753484881</v>
      </c>
      <c r="N429" s="32" t="str">
        <f t="shared" si="40"/>
        <v>Jânio</v>
      </c>
      <c r="O429" s="50" t="s">
        <v>77</v>
      </c>
      <c r="P429" s="38">
        <v>6651.0</v>
      </c>
      <c r="Q429" s="38">
        <v>7289.0</v>
      </c>
      <c r="R429" s="38">
        <v>3849.0</v>
      </c>
      <c r="S429" s="38">
        <v>1355.0</v>
      </c>
      <c r="T429" s="38">
        <v>398.0</v>
      </c>
      <c r="U429" s="48">
        <f t="shared" si="41"/>
        <v>17789</v>
      </c>
      <c r="V429" s="48">
        <f t="shared" si="42"/>
        <v>19542</v>
      </c>
      <c r="W429" s="49">
        <f t="shared" si="43"/>
        <v>0.3738827365</v>
      </c>
      <c r="X429" s="49">
        <f t="shared" si="44"/>
        <v>0.4097475968</v>
      </c>
      <c r="Y429" s="49">
        <f t="shared" si="45"/>
        <v>0.2163696666</v>
      </c>
      <c r="Z429" s="32" t="str">
        <f t="shared" si="46"/>
        <v>Milton</v>
      </c>
      <c r="AA429" s="50" t="s">
        <v>77</v>
      </c>
      <c r="AB429" s="38">
        <v>20995.0</v>
      </c>
      <c r="AC429" s="48">
        <f t="shared" si="47"/>
        <v>1453</v>
      </c>
      <c r="AD429" s="51">
        <f t="shared" si="48"/>
        <v>0.930793046</v>
      </c>
    </row>
    <row r="430">
      <c r="A430" s="23"/>
      <c r="B430" s="46" t="s">
        <v>2431</v>
      </c>
      <c r="C430" s="47"/>
      <c r="D430" s="38">
        <v>427.0</v>
      </c>
      <c r="E430" s="38">
        <v>141.0</v>
      </c>
      <c r="F430" s="38">
        <v>233.0</v>
      </c>
      <c r="G430" s="38">
        <v>27.0</v>
      </c>
      <c r="H430" s="38">
        <v>49.0</v>
      </c>
      <c r="I430" s="48">
        <f t="shared" si="35"/>
        <v>801</v>
      </c>
      <c r="J430" s="48">
        <f t="shared" si="36"/>
        <v>877</v>
      </c>
      <c r="K430" s="49">
        <f t="shared" si="37"/>
        <v>0.5330836454</v>
      </c>
      <c r="L430" s="49">
        <f t="shared" si="38"/>
        <v>0.1760299625</v>
      </c>
      <c r="M430" s="49">
        <f t="shared" si="39"/>
        <v>0.290886392</v>
      </c>
      <c r="N430" s="32" t="str">
        <f t="shared" si="40"/>
        <v>Jânio</v>
      </c>
      <c r="O430" s="50" t="s">
        <v>77</v>
      </c>
      <c r="P430" s="38">
        <v>281.0</v>
      </c>
      <c r="Q430" s="38">
        <v>214.0</v>
      </c>
      <c r="R430" s="38">
        <v>209.0</v>
      </c>
      <c r="S430" s="38">
        <v>142.0</v>
      </c>
      <c r="T430" s="38">
        <v>31.0</v>
      </c>
      <c r="U430" s="48">
        <f t="shared" si="41"/>
        <v>704</v>
      </c>
      <c r="V430" s="48">
        <f t="shared" si="42"/>
        <v>877</v>
      </c>
      <c r="W430" s="49">
        <f t="shared" si="43"/>
        <v>0.3991477273</v>
      </c>
      <c r="X430" s="49">
        <f t="shared" si="44"/>
        <v>0.3039772727</v>
      </c>
      <c r="Y430" s="49">
        <f t="shared" si="45"/>
        <v>0.296875</v>
      </c>
      <c r="Z430" s="32" t="str">
        <f t="shared" si="46"/>
        <v>Jango</v>
      </c>
      <c r="AA430" s="50" t="s">
        <v>77</v>
      </c>
      <c r="AB430" s="38">
        <v>1011.0</v>
      </c>
      <c r="AC430" s="48">
        <f t="shared" si="47"/>
        <v>134</v>
      </c>
      <c r="AD430" s="51">
        <f t="shared" si="48"/>
        <v>0.8674579624</v>
      </c>
    </row>
    <row r="431">
      <c r="A431" s="24"/>
      <c r="B431" s="46" t="s">
        <v>2432</v>
      </c>
      <c r="C431" s="47"/>
      <c r="D431" s="38">
        <v>654.0</v>
      </c>
      <c r="E431" s="38">
        <v>178.0</v>
      </c>
      <c r="F431" s="38">
        <v>701.0</v>
      </c>
      <c r="G431" s="38">
        <v>37.0</v>
      </c>
      <c r="H431" s="38">
        <v>57.0</v>
      </c>
      <c r="I431" s="48">
        <f t="shared" si="35"/>
        <v>1533</v>
      </c>
      <c r="J431" s="48">
        <f t="shared" si="36"/>
        <v>1627</v>
      </c>
      <c r="K431" s="49">
        <f t="shared" si="37"/>
        <v>0.4266144814</v>
      </c>
      <c r="L431" s="49">
        <f t="shared" si="38"/>
        <v>0.1161121983</v>
      </c>
      <c r="M431" s="49">
        <f t="shared" si="39"/>
        <v>0.4572733203</v>
      </c>
      <c r="N431" s="32" t="str">
        <f t="shared" si="40"/>
        <v>Adhemar</v>
      </c>
      <c r="O431" s="50" t="s">
        <v>77</v>
      </c>
      <c r="P431" s="38">
        <v>572.0</v>
      </c>
      <c r="Q431" s="38">
        <v>493.0</v>
      </c>
      <c r="R431" s="38">
        <v>343.0</v>
      </c>
      <c r="S431" s="38">
        <v>185.0</v>
      </c>
      <c r="T431" s="38">
        <v>34.0</v>
      </c>
      <c r="U431" s="48">
        <f t="shared" si="41"/>
        <v>1408</v>
      </c>
      <c r="V431" s="48">
        <f t="shared" si="42"/>
        <v>1627</v>
      </c>
      <c r="W431" s="49">
        <f t="shared" si="43"/>
        <v>0.40625</v>
      </c>
      <c r="X431" s="49">
        <f t="shared" si="44"/>
        <v>0.3501420455</v>
      </c>
      <c r="Y431" s="49">
        <f t="shared" si="45"/>
        <v>0.2436079545</v>
      </c>
      <c r="Z431" s="32" t="str">
        <f t="shared" si="46"/>
        <v>Jango</v>
      </c>
      <c r="AA431" s="50" t="s">
        <v>77</v>
      </c>
      <c r="AB431" s="38">
        <v>1753.0</v>
      </c>
      <c r="AC431" s="48">
        <f t="shared" si="47"/>
        <v>126</v>
      </c>
      <c r="AD431" s="51">
        <f t="shared" si="48"/>
        <v>0.9281232173</v>
      </c>
    </row>
    <row r="432">
      <c r="A432" s="61" t="s">
        <v>2433</v>
      </c>
      <c r="B432" s="46" t="s">
        <v>2434</v>
      </c>
      <c r="C432" s="47"/>
      <c r="D432" s="38">
        <v>3593.0</v>
      </c>
      <c r="E432" s="38">
        <v>524.0</v>
      </c>
      <c r="F432" s="38">
        <v>1182.0</v>
      </c>
      <c r="G432" s="38">
        <v>84.0</v>
      </c>
      <c r="H432" s="38">
        <v>94.0</v>
      </c>
      <c r="I432" s="48">
        <f t="shared" si="35"/>
        <v>5299</v>
      </c>
      <c r="J432" s="48">
        <f t="shared" si="36"/>
        <v>5477</v>
      </c>
      <c r="K432" s="49">
        <f t="shared" si="37"/>
        <v>0.6780524627</v>
      </c>
      <c r="L432" s="49">
        <f t="shared" si="38"/>
        <v>0.09888658237</v>
      </c>
      <c r="M432" s="49">
        <f t="shared" si="39"/>
        <v>0.2230609549</v>
      </c>
      <c r="N432" s="32" t="str">
        <f t="shared" si="40"/>
        <v>Jânio</v>
      </c>
      <c r="O432" s="50" t="s">
        <v>77</v>
      </c>
      <c r="P432" s="38">
        <v>1155.0</v>
      </c>
      <c r="Q432" s="38">
        <v>3251.0</v>
      </c>
      <c r="R432" s="38">
        <v>586.0</v>
      </c>
      <c r="S432" s="38">
        <v>435.0</v>
      </c>
      <c r="T432" s="38">
        <v>50.0</v>
      </c>
      <c r="U432" s="48">
        <f t="shared" si="41"/>
        <v>4992</v>
      </c>
      <c r="V432" s="48">
        <f t="shared" si="42"/>
        <v>5477</v>
      </c>
      <c r="W432" s="49">
        <f t="shared" si="43"/>
        <v>0.2313701923</v>
      </c>
      <c r="X432" s="49">
        <f t="shared" si="44"/>
        <v>0.6512419872</v>
      </c>
      <c r="Y432" s="49">
        <f t="shared" si="45"/>
        <v>0.1173878205</v>
      </c>
      <c r="Z432" s="32" t="str">
        <f t="shared" si="46"/>
        <v>Milton</v>
      </c>
      <c r="AA432" s="50" t="s">
        <v>77</v>
      </c>
      <c r="AB432" s="38">
        <v>6008.0</v>
      </c>
      <c r="AC432" s="48">
        <f t="shared" si="47"/>
        <v>531</v>
      </c>
      <c r="AD432" s="51">
        <f t="shared" si="48"/>
        <v>0.9116178429</v>
      </c>
    </row>
    <row r="433">
      <c r="A433" s="23"/>
      <c r="B433" s="46" t="s">
        <v>2435</v>
      </c>
      <c r="C433" s="47"/>
      <c r="D433" s="38">
        <v>2035.0</v>
      </c>
      <c r="E433" s="38">
        <v>100.0</v>
      </c>
      <c r="F433" s="38">
        <v>489.0</v>
      </c>
      <c r="G433" s="38">
        <v>35.0</v>
      </c>
      <c r="H433" s="38">
        <v>37.0</v>
      </c>
      <c r="I433" s="48">
        <f t="shared" si="35"/>
        <v>2624</v>
      </c>
      <c r="J433" s="48">
        <f t="shared" si="36"/>
        <v>2696</v>
      </c>
      <c r="K433" s="49">
        <f t="shared" si="37"/>
        <v>0.7755335366</v>
      </c>
      <c r="L433" s="49">
        <f t="shared" si="38"/>
        <v>0.0381097561</v>
      </c>
      <c r="M433" s="49">
        <f t="shared" si="39"/>
        <v>0.1863567073</v>
      </c>
      <c r="N433" s="32" t="str">
        <f t="shared" si="40"/>
        <v>Jânio</v>
      </c>
      <c r="O433" s="50" t="s">
        <v>77</v>
      </c>
      <c r="P433" s="38">
        <v>1396.0</v>
      </c>
      <c r="Q433" s="38">
        <v>1129.0</v>
      </c>
      <c r="R433" s="38">
        <v>57.0</v>
      </c>
      <c r="S433" s="38">
        <v>94.0</v>
      </c>
      <c r="T433" s="38">
        <v>20.0</v>
      </c>
      <c r="U433" s="48">
        <f t="shared" si="41"/>
        <v>2582</v>
      </c>
      <c r="V433" s="48">
        <f t="shared" si="42"/>
        <v>2696</v>
      </c>
      <c r="W433" s="49">
        <f t="shared" si="43"/>
        <v>0.5406661503</v>
      </c>
      <c r="X433" s="49">
        <f t="shared" si="44"/>
        <v>0.4372579396</v>
      </c>
      <c r="Y433" s="49">
        <f t="shared" si="45"/>
        <v>0.02207591015</v>
      </c>
      <c r="Z433" s="32" t="str">
        <f t="shared" si="46"/>
        <v>Jango</v>
      </c>
      <c r="AA433" s="50" t="s">
        <v>77</v>
      </c>
      <c r="AB433" s="38">
        <v>2941.0</v>
      </c>
      <c r="AC433" s="48">
        <f t="shared" si="47"/>
        <v>245</v>
      </c>
      <c r="AD433" s="51">
        <f t="shared" si="48"/>
        <v>0.9166950017</v>
      </c>
    </row>
    <row r="434">
      <c r="A434" s="24"/>
      <c r="B434" s="46" t="s">
        <v>2436</v>
      </c>
      <c r="C434" s="47"/>
      <c r="D434" s="38">
        <v>2321.0</v>
      </c>
      <c r="E434" s="38">
        <v>260.0</v>
      </c>
      <c r="F434" s="38">
        <v>802.0</v>
      </c>
      <c r="G434" s="38">
        <v>96.0</v>
      </c>
      <c r="H434" s="38">
        <v>140.0</v>
      </c>
      <c r="I434" s="48">
        <f t="shared" si="35"/>
        <v>3383</v>
      </c>
      <c r="J434" s="48">
        <f t="shared" si="36"/>
        <v>3619</v>
      </c>
      <c r="K434" s="49">
        <f t="shared" si="37"/>
        <v>0.6860774461</v>
      </c>
      <c r="L434" s="49">
        <f t="shared" si="38"/>
        <v>0.07685486255</v>
      </c>
      <c r="M434" s="49">
        <f t="shared" si="39"/>
        <v>0.2370676914</v>
      </c>
      <c r="N434" s="32" t="str">
        <f t="shared" si="40"/>
        <v>Jânio</v>
      </c>
      <c r="O434" s="50" t="s">
        <v>77</v>
      </c>
      <c r="P434" s="38">
        <v>580.0</v>
      </c>
      <c r="Q434" s="38">
        <v>1584.0</v>
      </c>
      <c r="R434" s="38">
        <v>829.0</v>
      </c>
      <c r="S434" s="38">
        <v>545.0</v>
      </c>
      <c r="T434" s="38">
        <v>81.0</v>
      </c>
      <c r="U434" s="48">
        <f t="shared" si="41"/>
        <v>2993</v>
      </c>
      <c r="V434" s="48">
        <f t="shared" si="42"/>
        <v>3619</v>
      </c>
      <c r="W434" s="49">
        <f t="shared" si="43"/>
        <v>0.1937854995</v>
      </c>
      <c r="X434" s="49">
        <f t="shared" si="44"/>
        <v>0.5292348814</v>
      </c>
      <c r="Y434" s="49">
        <f t="shared" si="45"/>
        <v>0.2769796191</v>
      </c>
      <c r="Z434" s="32" t="str">
        <f t="shared" si="46"/>
        <v>Milton</v>
      </c>
      <c r="AA434" s="50" t="s">
        <v>77</v>
      </c>
      <c r="AB434" s="38">
        <v>3938.0</v>
      </c>
      <c r="AC434" s="48">
        <f t="shared" si="47"/>
        <v>319</v>
      </c>
      <c r="AD434" s="51">
        <f t="shared" si="48"/>
        <v>0.9189944134</v>
      </c>
    </row>
    <row r="435">
      <c r="A435" s="61" t="s">
        <v>2437</v>
      </c>
      <c r="B435" s="46" t="s">
        <v>2438</v>
      </c>
      <c r="C435" s="47"/>
      <c r="D435" s="38">
        <v>5697.0</v>
      </c>
      <c r="E435" s="38">
        <v>1244.0</v>
      </c>
      <c r="F435" s="38">
        <v>2772.0</v>
      </c>
      <c r="G435" s="38">
        <v>242.0</v>
      </c>
      <c r="H435" s="55">
        <v>299.0</v>
      </c>
      <c r="I435" s="48">
        <f t="shared" si="35"/>
        <v>9713</v>
      </c>
      <c r="J435" s="114">
        <f t="shared" si="36"/>
        <v>10254</v>
      </c>
      <c r="K435" s="49">
        <f t="shared" si="37"/>
        <v>0.5865335118</v>
      </c>
      <c r="L435" s="49">
        <f t="shared" si="38"/>
        <v>0.1280757747</v>
      </c>
      <c r="M435" s="49">
        <f t="shared" si="39"/>
        <v>0.2853907135</v>
      </c>
      <c r="N435" s="32" t="str">
        <f t="shared" si="40"/>
        <v>Jânio</v>
      </c>
      <c r="O435" s="50" t="s">
        <v>77</v>
      </c>
      <c r="P435" s="38">
        <v>2551.0</v>
      </c>
      <c r="Q435" s="38">
        <v>4824.0</v>
      </c>
      <c r="R435" s="38">
        <v>1803.0</v>
      </c>
      <c r="S435" s="38">
        <v>887.0</v>
      </c>
      <c r="T435" s="38">
        <v>189.0</v>
      </c>
      <c r="U435" s="48">
        <f t="shared" si="41"/>
        <v>9178</v>
      </c>
      <c r="V435" s="48">
        <f t="shared" si="42"/>
        <v>10254</v>
      </c>
      <c r="W435" s="49">
        <f t="shared" si="43"/>
        <v>0.2779472652</v>
      </c>
      <c r="X435" s="49">
        <f t="shared" si="44"/>
        <v>0.5256047069</v>
      </c>
      <c r="Y435" s="49">
        <f t="shared" si="45"/>
        <v>0.1964480279</v>
      </c>
      <c r="Z435" s="32" t="str">
        <f t="shared" si="46"/>
        <v>Milton</v>
      </c>
      <c r="AA435" s="50" t="s">
        <v>77</v>
      </c>
      <c r="AB435" s="38">
        <v>12277.0</v>
      </c>
      <c r="AC435" s="48">
        <f t="shared" si="47"/>
        <v>2023</v>
      </c>
      <c r="AD435" s="51">
        <f t="shared" si="48"/>
        <v>0.8352203307</v>
      </c>
    </row>
    <row r="436">
      <c r="A436" s="23"/>
      <c r="B436" s="46" t="s">
        <v>2439</v>
      </c>
      <c r="C436" s="47"/>
      <c r="D436" s="38">
        <v>718.0</v>
      </c>
      <c r="E436" s="38">
        <v>135.0</v>
      </c>
      <c r="F436" s="38">
        <v>223.0</v>
      </c>
      <c r="G436" s="38">
        <v>25.0</v>
      </c>
      <c r="H436" s="38">
        <v>22.0</v>
      </c>
      <c r="I436" s="48">
        <f t="shared" si="35"/>
        <v>1076</v>
      </c>
      <c r="J436" s="48">
        <f t="shared" si="36"/>
        <v>1123</v>
      </c>
      <c r="K436" s="49">
        <f t="shared" si="37"/>
        <v>0.6672862454</v>
      </c>
      <c r="L436" s="49">
        <f t="shared" si="38"/>
        <v>0.125464684</v>
      </c>
      <c r="M436" s="49">
        <f t="shared" si="39"/>
        <v>0.2072490706</v>
      </c>
      <c r="N436" s="32" t="str">
        <f t="shared" si="40"/>
        <v>Jânio</v>
      </c>
      <c r="O436" s="50" t="s">
        <v>77</v>
      </c>
      <c r="P436" s="38">
        <v>262.0</v>
      </c>
      <c r="Q436" s="38">
        <v>451.0</v>
      </c>
      <c r="R436" s="38">
        <v>287.0</v>
      </c>
      <c r="S436" s="38">
        <v>104.0</v>
      </c>
      <c r="T436" s="38">
        <v>19.0</v>
      </c>
      <c r="U436" s="48">
        <f t="shared" si="41"/>
        <v>1000</v>
      </c>
      <c r="V436" s="48">
        <f t="shared" si="42"/>
        <v>1123</v>
      </c>
      <c r="W436" s="49">
        <f t="shared" si="43"/>
        <v>0.262</v>
      </c>
      <c r="X436" s="49">
        <f t="shared" si="44"/>
        <v>0.451</v>
      </c>
      <c r="Y436" s="49">
        <f t="shared" si="45"/>
        <v>0.287</v>
      </c>
      <c r="Z436" s="32" t="str">
        <f t="shared" si="46"/>
        <v>Milton</v>
      </c>
      <c r="AA436" s="50" t="s">
        <v>77</v>
      </c>
      <c r="AB436" s="38">
        <v>1337.0</v>
      </c>
      <c r="AC436" s="48">
        <f t="shared" si="47"/>
        <v>214</v>
      </c>
      <c r="AD436" s="51">
        <f t="shared" si="48"/>
        <v>0.8399401645</v>
      </c>
    </row>
    <row r="437">
      <c r="A437" s="23"/>
      <c r="B437" s="46" t="s">
        <v>2440</v>
      </c>
      <c r="C437" s="47"/>
      <c r="D437" s="38">
        <v>1182.0</v>
      </c>
      <c r="E437" s="38">
        <v>358.0</v>
      </c>
      <c r="F437" s="38">
        <v>451.0</v>
      </c>
      <c r="G437" s="38">
        <v>79.0</v>
      </c>
      <c r="H437" s="38">
        <v>100.0</v>
      </c>
      <c r="I437" s="48">
        <f t="shared" si="35"/>
        <v>1991</v>
      </c>
      <c r="J437" s="48">
        <f t="shared" si="36"/>
        <v>2170</v>
      </c>
      <c r="K437" s="49">
        <f t="shared" si="37"/>
        <v>0.5936715218</v>
      </c>
      <c r="L437" s="49">
        <f t="shared" si="38"/>
        <v>0.1798091411</v>
      </c>
      <c r="M437" s="49">
        <f t="shared" si="39"/>
        <v>0.226519337</v>
      </c>
      <c r="N437" s="32" t="str">
        <f t="shared" si="40"/>
        <v>Jânio</v>
      </c>
      <c r="O437" s="50" t="s">
        <v>77</v>
      </c>
      <c r="P437" s="38">
        <v>577.0</v>
      </c>
      <c r="Q437" s="38">
        <v>859.0</v>
      </c>
      <c r="R437" s="38">
        <v>419.0</v>
      </c>
      <c r="S437" s="38">
        <v>258.0</v>
      </c>
      <c r="T437" s="38">
        <v>57.0</v>
      </c>
      <c r="U437" s="48">
        <f t="shared" si="41"/>
        <v>1855</v>
      </c>
      <c r="V437" s="48">
        <f t="shared" si="42"/>
        <v>2170</v>
      </c>
      <c r="W437" s="49">
        <f t="shared" si="43"/>
        <v>0.3110512129</v>
      </c>
      <c r="X437" s="49">
        <f t="shared" si="44"/>
        <v>0.4630727763</v>
      </c>
      <c r="Y437" s="49">
        <f t="shared" si="45"/>
        <v>0.2258760108</v>
      </c>
      <c r="Z437" s="32" t="str">
        <f t="shared" si="46"/>
        <v>Milton</v>
      </c>
      <c r="AA437" s="50" t="s">
        <v>77</v>
      </c>
      <c r="AB437" s="38">
        <v>2602.0</v>
      </c>
      <c r="AC437" s="48">
        <f t="shared" si="47"/>
        <v>432</v>
      </c>
      <c r="AD437" s="51">
        <f t="shared" si="48"/>
        <v>0.8339738663</v>
      </c>
    </row>
    <row r="438">
      <c r="A438" s="23"/>
      <c r="B438" s="46" t="s">
        <v>2441</v>
      </c>
      <c r="C438" s="47"/>
      <c r="D438" s="38">
        <v>478.0</v>
      </c>
      <c r="E438" s="38">
        <v>96.0</v>
      </c>
      <c r="F438" s="38">
        <v>237.0</v>
      </c>
      <c r="G438" s="38">
        <v>23.0</v>
      </c>
      <c r="H438" s="38">
        <v>27.0</v>
      </c>
      <c r="I438" s="48">
        <f t="shared" si="35"/>
        <v>811</v>
      </c>
      <c r="J438" s="48">
        <f t="shared" si="36"/>
        <v>861</v>
      </c>
      <c r="K438" s="49">
        <f t="shared" si="37"/>
        <v>0.5893958076</v>
      </c>
      <c r="L438" s="49">
        <f t="shared" si="38"/>
        <v>0.1183723798</v>
      </c>
      <c r="M438" s="49">
        <f t="shared" si="39"/>
        <v>0.2922318126</v>
      </c>
      <c r="N438" s="32" t="str">
        <f t="shared" si="40"/>
        <v>Jânio</v>
      </c>
      <c r="O438" s="50" t="s">
        <v>77</v>
      </c>
      <c r="P438" s="38">
        <v>229.0</v>
      </c>
      <c r="Q438" s="38">
        <v>343.0</v>
      </c>
      <c r="R438" s="38">
        <v>132.0</v>
      </c>
      <c r="S438" s="38">
        <v>147.0</v>
      </c>
      <c r="T438" s="38">
        <v>10.0</v>
      </c>
      <c r="U438" s="48">
        <f t="shared" si="41"/>
        <v>704</v>
      </c>
      <c r="V438" s="48">
        <f t="shared" si="42"/>
        <v>861</v>
      </c>
      <c r="W438" s="49">
        <f t="shared" si="43"/>
        <v>0.3252840909</v>
      </c>
      <c r="X438" s="49">
        <f t="shared" si="44"/>
        <v>0.4872159091</v>
      </c>
      <c r="Y438" s="49">
        <f t="shared" si="45"/>
        <v>0.1875</v>
      </c>
      <c r="Z438" s="32" t="str">
        <f t="shared" si="46"/>
        <v>Milton</v>
      </c>
      <c r="AA438" s="50" t="s">
        <v>77</v>
      </c>
      <c r="AB438" s="38">
        <v>1073.0</v>
      </c>
      <c r="AC438" s="48">
        <f t="shared" si="47"/>
        <v>212</v>
      </c>
      <c r="AD438" s="51">
        <f t="shared" si="48"/>
        <v>0.8024231128</v>
      </c>
    </row>
    <row r="439">
      <c r="A439" s="24"/>
      <c r="B439" s="46" t="s">
        <v>2442</v>
      </c>
      <c r="C439" s="47"/>
      <c r="D439" s="38">
        <v>1418.0</v>
      </c>
      <c r="E439" s="38">
        <v>191.0</v>
      </c>
      <c r="F439" s="38">
        <v>1064.0</v>
      </c>
      <c r="G439" s="38">
        <v>68.0</v>
      </c>
      <c r="H439" s="38">
        <v>107.0</v>
      </c>
      <c r="I439" s="48">
        <f t="shared" si="35"/>
        <v>2673</v>
      </c>
      <c r="J439" s="48">
        <f t="shared" si="36"/>
        <v>2848</v>
      </c>
      <c r="K439" s="49">
        <f t="shared" si="37"/>
        <v>0.530490086</v>
      </c>
      <c r="L439" s="49">
        <f t="shared" si="38"/>
        <v>0.07145529368</v>
      </c>
      <c r="M439" s="49">
        <f t="shared" si="39"/>
        <v>0.3980546203</v>
      </c>
      <c r="N439" s="32" t="str">
        <f t="shared" si="40"/>
        <v>Jânio</v>
      </c>
      <c r="O439" s="50" t="s">
        <v>77</v>
      </c>
      <c r="P439" s="38">
        <v>794.0</v>
      </c>
      <c r="Q439" s="38">
        <v>1270.0</v>
      </c>
      <c r="R439" s="38">
        <v>276.0</v>
      </c>
      <c r="S439" s="38">
        <v>465.0</v>
      </c>
      <c r="T439" s="38">
        <v>43.0</v>
      </c>
      <c r="U439" s="48">
        <f t="shared" si="41"/>
        <v>2340</v>
      </c>
      <c r="V439" s="48">
        <f t="shared" si="42"/>
        <v>2848</v>
      </c>
      <c r="W439" s="49">
        <f t="shared" si="43"/>
        <v>0.3393162393</v>
      </c>
      <c r="X439" s="49">
        <f t="shared" si="44"/>
        <v>0.5427350427</v>
      </c>
      <c r="Y439" s="49">
        <f t="shared" si="45"/>
        <v>0.1179487179</v>
      </c>
      <c r="Z439" s="32" t="str">
        <f t="shared" si="46"/>
        <v>Milton</v>
      </c>
      <c r="AA439" s="50" t="s">
        <v>77</v>
      </c>
      <c r="AB439" s="38">
        <v>3480.0</v>
      </c>
      <c r="AC439" s="48">
        <f t="shared" si="47"/>
        <v>632</v>
      </c>
      <c r="AD439" s="51">
        <f t="shared" si="48"/>
        <v>0.8183908046</v>
      </c>
    </row>
    <row r="440">
      <c r="A440" s="110" t="s">
        <v>2443</v>
      </c>
      <c r="B440" s="46" t="s">
        <v>2444</v>
      </c>
      <c r="C440" s="47"/>
      <c r="D440" s="38">
        <v>841.0</v>
      </c>
      <c r="E440" s="38">
        <v>92.0</v>
      </c>
      <c r="F440" s="38">
        <v>553.0</v>
      </c>
      <c r="G440" s="38">
        <v>28.0</v>
      </c>
      <c r="H440" s="38">
        <v>102.0</v>
      </c>
      <c r="I440" s="48">
        <f t="shared" si="35"/>
        <v>1486</v>
      </c>
      <c r="J440" s="48">
        <f t="shared" si="36"/>
        <v>1616</v>
      </c>
      <c r="K440" s="49">
        <f t="shared" si="37"/>
        <v>0.565948856</v>
      </c>
      <c r="L440" s="49">
        <f t="shared" si="38"/>
        <v>0.06191117093</v>
      </c>
      <c r="M440" s="49">
        <f t="shared" si="39"/>
        <v>0.3721399731</v>
      </c>
      <c r="N440" s="32" t="str">
        <f t="shared" si="40"/>
        <v>Jânio</v>
      </c>
      <c r="O440" s="50" t="s">
        <v>77</v>
      </c>
      <c r="P440" s="38">
        <v>448.0</v>
      </c>
      <c r="Q440" s="38">
        <v>596.0</v>
      </c>
      <c r="R440" s="38">
        <v>243.0</v>
      </c>
      <c r="S440" s="38">
        <v>227.0</v>
      </c>
      <c r="T440" s="38">
        <v>102.0</v>
      </c>
      <c r="U440" s="48">
        <f t="shared" si="41"/>
        <v>1287</v>
      </c>
      <c r="V440" s="48">
        <f t="shared" si="42"/>
        <v>1616</v>
      </c>
      <c r="W440" s="49">
        <f t="shared" si="43"/>
        <v>0.3480963481</v>
      </c>
      <c r="X440" s="49">
        <f t="shared" si="44"/>
        <v>0.4630924631</v>
      </c>
      <c r="Y440" s="49">
        <f t="shared" si="45"/>
        <v>0.1888111888</v>
      </c>
      <c r="Z440" s="32" t="str">
        <f t="shared" si="46"/>
        <v>Milton</v>
      </c>
      <c r="AA440" s="50" t="s">
        <v>77</v>
      </c>
      <c r="AB440" s="38">
        <v>1940.0</v>
      </c>
      <c r="AC440" s="48">
        <f t="shared" si="47"/>
        <v>324</v>
      </c>
      <c r="AD440" s="51">
        <f t="shared" si="48"/>
        <v>0.8329896907</v>
      </c>
    </row>
    <row r="441">
      <c r="A441" s="61" t="s">
        <v>2445</v>
      </c>
      <c r="B441" s="46" t="s">
        <v>2446</v>
      </c>
      <c r="C441" s="47"/>
      <c r="D441" s="38">
        <v>1562.0</v>
      </c>
      <c r="E441" s="38">
        <v>747.0</v>
      </c>
      <c r="F441" s="38">
        <v>895.0</v>
      </c>
      <c r="G441" s="38">
        <v>48.0</v>
      </c>
      <c r="H441" s="38">
        <v>90.0</v>
      </c>
      <c r="I441" s="48">
        <f t="shared" si="35"/>
        <v>3204</v>
      </c>
      <c r="J441" s="48">
        <f t="shared" si="36"/>
        <v>3342</v>
      </c>
      <c r="K441" s="49">
        <f t="shared" si="37"/>
        <v>0.4875156055</v>
      </c>
      <c r="L441" s="49">
        <f t="shared" si="38"/>
        <v>0.2331460674</v>
      </c>
      <c r="M441" s="49">
        <f t="shared" si="39"/>
        <v>0.2793383271</v>
      </c>
      <c r="N441" s="32" t="str">
        <f t="shared" si="40"/>
        <v>Jânio</v>
      </c>
      <c r="O441" s="50" t="s">
        <v>77</v>
      </c>
      <c r="P441" s="38">
        <v>1235.0</v>
      </c>
      <c r="Q441" s="38">
        <v>1475.0</v>
      </c>
      <c r="R441" s="38">
        <v>313.0</v>
      </c>
      <c r="S441" s="38">
        <v>245.0</v>
      </c>
      <c r="T441" s="38">
        <v>74.0</v>
      </c>
      <c r="U441" s="48">
        <f t="shared" si="41"/>
        <v>3023</v>
      </c>
      <c r="V441" s="48">
        <f t="shared" si="42"/>
        <v>3342</v>
      </c>
      <c r="W441" s="49">
        <f t="shared" si="43"/>
        <v>0.4085345683</v>
      </c>
      <c r="X441" s="49">
        <f t="shared" si="44"/>
        <v>0.4879259014</v>
      </c>
      <c r="Y441" s="49">
        <f t="shared" si="45"/>
        <v>0.1035395303</v>
      </c>
      <c r="Z441" s="32" t="str">
        <f t="shared" si="46"/>
        <v>Milton</v>
      </c>
      <c r="AA441" s="50" t="s">
        <v>77</v>
      </c>
      <c r="AB441" s="38">
        <v>3585.0</v>
      </c>
      <c r="AC441" s="48">
        <f t="shared" si="47"/>
        <v>243</v>
      </c>
      <c r="AD441" s="51">
        <f t="shared" si="48"/>
        <v>0.9322175732</v>
      </c>
    </row>
    <row r="442">
      <c r="A442" s="24"/>
      <c r="B442" s="46" t="s">
        <v>2447</v>
      </c>
      <c r="C442" s="47"/>
      <c r="D442" s="38">
        <v>551.0</v>
      </c>
      <c r="E442" s="38">
        <v>29.0</v>
      </c>
      <c r="F442" s="38">
        <v>212.0</v>
      </c>
      <c r="G442" s="38">
        <v>19.0</v>
      </c>
      <c r="H442" s="38">
        <v>27.0</v>
      </c>
      <c r="I442" s="48">
        <f t="shared" si="35"/>
        <v>792</v>
      </c>
      <c r="J442" s="48">
        <f t="shared" si="36"/>
        <v>838</v>
      </c>
      <c r="K442" s="49">
        <f t="shared" si="37"/>
        <v>0.6957070707</v>
      </c>
      <c r="L442" s="49">
        <f t="shared" si="38"/>
        <v>0.03661616162</v>
      </c>
      <c r="M442" s="49">
        <f t="shared" si="39"/>
        <v>0.2676767677</v>
      </c>
      <c r="N442" s="32" t="str">
        <f t="shared" si="40"/>
        <v>Jânio</v>
      </c>
      <c r="O442" s="50" t="s">
        <v>77</v>
      </c>
      <c r="P442" s="38">
        <v>69.0</v>
      </c>
      <c r="Q442" s="38">
        <v>375.0</v>
      </c>
      <c r="R442" s="38">
        <v>291.0</v>
      </c>
      <c r="S442" s="38">
        <v>89.0</v>
      </c>
      <c r="T442" s="38">
        <v>14.0</v>
      </c>
      <c r="U442" s="48">
        <f t="shared" si="41"/>
        <v>735</v>
      </c>
      <c r="V442" s="48">
        <f t="shared" si="42"/>
        <v>838</v>
      </c>
      <c r="W442" s="49">
        <f t="shared" si="43"/>
        <v>0.09387755102</v>
      </c>
      <c r="X442" s="49">
        <f t="shared" si="44"/>
        <v>0.5102040816</v>
      </c>
      <c r="Y442" s="49">
        <f t="shared" si="45"/>
        <v>0.3959183673</v>
      </c>
      <c r="Z442" s="32" t="str">
        <f t="shared" si="46"/>
        <v>Milton</v>
      </c>
      <c r="AA442" s="50" t="s">
        <v>77</v>
      </c>
      <c r="AB442" s="38">
        <v>906.0</v>
      </c>
      <c r="AC442" s="48">
        <f t="shared" si="47"/>
        <v>68</v>
      </c>
      <c r="AD442" s="51">
        <f t="shared" si="48"/>
        <v>0.9249448124</v>
      </c>
    </row>
    <row r="443">
      <c r="A443" s="61" t="s">
        <v>2448</v>
      </c>
      <c r="B443" s="46" t="s">
        <v>2449</v>
      </c>
      <c r="C443" s="47"/>
      <c r="D443" s="38">
        <v>1785.0</v>
      </c>
      <c r="E443" s="38">
        <v>421.0</v>
      </c>
      <c r="F443" s="38">
        <v>1032.0</v>
      </c>
      <c r="G443" s="38">
        <v>66.0</v>
      </c>
      <c r="H443" s="38">
        <v>110.0</v>
      </c>
      <c r="I443" s="48">
        <f t="shared" si="35"/>
        <v>3238</v>
      </c>
      <c r="J443" s="48">
        <f t="shared" si="36"/>
        <v>3414</v>
      </c>
      <c r="K443" s="49">
        <f t="shared" si="37"/>
        <v>0.5512662137</v>
      </c>
      <c r="L443" s="49">
        <f t="shared" si="38"/>
        <v>0.13001853</v>
      </c>
      <c r="M443" s="49">
        <f t="shared" si="39"/>
        <v>0.3187152563</v>
      </c>
      <c r="N443" s="32" t="str">
        <f t="shared" si="40"/>
        <v>Jânio</v>
      </c>
      <c r="O443" s="50" t="s">
        <v>77</v>
      </c>
      <c r="P443" s="38">
        <v>956.0</v>
      </c>
      <c r="Q443" s="38">
        <v>1628.0</v>
      </c>
      <c r="R443" s="38">
        <v>322.0</v>
      </c>
      <c r="S443" s="38">
        <v>463.0</v>
      </c>
      <c r="T443" s="38">
        <v>45.0</v>
      </c>
      <c r="U443" s="48">
        <f t="shared" si="41"/>
        <v>2906</v>
      </c>
      <c r="V443" s="48">
        <f t="shared" si="42"/>
        <v>3414</v>
      </c>
      <c r="W443" s="49">
        <f t="shared" si="43"/>
        <v>0.3289745354</v>
      </c>
      <c r="X443" s="49">
        <f t="shared" si="44"/>
        <v>0.560220234</v>
      </c>
      <c r="Y443" s="49">
        <f t="shared" si="45"/>
        <v>0.1108052306</v>
      </c>
      <c r="Z443" s="32" t="str">
        <f t="shared" si="46"/>
        <v>Milton</v>
      </c>
      <c r="AA443" s="50" t="s">
        <v>77</v>
      </c>
      <c r="AB443" s="38">
        <v>4274.0</v>
      </c>
      <c r="AC443" s="48">
        <f t="shared" si="47"/>
        <v>860</v>
      </c>
      <c r="AD443" s="51">
        <f t="shared" si="48"/>
        <v>0.7987833411</v>
      </c>
    </row>
    <row r="444">
      <c r="A444" s="24"/>
      <c r="B444" s="46" t="s">
        <v>2450</v>
      </c>
      <c r="C444" s="47"/>
      <c r="D444" s="38">
        <v>282.0</v>
      </c>
      <c r="E444" s="55">
        <v>124.0</v>
      </c>
      <c r="F444" s="38">
        <v>234.0</v>
      </c>
      <c r="G444" s="38">
        <v>18.0</v>
      </c>
      <c r="H444" s="38">
        <v>28.0</v>
      </c>
      <c r="I444" s="48">
        <f t="shared" si="35"/>
        <v>640</v>
      </c>
      <c r="J444" s="114">
        <f t="shared" si="36"/>
        <v>686</v>
      </c>
      <c r="K444" s="49">
        <f t="shared" si="37"/>
        <v>0.440625</v>
      </c>
      <c r="L444" s="49">
        <f t="shared" si="38"/>
        <v>0.19375</v>
      </c>
      <c r="M444" s="49">
        <f t="shared" si="39"/>
        <v>0.365625</v>
      </c>
      <c r="N444" s="32" t="str">
        <f t="shared" si="40"/>
        <v>Jânio</v>
      </c>
      <c r="O444" s="50" t="s">
        <v>77</v>
      </c>
      <c r="P444" s="38">
        <v>127.0</v>
      </c>
      <c r="Q444" s="38">
        <v>208.0</v>
      </c>
      <c r="R444" s="38">
        <v>257.0</v>
      </c>
      <c r="S444" s="38">
        <v>81.0</v>
      </c>
      <c r="T444" s="38">
        <v>13.0</v>
      </c>
      <c r="U444" s="48">
        <f t="shared" si="41"/>
        <v>592</v>
      </c>
      <c r="V444" s="48">
        <f t="shared" si="42"/>
        <v>686</v>
      </c>
      <c r="W444" s="49">
        <f t="shared" si="43"/>
        <v>0.214527027</v>
      </c>
      <c r="X444" s="49">
        <f t="shared" si="44"/>
        <v>0.3513513514</v>
      </c>
      <c r="Y444" s="49">
        <f t="shared" si="45"/>
        <v>0.4341216216</v>
      </c>
      <c r="Z444" s="32" t="str">
        <f t="shared" si="46"/>
        <v>Ferrari</v>
      </c>
      <c r="AA444" s="50" t="s">
        <v>77</v>
      </c>
      <c r="AB444" s="38">
        <v>970.0</v>
      </c>
      <c r="AC444" s="48">
        <f t="shared" si="47"/>
        <v>284</v>
      </c>
      <c r="AD444" s="51">
        <f t="shared" si="48"/>
        <v>0.7072164948</v>
      </c>
    </row>
    <row r="445">
      <c r="A445" s="61" t="s">
        <v>2451</v>
      </c>
      <c r="B445" s="46" t="s">
        <v>2452</v>
      </c>
      <c r="C445" s="47"/>
      <c r="D445" s="38">
        <v>4061.0</v>
      </c>
      <c r="E445" s="38">
        <v>1104.0</v>
      </c>
      <c r="F445" s="38">
        <v>1551.0</v>
      </c>
      <c r="G445" s="38">
        <v>164.0</v>
      </c>
      <c r="H445" s="38">
        <v>562.0</v>
      </c>
      <c r="I445" s="48">
        <f t="shared" si="35"/>
        <v>6716</v>
      </c>
      <c r="J445" s="48">
        <f t="shared" si="36"/>
        <v>7442</v>
      </c>
      <c r="K445" s="49">
        <f t="shared" si="37"/>
        <v>0.604675402</v>
      </c>
      <c r="L445" s="49">
        <f t="shared" si="38"/>
        <v>0.1643835616</v>
      </c>
      <c r="M445" s="49">
        <f t="shared" si="39"/>
        <v>0.2309410363</v>
      </c>
      <c r="N445" s="32" t="str">
        <f t="shared" si="40"/>
        <v>Jânio</v>
      </c>
      <c r="O445" s="50" t="s">
        <v>77</v>
      </c>
      <c r="P445" s="38">
        <v>1895.0</v>
      </c>
      <c r="Q445" s="38">
        <v>2964.0</v>
      </c>
      <c r="R445" s="38">
        <v>1275.0</v>
      </c>
      <c r="S445" s="38">
        <v>746.0</v>
      </c>
      <c r="T445" s="38">
        <v>562.0</v>
      </c>
      <c r="U445" s="48">
        <f t="shared" si="41"/>
        <v>6134</v>
      </c>
      <c r="V445" s="48">
        <f t="shared" si="42"/>
        <v>7442</v>
      </c>
      <c r="W445" s="49">
        <f t="shared" si="43"/>
        <v>0.3089338115</v>
      </c>
      <c r="X445" s="49">
        <f t="shared" si="44"/>
        <v>0.4832083469</v>
      </c>
      <c r="Y445" s="49">
        <f t="shared" si="45"/>
        <v>0.2078578415</v>
      </c>
      <c r="Z445" s="32" t="str">
        <f t="shared" si="46"/>
        <v>Milton</v>
      </c>
      <c r="AA445" s="50" t="s">
        <v>77</v>
      </c>
      <c r="AB445" s="38">
        <v>8604.0</v>
      </c>
      <c r="AC445" s="48">
        <f t="shared" si="47"/>
        <v>1162</v>
      </c>
      <c r="AD445" s="51">
        <f t="shared" si="48"/>
        <v>0.8649465365</v>
      </c>
    </row>
    <row r="446">
      <c r="A446" s="23"/>
      <c r="B446" s="46" t="s">
        <v>2453</v>
      </c>
      <c r="C446" s="47"/>
      <c r="D446" s="38">
        <v>483.0</v>
      </c>
      <c r="E446" s="38">
        <v>132.0</v>
      </c>
      <c r="F446" s="38">
        <v>479.0</v>
      </c>
      <c r="G446" s="38">
        <v>28.0</v>
      </c>
      <c r="H446" s="38">
        <v>99.0</v>
      </c>
      <c r="I446" s="48">
        <f t="shared" si="35"/>
        <v>1094</v>
      </c>
      <c r="J446" s="48">
        <f t="shared" si="36"/>
        <v>1221</v>
      </c>
      <c r="K446" s="49">
        <f t="shared" si="37"/>
        <v>0.4414990859</v>
      </c>
      <c r="L446" s="49">
        <f t="shared" si="38"/>
        <v>0.1206581353</v>
      </c>
      <c r="M446" s="49">
        <f t="shared" si="39"/>
        <v>0.4378427788</v>
      </c>
      <c r="N446" s="32" t="str">
        <f t="shared" si="40"/>
        <v>Jânio</v>
      </c>
      <c r="O446" s="50" t="s">
        <v>77</v>
      </c>
      <c r="P446" s="38">
        <v>274.0</v>
      </c>
      <c r="Q446" s="38">
        <v>380.0</v>
      </c>
      <c r="R446" s="38">
        <v>214.0</v>
      </c>
      <c r="S446" s="38">
        <v>254.0</v>
      </c>
      <c r="T446" s="38">
        <v>99.0</v>
      </c>
      <c r="U446" s="48">
        <f t="shared" si="41"/>
        <v>868</v>
      </c>
      <c r="V446" s="48">
        <f t="shared" si="42"/>
        <v>1221</v>
      </c>
      <c r="W446" s="49">
        <f t="shared" si="43"/>
        <v>0.3156682028</v>
      </c>
      <c r="X446" s="49">
        <f t="shared" si="44"/>
        <v>0.4377880184</v>
      </c>
      <c r="Y446" s="49">
        <f t="shared" si="45"/>
        <v>0.2465437788</v>
      </c>
      <c r="Z446" s="32" t="str">
        <f t="shared" si="46"/>
        <v>Milton</v>
      </c>
      <c r="AA446" s="50" t="s">
        <v>77</v>
      </c>
      <c r="AB446" s="38">
        <v>1538.0</v>
      </c>
      <c r="AC446" s="48">
        <f t="shared" si="47"/>
        <v>317</v>
      </c>
      <c r="AD446" s="51">
        <f t="shared" si="48"/>
        <v>0.7938881664</v>
      </c>
    </row>
    <row r="447">
      <c r="A447" s="23"/>
      <c r="B447" s="46" t="s">
        <v>2454</v>
      </c>
      <c r="C447" s="47"/>
      <c r="D447" s="38">
        <v>844.0</v>
      </c>
      <c r="E447" s="38">
        <v>156.0</v>
      </c>
      <c r="F447" s="38">
        <v>803.0</v>
      </c>
      <c r="G447" s="38">
        <v>32.0</v>
      </c>
      <c r="H447" s="38">
        <v>188.0</v>
      </c>
      <c r="I447" s="48">
        <f t="shared" si="35"/>
        <v>1803</v>
      </c>
      <c r="J447" s="48">
        <f t="shared" si="36"/>
        <v>2023</v>
      </c>
      <c r="K447" s="49">
        <f t="shared" si="37"/>
        <v>0.4681087077</v>
      </c>
      <c r="L447" s="49">
        <f t="shared" si="38"/>
        <v>0.08652246256</v>
      </c>
      <c r="M447" s="49">
        <f t="shared" si="39"/>
        <v>0.4453688297</v>
      </c>
      <c r="N447" s="32" t="str">
        <f t="shared" si="40"/>
        <v>Jânio</v>
      </c>
      <c r="O447" s="50" t="s">
        <v>77</v>
      </c>
      <c r="P447" s="38">
        <v>604.0</v>
      </c>
      <c r="Q447" s="38">
        <v>621.0</v>
      </c>
      <c r="R447" s="38">
        <v>306.0</v>
      </c>
      <c r="S447" s="38">
        <v>304.0</v>
      </c>
      <c r="T447" s="38">
        <v>188.0</v>
      </c>
      <c r="U447" s="48">
        <f t="shared" si="41"/>
        <v>1531</v>
      </c>
      <c r="V447" s="48">
        <f t="shared" si="42"/>
        <v>2023</v>
      </c>
      <c r="W447" s="49">
        <f t="shared" si="43"/>
        <v>0.3945133899</v>
      </c>
      <c r="X447" s="49">
        <f t="shared" si="44"/>
        <v>0.4056172436</v>
      </c>
      <c r="Y447" s="49">
        <f t="shared" si="45"/>
        <v>0.1998693664</v>
      </c>
      <c r="Z447" s="32" t="str">
        <f t="shared" si="46"/>
        <v>Milton</v>
      </c>
      <c r="AA447" s="50" t="s">
        <v>77</v>
      </c>
      <c r="AB447" s="38">
        <v>2260.0</v>
      </c>
      <c r="AC447" s="48">
        <f t="shared" si="47"/>
        <v>237</v>
      </c>
      <c r="AD447" s="51">
        <f t="shared" si="48"/>
        <v>0.8951327434</v>
      </c>
    </row>
    <row r="448">
      <c r="A448" s="24"/>
      <c r="B448" s="46" t="s">
        <v>2455</v>
      </c>
      <c r="C448" s="47"/>
      <c r="D448" s="38">
        <v>475.0</v>
      </c>
      <c r="E448" s="38">
        <v>76.0</v>
      </c>
      <c r="F448" s="38">
        <v>371.0</v>
      </c>
      <c r="G448" s="38">
        <v>18.0</v>
      </c>
      <c r="H448" s="38">
        <v>61.0</v>
      </c>
      <c r="I448" s="48">
        <f t="shared" si="35"/>
        <v>922</v>
      </c>
      <c r="J448" s="48">
        <f t="shared" si="36"/>
        <v>1001</v>
      </c>
      <c r="K448" s="49">
        <f t="shared" si="37"/>
        <v>0.5151843818</v>
      </c>
      <c r="L448" s="49">
        <f t="shared" si="38"/>
        <v>0.08242950108</v>
      </c>
      <c r="M448" s="49">
        <f t="shared" si="39"/>
        <v>0.4023861171</v>
      </c>
      <c r="N448" s="32" t="str">
        <f t="shared" si="40"/>
        <v>Jânio</v>
      </c>
      <c r="O448" s="50" t="s">
        <v>77</v>
      </c>
      <c r="P448" s="38">
        <v>319.0</v>
      </c>
      <c r="Q448" s="38">
        <v>385.0</v>
      </c>
      <c r="R448" s="38">
        <v>128.0</v>
      </c>
      <c r="S448" s="38">
        <v>108.0</v>
      </c>
      <c r="T448" s="38">
        <v>61.0</v>
      </c>
      <c r="U448" s="48">
        <f t="shared" si="41"/>
        <v>832</v>
      </c>
      <c r="V448" s="48">
        <f t="shared" si="42"/>
        <v>1001</v>
      </c>
      <c r="W448" s="49">
        <f t="shared" si="43"/>
        <v>0.3834134615</v>
      </c>
      <c r="X448" s="49">
        <f t="shared" si="44"/>
        <v>0.4627403846</v>
      </c>
      <c r="Y448" s="49">
        <f t="shared" si="45"/>
        <v>0.1538461538</v>
      </c>
      <c r="Z448" s="32" t="str">
        <f t="shared" si="46"/>
        <v>Milton</v>
      </c>
      <c r="AA448" s="50" t="s">
        <v>77</v>
      </c>
      <c r="AB448" s="38">
        <v>1141.0</v>
      </c>
      <c r="AC448" s="48">
        <f t="shared" si="47"/>
        <v>140</v>
      </c>
      <c r="AD448" s="51">
        <f t="shared" si="48"/>
        <v>0.8773006135</v>
      </c>
    </row>
    <row r="449">
      <c r="A449" s="110" t="s">
        <v>2456</v>
      </c>
      <c r="B449" s="46" t="s">
        <v>2457</v>
      </c>
      <c r="C449" s="47"/>
      <c r="D449" s="38">
        <v>1008.0</v>
      </c>
      <c r="E449" s="38">
        <v>82.0</v>
      </c>
      <c r="F449" s="38">
        <v>291.0</v>
      </c>
      <c r="G449" s="38">
        <v>68.0</v>
      </c>
      <c r="H449" s="38">
        <v>67.0</v>
      </c>
      <c r="I449" s="48">
        <f t="shared" si="35"/>
        <v>1381</v>
      </c>
      <c r="J449" s="48">
        <f t="shared" si="36"/>
        <v>1516</v>
      </c>
      <c r="K449" s="49">
        <f t="shared" si="37"/>
        <v>0.7299058653</v>
      </c>
      <c r="L449" s="49">
        <f t="shared" si="38"/>
        <v>0.05937726285</v>
      </c>
      <c r="M449" s="49">
        <f t="shared" si="39"/>
        <v>0.2107168718</v>
      </c>
      <c r="N449" s="32" t="str">
        <f t="shared" si="40"/>
        <v>Jânio</v>
      </c>
      <c r="O449" s="50" t="s">
        <v>77</v>
      </c>
      <c r="P449" s="38">
        <v>293.0</v>
      </c>
      <c r="Q449" s="38">
        <v>575.0</v>
      </c>
      <c r="R449" s="38">
        <v>132.0</v>
      </c>
      <c r="S449" s="38">
        <v>494.0</v>
      </c>
      <c r="T449" s="38">
        <v>22.0</v>
      </c>
      <c r="U449" s="48">
        <f t="shared" si="41"/>
        <v>1000</v>
      </c>
      <c r="V449" s="48">
        <f t="shared" si="42"/>
        <v>1516</v>
      </c>
      <c r="W449" s="49">
        <f t="shared" si="43"/>
        <v>0.293</v>
      </c>
      <c r="X449" s="49">
        <f t="shared" si="44"/>
        <v>0.575</v>
      </c>
      <c r="Y449" s="49">
        <f t="shared" si="45"/>
        <v>0.132</v>
      </c>
      <c r="Z449" s="32" t="str">
        <f t="shared" si="46"/>
        <v>Milton</v>
      </c>
      <c r="AA449" s="50" t="s">
        <v>77</v>
      </c>
      <c r="AB449" s="38">
        <v>1864.0</v>
      </c>
      <c r="AC449" s="48">
        <f t="shared" si="47"/>
        <v>348</v>
      </c>
      <c r="AD449" s="51">
        <f t="shared" si="48"/>
        <v>0.813304721</v>
      </c>
    </row>
    <row r="450">
      <c r="A450" s="61" t="s">
        <v>2458</v>
      </c>
      <c r="B450" s="65" t="s">
        <v>2459</v>
      </c>
      <c r="C450" s="47"/>
      <c r="D450" s="38">
        <v>3225.0</v>
      </c>
      <c r="E450" s="38">
        <v>969.0</v>
      </c>
      <c r="F450" s="38">
        <v>1410.0</v>
      </c>
      <c r="G450" s="38">
        <v>106.0</v>
      </c>
      <c r="H450" s="38">
        <v>131.0</v>
      </c>
      <c r="I450" s="48">
        <f t="shared" si="35"/>
        <v>5604</v>
      </c>
      <c r="J450" s="48">
        <f t="shared" si="36"/>
        <v>5841</v>
      </c>
      <c r="K450" s="49">
        <f t="shared" si="37"/>
        <v>0.5754817987</v>
      </c>
      <c r="L450" s="49">
        <f t="shared" si="38"/>
        <v>0.1729122056</v>
      </c>
      <c r="M450" s="49">
        <f t="shared" si="39"/>
        <v>0.2516059957</v>
      </c>
      <c r="N450" s="32" t="str">
        <f t="shared" si="40"/>
        <v>Jânio</v>
      </c>
      <c r="O450" s="50" t="s">
        <v>77</v>
      </c>
      <c r="P450" s="38">
        <v>1879.0</v>
      </c>
      <c r="Q450" s="38">
        <v>2881.0</v>
      </c>
      <c r="R450" s="38">
        <v>498.0</v>
      </c>
      <c r="S450" s="38">
        <v>495.0</v>
      </c>
      <c r="T450" s="38">
        <v>88.0</v>
      </c>
      <c r="U450" s="48">
        <f t="shared" si="41"/>
        <v>5258</v>
      </c>
      <c r="V450" s="48">
        <f t="shared" si="42"/>
        <v>5841</v>
      </c>
      <c r="W450" s="49">
        <f t="shared" si="43"/>
        <v>0.357360213</v>
      </c>
      <c r="X450" s="49">
        <f t="shared" si="44"/>
        <v>0.5479269684</v>
      </c>
      <c r="Y450" s="49">
        <f t="shared" si="45"/>
        <v>0.09471281856</v>
      </c>
      <c r="Z450" s="32" t="str">
        <f t="shared" si="46"/>
        <v>Milton</v>
      </c>
      <c r="AA450" s="50" t="s">
        <v>77</v>
      </c>
      <c r="AB450" s="38">
        <v>7425.0</v>
      </c>
      <c r="AC450" s="48">
        <f t="shared" si="47"/>
        <v>1584</v>
      </c>
      <c r="AD450" s="51">
        <f t="shared" si="48"/>
        <v>0.7866666667</v>
      </c>
    </row>
    <row r="451">
      <c r="A451" s="23"/>
      <c r="B451" s="65" t="s">
        <v>2460</v>
      </c>
      <c r="C451" s="47"/>
      <c r="D451" s="38">
        <v>461.0</v>
      </c>
      <c r="E451" s="38">
        <v>67.0</v>
      </c>
      <c r="F451" s="38">
        <v>135.0</v>
      </c>
      <c r="G451" s="38">
        <v>14.0</v>
      </c>
      <c r="H451" s="38">
        <v>38.0</v>
      </c>
      <c r="I451" s="48">
        <f t="shared" si="35"/>
        <v>663</v>
      </c>
      <c r="J451" s="48">
        <f t="shared" si="36"/>
        <v>715</v>
      </c>
      <c r="K451" s="49">
        <f t="shared" si="37"/>
        <v>0.6953242836</v>
      </c>
      <c r="L451" s="49">
        <f t="shared" si="38"/>
        <v>0.1010558069</v>
      </c>
      <c r="M451" s="49">
        <f t="shared" si="39"/>
        <v>0.2036199095</v>
      </c>
      <c r="N451" s="32" t="str">
        <f t="shared" si="40"/>
        <v>Jânio</v>
      </c>
      <c r="O451" s="50" t="s">
        <v>77</v>
      </c>
      <c r="P451" s="38">
        <v>184.0</v>
      </c>
      <c r="Q451" s="55">
        <v>293.0</v>
      </c>
      <c r="R451" s="38">
        <v>130.0</v>
      </c>
      <c r="S451" s="38">
        <v>82.0</v>
      </c>
      <c r="T451" s="38">
        <v>26.0</v>
      </c>
      <c r="U451" s="48">
        <f t="shared" si="41"/>
        <v>607</v>
      </c>
      <c r="V451" s="114">
        <f t="shared" si="42"/>
        <v>715</v>
      </c>
      <c r="W451" s="49">
        <f t="shared" si="43"/>
        <v>0.3031301483</v>
      </c>
      <c r="X451" s="49">
        <f t="shared" si="44"/>
        <v>0.4827018122</v>
      </c>
      <c r="Y451" s="49">
        <f t="shared" si="45"/>
        <v>0.2141680395</v>
      </c>
      <c r="Z451" s="32" t="str">
        <f t="shared" si="46"/>
        <v>Milton</v>
      </c>
      <c r="AA451" s="50" t="s">
        <v>77</v>
      </c>
      <c r="AB451" s="38">
        <v>910.0</v>
      </c>
      <c r="AC451" s="48">
        <f t="shared" si="47"/>
        <v>195</v>
      </c>
      <c r="AD451" s="51">
        <f t="shared" si="48"/>
        <v>0.7857142857</v>
      </c>
    </row>
    <row r="452">
      <c r="A452" s="23"/>
      <c r="B452" s="65" t="s">
        <v>2461</v>
      </c>
      <c r="C452" s="47"/>
      <c r="D452" s="38">
        <v>474.0</v>
      </c>
      <c r="E452" s="38">
        <v>74.0</v>
      </c>
      <c r="F452" s="38">
        <v>121.0</v>
      </c>
      <c r="G452" s="38">
        <v>15.0</v>
      </c>
      <c r="H452" s="38">
        <v>39.0</v>
      </c>
      <c r="I452" s="48">
        <f t="shared" si="35"/>
        <v>669</v>
      </c>
      <c r="J452" s="48">
        <f t="shared" si="36"/>
        <v>723</v>
      </c>
      <c r="K452" s="49">
        <f t="shared" si="37"/>
        <v>0.7085201794</v>
      </c>
      <c r="L452" s="49">
        <f t="shared" si="38"/>
        <v>0.110612855</v>
      </c>
      <c r="M452" s="49">
        <f t="shared" si="39"/>
        <v>0.1808669656</v>
      </c>
      <c r="N452" s="32" t="str">
        <f t="shared" si="40"/>
        <v>Jânio</v>
      </c>
      <c r="O452" s="50" t="s">
        <v>77</v>
      </c>
      <c r="P452" s="38">
        <v>166.0</v>
      </c>
      <c r="Q452" s="38">
        <v>358.0</v>
      </c>
      <c r="R452" s="38">
        <v>64.0</v>
      </c>
      <c r="S452" s="38">
        <v>112.0</v>
      </c>
      <c r="T452" s="38">
        <v>23.0</v>
      </c>
      <c r="U452" s="48">
        <f t="shared" si="41"/>
        <v>588</v>
      </c>
      <c r="V452" s="48">
        <f t="shared" si="42"/>
        <v>723</v>
      </c>
      <c r="W452" s="49">
        <f t="shared" si="43"/>
        <v>0.2823129252</v>
      </c>
      <c r="X452" s="49">
        <f t="shared" si="44"/>
        <v>0.6088435374</v>
      </c>
      <c r="Y452" s="49">
        <f t="shared" si="45"/>
        <v>0.1088435374</v>
      </c>
      <c r="Z452" s="32" t="str">
        <f t="shared" si="46"/>
        <v>Milton</v>
      </c>
      <c r="AA452" s="50" t="s">
        <v>77</v>
      </c>
      <c r="AB452" s="38">
        <v>984.0</v>
      </c>
      <c r="AC452" s="48">
        <f t="shared" si="47"/>
        <v>261</v>
      </c>
      <c r="AD452" s="51">
        <f t="shared" si="48"/>
        <v>0.7347560976</v>
      </c>
    </row>
    <row r="453">
      <c r="A453" s="23"/>
      <c r="B453" s="46" t="s">
        <v>2462</v>
      </c>
      <c r="C453" s="47"/>
      <c r="D453" s="38">
        <v>173.0</v>
      </c>
      <c r="E453" s="38">
        <v>40.0</v>
      </c>
      <c r="F453" s="38">
        <v>57.0</v>
      </c>
      <c r="G453" s="38">
        <v>5.0</v>
      </c>
      <c r="H453" s="38">
        <v>15.0</v>
      </c>
      <c r="I453" s="48">
        <f t="shared" si="35"/>
        <v>270</v>
      </c>
      <c r="J453" s="48">
        <f t="shared" si="36"/>
        <v>290</v>
      </c>
      <c r="K453" s="49">
        <f t="shared" si="37"/>
        <v>0.6407407407</v>
      </c>
      <c r="L453" s="49">
        <f t="shared" si="38"/>
        <v>0.1481481481</v>
      </c>
      <c r="M453" s="49">
        <f t="shared" si="39"/>
        <v>0.2111111111</v>
      </c>
      <c r="N453" s="32" t="str">
        <f t="shared" si="40"/>
        <v>Jânio</v>
      </c>
      <c r="O453" s="50" t="s">
        <v>77</v>
      </c>
      <c r="P453" s="38">
        <v>59.0</v>
      </c>
      <c r="Q453" s="38">
        <v>119.0</v>
      </c>
      <c r="R453" s="38">
        <v>48.0</v>
      </c>
      <c r="S453" s="38">
        <v>53.0</v>
      </c>
      <c r="T453" s="38">
        <v>11.0</v>
      </c>
      <c r="U453" s="48">
        <f t="shared" si="41"/>
        <v>226</v>
      </c>
      <c r="V453" s="48">
        <f t="shared" si="42"/>
        <v>290</v>
      </c>
      <c r="W453" s="49">
        <f t="shared" si="43"/>
        <v>0.2610619469</v>
      </c>
      <c r="X453" s="49">
        <f t="shared" si="44"/>
        <v>0.5265486726</v>
      </c>
      <c r="Y453" s="49">
        <f t="shared" si="45"/>
        <v>0.2123893805</v>
      </c>
      <c r="Z453" s="32" t="str">
        <f t="shared" si="46"/>
        <v>Milton</v>
      </c>
      <c r="AA453" s="50" t="s">
        <v>77</v>
      </c>
      <c r="AB453" s="38">
        <v>436.0</v>
      </c>
      <c r="AC453" s="48">
        <f t="shared" si="47"/>
        <v>146</v>
      </c>
      <c r="AD453" s="51">
        <f t="shared" si="48"/>
        <v>0.6651376147</v>
      </c>
    </row>
    <row r="454">
      <c r="A454" s="24"/>
      <c r="B454" s="46" t="s">
        <v>2463</v>
      </c>
      <c r="C454" s="47"/>
      <c r="D454" s="38">
        <v>357.0</v>
      </c>
      <c r="E454" s="38">
        <v>71.0</v>
      </c>
      <c r="F454" s="38">
        <v>115.0</v>
      </c>
      <c r="G454" s="38">
        <v>9.0</v>
      </c>
      <c r="H454" s="38">
        <v>29.0</v>
      </c>
      <c r="I454" s="48">
        <f t="shared" si="35"/>
        <v>543</v>
      </c>
      <c r="J454" s="48">
        <f t="shared" si="36"/>
        <v>581</v>
      </c>
      <c r="K454" s="49">
        <f t="shared" si="37"/>
        <v>0.6574585635</v>
      </c>
      <c r="L454" s="49">
        <f t="shared" si="38"/>
        <v>0.1307550645</v>
      </c>
      <c r="M454" s="49">
        <f t="shared" si="39"/>
        <v>0.211786372</v>
      </c>
      <c r="N454" s="32" t="str">
        <f t="shared" si="40"/>
        <v>Jânio</v>
      </c>
      <c r="O454" s="50" t="s">
        <v>77</v>
      </c>
      <c r="P454" s="38">
        <v>146.0</v>
      </c>
      <c r="Q454" s="38">
        <v>229.0</v>
      </c>
      <c r="R454" s="38">
        <v>114.0</v>
      </c>
      <c r="S454" s="38">
        <v>86.0</v>
      </c>
      <c r="T454" s="38">
        <v>6.0</v>
      </c>
      <c r="U454" s="48">
        <f t="shared" si="41"/>
        <v>489</v>
      </c>
      <c r="V454" s="48">
        <f t="shared" si="42"/>
        <v>581</v>
      </c>
      <c r="W454" s="49">
        <f t="shared" si="43"/>
        <v>0.2985685072</v>
      </c>
      <c r="X454" s="49">
        <f t="shared" si="44"/>
        <v>0.4683026585</v>
      </c>
      <c r="Y454" s="49">
        <f t="shared" si="45"/>
        <v>0.2331288344</v>
      </c>
      <c r="Z454" s="32" t="str">
        <f t="shared" si="46"/>
        <v>Milton</v>
      </c>
      <c r="AA454" s="50" t="s">
        <v>77</v>
      </c>
      <c r="AB454" s="38">
        <v>825.0</v>
      </c>
      <c r="AC454" s="48">
        <f t="shared" si="47"/>
        <v>244</v>
      </c>
      <c r="AD454" s="51">
        <f t="shared" si="48"/>
        <v>0.7042424242</v>
      </c>
    </row>
    <row r="455">
      <c r="A455" s="61" t="s">
        <v>2464</v>
      </c>
      <c r="B455" s="46" t="s">
        <v>2465</v>
      </c>
      <c r="C455" s="47"/>
      <c r="D455" s="38">
        <v>2860.0</v>
      </c>
      <c r="E455" s="38">
        <v>1088.0</v>
      </c>
      <c r="F455" s="38">
        <v>1222.0</v>
      </c>
      <c r="G455" s="38">
        <v>169.0</v>
      </c>
      <c r="H455" s="38">
        <v>222.0</v>
      </c>
      <c r="I455" s="48">
        <f t="shared" si="35"/>
        <v>5170</v>
      </c>
      <c r="J455" s="48">
        <f t="shared" si="36"/>
        <v>5561</v>
      </c>
      <c r="K455" s="49">
        <f t="shared" si="37"/>
        <v>0.5531914894</v>
      </c>
      <c r="L455" s="49">
        <f t="shared" si="38"/>
        <v>0.2104448743</v>
      </c>
      <c r="M455" s="49">
        <f t="shared" si="39"/>
        <v>0.2363636364</v>
      </c>
      <c r="N455" s="32" t="str">
        <f t="shared" si="40"/>
        <v>Jânio</v>
      </c>
      <c r="O455" s="50" t="s">
        <v>77</v>
      </c>
      <c r="P455" s="38">
        <v>1918.0</v>
      </c>
      <c r="Q455" s="38">
        <v>2408.0</v>
      </c>
      <c r="R455" s="38">
        <v>439.0</v>
      </c>
      <c r="S455" s="38">
        <v>662.0</v>
      </c>
      <c r="T455" s="38">
        <v>134.0</v>
      </c>
      <c r="U455" s="48">
        <f t="shared" si="41"/>
        <v>4765</v>
      </c>
      <c r="V455" s="48">
        <f t="shared" si="42"/>
        <v>5561</v>
      </c>
      <c r="W455" s="49">
        <f t="shared" si="43"/>
        <v>0.4025183631</v>
      </c>
      <c r="X455" s="49">
        <f t="shared" si="44"/>
        <v>0.5053515215</v>
      </c>
      <c r="Y455" s="49">
        <f t="shared" si="45"/>
        <v>0.09213011542</v>
      </c>
      <c r="Z455" s="32" t="str">
        <f t="shared" si="46"/>
        <v>Milton</v>
      </c>
      <c r="AA455" s="50" t="s">
        <v>77</v>
      </c>
      <c r="AB455" s="38">
        <v>6655.0</v>
      </c>
      <c r="AC455" s="48">
        <f t="shared" si="47"/>
        <v>1094</v>
      </c>
      <c r="AD455" s="51">
        <f t="shared" si="48"/>
        <v>0.8356123216</v>
      </c>
    </row>
    <row r="456">
      <c r="A456" s="23"/>
      <c r="B456" s="46" t="s">
        <v>2466</v>
      </c>
      <c r="C456" s="47"/>
      <c r="D456" s="38">
        <v>1062.0</v>
      </c>
      <c r="E456" s="38">
        <v>234.0</v>
      </c>
      <c r="F456" s="38">
        <v>782.0</v>
      </c>
      <c r="G456" s="38">
        <v>41.0</v>
      </c>
      <c r="H456" s="38">
        <v>99.0</v>
      </c>
      <c r="I456" s="48">
        <f t="shared" si="35"/>
        <v>2078</v>
      </c>
      <c r="J456" s="48">
        <f t="shared" si="36"/>
        <v>2218</v>
      </c>
      <c r="K456" s="49">
        <f t="shared" si="37"/>
        <v>0.5110683349</v>
      </c>
      <c r="L456" s="49">
        <f t="shared" si="38"/>
        <v>0.1126082772</v>
      </c>
      <c r="M456" s="49">
        <f t="shared" si="39"/>
        <v>0.3763233879</v>
      </c>
      <c r="N456" s="32" t="str">
        <f t="shared" si="40"/>
        <v>Jânio</v>
      </c>
      <c r="O456" s="50" t="s">
        <v>77</v>
      </c>
      <c r="P456" s="38">
        <v>643.0</v>
      </c>
      <c r="Q456" s="38">
        <v>591.0</v>
      </c>
      <c r="R456" s="38">
        <v>612.0</v>
      </c>
      <c r="S456" s="38">
        <v>326.0</v>
      </c>
      <c r="T456" s="38">
        <v>46.0</v>
      </c>
      <c r="U456" s="48">
        <f t="shared" si="41"/>
        <v>1846</v>
      </c>
      <c r="V456" s="48">
        <f t="shared" si="42"/>
        <v>2218</v>
      </c>
      <c r="W456" s="49">
        <f t="shared" si="43"/>
        <v>0.3483206934</v>
      </c>
      <c r="X456" s="49">
        <f t="shared" si="44"/>
        <v>0.3201516793</v>
      </c>
      <c r="Y456" s="49">
        <f t="shared" si="45"/>
        <v>0.3315276273</v>
      </c>
      <c r="Z456" s="32" t="str">
        <f t="shared" si="46"/>
        <v>Jango</v>
      </c>
      <c r="AA456" s="50" t="s">
        <v>77</v>
      </c>
      <c r="AB456" s="38">
        <v>2839.0</v>
      </c>
      <c r="AC456" s="48">
        <f t="shared" si="47"/>
        <v>621</v>
      </c>
      <c r="AD456" s="51">
        <f t="shared" si="48"/>
        <v>0.7812610074</v>
      </c>
    </row>
    <row r="457">
      <c r="A457" s="23"/>
      <c r="B457" s="46" t="s">
        <v>2467</v>
      </c>
      <c r="C457" s="47"/>
      <c r="D457" s="38">
        <v>304.0</v>
      </c>
      <c r="E457" s="38">
        <v>151.0</v>
      </c>
      <c r="F457" s="38">
        <v>144.0</v>
      </c>
      <c r="G457" s="38">
        <v>32.0</v>
      </c>
      <c r="H457" s="38">
        <v>27.0</v>
      </c>
      <c r="I457" s="48">
        <f t="shared" si="35"/>
        <v>599</v>
      </c>
      <c r="J457" s="48">
        <f t="shared" si="36"/>
        <v>658</v>
      </c>
      <c r="K457" s="49">
        <f t="shared" si="37"/>
        <v>0.5075125209</v>
      </c>
      <c r="L457" s="49">
        <f t="shared" si="38"/>
        <v>0.2520868114</v>
      </c>
      <c r="M457" s="49">
        <f t="shared" si="39"/>
        <v>0.2404006678</v>
      </c>
      <c r="N457" s="32" t="str">
        <f t="shared" si="40"/>
        <v>Jânio</v>
      </c>
      <c r="O457" s="50" t="s">
        <v>77</v>
      </c>
      <c r="P457" s="38">
        <v>273.0</v>
      </c>
      <c r="Q457" s="38">
        <v>219.0</v>
      </c>
      <c r="R457" s="38">
        <v>56.0</v>
      </c>
      <c r="S457" s="38">
        <v>98.0</v>
      </c>
      <c r="T457" s="38">
        <v>12.0</v>
      </c>
      <c r="U457" s="48">
        <f t="shared" si="41"/>
        <v>548</v>
      </c>
      <c r="V457" s="48">
        <f t="shared" si="42"/>
        <v>658</v>
      </c>
      <c r="W457" s="49">
        <f t="shared" si="43"/>
        <v>0.4981751825</v>
      </c>
      <c r="X457" s="49">
        <f t="shared" si="44"/>
        <v>0.3996350365</v>
      </c>
      <c r="Y457" s="49">
        <f t="shared" si="45"/>
        <v>0.102189781</v>
      </c>
      <c r="Z457" s="32" t="str">
        <f t="shared" si="46"/>
        <v>Jango</v>
      </c>
      <c r="AA457" s="50" t="s">
        <v>77</v>
      </c>
      <c r="AB457" s="38">
        <v>695.0</v>
      </c>
      <c r="AC457" s="48">
        <f t="shared" si="47"/>
        <v>37</v>
      </c>
      <c r="AD457" s="51">
        <f t="shared" si="48"/>
        <v>0.9467625899</v>
      </c>
    </row>
    <row r="458">
      <c r="A458" s="23"/>
      <c r="B458" s="46" t="s">
        <v>2468</v>
      </c>
      <c r="C458" s="47"/>
      <c r="D458" s="38">
        <v>754.0</v>
      </c>
      <c r="E458" s="38">
        <v>253.0</v>
      </c>
      <c r="F458" s="38">
        <v>313.0</v>
      </c>
      <c r="G458" s="38">
        <v>87.0</v>
      </c>
      <c r="H458" s="38">
        <v>82.0</v>
      </c>
      <c r="I458" s="48">
        <f t="shared" si="35"/>
        <v>1320</v>
      </c>
      <c r="J458" s="48">
        <f t="shared" si="36"/>
        <v>1489</v>
      </c>
      <c r="K458" s="49">
        <f t="shared" si="37"/>
        <v>0.5712121212</v>
      </c>
      <c r="L458" s="49">
        <f t="shared" si="38"/>
        <v>0.1916666667</v>
      </c>
      <c r="M458" s="49">
        <f t="shared" si="39"/>
        <v>0.2371212121</v>
      </c>
      <c r="N458" s="32" t="str">
        <f t="shared" si="40"/>
        <v>Jânio</v>
      </c>
      <c r="O458" s="50" t="s">
        <v>77</v>
      </c>
      <c r="P458" s="38">
        <v>444.0</v>
      </c>
      <c r="Q458" s="38">
        <v>531.0</v>
      </c>
      <c r="R458" s="38">
        <v>123.0</v>
      </c>
      <c r="S458" s="38">
        <v>342.0</v>
      </c>
      <c r="T458" s="38">
        <v>49.0</v>
      </c>
      <c r="U458" s="48">
        <f t="shared" si="41"/>
        <v>1098</v>
      </c>
      <c r="V458" s="48">
        <f t="shared" si="42"/>
        <v>1489</v>
      </c>
      <c r="W458" s="49">
        <f t="shared" si="43"/>
        <v>0.4043715847</v>
      </c>
      <c r="X458" s="49">
        <f t="shared" si="44"/>
        <v>0.4836065574</v>
      </c>
      <c r="Y458" s="49">
        <f t="shared" si="45"/>
        <v>0.1120218579</v>
      </c>
      <c r="Z458" s="32" t="str">
        <f t="shared" si="46"/>
        <v>Milton</v>
      </c>
      <c r="AA458" s="50" t="s">
        <v>77</v>
      </c>
      <c r="AB458" s="38">
        <v>1907.0</v>
      </c>
      <c r="AC458" s="48">
        <f t="shared" si="47"/>
        <v>418</v>
      </c>
      <c r="AD458" s="51">
        <f t="shared" si="48"/>
        <v>0.7808075511</v>
      </c>
    </row>
    <row r="459">
      <c r="A459" s="23"/>
      <c r="B459" s="46" t="s">
        <v>2469</v>
      </c>
      <c r="C459" s="47"/>
      <c r="D459" s="38">
        <v>333.0</v>
      </c>
      <c r="E459" s="38">
        <v>38.0</v>
      </c>
      <c r="F459" s="38">
        <v>260.0</v>
      </c>
      <c r="G459" s="38">
        <v>18.0</v>
      </c>
      <c r="H459" s="38">
        <v>20.0</v>
      </c>
      <c r="I459" s="48">
        <f t="shared" si="35"/>
        <v>631</v>
      </c>
      <c r="J459" s="48">
        <f t="shared" si="36"/>
        <v>669</v>
      </c>
      <c r="K459" s="49">
        <f t="shared" si="37"/>
        <v>0.5277337559</v>
      </c>
      <c r="L459" s="49">
        <f t="shared" si="38"/>
        <v>0.06022187005</v>
      </c>
      <c r="M459" s="49">
        <f t="shared" si="39"/>
        <v>0.412044374</v>
      </c>
      <c r="N459" s="32" t="str">
        <f t="shared" si="40"/>
        <v>Jânio</v>
      </c>
      <c r="O459" s="50" t="s">
        <v>77</v>
      </c>
      <c r="P459" s="38">
        <v>236.0</v>
      </c>
      <c r="Q459" s="38">
        <v>264.0</v>
      </c>
      <c r="R459" s="38">
        <v>50.0</v>
      </c>
      <c r="S459" s="38">
        <v>110.0</v>
      </c>
      <c r="T459" s="38">
        <v>9.0</v>
      </c>
      <c r="U459" s="48">
        <f t="shared" si="41"/>
        <v>550</v>
      </c>
      <c r="V459" s="48">
        <f t="shared" si="42"/>
        <v>669</v>
      </c>
      <c r="W459" s="49">
        <f t="shared" si="43"/>
        <v>0.4290909091</v>
      </c>
      <c r="X459" s="49">
        <f t="shared" si="44"/>
        <v>0.48</v>
      </c>
      <c r="Y459" s="49">
        <f t="shared" si="45"/>
        <v>0.09090909091</v>
      </c>
      <c r="Z459" s="32" t="str">
        <f t="shared" si="46"/>
        <v>Milton</v>
      </c>
      <c r="AA459" s="50" t="s">
        <v>77</v>
      </c>
      <c r="AB459" s="38">
        <v>725.0</v>
      </c>
      <c r="AC459" s="48">
        <f t="shared" si="47"/>
        <v>56</v>
      </c>
      <c r="AD459" s="51">
        <f t="shared" si="48"/>
        <v>0.9227586207</v>
      </c>
    </row>
    <row r="460">
      <c r="A460" s="24"/>
      <c r="B460" s="46" t="s">
        <v>2470</v>
      </c>
      <c r="C460" s="47"/>
      <c r="D460" s="38">
        <v>359.0</v>
      </c>
      <c r="E460" s="38">
        <v>129.0</v>
      </c>
      <c r="F460" s="38">
        <v>335.0</v>
      </c>
      <c r="G460" s="38">
        <v>34.0</v>
      </c>
      <c r="H460" s="38">
        <v>57.0</v>
      </c>
      <c r="I460" s="48">
        <f t="shared" si="35"/>
        <v>823</v>
      </c>
      <c r="J460" s="48">
        <f t="shared" si="36"/>
        <v>914</v>
      </c>
      <c r="K460" s="49">
        <f t="shared" si="37"/>
        <v>0.4362089915</v>
      </c>
      <c r="L460" s="49">
        <f t="shared" si="38"/>
        <v>0.1567436209</v>
      </c>
      <c r="M460" s="49">
        <f t="shared" si="39"/>
        <v>0.4070473876</v>
      </c>
      <c r="N460" s="32" t="str">
        <f t="shared" si="40"/>
        <v>Jânio</v>
      </c>
      <c r="O460" s="50" t="s">
        <v>77</v>
      </c>
      <c r="P460" s="38">
        <v>329.0</v>
      </c>
      <c r="Q460" s="38">
        <v>260.0</v>
      </c>
      <c r="R460" s="38">
        <v>118.0</v>
      </c>
      <c r="S460" s="38">
        <v>175.0</v>
      </c>
      <c r="T460" s="38">
        <v>32.0</v>
      </c>
      <c r="U460" s="48">
        <f t="shared" si="41"/>
        <v>707</v>
      </c>
      <c r="V460" s="48">
        <f t="shared" si="42"/>
        <v>914</v>
      </c>
      <c r="W460" s="49">
        <f t="shared" si="43"/>
        <v>0.4653465347</v>
      </c>
      <c r="X460" s="49">
        <f t="shared" si="44"/>
        <v>0.3677510608</v>
      </c>
      <c r="Y460" s="49">
        <f t="shared" si="45"/>
        <v>0.1669024045</v>
      </c>
      <c r="Z460" s="32" t="str">
        <f t="shared" si="46"/>
        <v>Jango</v>
      </c>
      <c r="AA460" s="50" t="s">
        <v>77</v>
      </c>
      <c r="AB460" s="38">
        <v>1125.0</v>
      </c>
      <c r="AC460" s="48">
        <f t="shared" si="47"/>
        <v>211</v>
      </c>
      <c r="AD460" s="51">
        <f t="shared" si="48"/>
        <v>0.8124444444</v>
      </c>
    </row>
    <row r="461">
      <c r="A461" s="61" t="s">
        <v>2471</v>
      </c>
      <c r="B461" s="46" t="s">
        <v>2472</v>
      </c>
      <c r="C461" s="47"/>
      <c r="D461" s="38">
        <v>2083.0</v>
      </c>
      <c r="E461" s="38">
        <v>1174.0</v>
      </c>
      <c r="F461" s="38">
        <v>1085.0</v>
      </c>
      <c r="G461" s="38">
        <v>90.0</v>
      </c>
      <c r="H461" s="38">
        <v>125.0</v>
      </c>
      <c r="I461" s="48">
        <f t="shared" si="35"/>
        <v>4342</v>
      </c>
      <c r="J461" s="48">
        <f t="shared" si="36"/>
        <v>4557</v>
      </c>
      <c r="K461" s="49">
        <f t="shared" si="37"/>
        <v>0.479732842</v>
      </c>
      <c r="L461" s="49">
        <f t="shared" si="38"/>
        <v>0.2703823123</v>
      </c>
      <c r="M461" s="49">
        <f t="shared" si="39"/>
        <v>0.2498848457</v>
      </c>
      <c r="N461" s="32" t="str">
        <f t="shared" si="40"/>
        <v>Jânio</v>
      </c>
      <c r="O461" s="50" t="s">
        <v>77</v>
      </c>
      <c r="P461" s="38">
        <v>1641.0</v>
      </c>
      <c r="Q461" s="38">
        <v>2151.0</v>
      </c>
      <c r="R461" s="38">
        <v>307.0</v>
      </c>
      <c r="S461" s="38">
        <v>374.0</v>
      </c>
      <c r="T461" s="38">
        <v>84.0</v>
      </c>
      <c r="U461" s="48">
        <f t="shared" si="41"/>
        <v>4099</v>
      </c>
      <c r="V461" s="48">
        <f t="shared" si="42"/>
        <v>4557</v>
      </c>
      <c r="W461" s="49">
        <f t="shared" si="43"/>
        <v>0.4003415467</v>
      </c>
      <c r="X461" s="49">
        <f t="shared" si="44"/>
        <v>0.5247621371</v>
      </c>
      <c r="Y461" s="49">
        <f t="shared" si="45"/>
        <v>0.07489631617</v>
      </c>
      <c r="Z461" s="32" t="str">
        <f t="shared" si="46"/>
        <v>Milton</v>
      </c>
      <c r="AA461" s="50" t="s">
        <v>77</v>
      </c>
      <c r="AB461" s="38">
        <v>5474.0</v>
      </c>
      <c r="AC461" s="48">
        <f t="shared" si="47"/>
        <v>917</v>
      </c>
      <c r="AD461" s="51">
        <f t="shared" si="48"/>
        <v>0.8324808184</v>
      </c>
    </row>
    <row r="462">
      <c r="A462" s="24"/>
      <c r="B462" s="46" t="s">
        <v>2473</v>
      </c>
      <c r="C462" s="47"/>
      <c r="D462" s="38">
        <v>277.0</v>
      </c>
      <c r="E462" s="38">
        <v>155.0</v>
      </c>
      <c r="F462" s="38">
        <v>278.0</v>
      </c>
      <c r="G462" s="38">
        <v>26.0</v>
      </c>
      <c r="H462" s="38">
        <v>34.0</v>
      </c>
      <c r="I462" s="48">
        <f t="shared" si="35"/>
        <v>710</v>
      </c>
      <c r="J462" s="48">
        <f t="shared" si="36"/>
        <v>770</v>
      </c>
      <c r="K462" s="49">
        <f t="shared" si="37"/>
        <v>0.3901408451</v>
      </c>
      <c r="L462" s="49">
        <f t="shared" si="38"/>
        <v>0.2183098592</v>
      </c>
      <c r="M462" s="49">
        <f t="shared" si="39"/>
        <v>0.3915492958</v>
      </c>
      <c r="N462" s="32" t="str">
        <f t="shared" si="40"/>
        <v>Adhemar</v>
      </c>
      <c r="O462" s="50" t="s">
        <v>77</v>
      </c>
      <c r="P462" s="38">
        <v>299.0</v>
      </c>
      <c r="Q462" s="38">
        <v>241.0</v>
      </c>
      <c r="R462" s="38">
        <v>79.0</v>
      </c>
      <c r="S462" s="38">
        <v>125.0</v>
      </c>
      <c r="T462" s="38">
        <v>26.0</v>
      </c>
      <c r="U462" s="48">
        <f t="shared" si="41"/>
        <v>619</v>
      </c>
      <c r="V462" s="48">
        <f t="shared" si="42"/>
        <v>770</v>
      </c>
      <c r="W462" s="49">
        <f t="shared" si="43"/>
        <v>0.4830371567</v>
      </c>
      <c r="X462" s="49">
        <f t="shared" si="44"/>
        <v>0.3893376414</v>
      </c>
      <c r="Y462" s="49">
        <f t="shared" si="45"/>
        <v>0.1276252019</v>
      </c>
      <c r="Z462" s="32" t="str">
        <f t="shared" si="46"/>
        <v>Jango</v>
      </c>
      <c r="AA462" s="50" t="s">
        <v>77</v>
      </c>
      <c r="AB462" s="38">
        <v>979.0</v>
      </c>
      <c r="AC462" s="48">
        <f t="shared" si="47"/>
        <v>209</v>
      </c>
      <c r="AD462" s="51">
        <f t="shared" si="48"/>
        <v>0.7865168539</v>
      </c>
    </row>
    <row r="463">
      <c r="A463" s="61" t="s">
        <v>2474</v>
      </c>
      <c r="B463" s="46" t="s">
        <v>2475</v>
      </c>
      <c r="C463" s="47"/>
      <c r="D463" s="38">
        <v>1903.0</v>
      </c>
      <c r="E463" s="38">
        <v>365.0</v>
      </c>
      <c r="F463" s="38">
        <v>1384.0</v>
      </c>
      <c r="G463" s="38">
        <v>83.0</v>
      </c>
      <c r="H463" s="38">
        <v>156.0</v>
      </c>
      <c r="I463" s="48">
        <f t="shared" si="35"/>
        <v>3652</v>
      </c>
      <c r="J463" s="48">
        <f t="shared" si="36"/>
        <v>3891</v>
      </c>
      <c r="K463" s="49">
        <f t="shared" si="37"/>
        <v>0.5210843373</v>
      </c>
      <c r="L463" s="49">
        <f t="shared" si="38"/>
        <v>0.09994523549</v>
      </c>
      <c r="M463" s="49">
        <f t="shared" si="39"/>
        <v>0.3789704272</v>
      </c>
      <c r="N463" s="32" t="str">
        <f t="shared" si="40"/>
        <v>Jânio</v>
      </c>
      <c r="O463" s="50" t="s">
        <v>77</v>
      </c>
      <c r="P463" s="38">
        <v>1073.0</v>
      </c>
      <c r="Q463" s="38">
        <v>1503.0</v>
      </c>
      <c r="R463" s="38">
        <v>747.0</v>
      </c>
      <c r="S463" s="38">
        <v>445.0</v>
      </c>
      <c r="T463" s="38">
        <v>123.0</v>
      </c>
      <c r="U463" s="48">
        <f t="shared" si="41"/>
        <v>3323</v>
      </c>
      <c r="V463" s="48">
        <f t="shared" si="42"/>
        <v>3891</v>
      </c>
      <c r="W463" s="49">
        <f t="shared" si="43"/>
        <v>0.3229009931</v>
      </c>
      <c r="X463" s="49">
        <f t="shared" si="44"/>
        <v>0.4523021366</v>
      </c>
      <c r="Y463" s="49">
        <f t="shared" si="45"/>
        <v>0.2247968703</v>
      </c>
      <c r="Z463" s="32" t="str">
        <f t="shared" si="46"/>
        <v>Milton</v>
      </c>
      <c r="AA463" s="50" t="s">
        <v>77</v>
      </c>
      <c r="AB463" s="38">
        <v>4387.0</v>
      </c>
      <c r="AC463" s="48">
        <f t="shared" si="47"/>
        <v>496</v>
      </c>
      <c r="AD463" s="51">
        <f t="shared" si="48"/>
        <v>0.8869386825</v>
      </c>
    </row>
    <row r="464">
      <c r="A464" s="23"/>
      <c r="B464" s="46" t="s">
        <v>2476</v>
      </c>
      <c r="C464" s="47"/>
      <c r="D464" s="55">
        <v>619.0</v>
      </c>
      <c r="E464" s="38">
        <v>85.0</v>
      </c>
      <c r="F464" s="38">
        <v>438.0</v>
      </c>
      <c r="G464" s="38">
        <v>48.0</v>
      </c>
      <c r="H464" s="38">
        <v>75.0</v>
      </c>
      <c r="I464" s="48">
        <f t="shared" si="35"/>
        <v>1142</v>
      </c>
      <c r="J464" s="114">
        <f t="shared" si="36"/>
        <v>1265</v>
      </c>
      <c r="K464" s="49">
        <f t="shared" si="37"/>
        <v>0.5420315236</v>
      </c>
      <c r="L464" s="49">
        <f t="shared" si="38"/>
        <v>0.07443082312</v>
      </c>
      <c r="M464" s="49">
        <f t="shared" si="39"/>
        <v>0.3835376532</v>
      </c>
      <c r="N464" s="32" t="str">
        <f t="shared" si="40"/>
        <v>Jânio</v>
      </c>
      <c r="O464" s="50" t="s">
        <v>77</v>
      </c>
      <c r="P464" s="38">
        <v>371.0</v>
      </c>
      <c r="Q464" s="38">
        <v>375.0</v>
      </c>
      <c r="R464" s="38">
        <v>215.0</v>
      </c>
      <c r="S464" s="38">
        <v>267.0</v>
      </c>
      <c r="T464" s="38">
        <v>37.0</v>
      </c>
      <c r="U464" s="48">
        <f t="shared" si="41"/>
        <v>961</v>
      </c>
      <c r="V464" s="48">
        <f t="shared" si="42"/>
        <v>1265</v>
      </c>
      <c r="W464" s="49">
        <f t="shared" si="43"/>
        <v>0.3860561915</v>
      </c>
      <c r="X464" s="49">
        <f t="shared" si="44"/>
        <v>0.3902185224</v>
      </c>
      <c r="Y464" s="49">
        <f t="shared" si="45"/>
        <v>0.2237252862</v>
      </c>
      <c r="Z464" s="32" t="str">
        <f t="shared" si="46"/>
        <v>Milton</v>
      </c>
      <c r="AA464" s="50" t="s">
        <v>77</v>
      </c>
      <c r="AB464" s="38">
        <v>1461.0</v>
      </c>
      <c r="AC464" s="48">
        <f t="shared" si="47"/>
        <v>196</v>
      </c>
      <c r="AD464" s="51">
        <f t="shared" si="48"/>
        <v>0.8658453114</v>
      </c>
    </row>
    <row r="465">
      <c r="A465" s="23"/>
      <c r="B465" s="46" t="s">
        <v>2477</v>
      </c>
      <c r="C465" s="47"/>
      <c r="D465" s="38">
        <v>582.0</v>
      </c>
      <c r="E465" s="38">
        <v>139.0</v>
      </c>
      <c r="F465" s="38">
        <v>279.0</v>
      </c>
      <c r="G465" s="38">
        <v>74.0</v>
      </c>
      <c r="H465" s="38">
        <v>76.0</v>
      </c>
      <c r="I465" s="48">
        <f t="shared" si="35"/>
        <v>1000</v>
      </c>
      <c r="J465" s="48">
        <f t="shared" si="36"/>
        <v>1150</v>
      </c>
      <c r="K465" s="49">
        <f t="shared" si="37"/>
        <v>0.582</v>
      </c>
      <c r="L465" s="49">
        <f t="shared" si="38"/>
        <v>0.139</v>
      </c>
      <c r="M465" s="49">
        <f t="shared" si="39"/>
        <v>0.279</v>
      </c>
      <c r="N465" s="32" t="str">
        <f t="shared" si="40"/>
        <v>Jânio</v>
      </c>
      <c r="O465" s="50" t="s">
        <v>77</v>
      </c>
      <c r="P465" s="38">
        <v>293.0</v>
      </c>
      <c r="Q465" s="38">
        <v>364.0</v>
      </c>
      <c r="R465" s="38">
        <v>200.0</v>
      </c>
      <c r="S465" s="38">
        <v>251.0</v>
      </c>
      <c r="T465" s="38">
        <v>42.0</v>
      </c>
      <c r="U465" s="48">
        <f t="shared" si="41"/>
        <v>857</v>
      </c>
      <c r="V465" s="48">
        <f t="shared" si="42"/>
        <v>1150</v>
      </c>
      <c r="W465" s="49">
        <f t="shared" si="43"/>
        <v>0.3418903151</v>
      </c>
      <c r="X465" s="49">
        <f t="shared" si="44"/>
        <v>0.4247374562</v>
      </c>
      <c r="Y465" s="49">
        <f t="shared" si="45"/>
        <v>0.2333722287</v>
      </c>
      <c r="Z465" s="32" t="str">
        <f t="shared" si="46"/>
        <v>Milton</v>
      </c>
      <c r="AA465" s="50" t="s">
        <v>77</v>
      </c>
      <c r="AB465" s="38">
        <v>1372.0</v>
      </c>
      <c r="AC465" s="48">
        <f t="shared" si="47"/>
        <v>222</v>
      </c>
      <c r="AD465" s="51">
        <f t="shared" si="48"/>
        <v>0.8381924198</v>
      </c>
    </row>
    <row r="466">
      <c r="A466" s="23"/>
      <c r="B466" s="46" t="s">
        <v>2478</v>
      </c>
      <c r="C466" s="47"/>
      <c r="D466" s="38">
        <v>631.0</v>
      </c>
      <c r="E466" s="38">
        <v>162.0</v>
      </c>
      <c r="F466" s="38">
        <v>448.0</v>
      </c>
      <c r="G466" s="38">
        <v>61.0</v>
      </c>
      <c r="H466" s="38">
        <v>137.0</v>
      </c>
      <c r="I466" s="48">
        <f t="shared" si="35"/>
        <v>1241</v>
      </c>
      <c r="J466" s="48">
        <f t="shared" si="36"/>
        <v>1439</v>
      </c>
      <c r="K466" s="49">
        <f t="shared" si="37"/>
        <v>0.5084609186</v>
      </c>
      <c r="L466" s="49">
        <f t="shared" si="38"/>
        <v>0.1305398872</v>
      </c>
      <c r="M466" s="49">
        <f t="shared" si="39"/>
        <v>0.3609991942</v>
      </c>
      <c r="N466" s="32" t="str">
        <f t="shared" si="40"/>
        <v>Jânio</v>
      </c>
      <c r="O466" s="50" t="s">
        <v>77</v>
      </c>
      <c r="P466" s="38">
        <v>434.0</v>
      </c>
      <c r="Q466" s="55">
        <v>284.0</v>
      </c>
      <c r="R466" s="38">
        <v>326.0</v>
      </c>
      <c r="S466" s="38">
        <v>354.0</v>
      </c>
      <c r="T466" s="38">
        <v>41.0</v>
      </c>
      <c r="U466" s="48">
        <f t="shared" si="41"/>
        <v>1044</v>
      </c>
      <c r="V466" s="114">
        <f t="shared" si="42"/>
        <v>1439</v>
      </c>
      <c r="W466" s="49">
        <f t="shared" si="43"/>
        <v>0.4157088123</v>
      </c>
      <c r="X466" s="49">
        <f t="shared" si="44"/>
        <v>0.2720306513</v>
      </c>
      <c r="Y466" s="49">
        <f t="shared" si="45"/>
        <v>0.3122605364</v>
      </c>
      <c r="Z466" s="32" t="str">
        <f t="shared" si="46"/>
        <v>Jango</v>
      </c>
      <c r="AA466" s="50" t="s">
        <v>77</v>
      </c>
      <c r="AB466" s="38">
        <v>1683.0</v>
      </c>
      <c r="AC466" s="48">
        <f t="shared" si="47"/>
        <v>244</v>
      </c>
      <c r="AD466" s="51">
        <f t="shared" si="48"/>
        <v>0.8550207962</v>
      </c>
    </row>
    <row r="467">
      <c r="A467" s="23"/>
      <c r="B467" s="46" t="s">
        <v>2479</v>
      </c>
      <c r="C467" s="47"/>
      <c r="D467" s="38">
        <v>1563.0</v>
      </c>
      <c r="E467" s="38">
        <v>368.0</v>
      </c>
      <c r="F467" s="38">
        <v>971.0</v>
      </c>
      <c r="G467" s="38">
        <v>102.0</v>
      </c>
      <c r="H467" s="38">
        <v>154.0</v>
      </c>
      <c r="I467" s="48">
        <f t="shared" si="35"/>
        <v>2902</v>
      </c>
      <c r="J467" s="48">
        <f t="shared" si="36"/>
        <v>3158</v>
      </c>
      <c r="K467" s="49">
        <f t="shared" si="37"/>
        <v>0.5385940731</v>
      </c>
      <c r="L467" s="49">
        <f t="shared" si="38"/>
        <v>0.1268090972</v>
      </c>
      <c r="M467" s="49">
        <f t="shared" si="39"/>
        <v>0.3345968298</v>
      </c>
      <c r="N467" s="32" t="str">
        <f t="shared" si="40"/>
        <v>Jânio</v>
      </c>
      <c r="O467" s="50" t="s">
        <v>77</v>
      </c>
      <c r="P467" s="38">
        <v>1208.0</v>
      </c>
      <c r="Q467" s="38">
        <v>1062.0</v>
      </c>
      <c r="R467" s="38">
        <v>337.0</v>
      </c>
      <c r="S467" s="38">
        <v>456.0</v>
      </c>
      <c r="T467" s="38">
        <v>95.0</v>
      </c>
      <c r="U467" s="48">
        <f t="shared" si="41"/>
        <v>2607</v>
      </c>
      <c r="V467" s="48">
        <f t="shared" si="42"/>
        <v>3158</v>
      </c>
      <c r="W467" s="49">
        <f t="shared" si="43"/>
        <v>0.4633678558</v>
      </c>
      <c r="X467" s="49">
        <f t="shared" si="44"/>
        <v>0.4073647871</v>
      </c>
      <c r="Y467" s="49">
        <f t="shared" si="45"/>
        <v>0.1292673571</v>
      </c>
      <c r="Z467" s="32" t="str">
        <f t="shared" si="46"/>
        <v>Jango</v>
      </c>
      <c r="AA467" s="50" t="s">
        <v>77</v>
      </c>
      <c r="AB467" s="38">
        <v>3525.0</v>
      </c>
      <c r="AC467" s="48">
        <f t="shared" si="47"/>
        <v>367</v>
      </c>
      <c r="AD467" s="51">
        <f t="shared" si="48"/>
        <v>0.8958865248</v>
      </c>
    </row>
    <row r="468">
      <c r="A468" s="23"/>
      <c r="B468" s="46" t="s">
        <v>2480</v>
      </c>
      <c r="C468" s="47"/>
      <c r="D468" s="38">
        <v>576.0</v>
      </c>
      <c r="E468" s="38">
        <v>129.0</v>
      </c>
      <c r="F468" s="38">
        <v>547.0</v>
      </c>
      <c r="G468" s="38">
        <v>33.0</v>
      </c>
      <c r="H468" s="38">
        <v>87.0</v>
      </c>
      <c r="I468" s="48">
        <f t="shared" si="35"/>
        <v>1252</v>
      </c>
      <c r="J468" s="48">
        <f t="shared" si="36"/>
        <v>1372</v>
      </c>
      <c r="K468" s="49">
        <f t="shared" si="37"/>
        <v>0.4600638978</v>
      </c>
      <c r="L468" s="49">
        <f t="shared" si="38"/>
        <v>0.1030351438</v>
      </c>
      <c r="M468" s="49">
        <f t="shared" si="39"/>
        <v>0.4369009585</v>
      </c>
      <c r="N468" s="32" t="str">
        <f t="shared" si="40"/>
        <v>Jânio</v>
      </c>
      <c r="O468" s="50" t="s">
        <v>77</v>
      </c>
      <c r="P468" s="38">
        <v>523.0</v>
      </c>
      <c r="Q468" s="38">
        <v>368.0</v>
      </c>
      <c r="R468" s="38">
        <v>194.0</v>
      </c>
      <c r="S468" s="38">
        <v>262.0</v>
      </c>
      <c r="T468" s="38">
        <v>25.0</v>
      </c>
      <c r="U468" s="48">
        <f t="shared" si="41"/>
        <v>1085</v>
      </c>
      <c r="V468" s="48">
        <f t="shared" si="42"/>
        <v>1372</v>
      </c>
      <c r="W468" s="49">
        <f t="shared" si="43"/>
        <v>0.4820276498</v>
      </c>
      <c r="X468" s="49">
        <f t="shared" si="44"/>
        <v>0.3391705069</v>
      </c>
      <c r="Y468" s="49">
        <f t="shared" si="45"/>
        <v>0.1788018433</v>
      </c>
      <c r="Z468" s="32" t="str">
        <f t="shared" si="46"/>
        <v>Jango</v>
      </c>
      <c r="AA468" s="50" t="s">
        <v>77</v>
      </c>
      <c r="AB468" s="38">
        <v>1646.0</v>
      </c>
      <c r="AC468" s="48">
        <f t="shared" si="47"/>
        <v>274</v>
      </c>
      <c r="AD468" s="51">
        <f t="shared" si="48"/>
        <v>0.8335358445</v>
      </c>
    </row>
    <row r="469">
      <c r="A469" s="24"/>
      <c r="B469" s="46" t="s">
        <v>2481</v>
      </c>
      <c r="C469" s="47"/>
      <c r="D469" s="38">
        <v>972.0</v>
      </c>
      <c r="E469" s="38">
        <v>205.0</v>
      </c>
      <c r="F469" s="38">
        <v>670.0</v>
      </c>
      <c r="G469" s="38">
        <v>61.0</v>
      </c>
      <c r="H469" s="38">
        <v>122.0</v>
      </c>
      <c r="I469" s="48">
        <f t="shared" si="35"/>
        <v>1847</v>
      </c>
      <c r="J469" s="48">
        <f t="shared" si="36"/>
        <v>2030</v>
      </c>
      <c r="K469" s="49">
        <f t="shared" si="37"/>
        <v>0.5262587981</v>
      </c>
      <c r="L469" s="49">
        <f t="shared" si="38"/>
        <v>0.1109907959</v>
      </c>
      <c r="M469" s="49">
        <f t="shared" si="39"/>
        <v>0.3627504061</v>
      </c>
      <c r="N469" s="32" t="str">
        <f t="shared" si="40"/>
        <v>Jânio</v>
      </c>
      <c r="O469" s="50" t="s">
        <v>77</v>
      </c>
      <c r="P469" s="38">
        <v>619.0</v>
      </c>
      <c r="Q469" s="38">
        <v>399.0</v>
      </c>
      <c r="R469" s="38">
        <v>582.0</v>
      </c>
      <c r="S469" s="38">
        <v>384.0</v>
      </c>
      <c r="T469" s="38">
        <v>46.0</v>
      </c>
      <c r="U469" s="48">
        <f t="shared" si="41"/>
        <v>1600</v>
      </c>
      <c r="V469" s="48">
        <f t="shared" si="42"/>
        <v>2030</v>
      </c>
      <c r="W469" s="49">
        <f t="shared" si="43"/>
        <v>0.386875</v>
      </c>
      <c r="X469" s="49">
        <f t="shared" si="44"/>
        <v>0.249375</v>
      </c>
      <c r="Y469" s="49">
        <f t="shared" si="45"/>
        <v>0.36375</v>
      </c>
      <c r="Z469" s="32" t="str">
        <f t="shared" si="46"/>
        <v>Jango</v>
      </c>
      <c r="AA469" s="50" t="s">
        <v>77</v>
      </c>
      <c r="AB469" s="38">
        <v>2442.0</v>
      </c>
      <c r="AC469" s="48">
        <f t="shared" si="47"/>
        <v>412</v>
      </c>
      <c r="AD469" s="51">
        <f t="shared" si="48"/>
        <v>0.8312858313</v>
      </c>
    </row>
    <row r="470">
      <c r="A470" s="61" t="s">
        <v>2482</v>
      </c>
      <c r="B470" s="46" t="s">
        <v>2483</v>
      </c>
      <c r="C470" s="47"/>
      <c r="D470" s="38">
        <v>2387.0</v>
      </c>
      <c r="E470" s="38">
        <v>665.0</v>
      </c>
      <c r="F470" s="38">
        <v>1008.0</v>
      </c>
      <c r="G470" s="38">
        <v>70.0</v>
      </c>
      <c r="H470" s="38">
        <v>115.0</v>
      </c>
      <c r="I470" s="48">
        <f t="shared" si="35"/>
        <v>4060</v>
      </c>
      <c r="J470" s="48">
        <f t="shared" si="36"/>
        <v>4245</v>
      </c>
      <c r="K470" s="49">
        <f t="shared" si="37"/>
        <v>0.5879310345</v>
      </c>
      <c r="L470" s="49">
        <f t="shared" si="38"/>
        <v>0.1637931034</v>
      </c>
      <c r="M470" s="49">
        <f t="shared" si="39"/>
        <v>0.2482758621</v>
      </c>
      <c r="N470" s="32" t="str">
        <f t="shared" si="40"/>
        <v>Jânio</v>
      </c>
      <c r="O470" s="50" t="s">
        <v>77</v>
      </c>
      <c r="P470" s="38">
        <v>1234.0</v>
      </c>
      <c r="Q470" s="38">
        <v>1975.0</v>
      </c>
      <c r="R470" s="38">
        <v>594.0</v>
      </c>
      <c r="S470" s="38">
        <v>354.0</v>
      </c>
      <c r="T470" s="38">
        <v>88.0</v>
      </c>
      <c r="U470" s="48">
        <f t="shared" si="41"/>
        <v>3803</v>
      </c>
      <c r="V470" s="48">
        <f t="shared" si="42"/>
        <v>4245</v>
      </c>
      <c r="W470" s="49">
        <f t="shared" si="43"/>
        <v>0.3244806732</v>
      </c>
      <c r="X470" s="49">
        <f t="shared" si="44"/>
        <v>0.5193268472</v>
      </c>
      <c r="Y470" s="49">
        <f t="shared" si="45"/>
        <v>0.1561924796</v>
      </c>
      <c r="Z470" s="32" t="str">
        <f t="shared" si="46"/>
        <v>Milton</v>
      </c>
      <c r="AA470" s="50" t="s">
        <v>77</v>
      </c>
      <c r="AB470" s="38">
        <v>4993.0</v>
      </c>
      <c r="AC470" s="48">
        <f t="shared" si="47"/>
        <v>748</v>
      </c>
      <c r="AD470" s="51">
        <f t="shared" si="48"/>
        <v>0.8501902664</v>
      </c>
    </row>
    <row r="471">
      <c r="A471" s="24"/>
      <c r="B471" s="46" t="s">
        <v>2484</v>
      </c>
      <c r="C471" s="47"/>
      <c r="D471" s="38">
        <v>922.0</v>
      </c>
      <c r="E471" s="38">
        <v>177.0</v>
      </c>
      <c r="F471" s="38">
        <v>470.0</v>
      </c>
      <c r="G471" s="38">
        <v>36.0</v>
      </c>
      <c r="H471" s="38">
        <v>81.0</v>
      </c>
      <c r="I471" s="48">
        <f t="shared" si="35"/>
        <v>1569</v>
      </c>
      <c r="J471" s="48">
        <f t="shared" si="36"/>
        <v>1686</v>
      </c>
      <c r="K471" s="49">
        <f t="shared" si="37"/>
        <v>0.5876354366</v>
      </c>
      <c r="L471" s="49">
        <f t="shared" si="38"/>
        <v>0.1128107075</v>
      </c>
      <c r="M471" s="49">
        <f t="shared" si="39"/>
        <v>0.299553856</v>
      </c>
      <c r="N471" s="32" t="str">
        <f t="shared" si="40"/>
        <v>Jânio</v>
      </c>
      <c r="O471" s="50" t="s">
        <v>77</v>
      </c>
      <c r="P471" s="38">
        <v>367.0</v>
      </c>
      <c r="Q471" s="55">
        <v>682.0</v>
      </c>
      <c r="R471" s="38">
        <v>316.0</v>
      </c>
      <c r="S471" s="55">
        <v>279.0</v>
      </c>
      <c r="T471" s="38">
        <v>42.0</v>
      </c>
      <c r="U471" s="48">
        <f t="shared" si="41"/>
        <v>1365</v>
      </c>
      <c r="V471" s="48">
        <f t="shared" si="42"/>
        <v>1686</v>
      </c>
      <c r="W471" s="49">
        <f t="shared" si="43"/>
        <v>0.2688644689</v>
      </c>
      <c r="X471" s="49">
        <f t="shared" si="44"/>
        <v>0.4996336996</v>
      </c>
      <c r="Y471" s="49">
        <f t="shared" si="45"/>
        <v>0.2315018315</v>
      </c>
      <c r="Z471" s="32" t="str">
        <f t="shared" si="46"/>
        <v>Milton</v>
      </c>
      <c r="AA471" s="50" t="s">
        <v>77</v>
      </c>
      <c r="AB471" s="38">
        <v>2082.0</v>
      </c>
      <c r="AC471" s="48">
        <f t="shared" si="47"/>
        <v>396</v>
      </c>
      <c r="AD471" s="51">
        <f t="shared" si="48"/>
        <v>0.8097982709</v>
      </c>
    </row>
    <row r="472">
      <c r="A472" s="61" t="s">
        <v>2485</v>
      </c>
      <c r="B472" s="46" t="s">
        <v>2486</v>
      </c>
      <c r="C472" s="47"/>
      <c r="D472" s="38">
        <v>1915.0</v>
      </c>
      <c r="E472" s="38">
        <v>246.0</v>
      </c>
      <c r="F472" s="55">
        <v>605.0</v>
      </c>
      <c r="G472" s="38">
        <v>62.0</v>
      </c>
      <c r="H472" s="38">
        <v>80.0</v>
      </c>
      <c r="I472" s="48">
        <f t="shared" si="35"/>
        <v>2766</v>
      </c>
      <c r="J472" s="114">
        <f t="shared" si="36"/>
        <v>2908</v>
      </c>
      <c r="K472" s="49">
        <f t="shared" si="37"/>
        <v>0.6923355025</v>
      </c>
      <c r="L472" s="49">
        <f t="shared" si="38"/>
        <v>0.08893709328</v>
      </c>
      <c r="M472" s="49">
        <f t="shared" si="39"/>
        <v>0.2187274042</v>
      </c>
      <c r="N472" s="32" t="str">
        <f t="shared" si="40"/>
        <v>Jânio</v>
      </c>
      <c r="O472" s="50" t="s">
        <v>77</v>
      </c>
      <c r="P472" s="38">
        <v>596.0</v>
      </c>
      <c r="Q472" s="38">
        <v>1598.0</v>
      </c>
      <c r="R472" s="38">
        <v>430.0</v>
      </c>
      <c r="S472" s="55">
        <v>229.0</v>
      </c>
      <c r="T472" s="38">
        <v>55.0</v>
      </c>
      <c r="U472" s="48">
        <f t="shared" si="41"/>
        <v>2624</v>
      </c>
      <c r="V472" s="114">
        <f t="shared" si="42"/>
        <v>2908</v>
      </c>
      <c r="W472" s="49">
        <f t="shared" si="43"/>
        <v>0.2271341463</v>
      </c>
      <c r="X472" s="49">
        <f t="shared" si="44"/>
        <v>0.6089939024</v>
      </c>
      <c r="Y472" s="49">
        <f t="shared" si="45"/>
        <v>0.1638719512</v>
      </c>
      <c r="Z472" s="32" t="str">
        <f t="shared" si="46"/>
        <v>Milton</v>
      </c>
      <c r="AA472" s="50" t="s">
        <v>77</v>
      </c>
      <c r="AB472" s="38">
        <v>3887.0</v>
      </c>
      <c r="AC472" s="48">
        <f t="shared" si="47"/>
        <v>979</v>
      </c>
      <c r="AD472" s="51">
        <f t="shared" si="48"/>
        <v>0.7481348083</v>
      </c>
    </row>
    <row r="473">
      <c r="A473" s="23"/>
      <c r="B473" s="46" t="s">
        <v>2487</v>
      </c>
      <c r="C473" s="47"/>
      <c r="D473" s="38">
        <v>422.0</v>
      </c>
      <c r="E473" s="38">
        <v>52.0</v>
      </c>
      <c r="F473" s="38">
        <v>110.0</v>
      </c>
      <c r="G473" s="38">
        <v>13.0</v>
      </c>
      <c r="H473" s="38">
        <v>30.0</v>
      </c>
      <c r="I473" s="48">
        <f t="shared" si="35"/>
        <v>584</v>
      </c>
      <c r="J473" s="48">
        <f t="shared" si="36"/>
        <v>627</v>
      </c>
      <c r="K473" s="49">
        <f t="shared" si="37"/>
        <v>0.7226027397</v>
      </c>
      <c r="L473" s="49">
        <f t="shared" si="38"/>
        <v>0.08904109589</v>
      </c>
      <c r="M473" s="49">
        <f t="shared" si="39"/>
        <v>0.1883561644</v>
      </c>
      <c r="N473" s="32" t="str">
        <f t="shared" si="40"/>
        <v>Jânio</v>
      </c>
      <c r="O473" s="50" t="s">
        <v>77</v>
      </c>
      <c r="P473" s="38">
        <v>123.0</v>
      </c>
      <c r="Q473" s="38">
        <v>336.0</v>
      </c>
      <c r="R473" s="38">
        <v>74.0</v>
      </c>
      <c r="S473" s="38">
        <v>83.0</v>
      </c>
      <c r="T473" s="38">
        <v>11.0</v>
      </c>
      <c r="U473" s="48">
        <f t="shared" si="41"/>
        <v>533</v>
      </c>
      <c r="V473" s="48">
        <f t="shared" si="42"/>
        <v>627</v>
      </c>
      <c r="W473" s="49">
        <f t="shared" si="43"/>
        <v>0.2307692308</v>
      </c>
      <c r="X473" s="49">
        <f t="shared" si="44"/>
        <v>0.6303939962</v>
      </c>
      <c r="Y473" s="49">
        <f t="shared" si="45"/>
        <v>0.138836773</v>
      </c>
      <c r="Z473" s="32" t="str">
        <f t="shared" si="46"/>
        <v>Milton</v>
      </c>
      <c r="AA473" s="50" t="s">
        <v>77</v>
      </c>
      <c r="AB473" s="38">
        <v>1032.0</v>
      </c>
      <c r="AC473" s="48">
        <f t="shared" si="47"/>
        <v>405</v>
      </c>
      <c r="AD473" s="51">
        <f t="shared" si="48"/>
        <v>0.6075581395</v>
      </c>
    </row>
    <row r="474">
      <c r="A474" s="23"/>
      <c r="B474" s="46" t="s">
        <v>2488</v>
      </c>
      <c r="C474" s="47"/>
      <c r="D474" s="38">
        <v>1839.0</v>
      </c>
      <c r="E474" s="38">
        <v>165.0</v>
      </c>
      <c r="F474" s="38">
        <v>682.0</v>
      </c>
      <c r="G474" s="38">
        <v>84.0</v>
      </c>
      <c r="H474" s="38">
        <v>127.0</v>
      </c>
      <c r="I474" s="48">
        <f t="shared" si="35"/>
        <v>2686</v>
      </c>
      <c r="J474" s="48">
        <f t="shared" si="36"/>
        <v>2897</v>
      </c>
      <c r="K474" s="49">
        <f t="shared" si="37"/>
        <v>0.6846612063</v>
      </c>
      <c r="L474" s="49">
        <f t="shared" si="38"/>
        <v>0.06142963515</v>
      </c>
      <c r="M474" s="49">
        <f t="shared" si="39"/>
        <v>0.2539091586</v>
      </c>
      <c r="N474" s="32" t="str">
        <f t="shared" si="40"/>
        <v>Jânio</v>
      </c>
      <c r="O474" s="50" t="s">
        <v>77</v>
      </c>
      <c r="P474" s="38">
        <v>546.0</v>
      </c>
      <c r="Q474" s="38">
        <v>1513.0</v>
      </c>
      <c r="R474" s="38">
        <v>391.0</v>
      </c>
      <c r="S474" s="38">
        <v>397.0</v>
      </c>
      <c r="T474" s="38">
        <v>50.0</v>
      </c>
      <c r="U474" s="48">
        <f t="shared" si="41"/>
        <v>2450</v>
      </c>
      <c r="V474" s="48">
        <f t="shared" si="42"/>
        <v>2897</v>
      </c>
      <c r="W474" s="49">
        <f t="shared" si="43"/>
        <v>0.2228571429</v>
      </c>
      <c r="X474" s="49">
        <f t="shared" si="44"/>
        <v>0.6175510204</v>
      </c>
      <c r="Y474" s="49">
        <f t="shared" si="45"/>
        <v>0.1595918367</v>
      </c>
      <c r="Z474" s="32" t="str">
        <f t="shared" si="46"/>
        <v>Milton</v>
      </c>
      <c r="AA474" s="50" t="s">
        <v>77</v>
      </c>
      <c r="AB474" s="38">
        <v>4263.0</v>
      </c>
      <c r="AC474" s="48">
        <f t="shared" si="47"/>
        <v>1366</v>
      </c>
      <c r="AD474" s="51">
        <f t="shared" si="48"/>
        <v>0.6795683791</v>
      </c>
    </row>
    <row r="475">
      <c r="A475" s="23"/>
      <c r="B475" s="46" t="s">
        <v>2489</v>
      </c>
      <c r="C475" s="47"/>
      <c r="D475" s="38">
        <v>1864.0</v>
      </c>
      <c r="E475" s="38">
        <v>416.0</v>
      </c>
      <c r="F475" s="38">
        <v>418.0</v>
      </c>
      <c r="G475" s="38">
        <v>102.0</v>
      </c>
      <c r="H475" s="38">
        <v>122.0</v>
      </c>
      <c r="I475" s="48">
        <f t="shared" si="35"/>
        <v>2698</v>
      </c>
      <c r="J475" s="48">
        <f t="shared" si="36"/>
        <v>2922</v>
      </c>
      <c r="K475" s="49">
        <f t="shared" si="37"/>
        <v>0.6908821349</v>
      </c>
      <c r="L475" s="49">
        <f t="shared" si="38"/>
        <v>0.1541882876</v>
      </c>
      <c r="M475" s="49">
        <f t="shared" si="39"/>
        <v>0.1549295775</v>
      </c>
      <c r="N475" s="32" t="str">
        <f t="shared" si="40"/>
        <v>Jânio</v>
      </c>
      <c r="O475" s="50" t="s">
        <v>77</v>
      </c>
      <c r="P475" s="38">
        <v>668.0</v>
      </c>
      <c r="Q475" s="38">
        <v>1535.0</v>
      </c>
      <c r="R475" s="38">
        <v>250.0</v>
      </c>
      <c r="S475" s="38">
        <v>397.0</v>
      </c>
      <c r="T475" s="38">
        <v>72.0</v>
      </c>
      <c r="U475" s="48">
        <f t="shared" si="41"/>
        <v>2453</v>
      </c>
      <c r="V475" s="48">
        <f t="shared" si="42"/>
        <v>2922</v>
      </c>
      <c r="W475" s="49">
        <f t="shared" si="43"/>
        <v>0.2723196086</v>
      </c>
      <c r="X475" s="49">
        <f t="shared" si="44"/>
        <v>0.6257643702</v>
      </c>
      <c r="Y475" s="49">
        <f t="shared" si="45"/>
        <v>0.1019160212</v>
      </c>
      <c r="Z475" s="32" t="str">
        <f t="shared" si="46"/>
        <v>Milton</v>
      </c>
      <c r="AA475" s="50" t="s">
        <v>77</v>
      </c>
      <c r="AB475" s="38">
        <v>3809.0</v>
      </c>
      <c r="AC475" s="48">
        <f t="shared" si="47"/>
        <v>887</v>
      </c>
      <c r="AD475" s="51">
        <f t="shared" si="48"/>
        <v>0.7671304804</v>
      </c>
    </row>
    <row r="476">
      <c r="A476" s="24"/>
      <c r="B476" s="46" t="s">
        <v>2490</v>
      </c>
      <c r="C476" s="47"/>
      <c r="D476" s="38">
        <v>2165.0</v>
      </c>
      <c r="E476" s="38">
        <v>597.0</v>
      </c>
      <c r="F476" s="38">
        <v>482.0</v>
      </c>
      <c r="G476" s="38">
        <v>77.0</v>
      </c>
      <c r="H476" s="38">
        <v>63.0</v>
      </c>
      <c r="I476" s="48">
        <f t="shared" si="35"/>
        <v>3244</v>
      </c>
      <c r="J476" s="48">
        <f t="shared" si="36"/>
        <v>3384</v>
      </c>
      <c r="K476" s="49">
        <f t="shared" si="37"/>
        <v>0.6673859433</v>
      </c>
      <c r="L476" s="49">
        <f t="shared" si="38"/>
        <v>0.1840320592</v>
      </c>
      <c r="M476" s="49">
        <f t="shared" si="39"/>
        <v>0.1485819975</v>
      </c>
      <c r="N476" s="32" t="str">
        <f t="shared" si="40"/>
        <v>Jânio</v>
      </c>
      <c r="O476" s="50" t="s">
        <v>77</v>
      </c>
      <c r="P476" s="38">
        <v>959.0</v>
      </c>
      <c r="Q476" s="38">
        <v>1378.0</v>
      </c>
      <c r="R476" s="38">
        <v>683.0</v>
      </c>
      <c r="S476" s="38">
        <v>313.0</v>
      </c>
      <c r="T476" s="38">
        <v>51.0</v>
      </c>
      <c r="U476" s="48">
        <f t="shared" si="41"/>
        <v>3020</v>
      </c>
      <c r="V476" s="48">
        <f t="shared" si="42"/>
        <v>3384</v>
      </c>
      <c r="W476" s="49">
        <f t="shared" si="43"/>
        <v>0.3175496689</v>
      </c>
      <c r="X476" s="49">
        <f t="shared" si="44"/>
        <v>0.4562913907</v>
      </c>
      <c r="Y476" s="49">
        <f t="shared" si="45"/>
        <v>0.2261589404</v>
      </c>
      <c r="Z476" s="32" t="str">
        <f t="shared" si="46"/>
        <v>Milton</v>
      </c>
      <c r="AA476" s="50" t="s">
        <v>77</v>
      </c>
      <c r="AB476" s="38">
        <v>4162.0</v>
      </c>
      <c r="AC476" s="48">
        <f t="shared" si="47"/>
        <v>778</v>
      </c>
      <c r="AD476" s="51">
        <f t="shared" si="48"/>
        <v>0.8130706391</v>
      </c>
    </row>
    <row r="477">
      <c r="A477" s="61" t="s">
        <v>2491</v>
      </c>
      <c r="B477" s="46" t="s">
        <v>2492</v>
      </c>
      <c r="C477" s="47"/>
      <c r="D477" s="38">
        <v>1345.0</v>
      </c>
      <c r="E477" s="38">
        <v>190.0</v>
      </c>
      <c r="F477" s="38">
        <v>857.0</v>
      </c>
      <c r="G477" s="38">
        <v>63.0</v>
      </c>
      <c r="H477" s="38">
        <v>110.0</v>
      </c>
      <c r="I477" s="48">
        <f t="shared" si="35"/>
        <v>2392</v>
      </c>
      <c r="J477" s="48">
        <f t="shared" si="36"/>
        <v>2565</v>
      </c>
      <c r="K477" s="49">
        <f t="shared" si="37"/>
        <v>0.5622909699</v>
      </c>
      <c r="L477" s="49">
        <f t="shared" si="38"/>
        <v>0.07943143813</v>
      </c>
      <c r="M477" s="49">
        <f t="shared" si="39"/>
        <v>0.358277592</v>
      </c>
      <c r="N477" s="32" t="str">
        <f t="shared" si="40"/>
        <v>Jânio</v>
      </c>
      <c r="O477" s="50" t="s">
        <v>77</v>
      </c>
      <c r="P477" s="38">
        <v>659.0</v>
      </c>
      <c r="Q477" s="38">
        <v>1076.0</v>
      </c>
      <c r="R477" s="38">
        <v>301.0</v>
      </c>
      <c r="S477" s="38">
        <v>478.0</v>
      </c>
      <c r="T477" s="38">
        <v>51.0</v>
      </c>
      <c r="U477" s="48">
        <f t="shared" si="41"/>
        <v>2036</v>
      </c>
      <c r="V477" s="48">
        <f t="shared" si="42"/>
        <v>2565</v>
      </c>
      <c r="W477" s="49">
        <f t="shared" si="43"/>
        <v>0.3236738703</v>
      </c>
      <c r="X477" s="49">
        <f t="shared" si="44"/>
        <v>0.5284872299</v>
      </c>
      <c r="Y477" s="49">
        <f t="shared" si="45"/>
        <v>0.1478388998</v>
      </c>
      <c r="Z477" s="32" t="str">
        <f t="shared" si="46"/>
        <v>Milton</v>
      </c>
      <c r="AA477" s="50" t="s">
        <v>77</v>
      </c>
      <c r="AB477" s="38">
        <v>3120.0</v>
      </c>
      <c r="AC477" s="48">
        <f t="shared" si="47"/>
        <v>555</v>
      </c>
      <c r="AD477" s="51">
        <f t="shared" si="48"/>
        <v>0.8221153846</v>
      </c>
    </row>
    <row r="478">
      <c r="A478" s="24"/>
      <c r="B478" s="46" t="s">
        <v>2493</v>
      </c>
      <c r="C478" s="47"/>
      <c r="D478" s="38">
        <v>329.0</v>
      </c>
      <c r="E478" s="38">
        <v>87.0</v>
      </c>
      <c r="F478" s="38">
        <v>207.0</v>
      </c>
      <c r="G478" s="38">
        <v>10.0</v>
      </c>
      <c r="H478" s="38">
        <v>28.0</v>
      </c>
      <c r="I478" s="48">
        <f t="shared" si="35"/>
        <v>623</v>
      </c>
      <c r="J478" s="48">
        <f t="shared" si="36"/>
        <v>661</v>
      </c>
      <c r="K478" s="49">
        <f t="shared" si="37"/>
        <v>0.5280898876</v>
      </c>
      <c r="L478" s="49">
        <f t="shared" si="38"/>
        <v>0.13964687</v>
      </c>
      <c r="M478" s="49">
        <f t="shared" si="39"/>
        <v>0.3322632424</v>
      </c>
      <c r="N478" s="32" t="str">
        <f t="shared" si="40"/>
        <v>Jânio</v>
      </c>
      <c r="O478" s="50" t="s">
        <v>77</v>
      </c>
      <c r="P478" s="38">
        <v>221.0</v>
      </c>
      <c r="Q478" s="38">
        <v>287.0</v>
      </c>
      <c r="R478" s="38">
        <v>41.0</v>
      </c>
      <c r="S478" s="38">
        <v>95.0</v>
      </c>
      <c r="T478" s="38">
        <v>17.0</v>
      </c>
      <c r="U478" s="48">
        <f t="shared" si="41"/>
        <v>549</v>
      </c>
      <c r="V478" s="48">
        <f t="shared" si="42"/>
        <v>661</v>
      </c>
      <c r="W478" s="49">
        <f t="shared" si="43"/>
        <v>0.4025500911</v>
      </c>
      <c r="X478" s="49">
        <f t="shared" si="44"/>
        <v>0.5227686703</v>
      </c>
      <c r="Y478" s="49">
        <f t="shared" si="45"/>
        <v>0.07468123862</v>
      </c>
      <c r="Z478" s="32" t="str">
        <f t="shared" si="46"/>
        <v>Milton</v>
      </c>
      <c r="AA478" s="50" t="s">
        <v>77</v>
      </c>
      <c r="AB478" s="38">
        <v>782.0</v>
      </c>
      <c r="AC478" s="48">
        <f t="shared" si="47"/>
        <v>121</v>
      </c>
      <c r="AD478" s="51">
        <f t="shared" si="48"/>
        <v>0.8452685422</v>
      </c>
    </row>
    <row r="479">
      <c r="A479" s="61" t="s">
        <v>2494</v>
      </c>
      <c r="B479" s="46" t="s">
        <v>2495</v>
      </c>
      <c r="C479" s="47"/>
      <c r="D479" s="38">
        <v>30196.0</v>
      </c>
      <c r="E479" s="38">
        <v>11587.0</v>
      </c>
      <c r="F479" s="38">
        <v>13917.0</v>
      </c>
      <c r="G479" s="38">
        <v>1308.0</v>
      </c>
      <c r="H479" s="38">
        <v>2457.0</v>
      </c>
      <c r="I479" s="48">
        <f t="shared" si="35"/>
        <v>55700</v>
      </c>
      <c r="J479" s="48">
        <f t="shared" si="36"/>
        <v>59465</v>
      </c>
      <c r="K479" s="49">
        <f t="shared" si="37"/>
        <v>0.5421184919</v>
      </c>
      <c r="L479" s="49">
        <f t="shared" si="38"/>
        <v>0.2080251346</v>
      </c>
      <c r="M479" s="49">
        <f t="shared" si="39"/>
        <v>0.2498563734</v>
      </c>
      <c r="N479" s="32" t="str">
        <f t="shared" si="40"/>
        <v>Jânio</v>
      </c>
      <c r="O479" s="50" t="s">
        <v>77</v>
      </c>
      <c r="P479" s="38">
        <v>20835.0</v>
      </c>
      <c r="Q479" s="38">
        <v>25808.0</v>
      </c>
      <c r="R479" s="38">
        <v>6331.0</v>
      </c>
      <c r="S479" s="38">
        <v>4427.0</v>
      </c>
      <c r="T479" s="38">
        <v>2064.0</v>
      </c>
      <c r="U479" s="48">
        <f t="shared" si="41"/>
        <v>52974</v>
      </c>
      <c r="V479" s="48">
        <f t="shared" si="42"/>
        <v>59465</v>
      </c>
      <c r="W479" s="49">
        <f t="shared" si="43"/>
        <v>0.3933061502</v>
      </c>
      <c r="X479" s="49">
        <f t="shared" si="44"/>
        <v>0.4871823914</v>
      </c>
      <c r="Y479" s="49">
        <f t="shared" si="45"/>
        <v>0.1195114585</v>
      </c>
      <c r="Z479" s="32" t="str">
        <f t="shared" si="46"/>
        <v>Milton</v>
      </c>
      <c r="AA479" s="50" t="s">
        <v>77</v>
      </c>
      <c r="AB479" s="38">
        <v>64706.0</v>
      </c>
      <c r="AC479" s="48">
        <f t="shared" si="47"/>
        <v>5241</v>
      </c>
      <c r="AD479" s="51">
        <f t="shared" si="48"/>
        <v>0.9190028745</v>
      </c>
    </row>
    <row r="480">
      <c r="A480" s="23"/>
      <c r="B480" s="46" t="s">
        <v>2496</v>
      </c>
      <c r="C480" s="47"/>
      <c r="D480" s="38">
        <v>2342.0</v>
      </c>
      <c r="E480" s="38">
        <v>1188.0</v>
      </c>
      <c r="F480" s="38">
        <v>1893.0</v>
      </c>
      <c r="G480" s="38">
        <v>188.0</v>
      </c>
      <c r="H480" s="38">
        <v>328.0</v>
      </c>
      <c r="I480" s="48">
        <f t="shared" si="35"/>
        <v>5423</v>
      </c>
      <c r="J480" s="48">
        <f t="shared" si="36"/>
        <v>5939</v>
      </c>
      <c r="K480" s="49">
        <f t="shared" si="37"/>
        <v>0.4318642818</v>
      </c>
      <c r="L480" s="49">
        <f t="shared" si="38"/>
        <v>0.2190669371</v>
      </c>
      <c r="M480" s="49">
        <f t="shared" si="39"/>
        <v>0.3490687811</v>
      </c>
      <c r="N480" s="32" t="str">
        <f t="shared" si="40"/>
        <v>Jânio</v>
      </c>
      <c r="O480" s="50" t="s">
        <v>77</v>
      </c>
      <c r="P480" s="38">
        <v>2515.0</v>
      </c>
      <c r="Q480" s="38">
        <v>1760.0</v>
      </c>
      <c r="R480" s="55">
        <v>810.0</v>
      </c>
      <c r="S480" s="38">
        <v>565.0</v>
      </c>
      <c r="T480" s="38">
        <v>289.0</v>
      </c>
      <c r="U480" s="48">
        <f t="shared" si="41"/>
        <v>5085</v>
      </c>
      <c r="V480" s="114">
        <f t="shared" si="42"/>
        <v>5939</v>
      </c>
      <c r="W480" s="49">
        <f t="shared" si="43"/>
        <v>0.4945919371</v>
      </c>
      <c r="X480" s="49">
        <f t="shared" si="44"/>
        <v>0.3461160275</v>
      </c>
      <c r="Y480" s="49">
        <f t="shared" si="45"/>
        <v>0.1592920354</v>
      </c>
      <c r="Z480" s="32" t="str">
        <f t="shared" si="46"/>
        <v>Jango</v>
      </c>
      <c r="AA480" s="50" t="s">
        <v>77</v>
      </c>
      <c r="AB480" s="38">
        <v>6862.0</v>
      </c>
      <c r="AC480" s="48">
        <f t="shared" si="47"/>
        <v>923</v>
      </c>
      <c r="AD480" s="51">
        <f t="shared" si="48"/>
        <v>0.8654911105</v>
      </c>
    </row>
    <row r="481">
      <c r="A481" s="24"/>
      <c r="B481" s="46" t="s">
        <v>2497</v>
      </c>
      <c r="C481" s="47"/>
      <c r="D481" s="38">
        <v>1914.0</v>
      </c>
      <c r="E481" s="38">
        <v>735.0</v>
      </c>
      <c r="F481" s="38">
        <v>1760.0</v>
      </c>
      <c r="G481" s="38">
        <v>131.0</v>
      </c>
      <c r="H481" s="38">
        <v>194.0</v>
      </c>
      <c r="I481" s="48">
        <f t="shared" si="35"/>
        <v>4409</v>
      </c>
      <c r="J481" s="48">
        <f t="shared" si="36"/>
        <v>4734</v>
      </c>
      <c r="K481" s="49">
        <f t="shared" si="37"/>
        <v>0.4341120435</v>
      </c>
      <c r="L481" s="49">
        <f t="shared" si="38"/>
        <v>0.1667044681</v>
      </c>
      <c r="M481" s="49">
        <f t="shared" si="39"/>
        <v>0.3991834883</v>
      </c>
      <c r="N481" s="32" t="str">
        <f t="shared" si="40"/>
        <v>Jânio</v>
      </c>
      <c r="O481" s="50" t="s">
        <v>77</v>
      </c>
      <c r="P481" s="38">
        <v>2012.0</v>
      </c>
      <c r="Q481" s="38">
        <v>1496.0</v>
      </c>
      <c r="R481" s="38">
        <v>617.0</v>
      </c>
      <c r="S481" s="38">
        <v>470.0</v>
      </c>
      <c r="T481" s="38">
        <v>139.0</v>
      </c>
      <c r="U481" s="48">
        <f t="shared" si="41"/>
        <v>4125</v>
      </c>
      <c r="V481" s="48">
        <f t="shared" si="42"/>
        <v>4734</v>
      </c>
      <c r="W481" s="49">
        <f t="shared" si="43"/>
        <v>0.4877575758</v>
      </c>
      <c r="X481" s="49">
        <f t="shared" si="44"/>
        <v>0.3626666667</v>
      </c>
      <c r="Y481" s="49">
        <f t="shared" si="45"/>
        <v>0.1495757576</v>
      </c>
      <c r="Z481" s="32" t="str">
        <f t="shared" si="46"/>
        <v>Jango</v>
      </c>
      <c r="AA481" s="50" t="s">
        <v>77</v>
      </c>
      <c r="AB481" s="38">
        <v>5703.0</v>
      </c>
      <c r="AC481" s="48">
        <f t="shared" si="47"/>
        <v>969</v>
      </c>
      <c r="AD481" s="51">
        <f t="shared" si="48"/>
        <v>0.8300894266</v>
      </c>
    </row>
    <row r="482">
      <c r="A482" s="61" t="s">
        <v>2498</v>
      </c>
      <c r="B482" s="46" t="s">
        <v>2499</v>
      </c>
      <c r="C482" s="47"/>
      <c r="D482" s="38">
        <v>3468.0</v>
      </c>
      <c r="E482" s="38">
        <v>469.0</v>
      </c>
      <c r="F482" s="38">
        <v>1054.0</v>
      </c>
      <c r="G482" s="38">
        <v>93.0</v>
      </c>
      <c r="H482" s="38">
        <v>106.0</v>
      </c>
      <c r="I482" s="48">
        <f t="shared" si="35"/>
        <v>4991</v>
      </c>
      <c r="J482" s="48">
        <f t="shared" si="36"/>
        <v>5190</v>
      </c>
      <c r="K482" s="49">
        <f t="shared" si="37"/>
        <v>0.6948507313</v>
      </c>
      <c r="L482" s="49">
        <f t="shared" si="38"/>
        <v>0.09396914446</v>
      </c>
      <c r="M482" s="49">
        <f t="shared" si="39"/>
        <v>0.2111801242</v>
      </c>
      <c r="N482" s="32" t="str">
        <f t="shared" si="40"/>
        <v>Jânio</v>
      </c>
      <c r="O482" s="50" t="s">
        <v>77</v>
      </c>
      <c r="P482" s="38">
        <v>928.0</v>
      </c>
      <c r="Q482" s="38">
        <v>3265.0</v>
      </c>
      <c r="R482" s="38">
        <v>485.0</v>
      </c>
      <c r="S482" s="38">
        <v>428.0</v>
      </c>
      <c r="T482" s="38">
        <v>84.0</v>
      </c>
      <c r="U482" s="48">
        <f t="shared" si="41"/>
        <v>4678</v>
      </c>
      <c r="V482" s="48">
        <f t="shared" si="42"/>
        <v>5190</v>
      </c>
      <c r="W482" s="49">
        <f t="shared" si="43"/>
        <v>0.1983753741</v>
      </c>
      <c r="X482" s="49">
        <f t="shared" si="44"/>
        <v>0.697947841</v>
      </c>
      <c r="Y482" s="49">
        <f t="shared" si="45"/>
        <v>0.103676785</v>
      </c>
      <c r="Z482" s="32" t="str">
        <f t="shared" si="46"/>
        <v>Milton</v>
      </c>
      <c r="AA482" s="50" t="s">
        <v>77</v>
      </c>
      <c r="AB482" s="38">
        <v>5947.0</v>
      </c>
      <c r="AC482" s="48">
        <f t="shared" si="47"/>
        <v>757</v>
      </c>
      <c r="AD482" s="51">
        <f t="shared" si="48"/>
        <v>0.8727089289</v>
      </c>
    </row>
    <row r="483">
      <c r="A483" s="24"/>
      <c r="B483" s="46" t="s">
        <v>2500</v>
      </c>
      <c r="C483" s="47"/>
      <c r="D483" s="38">
        <v>763.0</v>
      </c>
      <c r="E483" s="38">
        <v>128.0</v>
      </c>
      <c r="F483" s="38">
        <v>194.0</v>
      </c>
      <c r="G483" s="38">
        <v>39.0</v>
      </c>
      <c r="H483" s="38">
        <v>60.0</v>
      </c>
      <c r="I483" s="48">
        <f t="shared" si="35"/>
        <v>1085</v>
      </c>
      <c r="J483" s="48">
        <f t="shared" si="36"/>
        <v>1184</v>
      </c>
      <c r="K483" s="49">
        <f t="shared" si="37"/>
        <v>0.7032258065</v>
      </c>
      <c r="L483" s="49">
        <f t="shared" si="38"/>
        <v>0.1179723502</v>
      </c>
      <c r="M483" s="49">
        <f t="shared" si="39"/>
        <v>0.1788018433</v>
      </c>
      <c r="N483" s="32" t="str">
        <f t="shared" si="40"/>
        <v>Jânio</v>
      </c>
      <c r="O483" s="50" t="s">
        <v>77</v>
      </c>
      <c r="P483" s="38">
        <v>235.0</v>
      </c>
      <c r="Q483" s="38">
        <v>507.0</v>
      </c>
      <c r="R483" s="38">
        <v>209.0</v>
      </c>
      <c r="S483" s="38">
        <v>188.0</v>
      </c>
      <c r="T483" s="38">
        <v>45.0</v>
      </c>
      <c r="U483" s="48">
        <f t="shared" si="41"/>
        <v>951</v>
      </c>
      <c r="V483" s="48">
        <f t="shared" si="42"/>
        <v>1184</v>
      </c>
      <c r="W483" s="49">
        <f t="shared" si="43"/>
        <v>0.247108307</v>
      </c>
      <c r="X483" s="49">
        <f t="shared" si="44"/>
        <v>0.5331230284</v>
      </c>
      <c r="Y483" s="49">
        <f t="shared" si="45"/>
        <v>0.2197686646</v>
      </c>
      <c r="Z483" s="32" t="str">
        <f t="shared" si="46"/>
        <v>Milton</v>
      </c>
      <c r="AA483" s="50" t="s">
        <v>77</v>
      </c>
      <c r="AB483" s="38">
        <v>2264.0</v>
      </c>
      <c r="AC483" s="48">
        <f t="shared" si="47"/>
        <v>1080</v>
      </c>
      <c r="AD483" s="51">
        <f t="shared" si="48"/>
        <v>0.5229681979</v>
      </c>
    </row>
    <row r="484">
      <c r="A484" s="61" t="s">
        <v>2501</v>
      </c>
      <c r="B484" s="46" t="s">
        <v>2502</v>
      </c>
      <c r="C484" s="47"/>
      <c r="D484" s="38">
        <v>6407.0</v>
      </c>
      <c r="E484" s="38">
        <v>1446.0</v>
      </c>
      <c r="F484" s="38">
        <v>3991.0</v>
      </c>
      <c r="G484" s="38">
        <v>190.0</v>
      </c>
      <c r="H484" s="38">
        <v>258.0</v>
      </c>
      <c r="I484" s="48">
        <f t="shared" si="35"/>
        <v>11844</v>
      </c>
      <c r="J484" s="48">
        <f t="shared" si="36"/>
        <v>12292</v>
      </c>
      <c r="K484" s="49">
        <f t="shared" si="37"/>
        <v>0.5409490037</v>
      </c>
      <c r="L484" s="49">
        <f t="shared" si="38"/>
        <v>0.1220871327</v>
      </c>
      <c r="M484" s="49">
        <f t="shared" si="39"/>
        <v>0.3369638636</v>
      </c>
      <c r="N484" s="32" t="str">
        <f t="shared" si="40"/>
        <v>Jânio</v>
      </c>
      <c r="O484" s="50" t="s">
        <v>77</v>
      </c>
      <c r="P484" s="38">
        <v>3645.0</v>
      </c>
      <c r="Q484" s="38">
        <v>5809.0</v>
      </c>
      <c r="R484" s="38">
        <v>1846.0</v>
      </c>
      <c r="S484" s="38">
        <v>849.0</v>
      </c>
      <c r="T484" s="38">
        <v>143.0</v>
      </c>
      <c r="U484" s="48">
        <f t="shared" si="41"/>
        <v>11300</v>
      </c>
      <c r="V484" s="48">
        <f t="shared" si="42"/>
        <v>12292</v>
      </c>
      <c r="W484" s="49">
        <f t="shared" si="43"/>
        <v>0.3225663717</v>
      </c>
      <c r="X484" s="49">
        <f t="shared" si="44"/>
        <v>0.5140707965</v>
      </c>
      <c r="Y484" s="49">
        <f t="shared" si="45"/>
        <v>0.1633628319</v>
      </c>
      <c r="Z484" s="32" t="str">
        <f t="shared" si="46"/>
        <v>Milton</v>
      </c>
      <c r="AA484" s="50" t="s">
        <v>77</v>
      </c>
      <c r="AB484" s="38">
        <v>13084.0</v>
      </c>
      <c r="AC484" s="48">
        <f t="shared" si="47"/>
        <v>792</v>
      </c>
      <c r="AD484" s="51">
        <f t="shared" si="48"/>
        <v>0.9394680526</v>
      </c>
    </row>
    <row r="485">
      <c r="A485" s="24"/>
      <c r="B485" s="46" t="s">
        <v>2503</v>
      </c>
      <c r="C485" s="47"/>
      <c r="D485" s="38">
        <v>844.0</v>
      </c>
      <c r="E485" s="38">
        <v>226.0</v>
      </c>
      <c r="F485" s="38">
        <v>732.0</v>
      </c>
      <c r="G485" s="38">
        <v>27.0</v>
      </c>
      <c r="H485" s="38">
        <v>55.0</v>
      </c>
      <c r="I485" s="48">
        <f t="shared" si="35"/>
        <v>1802</v>
      </c>
      <c r="J485" s="48">
        <f t="shared" si="36"/>
        <v>1884</v>
      </c>
      <c r="K485" s="49">
        <f t="shared" si="37"/>
        <v>0.4683684795</v>
      </c>
      <c r="L485" s="49">
        <f t="shared" si="38"/>
        <v>0.1254162042</v>
      </c>
      <c r="M485" s="49">
        <f t="shared" si="39"/>
        <v>0.4062153163</v>
      </c>
      <c r="N485" s="32" t="str">
        <f t="shared" si="40"/>
        <v>Jânio</v>
      </c>
      <c r="O485" s="50" t="s">
        <v>77</v>
      </c>
      <c r="P485" s="38">
        <v>618.0</v>
      </c>
      <c r="Q485" s="38">
        <v>752.0</v>
      </c>
      <c r="R485" s="38">
        <v>327.0</v>
      </c>
      <c r="S485" s="38">
        <v>157.0</v>
      </c>
      <c r="T485" s="38">
        <v>30.0</v>
      </c>
      <c r="U485" s="48">
        <f t="shared" si="41"/>
        <v>1697</v>
      </c>
      <c r="V485" s="48">
        <f t="shared" si="42"/>
        <v>1884</v>
      </c>
      <c r="W485" s="49">
        <f t="shared" si="43"/>
        <v>0.3641720684</v>
      </c>
      <c r="X485" s="49">
        <f t="shared" si="44"/>
        <v>0.443134944</v>
      </c>
      <c r="Y485" s="49">
        <f t="shared" si="45"/>
        <v>0.1926929876</v>
      </c>
      <c r="Z485" s="32" t="str">
        <f t="shared" si="46"/>
        <v>Milton</v>
      </c>
      <c r="AA485" s="50" t="s">
        <v>77</v>
      </c>
      <c r="AB485" s="38">
        <v>1992.0</v>
      </c>
      <c r="AC485" s="48">
        <f t="shared" si="47"/>
        <v>108</v>
      </c>
      <c r="AD485" s="51">
        <f t="shared" si="48"/>
        <v>0.9457831325</v>
      </c>
    </row>
    <row r="486">
      <c r="A486" s="61" t="s">
        <v>2504</v>
      </c>
      <c r="B486" s="46" t="s">
        <v>2505</v>
      </c>
      <c r="C486" s="47"/>
      <c r="D486" s="38">
        <v>1120.0</v>
      </c>
      <c r="E486" s="38">
        <v>230.0</v>
      </c>
      <c r="F486" s="38">
        <v>827.0</v>
      </c>
      <c r="G486" s="38">
        <v>58.0</v>
      </c>
      <c r="H486" s="38">
        <v>126.0</v>
      </c>
      <c r="I486" s="48">
        <f t="shared" si="35"/>
        <v>2177</v>
      </c>
      <c r="J486" s="48">
        <f t="shared" si="36"/>
        <v>2361</v>
      </c>
      <c r="K486" s="49">
        <f t="shared" si="37"/>
        <v>0.5144694534</v>
      </c>
      <c r="L486" s="49">
        <f t="shared" si="38"/>
        <v>0.105649977</v>
      </c>
      <c r="M486" s="49">
        <f t="shared" si="39"/>
        <v>0.3798805696</v>
      </c>
      <c r="N486" s="32" t="str">
        <f t="shared" si="40"/>
        <v>Jânio</v>
      </c>
      <c r="O486" s="50" t="s">
        <v>77</v>
      </c>
      <c r="P486" s="38">
        <v>673.0</v>
      </c>
      <c r="Q486" s="38">
        <v>1022.0</v>
      </c>
      <c r="R486" s="38">
        <v>247.0</v>
      </c>
      <c r="S486" s="38">
        <v>328.0</v>
      </c>
      <c r="T486" s="38">
        <v>91.0</v>
      </c>
      <c r="U486" s="48">
        <f t="shared" si="41"/>
        <v>1942</v>
      </c>
      <c r="V486" s="48">
        <f t="shared" si="42"/>
        <v>2361</v>
      </c>
      <c r="W486" s="49">
        <f t="shared" si="43"/>
        <v>0.3465499485</v>
      </c>
      <c r="X486" s="49">
        <f t="shared" si="44"/>
        <v>0.526261586</v>
      </c>
      <c r="Y486" s="49">
        <f t="shared" si="45"/>
        <v>0.1271884655</v>
      </c>
      <c r="Z486" s="32" t="str">
        <f t="shared" si="46"/>
        <v>Milton</v>
      </c>
      <c r="AA486" s="50" t="s">
        <v>77</v>
      </c>
      <c r="AB486" s="38">
        <v>2607.0</v>
      </c>
      <c r="AC486" s="48">
        <f t="shared" si="47"/>
        <v>246</v>
      </c>
      <c r="AD486" s="51">
        <f t="shared" si="48"/>
        <v>0.9056386651</v>
      </c>
    </row>
    <row r="487">
      <c r="A487" s="24"/>
      <c r="B487" s="46" t="s">
        <v>2506</v>
      </c>
      <c r="C487" s="47"/>
      <c r="D487" s="38">
        <v>206.0</v>
      </c>
      <c r="E487" s="38">
        <v>96.0</v>
      </c>
      <c r="F487" s="38">
        <v>206.0</v>
      </c>
      <c r="G487" s="38">
        <v>27.0</v>
      </c>
      <c r="H487" s="38">
        <v>53.0</v>
      </c>
      <c r="I487" s="48">
        <f t="shared" si="35"/>
        <v>508</v>
      </c>
      <c r="J487" s="48">
        <f t="shared" si="36"/>
        <v>588</v>
      </c>
      <c r="K487" s="49">
        <f t="shared" si="37"/>
        <v>0.405511811</v>
      </c>
      <c r="L487" s="49">
        <f t="shared" si="38"/>
        <v>0.188976378</v>
      </c>
      <c r="M487" s="49">
        <f t="shared" si="39"/>
        <v>0.405511811</v>
      </c>
      <c r="N487" s="32" t="str">
        <f t="shared" si="40"/>
        <v>Empate</v>
      </c>
      <c r="O487" s="50" t="s">
        <v>77</v>
      </c>
      <c r="P487" s="38">
        <v>158.0</v>
      </c>
      <c r="Q487" s="38">
        <v>199.0</v>
      </c>
      <c r="R487" s="38">
        <v>81.0</v>
      </c>
      <c r="S487" s="38">
        <v>105.0</v>
      </c>
      <c r="T487" s="38">
        <v>45.0</v>
      </c>
      <c r="U487" s="48">
        <f t="shared" si="41"/>
        <v>438</v>
      </c>
      <c r="V487" s="48">
        <f t="shared" si="42"/>
        <v>588</v>
      </c>
      <c r="W487" s="49">
        <f t="shared" si="43"/>
        <v>0.3607305936</v>
      </c>
      <c r="X487" s="49">
        <f t="shared" si="44"/>
        <v>0.4543378995</v>
      </c>
      <c r="Y487" s="49">
        <f t="shared" si="45"/>
        <v>0.1849315068</v>
      </c>
      <c r="Z487" s="32" t="str">
        <f t="shared" si="46"/>
        <v>Milton</v>
      </c>
      <c r="AA487" s="50" t="s">
        <v>77</v>
      </c>
      <c r="AB487" s="38">
        <v>692.0</v>
      </c>
      <c r="AC487" s="48">
        <f t="shared" si="47"/>
        <v>104</v>
      </c>
      <c r="AD487" s="51">
        <f t="shared" si="48"/>
        <v>0.8497109827</v>
      </c>
    </row>
    <row r="488">
      <c r="A488" s="61" t="s">
        <v>2507</v>
      </c>
      <c r="B488" s="46" t="s">
        <v>2508</v>
      </c>
      <c r="C488" s="47"/>
      <c r="D488" s="38">
        <v>1244.0</v>
      </c>
      <c r="E488" s="38">
        <v>183.0</v>
      </c>
      <c r="F488" s="38">
        <v>1104.0</v>
      </c>
      <c r="G488" s="38">
        <v>50.0</v>
      </c>
      <c r="H488" s="38">
        <v>98.0</v>
      </c>
      <c r="I488" s="48">
        <f t="shared" si="35"/>
        <v>2531</v>
      </c>
      <c r="J488" s="48">
        <f t="shared" si="36"/>
        <v>2679</v>
      </c>
      <c r="K488" s="49">
        <f t="shared" si="37"/>
        <v>0.4915053339</v>
      </c>
      <c r="L488" s="49">
        <f t="shared" si="38"/>
        <v>0.07230343738</v>
      </c>
      <c r="M488" s="49">
        <f t="shared" si="39"/>
        <v>0.4361912288</v>
      </c>
      <c r="N488" s="32" t="str">
        <f t="shared" si="40"/>
        <v>Jânio</v>
      </c>
      <c r="O488" s="50" t="s">
        <v>77</v>
      </c>
      <c r="P488" s="38">
        <v>721.0</v>
      </c>
      <c r="Q488" s="38">
        <v>729.0</v>
      </c>
      <c r="R488" s="38">
        <v>805.0</v>
      </c>
      <c r="S488" s="38">
        <v>398.0</v>
      </c>
      <c r="T488" s="38">
        <v>26.0</v>
      </c>
      <c r="U488" s="48">
        <f t="shared" si="41"/>
        <v>2255</v>
      </c>
      <c r="V488" s="48">
        <f t="shared" si="42"/>
        <v>2679</v>
      </c>
      <c r="W488" s="49">
        <f t="shared" si="43"/>
        <v>0.3197339246</v>
      </c>
      <c r="X488" s="49">
        <f t="shared" si="44"/>
        <v>0.3232815965</v>
      </c>
      <c r="Y488" s="49">
        <f t="shared" si="45"/>
        <v>0.3569844789</v>
      </c>
      <c r="Z488" s="32" t="str">
        <f t="shared" si="46"/>
        <v>Ferrari</v>
      </c>
      <c r="AA488" s="50" t="s">
        <v>77</v>
      </c>
      <c r="AB488" s="38">
        <v>3437.0</v>
      </c>
      <c r="AC488" s="48">
        <f t="shared" si="47"/>
        <v>758</v>
      </c>
      <c r="AD488" s="51">
        <f t="shared" si="48"/>
        <v>0.7794588304</v>
      </c>
    </row>
    <row r="489">
      <c r="A489" s="24"/>
      <c r="B489" s="46" t="s">
        <v>2509</v>
      </c>
      <c r="C489" s="47"/>
      <c r="D489" s="38">
        <v>459.0</v>
      </c>
      <c r="E489" s="38">
        <v>163.0</v>
      </c>
      <c r="F489" s="38">
        <v>381.0</v>
      </c>
      <c r="G489" s="38">
        <v>25.0</v>
      </c>
      <c r="H489" s="38">
        <v>36.0</v>
      </c>
      <c r="I489" s="48">
        <f t="shared" si="35"/>
        <v>1003</v>
      </c>
      <c r="J489" s="48">
        <f t="shared" si="36"/>
        <v>1064</v>
      </c>
      <c r="K489" s="49">
        <f t="shared" si="37"/>
        <v>0.4576271186</v>
      </c>
      <c r="L489" s="49">
        <f t="shared" si="38"/>
        <v>0.1625124626</v>
      </c>
      <c r="M489" s="49">
        <f t="shared" si="39"/>
        <v>0.3798604187</v>
      </c>
      <c r="N489" s="32" t="str">
        <f t="shared" si="40"/>
        <v>Jânio</v>
      </c>
      <c r="O489" s="50" t="s">
        <v>77</v>
      </c>
      <c r="P489" s="38">
        <v>382.0</v>
      </c>
      <c r="Q489" s="38">
        <v>280.0</v>
      </c>
      <c r="R489" s="38">
        <v>206.0</v>
      </c>
      <c r="S489" s="38">
        <v>181.0</v>
      </c>
      <c r="T489" s="38">
        <v>15.0</v>
      </c>
      <c r="U489" s="48">
        <f t="shared" si="41"/>
        <v>868</v>
      </c>
      <c r="V489" s="48">
        <f t="shared" si="42"/>
        <v>1064</v>
      </c>
      <c r="W489" s="49">
        <f t="shared" si="43"/>
        <v>0.4400921659</v>
      </c>
      <c r="X489" s="49">
        <f t="shared" si="44"/>
        <v>0.3225806452</v>
      </c>
      <c r="Y489" s="49">
        <f t="shared" si="45"/>
        <v>0.2373271889</v>
      </c>
      <c r="Z489" s="32" t="str">
        <f t="shared" si="46"/>
        <v>Jango</v>
      </c>
      <c r="AA489" s="50" t="s">
        <v>77</v>
      </c>
      <c r="AB489" s="38">
        <v>1367.0</v>
      </c>
      <c r="AC489" s="48">
        <f t="shared" si="47"/>
        <v>303</v>
      </c>
      <c r="AD489" s="51">
        <f t="shared" si="48"/>
        <v>0.7783467447</v>
      </c>
    </row>
    <row r="490">
      <c r="A490" s="110" t="s">
        <v>2510</v>
      </c>
      <c r="B490" s="46" t="s">
        <v>2511</v>
      </c>
      <c r="C490" s="47"/>
      <c r="D490" s="38">
        <v>1832.0</v>
      </c>
      <c r="E490" s="38">
        <v>447.0</v>
      </c>
      <c r="F490" s="38">
        <v>1820.0</v>
      </c>
      <c r="G490" s="38">
        <v>82.0</v>
      </c>
      <c r="H490" s="38">
        <v>103.0</v>
      </c>
      <c r="I490" s="48">
        <f t="shared" si="35"/>
        <v>4099</v>
      </c>
      <c r="J490" s="48">
        <f t="shared" si="36"/>
        <v>4284</v>
      </c>
      <c r="K490" s="49">
        <f t="shared" si="37"/>
        <v>0.4469382776</v>
      </c>
      <c r="L490" s="49">
        <f t="shared" si="38"/>
        <v>0.109050988</v>
      </c>
      <c r="M490" s="49">
        <f t="shared" si="39"/>
        <v>0.4440107343</v>
      </c>
      <c r="N490" s="32" t="str">
        <f t="shared" si="40"/>
        <v>Jânio</v>
      </c>
      <c r="O490" s="50" t="s">
        <v>77</v>
      </c>
      <c r="P490" s="38">
        <v>1501.0</v>
      </c>
      <c r="Q490" s="38">
        <v>1322.0</v>
      </c>
      <c r="R490" s="38">
        <v>876.0</v>
      </c>
      <c r="S490" s="38">
        <v>517.0</v>
      </c>
      <c r="T490" s="38">
        <v>68.0</v>
      </c>
      <c r="U490" s="48">
        <f t="shared" si="41"/>
        <v>3699</v>
      </c>
      <c r="V490" s="48">
        <f t="shared" si="42"/>
        <v>4284</v>
      </c>
      <c r="W490" s="49">
        <f t="shared" si="43"/>
        <v>0.4057853474</v>
      </c>
      <c r="X490" s="49">
        <f t="shared" si="44"/>
        <v>0.3573938902</v>
      </c>
      <c r="Y490" s="49">
        <f t="shared" si="45"/>
        <v>0.2368207624</v>
      </c>
      <c r="Z490" s="32" t="str">
        <f t="shared" si="46"/>
        <v>Jango</v>
      </c>
      <c r="AA490" s="50" t="s">
        <v>77</v>
      </c>
      <c r="AB490" s="38">
        <v>4670.0</v>
      </c>
      <c r="AC490" s="48">
        <f t="shared" si="47"/>
        <v>386</v>
      </c>
      <c r="AD490" s="51">
        <f t="shared" si="48"/>
        <v>0.9173447537</v>
      </c>
    </row>
    <row r="491">
      <c r="A491" s="61" t="s">
        <v>2512</v>
      </c>
      <c r="B491" s="46" t="s">
        <v>2513</v>
      </c>
      <c r="C491" s="47"/>
      <c r="D491" s="38">
        <v>1444.0</v>
      </c>
      <c r="E491" s="38">
        <v>136.0</v>
      </c>
      <c r="F491" s="38">
        <v>680.0</v>
      </c>
      <c r="G491" s="38">
        <v>55.0</v>
      </c>
      <c r="H491" s="38">
        <v>137.0</v>
      </c>
      <c r="I491" s="48">
        <f t="shared" si="35"/>
        <v>2260</v>
      </c>
      <c r="J491" s="48">
        <f t="shared" si="36"/>
        <v>2452</v>
      </c>
      <c r="K491" s="49">
        <f t="shared" si="37"/>
        <v>0.6389380531</v>
      </c>
      <c r="L491" s="49">
        <f t="shared" si="38"/>
        <v>0.06017699115</v>
      </c>
      <c r="M491" s="49">
        <f t="shared" si="39"/>
        <v>0.3008849558</v>
      </c>
      <c r="N491" s="32" t="str">
        <f t="shared" si="40"/>
        <v>Jânio</v>
      </c>
      <c r="O491" s="50" t="s">
        <v>77</v>
      </c>
      <c r="P491" s="38">
        <v>364.0</v>
      </c>
      <c r="Q491" s="38">
        <v>555.0</v>
      </c>
      <c r="R491" s="38">
        <v>1138.0</v>
      </c>
      <c r="S491" s="38">
        <v>327.0</v>
      </c>
      <c r="T491" s="38">
        <v>68.0</v>
      </c>
      <c r="U491" s="48">
        <f t="shared" si="41"/>
        <v>2057</v>
      </c>
      <c r="V491" s="48">
        <f t="shared" si="42"/>
        <v>2452</v>
      </c>
      <c r="W491" s="49">
        <f t="shared" si="43"/>
        <v>0.1769567331</v>
      </c>
      <c r="X491" s="49">
        <f t="shared" si="44"/>
        <v>0.2698104035</v>
      </c>
      <c r="Y491" s="49">
        <f t="shared" si="45"/>
        <v>0.5532328634</v>
      </c>
      <c r="Z491" s="32" t="str">
        <f t="shared" si="46"/>
        <v>Ferrari</v>
      </c>
      <c r="AA491" s="50" t="s">
        <v>77</v>
      </c>
      <c r="AB491" s="38">
        <v>3043.0</v>
      </c>
      <c r="AC491" s="48">
        <f t="shared" si="47"/>
        <v>591</v>
      </c>
      <c r="AD491" s="51">
        <f t="shared" si="48"/>
        <v>0.805783766</v>
      </c>
    </row>
    <row r="492">
      <c r="A492" s="23"/>
      <c r="B492" s="46" t="s">
        <v>2514</v>
      </c>
      <c r="C492" s="47"/>
      <c r="D492" s="38">
        <v>291.0</v>
      </c>
      <c r="E492" s="38">
        <v>19.0</v>
      </c>
      <c r="F492" s="38">
        <v>234.0</v>
      </c>
      <c r="G492" s="38">
        <v>8.0</v>
      </c>
      <c r="H492" s="38">
        <v>17.0</v>
      </c>
      <c r="I492" s="48">
        <f t="shared" si="35"/>
        <v>544</v>
      </c>
      <c r="J492" s="48">
        <f t="shared" si="36"/>
        <v>569</v>
      </c>
      <c r="K492" s="49">
        <f t="shared" si="37"/>
        <v>0.5349264706</v>
      </c>
      <c r="L492" s="49">
        <f t="shared" si="38"/>
        <v>0.03492647059</v>
      </c>
      <c r="M492" s="49">
        <f t="shared" si="39"/>
        <v>0.4301470588</v>
      </c>
      <c r="N492" s="32" t="str">
        <f t="shared" si="40"/>
        <v>Jânio</v>
      </c>
      <c r="O492" s="50" t="s">
        <v>77</v>
      </c>
      <c r="P492" s="38">
        <v>72.0</v>
      </c>
      <c r="Q492" s="38">
        <v>86.0</v>
      </c>
      <c r="R492" s="38">
        <v>336.0</v>
      </c>
      <c r="S492" s="38">
        <v>68.0</v>
      </c>
      <c r="T492" s="38">
        <v>7.0</v>
      </c>
      <c r="U492" s="48">
        <f t="shared" si="41"/>
        <v>494</v>
      </c>
      <c r="V492" s="48">
        <f t="shared" si="42"/>
        <v>569</v>
      </c>
      <c r="W492" s="49">
        <f t="shared" si="43"/>
        <v>0.1457489879</v>
      </c>
      <c r="X492" s="49">
        <f t="shared" si="44"/>
        <v>0.1740890688</v>
      </c>
      <c r="Y492" s="49">
        <f t="shared" si="45"/>
        <v>0.6801619433</v>
      </c>
      <c r="Z492" s="32" t="str">
        <f t="shared" si="46"/>
        <v>Ferrari</v>
      </c>
      <c r="AA492" s="50" t="s">
        <v>77</v>
      </c>
      <c r="AB492" s="38">
        <v>655.0</v>
      </c>
      <c r="AC492" s="48">
        <f t="shared" si="47"/>
        <v>86</v>
      </c>
      <c r="AD492" s="51">
        <f t="shared" si="48"/>
        <v>0.8687022901</v>
      </c>
    </row>
    <row r="493">
      <c r="A493" s="23"/>
      <c r="B493" s="46" t="s">
        <v>2515</v>
      </c>
      <c r="C493" s="47"/>
      <c r="D493" s="38">
        <v>434.0</v>
      </c>
      <c r="E493" s="38">
        <v>77.0</v>
      </c>
      <c r="F493" s="38">
        <v>258.0</v>
      </c>
      <c r="G493" s="38">
        <v>32.0</v>
      </c>
      <c r="H493" s="38">
        <v>44.0</v>
      </c>
      <c r="I493" s="48">
        <f t="shared" si="35"/>
        <v>769</v>
      </c>
      <c r="J493" s="48">
        <f t="shared" si="36"/>
        <v>845</v>
      </c>
      <c r="K493" s="49">
        <f t="shared" si="37"/>
        <v>0.5643693108</v>
      </c>
      <c r="L493" s="49">
        <f t="shared" si="38"/>
        <v>0.100130039</v>
      </c>
      <c r="M493" s="49">
        <f t="shared" si="39"/>
        <v>0.3355006502</v>
      </c>
      <c r="N493" s="32" t="str">
        <f t="shared" si="40"/>
        <v>Jânio</v>
      </c>
      <c r="O493" s="50" t="s">
        <v>77</v>
      </c>
      <c r="P493" s="38">
        <v>240.0</v>
      </c>
      <c r="Q493" s="38">
        <v>213.0</v>
      </c>
      <c r="R493" s="38">
        <v>201.0</v>
      </c>
      <c r="S493" s="38">
        <v>172.0</v>
      </c>
      <c r="T493" s="38">
        <v>19.0</v>
      </c>
      <c r="U493" s="48">
        <f t="shared" si="41"/>
        <v>654</v>
      </c>
      <c r="V493" s="48">
        <f t="shared" si="42"/>
        <v>845</v>
      </c>
      <c r="W493" s="49">
        <f t="shared" si="43"/>
        <v>0.3669724771</v>
      </c>
      <c r="X493" s="49">
        <f t="shared" si="44"/>
        <v>0.3256880734</v>
      </c>
      <c r="Y493" s="49">
        <f t="shared" si="45"/>
        <v>0.3073394495</v>
      </c>
      <c r="Z493" s="32" t="str">
        <f t="shared" si="46"/>
        <v>Jango</v>
      </c>
      <c r="AA493" s="50" t="s">
        <v>77</v>
      </c>
      <c r="AB493" s="38">
        <v>1134.0</v>
      </c>
      <c r="AC493" s="48">
        <f t="shared" si="47"/>
        <v>289</v>
      </c>
      <c r="AD493" s="51">
        <f t="shared" si="48"/>
        <v>0.7451499118</v>
      </c>
    </row>
    <row r="494">
      <c r="A494" s="24"/>
      <c r="B494" s="46" t="s">
        <v>2516</v>
      </c>
      <c r="C494" s="47"/>
      <c r="D494" s="38">
        <v>370.0</v>
      </c>
      <c r="E494" s="38">
        <v>72.0</v>
      </c>
      <c r="F494" s="38">
        <v>86.0</v>
      </c>
      <c r="G494" s="38">
        <v>7.0</v>
      </c>
      <c r="H494" s="38">
        <v>12.0</v>
      </c>
      <c r="I494" s="48">
        <f t="shared" si="35"/>
        <v>528</v>
      </c>
      <c r="J494" s="48">
        <f t="shared" si="36"/>
        <v>547</v>
      </c>
      <c r="K494" s="49">
        <f t="shared" si="37"/>
        <v>0.7007575758</v>
      </c>
      <c r="L494" s="49">
        <f t="shared" si="38"/>
        <v>0.1363636364</v>
      </c>
      <c r="M494" s="49">
        <f t="shared" si="39"/>
        <v>0.1628787879</v>
      </c>
      <c r="N494" s="32" t="str">
        <f t="shared" si="40"/>
        <v>Jânio</v>
      </c>
      <c r="O494" s="50" t="s">
        <v>77</v>
      </c>
      <c r="P494" s="38">
        <v>112.0</v>
      </c>
      <c r="Q494" s="38">
        <v>279.0</v>
      </c>
      <c r="R494" s="38">
        <v>94.0</v>
      </c>
      <c r="S494" s="38">
        <v>56.0</v>
      </c>
      <c r="T494" s="38">
        <v>6.0</v>
      </c>
      <c r="U494" s="48">
        <f t="shared" si="41"/>
        <v>485</v>
      </c>
      <c r="V494" s="48">
        <f t="shared" si="42"/>
        <v>547</v>
      </c>
      <c r="W494" s="49">
        <f t="shared" si="43"/>
        <v>0.2309278351</v>
      </c>
      <c r="X494" s="49">
        <f t="shared" si="44"/>
        <v>0.575257732</v>
      </c>
      <c r="Y494" s="49">
        <f t="shared" si="45"/>
        <v>0.193814433</v>
      </c>
      <c r="Z494" s="32" t="str">
        <f t="shared" si="46"/>
        <v>Milton</v>
      </c>
      <c r="AA494" s="50" t="s">
        <v>77</v>
      </c>
      <c r="AB494" s="38">
        <v>640.0</v>
      </c>
      <c r="AC494" s="48">
        <f t="shared" si="47"/>
        <v>93</v>
      </c>
      <c r="AD494" s="51">
        <f t="shared" si="48"/>
        <v>0.8546875</v>
      </c>
    </row>
    <row r="495">
      <c r="A495" s="61" t="s">
        <v>2517</v>
      </c>
      <c r="B495" s="46" t="s">
        <v>2518</v>
      </c>
      <c r="C495" s="47"/>
      <c r="D495" s="38">
        <v>3451.0</v>
      </c>
      <c r="E495" s="38">
        <v>746.0</v>
      </c>
      <c r="F495" s="38">
        <v>1501.0</v>
      </c>
      <c r="G495" s="38">
        <v>97.0</v>
      </c>
      <c r="H495" s="38">
        <v>153.0</v>
      </c>
      <c r="I495" s="48">
        <f t="shared" si="35"/>
        <v>5698</v>
      </c>
      <c r="J495" s="48">
        <f t="shared" si="36"/>
        <v>5948</v>
      </c>
      <c r="K495" s="49">
        <f t="shared" si="37"/>
        <v>0.6056511057</v>
      </c>
      <c r="L495" s="49">
        <f t="shared" si="38"/>
        <v>0.1309231309</v>
      </c>
      <c r="M495" s="49">
        <f t="shared" si="39"/>
        <v>0.2634257634</v>
      </c>
      <c r="N495" s="32" t="str">
        <f t="shared" si="40"/>
        <v>Jânio</v>
      </c>
      <c r="O495" s="50" t="s">
        <v>77</v>
      </c>
      <c r="P495" s="38">
        <v>1480.0</v>
      </c>
      <c r="Q495" s="38">
        <v>3395.0</v>
      </c>
      <c r="R495" s="38">
        <v>485.0</v>
      </c>
      <c r="S495" s="38">
        <v>508.0</v>
      </c>
      <c r="T495" s="38">
        <v>80.0</v>
      </c>
      <c r="U495" s="48">
        <f t="shared" si="41"/>
        <v>5360</v>
      </c>
      <c r="V495" s="48">
        <f t="shared" si="42"/>
        <v>5948</v>
      </c>
      <c r="W495" s="49">
        <f t="shared" si="43"/>
        <v>0.276119403</v>
      </c>
      <c r="X495" s="49">
        <f t="shared" si="44"/>
        <v>0.6333955224</v>
      </c>
      <c r="Y495" s="49">
        <f t="shared" si="45"/>
        <v>0.09048507463</v>
      </c>
      <c r="Z495" s="32" t="str">
        <f t="shared" si="46"/>
        <v>Milton</v>
      </c>
      <c r="AA495" s="50" t="s">
        <v>77</v>
      </c>
      <c r="AB495" s="38">
        <v>7334.0</v>
      </c>
      <c r="AC495" s="48">
        <f t="shared" si="47"/>
        <v>1386</v>
      </c>
      <c r="AD495" s="51">
        <f t="shared" si="48"/>
        <v>0.8110171803</v>
      </c>
    </row>
    <row r="496">
      <c r="A496" s="23"/>
      <c r="B496" s="46" t="s">
        <v>2519</v>
      </c>
      <c r="C496" s="47"/>
      <c r="D496" s="38">
        <v>194.0</v>
      </c>
      <c r="E496" s="38">
        <v>12.0</v>
      </c>
      <c r="F496" s="38">
        <v>92.0</v>
      </c>
      <c r="G496" s="38">
        <v>23.0</v>
      </c>
      <c r="H496" s="38">
        <v>17.0</v>
      </c>
      <c r="I496" s="48">
        <f t="shared" si="35"/>
        <v>298</v>
      </c>
      <c r="J496" s="48">
        <f t="shared" si="36"/>
        <v>338</v>
      </c>
      <c r="K496" s="49">
        <f t="shared" si="37"/>
        <v>0.6510067114</v>
      </c>
      <c r="L496" s="49">
        <f t="shared" si="38"/>
        <v>0.04026845638</v>
      </c>
      <c r="M496" s="49">
        <f t="shared" si="39"/>
        <v>0.3087248322</v>
      </c>
      <c r="N496" s="32" t="str">
        <f t="shared" si="40"/>
        <v>Jânio</v>
      </c>
      <c r="O496" s="50" t="s">
        <v>77</v>
      </c>
      <c r="P496" s="38">
        <v>64.0</v>
      </c>
      <c r="Q496" s="38">
        <v>165.0</v>
      </c>
      <c r="R496" s="38">
        <v>30.0</v>
      </c>
      <c r="S496" s="38">
        <v>72.0</v>
      </c>
      <c r="T496" s="38">
        <v>7.0</v>
      </c>
      <c r="U496" s="48">
        <f t="shared" si="41"/>
        <v>259</v>
      </c>
      <c r="V496" s="48">
        <f t="shared" si="42"/>
        <v>338</v>
      </c>
      <c r="W496" s="49">
        <f t="shared" si="43"/>
        <v>0.2471042471</v>
      </c>
      <c r="X496" s="49">
        <f t="shared" si="44"/>
        <v>0.6370656371</v>
      </c>
      <c r="Y496" s="49">
        <f t="shared" si="45"/>
        <v>0.1158301158</v>
      </c>
      <c r="Z496" s="32" t="str">
        <f t="shared" si="46"/>
        <v>Milton</v>
      </c>
      <c r="AA496" s="50" t="s">
        <v>77</v>
      </c>
      <c r="AB496" s="38">
        <v>497.0</v>
      </c>
      <c r="AC496" s="48">
        <f t="shared" si="47"/>
        <v>159</v>
      </c>
      <c r="AD496" s="51">
        <f t="shared" si="48"/>
        <v>0.6800804829</v>
      </c>
    </row>
    <row r="497">
      <c r="A497" s="24"/>
      <c r="B497" s="46" t="s">
        <v>2520</v>
      </c>
      <c r="C497" s="47"/>
      <c r="D497" s="38">
        <v>392.0</v>
      </c>
      <c r="E497" s="38">
        <v>81.0</v>
      </c>
      <c r="F497" s="38">
        <v>144.0</v>
      </c>
      <c r="G497" s="38">
        <v>24.0</v>
      </c>
      <c r="H497" s="38">
        <v>13.0</v>
      </c>
      <c r="I497" s="48">
        <f t="shared" si="35"/>
        <v>617</v>
      </c>
      <c r="J497" s="48">
        <f t="shared" si="36"/>
        <v>654</v>
      </c>
      <c r="K497" s="49">
        <f t="shared" si="37"/>
        <v>0.6353322528</v>
      </c>
      <c r="L497" s="49">
        <f t="shared" si="38"/>
        <v>0.131280389</v>
      </c>
      <c r="M497" s="49">
        <f t="shared" si="39"/>
        <v>0.2333873582</v>
      </c>
      <c r="N497" s="32" t="str">
        <f t="shared" si="40"/>
        <v>Jânio</v>
      </c>
      <c r="O497" s="50" t="s">
        <v>77</v>
      </c>
      <c r="P497" s="38">
        <v>147.0</v>
      </c>
      <c r="Q497" s="38">
        <v>312.0</v>
      </c>
      <c r="R497" s="38">
        <v>80.0</v>
      </c>
      <c r="S497" s="38">
        <v>109.0</v>
      </c>
      <c r="T497" s="38">
        <v>6.0</v>
      </c>
      <c r="U497" s="48">
        <f t="shared" si="41"/>
        <v>539</v>
      </c>
      <c r="V497" s="48">
        <f t="shared" si="42"/>
        <v>654</v>
      </c>
      <c r="W497" s="49">
        <f t="shared" si="43"/>
        <v>0.2727272727</v>
      </c>
      <c r="X497" s="49">
        <f t="shared" si="44"/>
        <v>0.5788497217</v>
      </c>
      <c r="Y497" s="49">
        <f t="shared" si="45"/>
        <v>0.1484230056</v>
      </c>
      <c r="Z497" s="32" t="str">
        <f t="shared" si="46"/>
        <v>Milton</v>
      </c>
      <c r="AA497" s="50" t="s">
        <v>77</v>
      </c>
      <c r="AB497" s="38">
        <v>829.0</v>
      </c>
      <c r="AC497" s="48">
        <f t="shared" si="47"/>
        <v>175</v>
      </c>
      <c r="AD497" s="51">
        <f t="shared" si="48"/>
        <v>0.7889022919</v>
      </c>
    </row>
    <row r="498">
      <c r="A498" s="61" t="s">
        <v>2521</v>
      </c>
      <c r="B498" s="46" t="s">
        <v>2522</v>
      </c>
      <c r="C498" s="47"/>
      <c r="D498" s="38">
        <v>1437.0</v>
      </c>
      <c r="E498" s="38">
        <v>355.0</v>
      </c>
      <c r="F498" s="38">
        <v>526.0</v>
      </c>
      <c r="G498" s="38">
        <v>81.0</v>
      </c>
      <c r="H498" s="38">
        <v>75.0</v>
      </c>
      <c r="I498" s="48">
        <f t="shared" si="35"/>
        <v>2318</v>
      </c>
      <c r="J498" s="48">
        <f t="shared" si="36"/>
        <v>2474</v>
      </c>
      <c r="K498" s="49">
        <f t="shared" si="37"/>
        <v>0.619930975</v>
      </c>
      <c r="L498" s="49">
        <f t="shared" si="38"/>
        <v>0.1531492666</v>
      </c>
      <c r="M498" s="49">
        <f t="shared" si="39"/>
        <v>0.2269197584</v>
      </c>
      <c r="N498" s="32" t="str">
        <f t="shared" si="40"/>
        <v>Jânio</v>
      </c>
      <c r="O498" s="50" t="s">
        <v>77</v>
      </c>
      <c r="P498" s="38">
        <v>632.0</v>
      </c>
      <c r="Q498" s="38">
        <v>1187.0</v>
      </c>
      <c r="R498" s="38">
        <v>332.0</v>
      </c>
      <c r="S498" s="38">
        <v>276.0</v>
      </c>
      <c r="T498" s="38">
        <v>47.0</v>
      </c>
      <c r="U498" s="48">
        <f t="shared" si="41"/>
        <v>2151</v>
      </c>
      <c r="V498" s="48">
        <f t="shared" si="42"/>
        <v>2474</v>
      </c>
      <c r="W498" s="49">
        <f t="shared" si="43"/>
        <v>0.2938168294</v>
      </c>
      <c r="X498" s="49">
        <f t="shared" si="44"/>
        <v>0.5518363552</v>
      </c>
      <c r="Y498" s="49">
        <f t="shared" si="45"/>
        <v>0.1543468154</v>
      </c>
      <c r="Z498" s="32" t="str">
        <f t="shared" si="46"/>
        <v>Milton</v>
      </c>
      <c r="AA498" s="50" t="s">
        <v>77</v>
      </c>
      <c r="AB498" s="38">
        <v>3128.0</v>
      </c>
      <c r="AC498" s="48">
        <f t="shared" si="47"/>
        <v>654</v>
      </c>
      <c r="AD498" s="51">
        <f t="shared" si="48"/>
        <v>0.7909207161</v>
      </c>
    </row>
    <row r="499">
      <c r="A499" s="24"/>
      <c r="B499" s="46" t="s">
        <v>2523</v>
      </c>
      <c r="C499" s="47"/>
      <c r="D499" s="38">
        <v>786.0</v>
      </c>
      <c r="E499" s="38">
        <v>310.0</v>
      </c>
      <c r="F499" s="38">
        <v>374.0</v>
      </c>
      <c r="G499" s="38">
        <v>53.0</v>
      </c>
      <c r="H499" s="38">
        <v>70.0</v>
      </c>
      <c r="I499" s="48">
        <f t="shared" si="35"/>
        <v>1470</v>
      </c>
      <c r="J499" s="48">
        <f t="shared" si="36"/>
        <v>1593</v>
      </c>
      <c r="K499" s="49">
        <f t="shared" si="37"/>
        <v>0.5346938776</v>
      </c>
      <c r="L499" s="49">
        <f t="shared" si="38"/>
        <v>0.2108843537</v>
      </c>
      <c r="M499" s="49">
        <f t="shared" si="39"/>
        <v>0.2544217687</v>
      </c>
      <c r="N499" s="32" t="str">
        <f t="shared" si="40"/>
        <v>Jânio</v>
      </c>
      <c r="O499" s="50" t="s">
        <v>77</v>
      </c>
      <c r="P499" s="38">
        <v>527.0</v>
      </c>
      <c r="Q499" s="38">
        <v>501.0</v>
      </c>
      <c r="R499" s="38">
        <v>276.0</v>
      </c>
      <c r="S499" s="38">
        <v>246.0</v>
      </c>
      <c r="T499" s="38">
        <v>43.0</v>
      </c>
      <c r="U499" s="48">
        <f t="shared" si="41"/>
        <v>1304</v>
      </c>
      <c r="V499" s="48">
        <f t="shared" si="42"/>
        <v>1593</v>
      </c>
      <c r="W499" s="49">
        <f t="shared" si="43"/>
        <v>0.4041411043</v>
      </c>
      <c r="X499" s="49">
        <f t="shared" si="44"/>
        <v>0.384202454</v>
      </c>
      <c r="Y499" s="49">
        <f t="shared" si="45"/>
        <v>0.2116564417</v>
      </c>
      <c r="Z499" s="32" t="str">
        <f t="shared" si="46"/>
        <v>Jango</v>
      </c>
      <c r="AA499" s="50" t="s">
        <v>77</v>
      </c>
      <c r="AB499" s="38">
        <v>1634.0</v>
      </c>
      <c r="AC499" s="48">
        <f t="shared" si="47"/>
        <v>41</v>
      </c>
      <c r="AD499" s="51">
        <f t="shared" si="48"/>
        <v>0.9749082007</v>
      </c>
    </row>
    <row r="500">
      <c r="A500" s="61" t="s">
        <v>2524</v>
      </c>
      <c r="B500" s="46" t="s">
        <v>2525</v>
      </c>
      <c r="C500" s="47"/>
      <c r="D500" s="38">
        <v>2142.0</v>
      </c>
      <c r="E500" s="38">
        <v>671.0</v>
      </c>
      <c r="F500" s="38">
        <v>1213.0</v>
      </c>
      <c r="G500" s="38">
        <v>126.0</v>
      </c>
      <c r="H500" s="38">
        <v>128.0</v>
      </c>
      <c r="I500" s="48">
        <f t="shared" si="35"/>
        <v>4026</v>
      </c>
      <c r="J500" s="48">
        <f t="shared" si="36"/>
        <v>4280</v>
      </c>
      <c r="K500" s="49">
        <f t="shared" si="37"/>
        <v>0.5320417288</v>
      </c>
      <c r="L500" s="49">
        <f t="shared" si="38"/>
        <v>0.1666666667</v>
      </c>
      <c r="M500" s="49">
        <f t="shared" si="39"/>
        <v>0.3012916046</v>
      </c>
      <c r="N500" s="32" t="str">
        <f t="shared" si="40"/>
        <v>Jânio</v>
      </c>
      <c r="O500" s="50" t="s">
        <v>77</v>
      </c>
      <c r="P500" s="38">
        <v>1400.0</v>
      </c>
      <c r="Q500" s="38">
        <v>1849.0</v>
      </c>
      <c r="R500" s="38">
        <v>402.0</v>
      </c>
      <c r="S500" s="38">
        <v>556.0</v>
      </c>
      <c r="T500" s="38">
        <v>73.0</v>
      </c>
      <c r="U500" s="48">
        <f t="shared" si="41"/>
        <v>3651</v>
      </c>
      <c r="V500" s="48">
        <f t="shared" si="42"/>
        <v>4280</v>
      </c>
      <c r="W500" s="49">
        <f t="shared" si="43"/>
        <v>0.3834565872</v>
      </c>
      <c r="X500" s="49">
        <f t="shared" si="44"/>
        <v>0.5064365927</v>
      </c>
      <c r="Y500" s="49">
        <f t="shared" si="45"/>
        <v>0.11010682</v>
      </c>
      <c r="Z500" s="32" t="str">
        <f t="shared" si="46"/>
        <v>Milton</v>
      </c>
      <c r="AA500" s="50" t="s">
        <v>77</v>
      </c>
      <c r="AB500" s="38">
        <v>5209.0</v>
      </c>
      <c r="AC500" s="48">
        <f t="shared" si="47"/>
        <v>929</v>
      </c>
      <c r="AD500" s="51">
        <f t="shared" si="48"/>
        <v>0.8216548282</v>
      </c>
    </row>
    <row r="501">
      <c r="A501" s="24"/>
      <c r="B501" s="46" t="s">
        <v>2526</v>
      </c>
      <c r="C501" s="47"/>
      <c r="D501" s="38">
        <v>214.0</v>
      </c>
      <c r="E501" s="38">
        <v>42.0</v>
      </c>
      <c r="F501" s="38">
        <v>48.0</v>
      </c>
      <c r="G501" s="38">
        <v>14.0</v>
      </c>
      <c r="H501" s="38">
        <v>23.0</v>
      </c>
      <c r="I501" s="48">
        <f t="shared" si="35"/>
        <v>304</v>
      </c>
      <c r="J501" s="48">
        <f t="shared" si="36"/>
        <v>341</v>
      </c>
      <c r="K501" s="49">
        <f t="shared" si="37"/>
        <v>0.7039473684</v>
      </c>
      <c r="L501" s="49">
        <f t="shared" si="38"/>
        <v>0.1381578947</v>
      </c>
      <c r="M501" s="49">
        <f t="shared" si="39"/>
        <v>0.1578947368</v>
      </c>
      <c r="N501" s="32" t="str">
        <f t="shared" si="40"/>
        <v>Jânio</v>
      </c>
      <c r="O501" s="50" t="s">
        <v>77</v>
      </c>
      <c r="P501" s="38">
        <v>119.0</v>
      </c>
      <c r="Q501" s="38">
        <v>102.0</v>
      </c>
      <c r="R501" s="38">
        <v>48.0</v>
      </c>
      <c r="S501" s="38">
        <v>68.0</v>
      </c>
      <c r="T501" s="38">
        <v>4.0</v>
      </c>
      <c r="U501" s="48">
        <f t="shared" si="41"/>
        <v>269</v>
      </c>
      <c r="V501" s="48">
        <f t="shared" si="42"/>
        <v>341</v>
      </c>
      <c r="W501" s="49">
        <f t="shared" si="43"/>
        <v>0.4423791822</v>
      </c>
      <c r="X501" s="49">
        <f t="shared" si="44"/>
        <v>0.3791821561</v>
      </c>
      <c r="Y501" s="49">
        <f t="shared" si="45"/>
        <v>0.1784386617</v>
      </c>
      <c r="Z501" s="32" t="str">
        <f t="shared" si="46"/>
        <v>Jango</v>
      </c>
      <c r="AA501" s="50" t="s">
        <v>77</v>
      </c>
      <c r="AB501" s="38">
        <v>542.0</v>
      </c>
      <c r="AC501" s="48">
        <f t="shared" si="47"/>
        <v>201</v>
      </c>
      <c r="AD501" s="51">
        <f t="shared" si="48"/>
        <v>0.6291512915</v>
      </c>
    </row>
    <row r="502">
      <c r="A502" s="110" t="s">
        <v>2527</v>
      </c>
      <c r="B502" s="46" t="s">
        <v>2528</v>
      </c>
      <c r="C502" s="47"/>
      <c r="D502" s="38">
        <v>18654.0</v>
      </c>
      <c r="E502" s="38">
        <v>5915.0</v>
      </c>
      <c r="F502" s="38">
        <v>8863.0</v>
      </c>
      <c r="G502" s="38">
        <v>584.0</v>
      </c>
      <c r="H502" s="38">
        <v>1434.0</v>
      </c>
      <c r="I502" s="48">
        <f t="shared" si="35"/>
        <v>33432</v>
      </c>
      <c r="J502" s="48">
        <f t="shared" si="36"/>
        <v>35450</v>
      </c>
      <c r="K502" s="49">
        <f t="shared" si="37"/>
        <v>0.5579684135</v>
      </c>
      <c r="L502" s="49">
        <f t="shared" si="38"/>
        <v>0.1769262982</v>
      </c>
      <c r="M502" s="49">
        <f t="shared" si="39"/>
        <v>0.2651052883</v>
      </c>
      <c r="N502" s="32" t="str">
        <f t="shared" si="40"/>
        <v>Jânio</v>
      </c>
      <c r="O502" s="50" t="s">
        <v>77</v>
      </c>
      <c r="P502" s="38">
        <v>11897.0</v>
      </c>
      <c r="Q502" s="38">
        <v>15689.0</v>
      </c>
      <c r="R502" s="38">
        <v>4261.0</v>
      </c>
      <c r="S502" s="38">
        <v>2428.0</v>
      </c>
      <c r="T502" s="38">
        <v>1175.0</v>
      </c>
      <c r="U502" s="48">
        <f t="shared" si="41"/>
        <v>31847</v>
      </c>
      <c r="V502" s="48">
        <f t="shared" si="42"/>
        <v>35450</v>
      </c>
      <c r="W502" s="49">
        <f t="shared" si="43"/>
        <v>0.373567369</v>
      </c>
      <c r="X502" s="49">
        <f t="shared" si="44"/>
        <v>0.4926366691</v>
      </c>
      <c r="Y502" s="49">
        <f t="shared" si="45"/>
        <v>0.1337959619</v>
      </c>
      <c r="Z502" s="32" t="str">
        <f t="shared" si="46"/>
        <v>Milton</v>
      </c>
      <c r="AA502" s="50" t="s">
        <v>77</v>
      </c>
      <c r="AB502" s="38">
        <v>40770.0</v>
      </c>
      <c r="AC502" s="48">
        <f t="shared" si="47"/>
        <v>5320</v>
      </c>
      <c r="AD502" s="51">
        <f t="shared" si="48"/>
        <v>0.869511896</v>
      </c>
    </row>
    <row r="503">
      <c r="A503" s="61" t="s">
        <v>2529</v>
      </c>
      <c r="B503" s="46" t="s">
        <v>2530</v>
      </c>
      <c r="C503" s="47"/>
      <c r="D503" s="38">
        <v>1474.0</v>
      </c>
      <c r="E503" s="38">
        <v>238.0</v>
      </c>
      <c r="F503" s="38">
        <v>478.0</v>
      </c>
      <c r="G503" s="38">
        <v>38.0</v>
      </c>
      <c r="H503" s="38">
        <v>60.0</v>
      </c>
      <c r="I503" s="48">
        <f t="shared" si="35"/>
        <v>2190</v>
      </c>
      <c r="J503" s="48">
        <f t="shared" si="36"/>
        <v>2288</v>
      </c>
      <c r="K503" s="49">
        <f t="shared" si="37"/>
        <v>0.6730593607</v>
      </c>
      <c r="L503" s="49">
        <f t="shared" si="38"/>
        <v>0.1086757991</v>
      </c>
      <c r="M503" s="49">
        <f t="shared" si="39"/>
        <v>0.2182648402</v>
      </c>
      <c r="N503" s="32" t="str">
        <f t="shared" si="40"/>
        <v>Jânio</v>
      </c>
      <c r="O503" s="50" t="s">
        <v>77</v>
      </c>
      <c r="P503" s="38">
        <v>474.0</v>
      </c>
      <c r="Q503" s="38">
        <v>1243.0</v>
      </c>
      <c r="R503" s="38">
        <v>306.0</v>
      </c>
      <c r="S503" s="38">
        <v>243.0</v>
      </c>
      <c r="T503" s="38">
        <v>22.0</v>
      </c>
      <c r="U503" s="48">
        <f t="shared" si="41"/>
        <v>2023</v>
      </c>
      <c r="V503" s="48">
        <f t="shared" si="42"/>
        <v>2288</v>
      </c>
      <c r="W503" s="49">
        <f t="shared" si="43"/>
        <v>0.2343054869</v>
      </c>
      <c r="X503" s="49">
        <f t="shared" si="44"/>
        <v>0.6144340089</v>
      </c>
      <c r="Y503" s="49">
        <f t="shared" si="45"/>
        <v>0.1512605042</v>
      </c>
      <c r="Z503" s="32" t="str">
        <f t="shared" si="46"/>
        <v>Milton</v>
      </c>
      <c r="AA503" s="50" t="s">
        <v>77</v>
      </c>
      <c r="AB503" s="38">
        <v>2696.0</v>
      </c>
      <c r="AC503" s="48">
        <f t="shared" si="47"/>
        <v>408</v>
      </c>
      <c r="AD503" s="51">
        <f t="shared" si="48"/>
        <v>0.8486646884</v>
      </c>
    </row>
    <row r="504">
      <c r="A504" s="23"/>
      <c r="B504" s="46" t="s">
        <v>2531</v>
      </c>
      <c r="C504" s="47"/>
      <c r="D504" s="38">
        <v>547.0</v>
      </c>
      <c r="E504" s="38">
        <v>130.0</v>
      </c>
      <c r="F504" s="38">
        <v>274.0</v>
      </c>
      <c r="G504" s="38">
        <v>33.0</v>
      </c>
      <c r="H504" s="38">
        <v>66.0</v>
      </c>
      <c r="I504" s="48">
        <f t="shared" si="35"/>
        <v>951</v>
      </c>
      <c r="J504" s="48">
        <f t="shared" si="36"/>
        <v>1050</v>
      </c>
      <c r="K504" s="49">
        <f t="shared" si="37"/>
        <v>0.5751840168</v>
      </c>
      <c r="L504" s="49">
        <f t="shared" si="38"/>
        <v>0.1366982124</v>
      </c>
      <c r="M504" s="49">
        <f t="shared" si="39"/>
        <v>0.2881177708</v>
      </c>
      <c r="N504" s="32" t="str">
        <f t="shared" si="40"/>
        <v>Jânio</v>
      </c>
      <c r="O504" s="50" t="s">
        <v>77</v>
      </c>
      <c r="P504" s="38">
        <v>294.0</v>
      </c>
      <c r="Q504" s="38">
        <v>396.0</v>
      </c>
      <c r="R504" s="38">
        <v>109.0</v>
      </c>
      <c r="S504" s="38">
        <v>221.0</v>
      </c>
      <c r="T504" s="38">
        <v>30.0</v>
      </c>
      <c r="U504" s="48">
        <f t="shared" si="41"/>
        <v>799</v>
      </c>
      <c r="V504" s="48">
        <f t="shared" si="42"/>
        <v>1050</v>
      </c>
      <c r="W504" s="49">
        <f t="shared" si="43"/>
        <v>0.3679599499</v>
      </c>
      <c r="X504" s="49">
        <f t="shared" si="44"/>
        <v>0.4956195244</v>
      </c>
      <c r="Y504" s="49">
        <f t="shared" si="45"/>
        <v>0.1364205257</v>
      </c>
      <c r="Z504" s="32" t="str">
        <f t="shared" si="46"/>
        <v>Milton</v>
      </c>
      <c r="AA504" s="50" t="s">
        <v>77</v>
      </c>
      <c r="AB504" s="38">
        <v>1542.0</v>
      </c>
      <c r="AC504" s="48">
        <f t="shared" si="47"/>
        <v>492</v>
      </c>
      <c r="AD504" s="51">
        <f t="shared" si="48"/>
        <v>0.6809338521</v>
      </c>
    </row>
    <row r="505">
      <c r="A505" s="24"/>
      <c r="B505" s="46" t="s">
        <v>2532</v>
      </c>
      <c r="C505" s="47"/>
      <c r="D505" s="38">
        <v>595.0</v>
      </c>
      <c r="E505" s="38">
        <v>46.0</v>
      </c>
      <c r="F505" s="38">
        <v>175.0</v>
      </c>
      <c r="G505" s="38">
        <v>22.0</v>
      </c>
      <c r="H505" s="38">
        <v>55.0</v>
      </c>
      <c r="I505" s="48">
        <f t="shared" si="35"/>
        <v>816</v>
      </c>
      <c r="J505" s="48">
        <f t="shared" si="36"/>
        <v>893</v>
      </c>
      <c r="K505" s="49">
        <f t="shared" si="37"/>
        <v>0.7291666667</v>
      </c>
      <c r="L505" s="49">
        <f t="shared" si="38"/>
        <v>0.05637254902</v>
      </c>
      <c r="M505" s="49">
        <f t="shared" si="39"/>
        <v>0.2144607843</v>
      </c>
      <c r="N505" s="32" t="str">
        <f t="shared" si="40"/>
        <v>Jânio</v>
      </c>
      <c r="O505" s="50" t="s">
        <v>77</v>
      </c>
      <c r="P505" s="38">
        <v>162.0</v>
      </c>
      <c r="Q505" s="38">
        <v>332.0</v>
      </c>
      <c r="R505" s="38">
        <v>195.0</v>
      </c>
      <c r="S505" s="38">
        <v>192.0</v>
      </c>
      <c r="T505" s="38">
        <v>12.0</v>
      </c>
      <c r="U505" s="48">
        <f t="shared" si="41"/>
        <v>689</v>
      </c>
      <c r="V505" s="48">
        <f t="shared" si="42"/>
        <v>893</v>
      </c>
      <c r="W505" s="49">
        <f t="shared" si="43"/>
        <v>0.2351233672</v>
      </c>
      <c r="X505" s="49">
        <f t="shared" si="44"/>
        <v>0.4818577649</v>
      </c>
      <c r="Y505" s="49">
        <f t="shared" si="45"/>
        <v>0.2830188679</v>
      </c>
      <c r="Z505" s="32" t="str">
        <f t="shared" si="46"/>
        <v>Milton</v>
      </c>
      <c r="AA505" s="50" t="s">
        <v>77</v>
      </c>
      <c r="AB505" s="38">
        <v>1126.0</v>
      </c>
      <c r="AC505" s="48">
        <f t="shared" si="47"/>
        <v>233</v>
      </c>
      <c r="AD505" s="51">
        <f t="shared" si="48"/>
        <v>0.7930728242</v>
      </c>
    </row>
    <row r="506">
      <c r="A506" s="61" t="s">
        <v>2533</v>
      </c>
      <c r="B506" s="46" t="s">
        <v>2534</v>
      </c>
      <c r="C506" s="47"/>
      <c r="D506" s="38">
        <v>838.0</v>
      </c>
      <c r="E506" s="38">
        <v>100.0</v>
      </c>
      <c r="F506" s="38">
        <v>554.0</v>
      </c>
      <c r="G506" s="38">
        <v>30.0</v>
      </c>
      <c r="H506" s="38">
        <v>87.0</v>
      </c>
      <c r="I506" s="48">
        <f t="shared" si="35"/>
        <v>1492</v>
      </c>
      <c r="J506" s="48">
        <f t="shared" si="36"/>
        <v>1609</v>
      </c>
      <c r="K506" s="49">
        <f t="shared" si="37"/>
        <v>0.5616621984</v>
      </c>
      <c r="L506" s="49">
        <f t="shared" si="38"/>
        <v>0.06702412869</v>
      </c>
      <c r="M506" s="49">
        <f t="shared" si="39"/>
        <v>0.3713136729</v>
      </c>
      <c r="N506" s="32" t="str">
        <f t="shared" si="40"/>
        <v>Jânio</v>
      </c>
      <c r="O506" s="50" t="s">
        <v>77</v>
      </c>
      <c r="P506" s="38">
        <v>447.0</v>
      </c>
      <c r="Q506" s="38">
        <v>313.0</v>
      </c>
      <c r="R506" s="38">
        <v>498.0</v>
      </c>
      <c r="S506" s="38">
        <v>325.0</v>
      </c>
      <c r="T506" s="38">
        <v>26.0</v>
      </c>
      <c r="U506" s="48">
        <f t="shared" si="41"/>
        <v>1258</v>
      </c>
      <c r="V506" s="48">
        <f t="shared" si="42"/>
        <v>1609</v>
      </c>
      <c r="W506" s="49">
        <f t="shared" si="43"/>
        <v>0.3553259141</v>
      </c>
      <c r="X506" s="49">
        <f t="shared" si="44"/>
        <v>0.2488076312</v>
      </c>
      <c r="Y506" s="49">
        <f t="shared" si="45"/>
        <v>0.3958664547</v>
      </c>
      <c r="Z506" s="32" t="str">
        <f t="shared" si="46"/>
        <v>Ferrari</v>
      </c>
      <c r="AA506" s="50" t="s">
        <v>77</v>
      </c>
      <c r="AB506" s="38">
        <v>1960.0</v>
      </c>
      <c r="AC506" s="48">
        <f t="shared" si="47"/>
        <v>351</v>
      </c>
      <c r="AD506" s="51">
        <f t="shared" si="48"/>
        <v>0.8209183673</v>
      </c>
    </row>
    <row r="507">
      <c r="A507" s="24"/>
      <c r="B507" s="46" t="s">
        <v>2535</v>
      </c>
      <c r="C507" s="47"/>
      <c r="D507" s="38">
        <v>833.0</v>
      </c>
      <c r="E507" s="38">
        <v>81.0</v>
      </c>
      <c r="F507" s="38">
        <v>512.0</v>
      </c>
      <c r="G507" s="38">
        <v>44.0</v>
      </c>
      <c r="H507" s="38">
        <v>137.0</v>
      </c>
      <c r="I507" s="48">
        <f t="shared" si="35"/>
        <v>1426</v>
      </c>
      <c r="J507" s="48">
        <f t="shared" si="36"/>
        <v>1607</v>
      </c>
      <c r="K507" s="49">
        <f t="shared" si="37"/>
        <v>0.5841514727</v>
      </c>
      <c r="L507" s="49">
        <f t="shared" si="38"/>
        <v>0.05680224404</v>
      </c>
      <c r="M507" s="49">
        <f t="shared" si="39"/>
        <v>0.3590462833</v>
      </c>
      <c r="N507" s="32" t="str">
        <f t="shared" si="40"/>
        <v>Jânio</v>
      </c>
      <c r="O507" s="50" t="s">
        <v>77</v>
      </c>
      <c r="P507" s="38">
        <v>392.0</v>
      </c>
      <c r="Q507" s="38">
        <v>310.0</v>
      </c>
      <c r="R507" s="38">
        <v>485.0</v>
      </c>
      <c r="S507" s="38">
        <v>356.0</v>
      </c>
      <c r="T507" s="38">
        <v>64.0</v>
      </c>
      <c r="U507" s="48">
        <f t="shared" si="41"/>
        <v>1187</v>
      </c>
      <c r="V507" s="48">
        <f t="shared" si="42"/>
        <v>1607</v>
      </c>
      <c r="W507" s="49">
        <f t="shared" si="43"/>
        <v>0.3302443134</v>
      </c>
      <c r="X507" s="49">
        <f t="shared" si="44"/>
        <v>0.2611625948</v>
      </c>
      <c r="Y507" s="49">
        <f t="shared" si="45"/>
        <v>0.4085930918</v>
      </c>
      <c r="Z507" s="32" t="str">
        <f t="shared" si="46"/>
        <v>Ferrari</v>
      </c>
      <c r="AA507" s="50" t="s">
        <v>77</v>
      </c>
      <c r="AB507" s="38">
        <v>1905.0</v>
      </c>
      <c r="AC507" s="48">
        <f t="shared" si="47"/>
        <v>298</v>
      </c>
      <c r="AD507" s="51">
        <f t="shared" si="48"/>
        <v>0.8435695538</v>
      </c>
    </row>
    <row r="508">
      <c r="A508" s="110" t="s">
        <v>2536</v>
      </c>
      <c r="B508" s="46" t="s">
        <v>1875</v>
      </c>
      <c r="C508" s="47"/>
      <c r="D508" s="38">
        <v>1598.0</v>
      </c>
      <c r="E508" s="38">
        <v>625.0</v>
      </c>
      <c r="F508" s="38">
        <v>1107.0</v>
      </c>
      <c r="G508" s="38">
        <v>61.0</v>
      </c>
      <c r="H508" s="38">
        <v>143.0</v>
      </c>
      <c r="I508" s="48">
        <f t="shared" si="35"/>
        <v>3330</v>
      </c>
      <c r="J508" s="48">
        <f t="shared" si="36"/>
        <v>3534</v>
      </c>
      <c r="K508" s="49">
        <f t="shared" si="37"/>
        <v>0.4798798799</v>
      </c>
      <c r="L508" s="49">
        <f t="shared" si="38"/>
        <v>0.1876876877</v>
      </c>
      <c r="M508" s="49">
        <f t="shared" si="39"/>
        <v>0.3324324324</v>
      </c>
      <c r="N508" s="32" t="str">
        <f t="shared" si="40"/>
        <v>Jânio</v>
      </c>
      <c r="O508" s="50" t="s">
        <v>77</v>
      </c>
      <c r="P508" s="38">
        <v>1187.0</v>
      </c>
      <c r="Q508" s="38">
        <v>1400.0</v>
      </c>
      <c r="R508" s="38">
        <v>489.0</v>
      </c>
      <c r="S508" s="38">
        <v>408.0</v>
      </c>
      <c r="T508" s="38">
        <v>50.0</v>
      </c>
      <c r="U508" s="48">
        <f t="shared" si="41"/>
        <v>3076</v>
      </c>
      <c r="V508" s="48">
        <f t="shared" si="42"/>
        <v>3534</v>
      </c>
      <c r="W508" s="49">
        <f t="shared" si="43"/>
        <v>0.3858907672</v>
      </c>
      <c r="X508" s="49">
        <f t="shared" si="44"/>
        <v>0.455136541</v>
      </c>
      <c r="Y508" s="49">
        <f t="shared" si="45"/>
        <v>0.1589726918</v>
      </c>
      <c r="Z508" s="32" t="str">
        <f t="shared" si="46"/>
        <v>Milton</v>
      </c>
      <c r="AA508" s="50" t="s">
        <v>77</v>
      </c>
      <c r="AB508" s="38">
        <v>4262.0</v>
      </c>
      <c r="AC508" s="48">
        <f t="shared" si="47"/>
        <v>728</v>
      </c>
      <c r="AD508" s="51">
        <f t="shared" si="48"/>
        <v>0.8291881746</v>
      </c>
    </row>
    <row r="509">
      <c r="A509" s="110" t="s">
        <v>2537</v>
      </c>
      <c r="B509" s="46" t="s">
        <v>2538</v>
      </c>
      <c r="C509" s="47"/>
      <c r="D509" s="38">
        <v>2013.0</v>
      </c>
      <c r="E509" s="38">
        <v>357.0</v>
      </c>
      <c r="F509" s="38">
        <v>1202.0</v>
      </c>
      <c r="G509" s="38">
        <v>129.0</v>
      </c>
      <c r="H509" s="38">
        <v>149.0</v>
      </c>
      <c r="I509" s="48">
        <f t="shared" si="35"/>
        <v>3572</v>
      </c>
      <c r="J509" s="48">
        <f t="shared" si="36"/>
        <v>3850</v>
      </c>
      <c r="K509" s="49">
        <f t="shared" si="37"/>
        <v>0.563549832</v>
      </c>
      <c r="L509" s="49">
        <f t="shared" si="38"/>
        <v>0.09994400896</v>
      </c>
      <c r="M509" s="49">
        <f t="shared" si="39"/>
        <v>0.336506159</v>
      </c>
      <c r="N509" s="32" t="str">
        <f t="shared" si="40"/>
        <v>Jânio</v>
      </c>
      <c r="O509" s="50" t="s">
        <v>77</v>
      </c>
      <c r="P509" s="38">
        <v>1056.0</v>
      </c>
      <c r="Q509" s="38">
        <v>1249.0</v>
      </c>
      <c r="R509" s="38">
        <v>866.0</v>
      </c>
      <c r="S509" s="38">
        <v>599.0</v>
      </c>
      <c r="T509" s="38">
        <v>80.0</v>
      </c>
      <c r="U509" s="48">
        <f t="shared" si="41"/>
        <v>3171</v>
      </c>
      <c r="V509" s="48">
        <f t="shared" si="42"/>
        <v>3850</v>
      </c>
      <c r="W509" s="49">
        <f t="shared" si="43"/>
        <v>0.3330179754</v>
      </c>
      <c r="X509" s="49">
        <f t="shared" si="44"/>
        <v>0.3938820561</v>
      </c>
      <c r="Y509" s="49">
        <f t="shared" si="45"/>
        <v>0.2730999685</v>
      </c>
      <c r="Z509" s="32" t="str">
        <f t="shared" si="46"/>
        <v>Milton</v>
      </c>
      <c r="AA509" s="50" t="s">
        <v>77</v>
      </c>
      <c r="AB509" s="38">
        <v>4283.0</v>
      </c>
      <c r="AC509" s="48">
        <f t="shared" si="47"/>
        <v>433</v>
      </c>
      <c r="AD509" s="51">
        <f t="shared" si="48"/>
        <v>0.8989026383</v>
      </c>
    </row>
    <row r="510">
      <c r="A510" s="110" t="s">
        <v>2539</v>
      </c>
      <c r="B510" s="46" t="s">
        <v>2540</v>
      </c>
      <c r="C510" s="47"/>
      <c r="D510" s="38">
        <v>1167.0</v>
      </c>
      <c r="E510" s="38">
        <v>141.0</v>
      </c>
      <c r="F510" s="38">
        <v>833.0</v>
      </c>
      <c r="G510" s="38">
        <v>68.0</v>
      </c>
      <c r="H510" s="38">
        <v>93.0</v>
      </c>
      <c r="I510" s="48">
        <f t="shared" si="35"/>
        <v>2141</v>
      </c>
      <c r="J510" s="48">
        <f t="shared" si="36"/>
        <v>2302</v>
      </c>
      <c r="K510" s="49">
        <f t="shared" si="37"/>
        <v>0.5450723961</v>
      </c>
      <c r="L510" s="49">
        <f t="shared" si="38"/>
        <v>0.06585707613</v>
      </c>
      <c r="M510" s="49">
        <f t="shared" si="39"/>
        <v>0.3890705278</v>
      </c>
      <c r="N510" s="32" t="str">
        <f t="shared" si="40"/>
        <v>Jânio</v>
      </c>
      <c r="O510" s="50" t="s">
        <v>77</v>
      </c>
      <c r="P510" s="38">
        <v>639.0</v>
      </c>
      <c r="Q510" s="38">
        <v>1014.0</v>
      </c>
      <c r="R510" s="38">
        <v>254.0</v>
      </c>
      <c r="S510" s="38">
        <v>346.0</v>
      </c>
      <c r="T510" s="38">
        <v>49.0</v>
      </c>
      <c r="U510" s="48">
        <f t="shared" si="41"/>
        <v>1907</v>
      </c>
      <c r="V510" s="48">
        <f t="shared" si="42"/>
        <v>2302</v>
      </c>
      <c r="W510" s="49">
        <f t="shared" si="43"/>
        <v>0.3350812795</v>
      </c>
      <c r="X510" s="49">
        <f t="shared" si="44"/>
        <v>0.5317252229</v>
      </c>
      <c r="Y510" s="49">
        <f t="shared" si="45"/>
        <v>0.1331934976</v>
      </c>
      <c r="Z510" s="32" t="str">
        <f t="shared" si="46"/>
        <v>Milton</v>
      </c>
      <c r="AA510" s="50" t="s">
        <v>77</v>
      </c>
      <c r="AB510" s="38">
        <v>2722.0</v>
      </c>
      <c r="AC510" s="48">
        <f t="shared" si="47"/>
        <v>420</v>
      </c>
      <c r="AD510" s="51">
        <f t="shared" si="48"/>
        <v>0.8457016899</v>
      </c>
    </row>
    <row r="511">
      <c r="A511" s="61" t="s">
        <v>2541</v>
      </c>
      <c r="B511" s="46" t="s">
        <v>2542</v>
      </c>
      <c r="C511" s="47"/>
      <c r="D511" s="38">
        <v>2071.0</v>
      </c>
      <c r="E511" s="38">
        <v>443.0</v>
      </c>
      <c r="F511" s="38">
        <v>627.0</v>
      </c>
      <c r="G511" s="38">
        <v>92.0</v>
      </c>
      <c r="H511" s="38">
        <v>137.0</v>
      </c>
      <c r="I511" s="48">
        <f t="shared" si="35"/>
        <v>3141</v>
      </c>
      <c r="J511" s="48">
        <f t="shared" si="36"/>
        <v>3370</v>
      </c>
      <c r="K511" s="49">
        <f t="shared" si="37"/>
        <v>0.6593441579</v>
      </c>
      <c r="L511" s="49">
        <f t="shared" si="38"/>
        <v>0.141037886</v>
      </c>
      <c r="M511" s="49">
        <f t="shared" si="39"/>
        <v>0.1996179561</v>
      </c>
      <c r="N511" s="32" t="str">
        <f t="shared" si="40"/>
        <v>Jânio</v>
      </c>
      <c r="O511" s="50" t="s">
        <v>77</v>
      </c>
      <c r="P511" s="38">
        <v>1146.0</v>
      </c>
      <c r="Q511" s="38">
        <v>1082.0</v>
      </c>
      <c r="R511" s="38">
        <v>586.0</v>
      </c>
      <c r="S511" s="38">
        <v>481.0</v>
      </c>
      <c r="T511" s="38">
        <v>75.0</v>
      </c>
      <c r="U511" s="48">
        <f t="shared" si="41"/>
        <v>2814</v>
      </c>
      <c r="V511" s="48">
        <f t="shared" si="42"/>
        <v>3370</v>
      </c>
      <c r="W511" s="49">
        <f t="shared" si="43"/>
        <v>0.407249467</v>
      </c>
      <c r="X511" s="49">
        <f t="shared" si="44"/>
        <v>0.3845060412</v>
      </c>
      <c r="Y511" s="49">
        <f t="shared" si="45"/>
        <v>0.2082444918</v>
      </c>
      <c r="Z511" s="32" t="str">
        <f t="shared" si="46"/>
        <v>Jango</v>
      </c>
      <c r="AA511" s="50" t="s">
        <v>77</v>
      </c>
      <c r="AB511" s="38">
        <v>3853.0</v>
      </c>
      <c r="AC511" s="48">
        <f t="shared" si="47"/>
        <v>483</v>
      </c>
      <c r="AD511" s="51">
        <f t="shared" si="48"/>
        <v>0.8746431352</v>
      </c>
    </row>
    <row r="512">
      <c r="A512" s="24"/>
      <c r="B512" s="46" t="s">
        <v>2543</v>
      </c>
      <c r="C512" s="47"/>
      <c r="D512" s="38">
        <v>973.0</v>
      </c>
      <c r="E512" s="38">
        <v>115.0</v>
      </c>
      <c r="F512" s="38">
        <v>252.0</v>
      </c>
      <c r="G512" s="38">
        <v>43.0</v>
      </c>
      <c r="H512" s="38">
        <v>111.0</v>
      </c>
      <c r="I512" s="48">
        <f t="shared" si="35"/>
        <v>1340</v>
      </c>
      <c r="J512" s="48">
        <f t="shared" si="36"/>
        <v>1494</v>
      </c>
      <c r="K512" s="49">
        <f t="shared" si="37"/>
        <v>0.726119403</v>
      </c>
      <c r="L512" s="49">
        <f t="shared" si="38"/>
        <v>0.08582089552</v>
      </c>
      <c r="M512" s="49">
        <f t="shared" si="39"/>
        <v>0.1880597015</v>
      </c>
      <c r="N512" s="32" t="str">
        <f t="shared" si="40"/>
        <v>Jânio</v>
      </c>
      <c r="O512" s="50" t="s">
        <v>77</v>
      </c>
      <c r="P512" s="38">
        <v>317.0</v>
      </c>
      <c r="Q512" s="38">
        <v>352.0</v>
      </c>
      <c r="R512" s="38">
        <v>469.0</v>
      </c>
      <c r="S512" s="38">
        <v>323.0</v>
      </c>
      <c r="T512" s="38">
        <v>33.0</v>
      </c>
      <c r="U512" s="48">
        <f t="shared" si="41"/>
        <v>1138</v>
      </c>
      <c r="V512" s="48">
        <f t="shared" si="42"/>
        <v>1494</v>
      </c>
      <c r="W512" s="49">
        <f t="shared" si="43"/>
        <v>0.2785588752</v>
      </c>
      <c r="X512" s="49">
        <f t="shared" si="44"/>
        <v>0.309314587</v>
      </c>
      <c r="Y512" s="49">
        <f t="shared" si="45"/>
        <v>0.4121265378</v>
      </c>
      <c r="Z512" s="32" t="str">
        <f t="shared" si="46"/>
        <v>Ferrari</v>
      </c>
      <c r="AA512" s="50" t="s">
        <v>77</v>
      </c>
      <c r="AB512" s="38">
        <v>1617.0</v>
      </c>
      <c r="AC512" s="48">
        <f t="shared" si="47"/>
        <v>123</v>
      </c>
      <c r="AD512" s="51">
        <f t="shared" si="48"/>
        <v>0.9239332096</v>
      </c>
    </row>
    <row r="513">
      <c r="A513" s="110" t="s">
        <v>2544</v>
      </c>
      <c r="B513" s="46" t="s">
        <v>2545</v>
      </c>
      <c r="C513" s="47"/>
      <c r="D513" s="38">
        <v>1496.0</v>
      </c>
      <c r="E513" s="38">
        <v>470.0</v>
      </c>
      <c r="F513" s="38">
        <v>690.0</v>
      </c>
      <c r="G513" s="38">
        <v>142.0</v>
      </c>
      <c r="H513" s="38">
        <v>132.0</v>
      </c>
      <c r="I513" s="48">
        <f t="shared" si="35"/>
        <v>2656</v>
      </c>
      <c r="J513" s="48">
        <f t="shared" si="36"/>
        <v>2930</v>
      </c>
      <c r="K513" s="49">
        <f t="shared" si="37"/>
        <v>0.563253012</v>
      </c>
      <c r="L513" s="49">
        <f t="shared" si="38"/>
        <v>0.1769578313</v>
      </c>
      <c r="M513" s="49">
        <f t="shared" si="39"/>
        <v>0.2597891566</v>
      </c>
      <c r="N513" s="32" t="str">
        <f t="shared" si="40"/>
        <v>Jânio</v>
      </c>
      <c r="O513" s="50" t="s">
        <v>77</v>
      </c>
      <c r="P513" s="38">
        <v>821.0</v>
      </c>
      <c r="Q513" s="38">
        <v>649.0</v>
      </c>
      <c r="R513" s="38">
        <v>863.0</v>
      </c>
      <c r="S513" s="38">
        <v>495.0</v>
      </c>
      <c r="T513" s="38">
        <v>102.0</v>
      </c>
      <c r="U513" s="48">
        <f t="shared" si="41"/>
        <v>2333</v>
      </c>
      <c r="V513" s="48">
        <f t="shared" si="42"/>
        <v>2930</v>
      </c>
      <c r="W513" s="49">
        <f t="shared" si="43"/>
        <v>0.3519074153</v>
      </c>
      <c r="X513" s="49">
        <f t="shared" si="44"/>
        <v>0.2781825975</v>
      </c>
      <c r="Y513" s="49">
        <f t="shared" si="45"/>
        <v>0.3699099871</v>
      </c>
      <c r="Z513" s="32" t="str">
        <f t="shared" si="46"/>
        <v>Ferrari</v>
      </c>
      <c r="AA513" s="50" t="s">
        <v>77</v>
      </c>
      <c r="AB513" s="38">
        <v>3311.0</v>
      </c>
      <c r="AC513" s="48">
        <f t="shared" si="47"/>
        <v>381</v>
      </c>
      <c r="AD513" s="51">
        <f t="shared" si="48"/>
        <v>0.8849290245</v>
      </c>
    </row>
    <row r="514">
      <c r="A514" s="61" t="s">
        <v>2546</v>
      </c>
      <c r="B514" s="46" t="s">
        <v>2547</v>
      </c>
      <c r="C514" s="47"/>
      <c r="D514" s="38">
        <v>9123.0</v>
      </c>
      <c r="E514" s="38">
        <v>3590.0</v>
      </c>
      <c r="F514" s="38">
        <v>4659.0</v>
      </c>
      <c r="G514" s="38">
        <v>395.0</v>
      </c>
      <c r="H514" s="38">
        <v>664.0</v>
      </c>
      <c r="I514" s="48">
        <f t="shared" si="35"/>
        <v>17372</v>
      </c>
      <c r="J514" s="48">
        <f t="shared" si="36"/>
        <v>18431</v>
      </c>
      <c r="K514" s="49">
        <f t="shared" si="37"/>
        <v>0.5251554225</v>
      </c>
      <c r="L514" s="49">
        <f t="shared" si="38"/>
        <v>0.2066543864</v>
      </c>
      <c r="M514" s="49">
        <f t="shared" si="39"/>
        <v>0.2681901911</v>
      </c>
      <c r="N514" s="32" t="str">
        <f t="shared" si="40"/>
        <v>Jânio</v>
      </c>
      <c r="O514" s="50" t="s">
        <v>77</v>
      </c>
      <c r="P514" s="38">
        <v>6993.0</v>
      </c>
      <c r="Q514" s="38">
        <v>7422.0</v>
      </c>
      <c r="R514" s="38">
        <v>1977.0</v>
      </c>
      <c r="S514" s="38">
        <v>1526.0</v>
      </c>
      <c r="T514" s="38">
        <v>513.0</v>
      </c>
      <c r="U514" s="48">
        <f t="shared" si="41"/>
        <v>16392</v>
      </c>
      <c r="V514" s="48">
        <f t="shared" si="42"/>
        <v>18431</v>
      </c>
      <c r="W514" s="49">
        <f t="shared" si="43"/>
        <v>0.4266105417</v>
      </c>
      <c r="X514" s="49">
        <f t="shared" si="44"/>
        <v>0.4527818448</v>
      </c>
      <c r="Y514" s="49">
        <f t="shared" si="45"/>
        <v>0.1206076135</v>
      </c>
      <c r="Z514" s="32" t="str">
        <f t="shared" si="46"/>
        <v>Milton</v>
      </c>
      <c r="AA514" s="50" t="s">
        <v>77</v>
      </c>
      <c r="AB514" s="38">
        <v>20503.0</v>
      </c>
      <c r="AC514" s="48">
        <f t="shared" si="47"/>
        <v>2072</v>
      </c>
      <c r="AD514" s="51">
        <f t="shared" si="48"/>
        <v>0.8989416183</v>
      </c>
    </row>
    <row r="515">
      <c r="A515" s="24"/>
      <c r="B515" s="46" t="s">
        <v>2548</v>
      </c>
      <c r="C515" s="47"/>
      <c r="D515" s="38">
        <v>711.0</v>
      </c>
      <c r="E515" s="38">
        <v>176.0</v>
      </c>
      <c r="F515" s="38">
        <v>529.0</v>
      </c>
      <c r="G515" s="38">
        <v>26.0</v>
      </c>
      <c r="H515" s="38">
        <v>81.0</v>
      </c>
      <c r="I515" s="48">
        <f t="shared" si="35"/>
        <v>1416</v>
      </c>
      <c r="J515" s="48">
        <f t="shared" si="36"/>
        <v>1523</v>
      </c>
      <c r="K515" s="49">
        <f t="shared" si="37"/>
        <v>0.5021186441</v>
      </c>
      <c r="L515" s="49">
        <f t="shared" si="38"/>
        <v>0.1242937853</v>
      </c>
      <c r="M515" s="49">
        <f t="shared" si="39"/>
        <v>0.3735875706</v>
      </c>
      <c r="N515" s="32" t="str">
        <f t="shared" si="40"/>
        <v>Jânio</v>
      </c>
      <c r="O515" s="50" t="s">
        <v>77</v>
      </c>
      <c r="P515" s="38">
        <v>577.0</v>
      </c>
      <c r="Q515" s="38">
        <v>472.0</v>
      </c>
      <c r="R515" s="38">
        <v>289.0</v>
      </c>
      <c r="S515" s="38">
        <v>141.0</v>
      </c>
      <c r="T515" s="38">
        <v>44.0</v>
      </c>
      <c r="U515" s="48">
        <f t="shared" si="41"/>
        <v>1338</v>
      </c>
      <c r="V515" s="48">
        <f t="shared" si="42"/>
        <v>1523</v>
      </c>
      <c r="W515" s="49">
        <f t="shared" si="43"/>
        <v>0.4312406577</v>
      </c>
      <c r="X515" s="49">
        <f t="shared" si="44"/>
        <v>0.3527653214</v>
      </c>
      <c r="Y515" s="49">
        <f t="shared" si="45"/>
        <v>0.2159940209</v>
      </c>
      <c r="Z515" s="32" t="str">
        <f t="shared" si="46"/>
        <v>Jango</v>
      </c>
      <c r="AA515" s="50" t="s">
        <v>77</v>
      </c>
      <c r="AB515" s="38">
        <v>1708.0</v>
      </c>
      <c r="AC515" s="48">
        <f t="shared" si="47"/>
        <v>185</v>
      </c>
      <c r="AD515" s="51">
        <f t="shared" si="48"/>
        <v>0.8916861827</v>
      </c>
    </row>
    <row r="516">
      <c r="A516" s="61" t="s">
        <v>2549</v>
      </c>
      <c r="B516" s="46" t="s">
        <v>2550</v>
      </c>
      <c r="C516" s="47"/>
      <c r="D516" s="38">
        <v>1945.0</v>
      </c>
      <c r="E516" s="38">
        <v>378.0</v>
      </c>
      <c r="F516" s="38">
        <v>692.0</v>
      </c>
      <c r="G516" s="38">
        <v>53.0</v>
      </c>
      <c r="H516" s="38">
        <v>104.0</v>
      </c>
      <c r="I516" s="48">
        <f t="shared" si="35"/>
        <v>3015</v>
      </c>
      <c r="J516" s="48">
        <f t="shared" si="36"/>
        <v>3172</v>
      </c>
      <c r="K516" s="49">
        <f t="shared" si="37"/>
        <v>0.6451077944</v>
      </c>
      <c r="L516" s="49">
        <f t="shared" si="38"/>
        <v>0.1253731343</v>
      </c>
      <c r="M516" s="49">
        <f t="shared" si="39"/>
        <v>0.2295190713</v>
      </c>
      <c r="N516" s="32" t="str">
        <f t="shared" si="40"/>
        <v>Jânio</v>
      </c>
      <c r="O516" s="50" t="s">
        <v>77</v>
      </c>
      <c r="P516" s="38">
        <v>770.0</v>
      </c>
      <c r="Q516" s="38">
        <v>1354.0</v>
      </c>
      <c r="R516" s="38">
        <v>632.0</v>
      </c>
      <c r="S516" s="38">
        <v>345.0</v>
      </c>
      <c r="T516" s="38">
        <v>71.0</v>
      </c>
      <c r="U516" s="48">
        <f t="shared" si="41"/>
        <v>2756</v>
      </c>
      <c r="V516" s="48">
        <f t="shared" si="42"/>
        <v>3172</v>
      </c>
      <c r="W516" s="49">
        <f t="shared" si="43"/>
        <v>0.2793904209</v>
      </c>
      <c r="X516" s="49">
        <f t="shared" si="44"/>
        <v>0.4912917271</v>
      </c>
      <c r="Y516" s="49">
        <f t="shared" si="45"/>
        <v>0.229317852</v>
      </c>
      <c r="Z516" s="32" t="str">
        <f t="shared" si="46"/>
        <v>Milton</v>
      </c>
      <c r="AA516" s="50" t="s">
        <v>77</v>
      </c>
      <c r="AB516" s="38">
        <v>3955.0</v>
      </c>
      <c r="AC516" s="48">
        <f t="shared" si="47"/>
        <v>783</v>
      </c>
      <c r="AD516" s="51">
        <f t="shared" si="48"/>
        <v>0.802022756</v>
      </c>
    </row>
    <row r="517">
      <c r="A517" s="23"/>
      <c r="B517" s="46" t="s">
        <v>2551</v>
      </c>
      <c r="C517" s="47"/>
      <c r="D517" s="38">
        <v>704.0</v>
      </c>
      <c r="E517" s="38">
        <v>67.0</v>
      </c>
      <c r="F517" s="38">
        <v>226.0</v>
      </c>
      <c r="G517" s="38">
        <v>22.0</v>
      </c>
      <c r="H517" s="38">
        <v>48.0</v>
      </c>
      <c r="I517" s="48">
        <f t="shared" si="35"/>
        <v>997</v>
      </c>
      <c r="J517" s="48">
        <f t="shared" si="36"/>
        <v>1067</v>
      </c>
      <c r="K517" s="49">
        <f t="shared" si="37"/>
        <v>0.7061183551</v>
      </c>
      <c r="L517" s="49">
        <f t="shared" si="38"/>
        <v>0.06720160481</v>
      </c>
      <c r="M517" s="49">
        <f t="shared" si="39"/>
        <v>0.2266800401</v>
      </c>
      <c r="N517" s="32" t="str">
        <f t="shared" si="40"/>
        <v>Jânio</v>
      </c>
      <c r="O517" s="50" t="s">
        <v>77</v>
      </c>
      <c r="P517" s="38">
        <v>258.0</v>
      </c>
      <c r="Q517" s="38">
        <v>420.0</v>
      </c>
      <c r="R517" s="38">
        <v>214.0</v>
      </c>
      <c r="S517" s="38">
        <v>161.0</v>
      </c>
      <c r="T517" s="38">
        <v>14.0</v>
      </c>
      <c r="U517" s="48">
        <f t="shared" si="41"/>
        <v>892</v>
      </c>
      <c r="V517" s="48">
        <f t="shared" si="42"/>
        <v>1067</v>
      </c>
      <c r="W517" s="49">
        <f t="shared" si="43"/>
        <v>0.2892376682</v>
      </c>
      <c r="X517" s="49">
        <f t="shared" si="44"/>
        <v>0.4708520179</v>
      </c>
      <c r="Y517" s="49">
        <f t="shared" si="45"/>
        <v>0.2399103139</v>
      </c>
      <c r="Z517" s="32" t="str">
        <f t="shared" si="46"/>
        <v>Milton</v>
      </c>
      <c r="AA517" s="50" t="s">
        <v>77</v>
      </c>
      <c r="AB517" s="38">
        <v>1614.0</v>
      </c>
      <c r="AC517" s="48">
        <f t="shared" si="47"/>
        <v>547</v>
      </c>
      <c r="AD517" s="51">
        <f t="shared" si="48"/>
        <v>0.6610904585</v>
      </c>
    </row>
    <row r="518">
      <c r="A518" s="23"/>
      <c r="B518" s="46" t="s">
        <v>2552</v>
      </c>
      <c r="C518" s="47"/>
      <c r="D518" s="38">
        <v>399.0</v>
      </c>
      <c r="E518" s="38">
        <v>44.0</v>
      </c>
      <c r="F518" s="38">
        <v>179.0</v>
      </c>
      <c r="G518" s="38">
        <v>11.0</v>
      </c>
      <c r="H518" s="38">
        <v>18.0</v>
      </c>
      <c r="I518" s="48">
        <f t="shared" si="35"/>
        <v>622</v>
      </c>
      <c r="J518" s="48">
        <f t="shared" si="36"/>
        <v>651</v>
      </c>
      <c r="K518" s="49">
        <f t="shared" si="37"/>
        <v>0.6414790997</v>
      </c>
      <c r="L518" s="49">
        <f t="shared" si="38"/>
        <v>0.07073954984</v>
      </c>
      <c r="M518" s="49">
        <f t="shared" si="39"/>
        <v>0.2877813505</v>
      </c>
      <c r="N518" s="32" t="str">
        <f t="shared" si="40"/>
        <v>Jânio</v>
      </c>
      <c r="O518" s="50" t="s">
        <v>77</v>
      </c>
      <c r="P518" s="38">
        <v>161.0</v>
      </c>
      <c r="Q518" s="38">
        <v>233.0</v>
      </c>
      <c r="R518" s="38">
        <v>176.0</v>
      </c>
      <c r="S518" s="38">
        <v>74.0</v>
      </c>
      <c r="T518" s="38">
        <v>7.0</v>
      </c>
      <c r="U518" s="48">
        <f t="shared" si="41"/>
        <v>570</v>
      </c>
      <c r="V518" s="48">
        <f t="shared" si="42"/>
        <v>651</v>
      </c>
      <c r="W518" s="49">
        <f t="shared" si="43"/>
        <v>0.2824561404</v>
      </c>
      <c r="X518" s="49">
        <f t="shared" si="44"/>
        <v>0.4087719298</v>
      </c>
      <c r="Y518" s="49">
        <f t="shared" si="45"/>
        <v>0.3087719298</v>
      </c>
      <c r="Z518" s="32" t="str">
        <f t="shared" si="46"/>
        <v>Milton</v>
      </c>
      <c r="AA518" s="50" t="s">
        <v>77</v>
      </c>
      <c r="AB518" s="38">
        <v>912.0</v>
      </c>
      <c r="AC518" s="48">
        <f t="shared" si="47"/>
        <v>261</v>
      </c>
      <c r="AD518" s="51">
        <f t="shared" si="48"/>
        <v>0.7138157895</v>
      </c>
    </row>
    <row r="519">
      <c r="A519" s="24"/>
      <c r="B519" s="46" t="s">
        <v>2553</v>
      </c>
      <c r="C519" s="47"/>
      <c r="D519" s="38">
        <v>601.0</v>
      </c>
      <c r="E519" s="38">
        <v>38.0</v>
      </c>
      <c r="F519" s="38">
        <v>164.0</v>
      </c>
      <c r="G519" s="38">
        <v>13.0</v>
      </c>
      <c r="H519" s="38">
        <v>11.0</v>
      </c>
      <c r="I519" s="48">
        <f t="shared" si="35"/>
        <v>803</v>
      </c>
      <c r="J519" s="48">
        <f t="shared" si="36"/>
        <v>827</v>
      </c>
      <c r="K519" s="49">
        <f t="shared" si="37"/>
        <v>0.7484433375</v>
      </c>
      <c r="L519" s="49">
        <f t="shared" si="38"/>
        <v>0.04732254047</v>
      </c>
      <c r="M519" s="49">
        <f t="shared" si="39"/>
        <v>0.204234122</v>
      </c>
      <c r="N519" s="32" t="str">
        <f t="shared" si="40"/>
        <v>Jânio</v>
      </c>
      <c r="O519" s="50" t="s">
        <v>77</v>
      </c>
      <c r="P519" s="38">
        <v>116.0</v>
      </c>
      <c r="Q519" s="38">
        <v>235.0</v>
      </c>
      <c r="R519" s="38">
        <v>411.0</v>
      </c>
      <c r="S519" s="38">
        <v>59.0</v>
      </c>
      <c r="T519" s="38">
        <v>6.0</v>
      </c>
      <c r="U519" s="48">
        <f t="shared" si="41"/>
        <v>762</v>
      </c>
      <c r="V519" s="48">
        <f t="shared" si="42"/>
        <v>827</v>
      </c>
      <c r="W519" s="49">
        <f t="shared" si="43"/>
        <v>0.1522309711</v>
      </c>
      <c r="X519" s="49">
        <f t="shared" si="44"/>
        <v>0.3083989501</v>
      </c>
      <c r="Y519" s="49">
        <f t="shared" si="45"/>
        <v>0.5393700787</v>
      </c>
      <c r="Z519" s="32" t="str">
        <f t="shared" si="46"/>
        <v>Ferrari</v>
      </c>
      <c r="AA519" s="50" t="s">
        <v>77</v>
      </c>
      <c r="AB519" s="38">
        <v>1143.0</v>
      </c>
      <c r="AC519" s="48">
        <f t="shared" si="47"/>
        <v>316</v>
      </c>
      <c r="AD519" s="51">
        <f t="shared" si="48"/>
        <v>0.7235345582</v>
      </c>
    </row>
    <row r="520">
      <c r="A520" s="110" t="s">
        <v>2554</v>
      </c>
      <c r="B520" s="46" t="s">
        <v>2555</v>
      </c>
      <c r="C520" s="47"/>
      <c r="D520" s="38">
        <v>7669.0</v>
      </c>
      <c r="E520" s="38">
        <v>2572.0</v>
      </c>
      <c r="F520" s="38">
        <v>5580.0</v>
      </c>
      <c r="G520" s="38">
        <v>328.0</v>
      </c>
      <c r="H520" s="38">
        <v>584.0</v>
      </c>
      <c r="I520" s="48">
        <f t="shared" si="35"/>
        <v>15821</v>
      </c>
      <c r="J520" s="48">
        <f t="shared" si="36"/>
        <v>16733</v>
      </c>
      <c r="K520" s="49">
        <f t="shared" si="37"/>
        <v>0.4847354782</v>
      </c>
      <c r="L520" s="49">
        <f t="shared" si="38"/>
        <v>0.1625687378</v>
      </c>
      <c r="M520" s="49">
        <f t="shared" si="39"/>
        <v>0.3526957841</v>
      </c>
      <c r="N520" s="32" t="str">
        <f t="shared" si="40"/>
        <v>Jânio</v>
      </c>
      <c r="O520" s="50" t="s">
        <v>77</v>
      </c>
      <c r="P520" s="38">
        <v>6254.0</v>
      </c>
      <c r="Q520" s="38">
        <v>6544.0</v>
      </c>
      <c r="R520" s="38">
        <v>1845.0</v>
      </c>
      <c r="S520" s="38">
        <v>1682.0</v>
      </c>
      <c r="T520" s="38">
        <v>408.0</v>
      </c>
      <c r="U520" s="48">
        <f t="shared" si="41"/>
        <v>14643</v>
      </c>
      <c r="V520" s="48">
        <f t="shared" si="42"/>
        <v>16733</v>
      </c>
      <c r="W520" s="49">
        <f t="shared" si="43"/>
        <v>0.4270982722</v>
      </c>
      <c r="X520" s="49">
        <f t="shared" si="44"/>
        <v>0.446902957</v>
      </c>
      <c r="Y520" s="49">
        <f t="shared" si="45"/>
        <v>0.1259987707</v>
      </c>
      <c r="Z520" s="32" t="str">
        <f t="shared" si="46"/>
        <v>Milton</v>
      </c>
      <c r="AA520" s="50" t="s">
        <v>77</v>
      </c>
      <c r="AB520" s="38">
        <v>18613.0</v>
      </c>
      <c r="AC520" s="48">
        <f t="shared" si="47"/>
        <v>1880</v>
      </c>
      <c r="AD520" s="51">
        <f t="shared" si="48"/>
        <v>0.8989953258</v>
      </c>
    </row>
    <row r="521">
      <c r="A521" s="69" t="s">
        <v>54</v>
      </c>
      <c r="B521" s="13"/>
      <c r="C521" s="47"/>
      <c r="D521" s="38">
        <f t="shared" ref="D521:H521" si="49">SUM(D18:D520)</f>
        <v>1588593</v>
      </c>
      <c r="E521" s="38">
        <f t="shared" si="49"/>
        <v>441755</v>
      </c>
      <c r="F521" s="38">
        <f t="shared" si="49"/>
        <v>855093</v>
      </c>
      <c r="G521" s="38">
        <f t="shared" si="49"/>
        <v>53589</v>
      </c>
      <c r="H521" s="38">
        <f t="shared" si="49"/>
        <v>101639</v>
      </c>
      <c r="I521" s="48">
        <f t="shared" si="35"/>
        <v>2885441</v>
      </c>
      <c r="J521" s="48">
        <f t="shared" si="36"/>
        <v>3040669</v>
      </c>
      <c r="K521" s="49">
        <f t="shared" si="37"/>
        <v>0.5505546639</v>
      </c>
      <c r="L521" s="49">
        <f t="shared" si="38"/>
        <v>0.1530979147</v>
      </c>
      <c r="M521" s="49">
        <f t="shared" si="39"/>
        <v>0.2963474214</v>
      </c>
      <c r="N521" s="32" t="str">
        <f t="shared" si="40"/>
        <v>Jânio</v>
      </c>
      <c r="O521" s="50"/>
      <c r="P521" s="38">
        <f t="shared" ref="P521:T521" si="50">SUM(P18:P520)</f>
        <v>940638</v>
      </c>
      <c r="Q521" s="38">
        <f t="shared" si="50"/>
        <v>1314907</v>
      </c>
      <c r="R521" s="38">
        <f t="shared" si="50"/>
        <v>454801</v>
      </c>
      <c r="S521" s="38">
        <f t="shared" si="50"/>
        <v>253954</v>
      </c>
      <c r="T521" s="38">
        <f t="shared" si="50"/>
        <v>76369</v>
      </c>
      <c r="U521" s="48">
        <f t="shared" si="41"/>
        <v>2710346</v>
      </c>
      <c r="V521" s="48">
        <f t="shared" si="42"/>
        <v>3040669</v>
      </c>
      <c r="W521" s="49">
        <f t="shared" si="43"/>
        <v>0.3470545827</v>
      </c>
      <c r="X521" s="49">
        <f t="shared" si="44"/>
        <v>0.4851435942</v>
      </c>
      <c r="Y521" s="49">
        <f t="shared" si="45"/>
        <v>0.1678018231</v>
      </c>
      <c r="Z521" s="32" t="str">
        <f t="shared" si="46"/>
        <v>Milton</v>
      </c>
      <c r="AA521" s="50"/>
      <c r="AB521" s="55">
        <v>3412611.0</v>
      </c>
      <c r="AC521" s="48">
        <f t="shared" si="47"/>
        <v>371942</v>
      </c>
      <c r="AD521" s="51">
        <f t="shared" si="48"/>
        <v>0.8910095525</v>
      </c>
    </row>
    <row r="522">
      <c r="O522" s="73"/>
      <c r="P522" s="137"/>
      <c r="Q522" s="137"/>
      <c r="R522" s="137"/>
      <c r="S522" s="137"/>
      <c r="T522" s="137"/>
    </row>
    <row r="523">
      <c r="B523" s="74" t="s">
        <v>138</v>
      </c>
      <c r="D523" s="75"/>
      <c r="E523" s="75"/>
      <c r="F523" s="75"/>
      <c r="G523" s="75"/>
      <c r="H523" s="75"/>
    </row>
    <row r="524">
      <c r="B524" s="76" t="s">
        <v>139</v>
      </c>
      <c r="C524" s="33"/>
      <c r="D524" s="29"/>
      <c r="E524" s="29"/>
      <c r="F524" s="77"/>
      <c r="G524" s="77"/>
    </row>
    <row r="525">
      <c r="B525" s="76" t="s">
        <v>139</v>
      </c>
      <c r="D525" s="138"/>
      <c r="E525" s="137"/>
      <c r="F525" s="137"/>
      <c r="G525" s="137"/>
      <c r="H525" s="137"/>
      <c r="O525" s="73"/>
      <c r="P525" s="137"/>
      <c r="Q525" s="137"/>
      <c r="R525" s="137"/>
      <c r="S525" s="137"/>
      <c r="T525" s="137"/>
    </row>
    <row r="526">
      <c r="B526" s="76" t="s">
        <v>222</v>
      </c>
      <c r="D526" s="138"/>
      <c r="E526" s="137"/>
      <c r="F526" s="137"/>
      <c r="G526" s="137"/>
      <c r="H526" s="137"/>
      <c r="O526" s="73"/>
      <c r="P526" s="137"/>
      <c r="Q526" s="137"/>
      <c r="R526" s="137"/>
      <c r="S526" s="137"/>
      <c r="T526" s="137"/>
    </row>
    <row r="527">
      <c r="B527" s="76" t="s">
        <v>331</v>
      </c>
      <c r="D527" s="138"/>
      <c r="E527" s="137"/>
      <c r="F527" s="137"/>
      <c r="G527" s="137"/>
      <c r="H527" s="137"/>
      <c r="O527" s="73"/>
      <c r="P527" s="137"/>
      <c r="Q527" s="137"/>
      <c r="R527" s="137"/>
      <c r="S527" s="137"/>
      <c r="T527" s="137"/>
    </row>
    <row r="528">
      <c r="D528" s="138"/>
      <c r="E528" s="137"/>
      <c r="F528" s="137"/>
      <c r="G528" s="137"/>
      <c r="H528" s="137"/>
      <c r="O528" s="73"/>
      <c r="P528" s="137"/>
      <c r="Q528" s="137"/>
      <c r="R528" s="137"/>
      <c r="S528" s="137"/>
      <c r="T528" s="137"/>
    </row>
  </sheetData>
  <mergeCells count="203">
    <mergeCell ref="D2:G2"/>
    <mergeCell ref="A10:C10"/>
    <mergeCell ref="D10:N10"/>
    <mergeCell ref="P10:Z10"/>
    <mergeCell ref="AA10:AD10"/>
    <mergeCell ref="A19:A21"/>
    <mergeCell ref="A22:A31"/>
    <mergeCell ref="A33:A35"/>
    <mergeCell ref="A36:A39"/>
    <mergeCell ref="A40:A42"/>
    <mergeCell ref="A44:A47"/>
    <mergeCell ref="A48:A50"/>
    <mergeCell ref="A51:A52"/>
    <mergeCell ref="A53:A55"/>
    <mergeCell ref="A56:A59"/>
    <mergeCell ref="A60:A64"/>
    <mergeCell ref="A66:A67"/>
    <mergeCell ref="A69:A72"/>
    <mergeCell ref="A73:A76"/>
    <mergeCell ref="A77:A78"/>
    <mergeCell ref="A80:A86"/>
    <mergeCell ref="A87:A89"/>
    <mergeCell ref="A91:A92"/>
    <mergeCell ref="A93:A94"/>
    <mergeCell ref="A95:A96"/>
    <mergeCell ref="A97:A98"/>
    <mergeCell ref="A99:A101"/>
    <mergeCell ref="A103:A105"/>
    <mergeCell ref="A108:A109"/>
    <mergeCell ref="A110:A112"/>
    <mergeCell ref="A113:A115"/>
    <mergeCell ref="A116:A120"/>
    <mergeCell ref="A121:A124"/>
    <mergeCell ref="A125:A126"/>
    <mergeCell ref="A129:A130"/>
    <mergeCell ref="A131:A133"/>
    <mergeCell ref="A134:A138"/>
    <mergeCell ref="A139:A140"/>
    <mergeCell ref="A141:A142"/>
    <mergeCell ref="A143:A144"/>
    <mergeCell ref="A145:A147"/>
    <mergeCell ref="A148:A151"/>
    <mergeCell ref="A152:A155"/>
    <mergeCell ref="A157:A159"/>
    <mergeCell ref="A160:A162"/>
    <mergeCell ref="A165:A168"/>
    <mergeCell ref="A169:A171"/>
    <mergeCell ref="A172:A176"/>
    <mergeCell ref="A178:A183"/>
    <mergeCell ref="A185:A186"/>
    <mergeCell ref="A187:A189"/>
    <mergeCell ref="A190:A192"/>
    <mergeCell ref="A193:A194"/>
    <mergeCell ref="A195:A196"/>
    <mergeCell ref="A197:A200"/>
    <mergeCell ref="A201:A202"/>
    <mergeCell ref="A203:A207"/>
    <mergeCell ref="A209:A214"/>
    <mergeCell ref="A215:A220"/>
    <mergeCell ref="A221:A224"/>
    <mergeCell ref="A225:A231"/>
    <mergeCell ref="A232:A233"/>
    <mergeCell ref="A234:A237"/>
    <mergeCell ref="A238:A243"/>
    <mergeCell ref="A244:A247"/>
    <mergeCell ref="A248:A250"/>
    <mergeCell ref="A251:A254"/>
    <mergeCell ref="A255:A256"/>
    <mergeCell ref="A257:A258"/>
    <mergeCell ref="A259:A262"/>
    <mergeCell ref="A263:A269"/>
    <mergeCell ref="A270:A271"/>
    <mergeCell ref="A272:A274"/>
    <mergeCell ref="A276:A277"/>
    <mergeCell ref="A278:A279"/>
    <mergeCell ref="A280:A283"/>
    <mergeCell ref="A284:A290"/>
    <mergeCell ref="A317:A320"/>
    <mergeCell ref="A322:A323"/>
    <mergeCell ref="AB322:AB323"/>
    <mergeCell ref="AC322:AC323"/>
    <mergeCell ref="AD322:AD323"/>
    <mergeCell ref="A291:A297"/>
    <mergeCell ref="A298:A300"/>
    <mergeCell ref="A301:A302"/>
    <mergeCell ref="A303:A305"/>
    <mergeCell ref="A306:A308"/>
    <mergeCell ref="A309:A310"/>
    <mergeCell ref="A311:A316"/>
    <mergeCell ref="A324:A325"/>
    <mergeCell ref="A326:A327"/>
    <mergeCell ref="A328:A330"/>
    <mergeCell ref="A331:A332"/>
    <mergeCell ref="A334:A338"/>
    <mergeCell ref="A339:A341"/>
    <mergeCell ref="A342:A343"/>
    <mergeCell ref="R382:R383"/>
    <mergeCell ref="S382:S383"/>
    <mergeCell ref="K382:K383"/>
    <mergeCell ref="L382:L383"/>
    <mergeCell ref="M382:M383"/>
    <mergeCell ref="N382:N383"/>
    <mergeCell ref="O382:O383"/>
    <mergeCell ref="P382:P383"/>
    <mergeCell ref="Q382:Q383"/>
    <mergeCell ref="A384:A391"/>
    <mergeCell ref="A392:A393"/>
    <mergeCell ref="A394:A395"/>
    <mergeCell ref="A396:A397"/>
    <mergeCell ref="A398:A400"/>
    <mergeCell ref="A401:A403"/>
    <mergeCell ref="A404:A406"/>
    <mergeCell ref="A407:A409"/>
    <mergeCell ref="A410:A411"/>
    <mergeCell ref="A412:A414"/>
    <mergeCell ref="A416:A418"/>
    <mergeCell ref="A419:A421"/>
    <mergeCell ref="A422:A424"/>
    <mergeCell ref="A425:A428"/>
    <mergeCell ref="A429:A431"/>
    <mergeCell ref="A432:A434"/>
    <mergeCell ref="A435:A439"/>
    <mergeCell ref="A441:A442"/>
    <mergeCell ref="A443:A444"/>
    <mergeCell ref="A445:A448"/>
    <mergeCell ref="A450:A454"/>
    <mergeCell ref="A455:A460"/>
    <mergeCell ref="A461:A462"/>
    <mergeCell ref="A463:A469"/>
    <mergeCell ref="A470:A471"/>
    <mergeCell ref="A472:A476"/>
    <mergeCell ref="A477:A478"/>
    <mergeCell ref="A479:A481"/>
    <mergeCell ref="A500:A501"/>
    <mergeCell ref="A503:A505"/>
    <mergeCell ref="A506:A507"/>
    <mergeCell ref="A511:A512"/>
    <mergeCell ref="A514:A515"/>
    <mergeCell ref="A516:A519"/>
    <mergeCell ref="A521:B521"/>
    <mergeCell ref="A482:A483"/>
    <mergeCell ref="A484:A485"/>
    <mergeCell ref="A486:A487"/>
    <mergeCell ref="A488:A489"/>
    <mergeCell ref="A491:A494"/>
    <mergeCell ref="A495:A497"/>
    <mergeCell ref="A498:A499"/>
    <mergeCell ref="AA382:AA383"/>
    <mergeCell ref="AB382:AB383"/>
    <mergeCell ref="T382:T383"/>
    <mergeCell ref="U382:U383"/>
    <mergeCell ref="V382:V383"/>
    <mergeCell ref="W382:W383"/>
    <mergeCell ref="X382:X383"/>
    <mergeCell ref="Y382:Y383"/>
    <mergeCell ref="Z382:Z383"/>
    <mergeCell ref="G357:G358"/>
    <mergeCell ref="H357:H358"/>
    <mergeCell ref="I357:I358"/>
    <mergeCell ref="J357:J358"/>
    <mergeCell ref="K357:K358"/>
    <mergeCell ref="L357:L358"/>
    <mergeCell ref="M357:M358"/>
    <mergeCell ref="N357:N358"/>
    <mergeCell ref="O357:O358"/>
    <mergeCell ref="P357:P358"/>
    <mergeCell ref="Q357:Q358"/>
    <mergeCell ref="R357:R358"/>
    <mergeCell ref="S357:S358"/>
    <mergeCell ref="T357:T358"/>
    <mergeCell ref="AB357:AB358"/>
    <mergeCell ref="AC357:AC358"/>
    <mergeCell ref="AD357:AD358"/>
    <mergeCell ref="U357:U358"/>
    <mergeCell ref="V357:V358"/>
    <mergeCell ref="W357:W358"/>
    <mergeCell ref="X357:X358"/>
    <mergeCell ref="Y357:Y358"/>
    <mergeCell ref="Z357:Z358"/>
    <mergeCell ref="AA357:AA358"/>
    <mergeCell ref="A345:A349"/>
    <mergeCell ref="A350:A352"/>
    <mergeCell ref="A354:A356"/>
    <mergeCell ref="B357:B358"/>
    <mergeCell ref="D357:D358"/>
    <mergeCell ref="E357:E358"/>
    <mergeCell ref="F357:F358"/>
    <mergeCell ref="A359:A368"/>
    <mergeCell ref="A369:A370"/>
    <mergeCell ref="A371:A372"/>
    <mergeCell ref="A373:A376"/>
    <mergeCell ref="A377:A378"/>
    <mergeCell ref="A379:A381"/>
    <mergeCell ref="B382:B383"/>
    <mergeCell ref="AC382:AC383"/>
    <mergeCell ref="AD382:AD383"/>
    <mergeCell ref="D382:D383"/>
    <mergeCell ref="E382:E383"/>
    <mergeCell ref="F382:F383"/>
    <mergeCell ref="G382:G383"/>
    <mergeCell ref="H382:H383"/>
    <mergeCell ref="I382:I383"/>
    <mergeCell ref="J382:J383"/>
  </mergeCells>
  <conditionalFormatting sqref="K12:M521 N12:N522 Z12:Z521 N525:N528">
    <cfRule type="colorScale" priority="1">
      <colorScale>
        <cfvo type="percent" val="0"/>
        <cfvo type="percent" val="50"/>
        <cfvo type="percent" val="100"/>
        <color rgb="FFFFFFFF"/>
        <color rgb="FFABDDC5"/>
        <color rgb="FF57BB8A"/>
      </colorScale>
    </cfRule>
  </conditionalFormatting>
  <conditionalFormatting sqref="W12:Y521">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31" t="s">
        <v>45</v>
      </c>
      <c r="E2" s="12"/>
      <c r="F2" s="12"/>
      <c r="G2" s="13"/>
    </row>
    <row r="3">
      <c r="D3" s="32" t="s">
        <v>46</v>
      </c>
      <c r="E3" s="22">
        <f t="shared" ref="E3:E7" si="1">IF(SUM(COUNTIF($N$13:$N$74,D3),COUNTIF($N$79:$N$502,D3))=0,"-",SUM(COUNTIF($N$13:$N$74,D3),COUNTIF($N$79:$N$502,D3)))</f>
        <v>265</v>
      </c>
      <c r="F3" s="32" t="s">
        <v>47</v>
      </c>
      <c r="G3" s="22">
        <f t="shared" ref="G3:G7" si="2">IF(SUM(COUNTIF($Z$13:$Z$74,F3),COUNTIF($Z$79:$Z$502,F3))=0,"-",SUM(COUNTIF($Z$13:$Z$74,F3),COUNTIF($Z$79:$Z$502,F3)))</f>
        <v>256</v>
      </c>
    </row>
    <row r="4">
      <c r="D4" s="32" t="s">
        <v>48</v>
      </c>
      <c r="E4" s="22">
        <f t="shared" si="1"/>
        <v>209</v>
      </c>
      <c r="F4" s="32" t="s">
        <v>49</v>
      </c>
      <c r="G4" s="22">
        <f t="shared" si="2"/>
        <v>229</v>
      </c>
    </row>
    <row r="5">
      <c r="D5" s="32" t="s">
        <v>50</v>
      </c>
      <c r="E5" s="22">
        <f t="shared" si="1"/>
        <v>9</v>
      </c>
      <c r="F5" s="32" t="s">
        <v>51</v>
      </c>
      <c r="G5" s="22" t="str">
        <f t="shared" si="2"/>
        <v>-</v>
      </c>
    </row>
    <row r="6">
      <c r="D6" s="32" t="s">
        <v>52</v>
      </c>
      <c r="E6" s="22">
        <f t="shared" si="1"/>
        <v>2</v>
      </c>
      <c r="F6" s="32" t="s">
        <v>52</v>
      </c>
      <c r="G6" s="22" t="str">
        <f t="shared" si="2"/>
        <v>-</v>
      </c>
    </row>
    <row r="7">
      <c r="D7" s="32" t="s">
        <v>53</v>
      </c>
      <c r="E7" s="22" t="str">
        <f t="shared" si="1"/>
        <v>-</v>
      </c>
      <c r="F7" s="32" t="s">
        <v>53</v>
      </c>
      <c r="G7" s="22" t="str">
        <f t="shared" si="2"/>
        <v>-</v>
      </c>
    </row>
    <row r="8">
      <c r="D8" s="32" t="s">
        <v>54</v>
      </c>
      <c r="E8" s="32">
        <f>SUM(E3:E7)</f>
        <v>485</v>
      </c>
      <c r="F8" s="32" t="s">
        <v>54</v>
      </c>
      <c r="G8" s="32">
        <f>SUM(G3:G7)</f>
        <v>485</v>
      </c>
    </row>
    <row r="9">
      <c r="D9" s="109"/>
      <c r="E9" s="109"/>
      <c r="F9" s="109"/>
      <c r="G9" s="109"/>
    </row>
    <row r="11">
      <c r="A11" s="34"/>
      <c r="B11" s="12"/>
      <c r="C11" s="13"/>
      <c r="D11" s="35" t="s">
        <v>55</v>
      </c>
      <c r="E11" s="12"/>
      <c r="F11" s="12"/>
      <c r="G11" s="12"/>
      <c r="H11" s="12"/>
      <c r="I11" s="12"/>
      <c r="J11" s="12"/>
      <c r="K11" s="12"/>
      <c r="L11" s="12"/>
      <c r="M11" s="12"/>
      <c r="N11" s="13"/>
      <c r="O11" s="36"/>
      <c r="P11" s="35" t="s">
        <v>56</v>
      </c>
      <c r="Q11" s="12"/>
      <c r="R11" s="12"/>
      <c r="S11" s="12"/>
      <c r="T11" s="12"/>
      <c r="U11" s="12"/>
      <c r="V11" s="12"/>
      <c r="W11" s="12"/>
      <c r="X11" s="12"/>
      <c r="Y11" s="12"/>
      <c r="Z11" s="13"/>
      <c r="AA11" s="37"/>
      <c r="AB11" s="12"/>
      <c r="AC11" s="12"/>
      <c r="AD11" s="13"/>
    </row>
    <row r="12">
      <c r="A12" s="38" t="s">
        <v>57</v>
      </c>
      <c r="B12" s="39" t="s">
        <v>58</v>
      </c>
      <c r="C12" s="40"/>
      <c r="D12" s="38" t="s">
        <v>46</v>
      </c>
      <c r="E12" s="38" t="s">
        <v>48</v>
      </c>
      <c r="F12" s="38" t="s">
        <v>50</v>
      </c>
      <c r="G12" s="38" t="s">
        <v>59</v>
      </c>
      <c r="H12" s="38" t="s">
        <v>60</v>
      </c>
      <c r="I12" s="41" t="s">
        <v>61</v>
      </c>
      <c r="J12" s="41" t="s">
        <v>62</v>
      </c>
      <c r="K12" s="38" t="s">
        <v>63</v>
      </c>
      <c r="L12" s="38" t="s">
        <v>64</v>
      </c>
      <c r="M12" s="38" t="s">
        <v>65</v>
      </c>
      <c r="N12" s="38" t="s">
        <v>66</v>
      </c>
      <c r="O12" s="42"/>
      <c r="P12" s="38" t="s">
        <v>47</v>
      </c>
      <c r="Q12" s="38" t="s">
        <v>49</v>
      </c>
      <c r="R12" s="38" t="s">
        <v>51</v>
      </c>
      <c r="S12" s="38" t="s">
        <v>59</v>
      </c>
      <c r="T12" s="38" t="s">
        <v>60</v>
      </c>
      <c r="U12" s="41" t="s">
        <v>61</v>
      </c>
      <c r="V12" s="41" t="s">
        <v>62</v>
      </c>
      <c r="W12" s="43" t="s">
        <v>67</v>
      </c>
      <c r="X12" s="43" t="s">
        <v>68</v>
      </c>
      <c r="Y12" s="43" t="s">
        <v>69</v>
      </c>
      <c r="Z12" s="38" t="s">
        <v>66</v>
      </c>
      <c r="AA12" s="44"/>
      <c r="AB12" s="41" t="s">
        <v>70</v>
      </c>
      <c r="AC12" s="41" t="s">
        <v>71</v>
      </c>
      <c r="AD12" s="41" t="s">
        <v>72</v>
      </c>
    </row>
    <row r="13">
      <c r="A13" s="110" t="s">
        <v>73</v>
      </c>
      <c r="B13" s="46" t="s">
        <v>2556</v>
      </c>
      <c r="C13" s="47"/>
      <c r="D13" s="38">
        <v>1779.0</v>
      </c>
      <c r="E13" s="38">
        <v>2504.0</v>
      </c>
      <c r="F13" s="38">
        <v>289.0</v>
      </c>
      <c r="G13" s="38">
        <v>320.0</v>
      </c>
      <c r="H13" s="38">
        <v>245.0</v>
      </c>
      <c r="I13" s="48">
        <f t="shared" ref="I13:I260" si="3">SUM(D13:F13)</f>
        <v>4572</v>
      </c>
      <c r="J13" s="48">
        <f t="shared" ref="J13:J260" si="4">SUM(G13:I13)</f>
        <v>5137</v>
      </c>
      <c r="K13" s="49">
        <f t="shared" ref="K13:K260" si="5">D13/I13</f>
        <v>0.3891076115</v>
      </c>
      <c r="L13" s="49">
        <f t="shared" ref="L13:L260" si="6">E13/I13</f>
        <v>0.5476815398</v>
      </c>
      <c r="M13" s="49">
        <f t="shared" ref="M13:M260" si="7">F13/I13</f>
        <v>0.06321084864</v>
      </c>
      <c r="N13" s="32" t="str">
        <f t="shared" ref="N13:N259" si="8">IF(LARGE(D13:F13,1)=0,$D$7,IF(LARGE(D13:F13,1)=LARGE(D13:F13,2),$D$6,IF(LARGE(D13:F13,1)=D13,$D$3,IF(LARGE(D13:F13,1)=E13,$D$4,IF(LARGE(D13:F13,1)=F13,$D$5)))))</f>
        <v>Mal. Lott</v>
      </c>
      <c r="O13" s="50" t="s">
        <v>77</v>
      </c>
      <c r="P13" s="38">
        <v>1633.0</v>
      </c>
      <c r="Q13" s="38">
        <v>1538.0</v>
      </c>
      <c r="R13" s="38">
        <v>1207.0</v>
      </c>
      <c r="S13" s="38">
        <v>591.0</v>
      </c>
      <c r="T13" s="38">
        <v>168.0</v>
      </c>
      <c r="U13" s="48">
        <f t="shared" ref="U13:U260" si="9">SUM(P13:R13)</f>
        <v>4378</v>
      </c>
      <c r="V13" s="48">
        <f t="shared" ref="V13:V260" si="10">SUM(S13:U13)</f>
        <v>5137</v>
      </c>
      <c r="W13" s="49">
        <f t="shared" ref="W13:W260" si="11">P13/U13</f>
        <v>0.3730013705</v>
      </c>
      <c r="X13" s="49">
        <f t="shared" ref="X13:X260" si="12">Q13/U13</f>
        <v>0.3513019644</v>
      </c>
      <c r="Y13" s="49">
        <f t="shared" ref="Y13:Y260" si="13">R13/U13</f>
        <v>0.2756966651</v>
      </c>
      <c r="Z13" s="32" t="str">
        <f t="shared" ref="Z13:Z259" si="14">IF(LARGE(P13:R13,1)=0,$F$7,IF(LARGE(P13:R13,1)=LARGE(P13:R13,2),$F$6,IF(LARGE(P13:R13,1)=P13,$F$3,IF(LARGE(P13:R13,1)=Q13,$F$4,IF(LARGE(P13:R13,1)=R13,$F$5)))))</f>
        <v>Jango</v>
      </c>
      <c r="AA13" s="50" t="s">
        <v>77</v>
      </c>
      <c r="AB13" s="38">
        <v>7544.0</v>
      </c>
      <c r="AC13" s="48">
        <f t="shared" ref="AC13:AC50" si="15">AB13-V13</f>
        <v>2407</v>
      </c>
      <c r="AD13" s="51">
        <f t="shared" ref="AD13:AD50" si="16">V13/AB13</f>
        <v>0.6809384942</v>
      </c>
    </row>
    <row r="14">
      <c r="A14" s="61" t="s">
        <v>75</v>
      </c>
      <c r="B14" s="46" t="s">
        <v>2557</v>
      </c>
      <c r="C14" s="47"/>
      <c r="D14" s="38">
        <v>1157.0</v>
      </c>
      <c r="E14" s="38">
        <v>2434.0</v>
      </c>
      <c r="F14" s="38">
        <v>193.0</v>
      </c>
      <c r="G14" s="38">
        <v>350.0</v>
      </c>
      <c r="H14" s="38">
        <v>258.0</v>
      </c>
      <c r="I14" s="48">
        <f t="shared" si="3"/>
        <v>3784</v>
      </c>
      <c r="J14" s="48">
        <f t="shared" si="4"/>
        <v>4392</v>
      </c>
      <c r="K14" s="49">
        <f t="shared" si="5"/>
        <v>0.3057610994</v>
      </c>
      <c r="L14" s="49">
        <f t="shared" si="6"/>
        <v>0.6432346723</v>
      </c>
      <c r="M14" s="49">
        <f t="shared" si="7"/>
        <v>0.05100422833</v>
      </c>
      <c r="N14" s="32" t="str">
        <f t="shared" si="8"/>
        <v>Mal. Lott</v>
      </c>
      <c r="O14" s="50" t="s">
        <v>77</v>
      </c>
      <c r="P14" s="38">
        <v>2435.0</v>
      </c>
      <c r="Q14" s="38">
        <v>957.0</v>
      </c>
      <c r="R14" s="38">
        <v>223.0</v>
      </c>
      <c r="S14" s="38">
        <v>638.0</v>
      </c>
      <c r="T14" s="38">
        <v>139.0</v>
      </c>
      <c r="U14" s="48">
        <f t="shared" si="9"/>
        <v>3615</v>
      </c>
      <c r="V14" s="48">
        <f t="shared" si="10"/>
        <v>4392</v>
      </c>
      <c r="W14" s="49">
        <f t="shared" si="11"/>
        <v>0.673582296</v>
      </c>
      <c r="X14" s="49">
        <f t="shared" si="12"/>
        <v>0.2647302905</v>
      </c>
      <c r="Y14" s="49">
        <f t="shared" si="13"/>
        <v>0.06168741355</v>
      </c>
      <c r="Z14" s="32" t="str">
        <f t="shared" si="14"/>
        <v>Jango</v>
      </c>
      <c r="AA14" s="50" t="s">
        <v>77</v>
      </c>
      <c r="AB14" s="38">
        <v>5244.0</v>
      </c>
      <c r="AC14" s="48">
        <f t="shared" si="15"/>
        <v>852</v>
      </c>
      <c r="AD14" s="51">
        <f t="shared" si="16"/>
        <v>0.8375286041</v>
      </c>
    </row>
    <row r="15">
      <c r="A15" s="23"/>
      <c r="B15" s="46" t="s">
        <v>2558</v>
      </c>
      <c r="C15" s="47"/>
      <c r="D15" s="38">
        <v>1905.0</v>
      </c>
      <c r="E15" s="38">
        <v>1139.0</v>
      </c>
      <c r="F15" s="38">
        <v>187.0</v>
      </c>
      <c r="G15" s="38">
        <v>211.0</v>
      </c>
      <c r="H15" s="38">
        <v>172.0</v>
      </c>
      <c r="I15" s="48">
        <f t="shared" si="3"/>
        <v>3231</v>
      </c>
      <c r="J15" s="48">
        <f t="shared" si="4"/>
        <v>3614</v>
      </c>
      <c r="K15" s="49">
        <f t="shared" si="5"/>
        <v>0.5896007428</v>
      </c>
      <c r="L15" s="49">
        <f t="shared" si="6"/>
        <v>0.3525224389</v>
      </c>
      <c r="M15" s="49">
        <f t="shared" si="7"/>
        <v>0.05787681832</v>
      </c>
      <c r="N15" s="32" t="str">
        <f t="shared" si="8"/>
        <v>Jânio</v>
      </c>
      <c r="O15" s="50" t="s">
        <v>77</v>
      </c>
      <c r="P15" s="38">
        <v>1179.0</v>
      </c>
      <c r="Q15" s="38">
        <v>1715.0</v>
      </c>
      <c r="R15" s="38">
        <v>159.0</v>
      </c>
      <c r="S15" s="38">
        <v>434.0</v>
      </c>
      <c r="T15" s="38">
        <v>127.0</v>
      </c>
      <c r="U15" s="48">
        <f t="shared" si="9"/>
        <v>3053</v>
      </c>
      <c r="V15" s="48">
        <f t="shared" si="10"/>
        <v>3614</v>
      </c>
      <c r="W15" s="49">
        <f t="shared" si="11"/>
        <v>0.3861775303</v>
      </c>
      <c r="X15" s="49">
        <f t="shared" si="12"/>
        <v>0.5617425483</v>
      </c>
      <c r="Y15" s="49">
        <f t="shared" si="13"/>
        <v>0.05207992139</v>
      </c>
      <c r="Z15" s="32" t="str">
        <f t="shared" si="14"/>
        <v>Milton</v>
      </c>
      <c r="AA15" s="50" t="s">
        <v>77</v>
      </c>
      <c r="AB15" s="38">
        <v>4403.0</v>
      </c>
      <c r="AC15" s="48">
        <f t="shared" si="15"/>
        <v>789</v>
      </c>
      <c r="AD15" s="51">
        <f t="shared" si="16"/>
        <v>0.8208039973</v>
      </c>
    </row>
    <row r="16">
      <c r="A16" s="24"/>
      <c r="B16" s="46" t="s">
        <v>2559</v>
      </c>
      <c r="C16" s="47"/>
      <c r="D16" s="38">
        <v>811.0</v>
      </c>
      <c r="E16" s="38">
        <v>622.0</v>
      </c>
      <c r="F16" s="38">
        <v>103.0</v>
      </c>
      <c r="G16" s="38">
        <v>125.0</v>
      </c>
      <c r="H16" s="38">
        <v>126.0</v>
      </c>
      <c r="I16" s="48">
        <f t="shared" si="3"/>
        <v>1536</v>
      </c>
      <c r="J16" s="48">
        <f t="shared" si="4"/>
        <v>1787</v>
      </c>
      <c r="K16" s="49">
        <f t="shared" si="5"/>
        <v>0.5279947917</v>
      </c>
      <c r="L16" s="49">
        <f t="shared" si="6"/>
        <v>0.4049479167</v>
      </c>
      <c r="M16" s="49">
        <f t="shared" si="7"/>
        <v>0.06705729167</v>
      </c>
      <c r="N16" s="32" t="str">
        <f t="shared" si="8"/>
        <v>Jânio</v>
      </c>
      <c r="O16" s="50" t="s">
        <v>77</v>
      </c>
      <c r="P16" s="38">
        <v>555.0</v>
      </c>
      <c r="Q16" s="38">
        <v>682.0</v>
      </c>
      <c r="R16" s="38">
        <v>69.0</v>
      </c>
      <c r="S16" s="38">
        <v>434.0</v>
      </c>
      <c r="T16" s="38">
        <v>47.0</v>
      </c>
      <c r="U16" s="48">
        <f t="shared" si="9"/>
        <v>1306</v>
      </c>
      <c r="V16" s="48">
        <f t="shared" si="10"/>
        <v>1787</v>
      </c>
      <c r="W16" s="49">
        <f t="shared" si="11"/>
        <v>0.4249617152</v>
      </c>
      <c r="X16" s="49">
        <f t="shared" si="12"/>
        <v>0.5222052067</v>
      </c>
      <c r="Y16" s="49">
        <f t="shared" si="13"/>
        <v>0.0528330781</v>
      </c>
      <c r="Z16" s="32" t="str">
        <f t="shared" si="14"/>
        <v>Milton</v>
      </c>
      <c r="AA16" s="50" t="s">
        <v>77</v>
      </c>
      <c r="AB16" s="38">
        <v>2138.0</v>
      </c>
      <c r="AC16" s="48">
        <f t="shared" si="15"/>
        <v>351</v>
      </c>
      <c r="AD16" s="51">
        <f t="shared" si="16"/>
        <v>0.8358278765</v>
      </c>
    </row>
    <row r="17">
      <c r="A17" s="110" t="s">
        <v>79</v>
      </c>
      <c r="B17" s="46" t="s">
        <v>2560</v>
      </c>
      <c r="C17" s="47"/>
      <c r="D17" s="38">
        <v>435.0</v>
      </c>
      <c r="E17" s="38">
        <v>2264.0</v>
      </c>
      <c r="F17" s="38">
        <v>224.0</v>
      </c>
      <c r="G17" s="38">
        <v>39.0</v>
      </c>
      <c r="H17" s="38">
        <v>473.0</v>
      </c>
      <c r="I17" s="48">
        <f t="shared" si="3"/>
        <v>2923</v>
      </c>
      <c r="J17" s="48">
        <f t="shared" si="4"/>
        <v>3435</v>
      </c>
      <c r="K17" s="49">
        <f t="shared" si="5"/>
        <v>0.1488197058</v>
      </c>
      <c r="L17" s="49">
        <f t="shared" si="6"/>
        <v>0.7745466986</v>
      </c>
      <c r="M17" s="49">
        <f t="shared" si="7"/>
        <v>0.07663359562</v>
      </c>
      <c r="N17" s="32" t="str">
        <f t="shared" si="8"/>
        <v>Mal. Lott</v>
      </c>
      <c r="O17" s="50" t="s">
        <v>77</v>
      </c>
      <c r="P17" s="38">
        <v>2462.0</v>
      </c>
      <c r="Q17" s="38">
        <v>372.0</v>
      </c>
      <c r="R17" s="38">
        <v>149.0</v>
      </c>
      <c r="S17" s="38">
        <v>145.0</v>
      </c>
      <c r="T17" s="38">
        <v>307.0</v>
      </c>
      <c r="U17" s="48">
        <f t="shared" si="9"/>
        <v>2983</v>
      </c>
      <c r="V17" s="48">
        <f t="shared" si="10"/>
        <v>3435</v>
      </c>
      <c r="W17" s="49">
        <f t="shared" si="11"/>
        <v>0.8253436138</v>
      </c>
      <c r="X17" s="49">
        <f t="shared" si="12"/>
        <v>0.1247066711</v>
      </c>
      <c r="Y17" s="49">
        <f t="shared" si="13"/>
        <v>0.04994971505</v>
      </c>
      <c r="Z17" s="32" t="str">
        <f t="shared" si="14"/>
        <v>Jango</v>
      </c>
      <c r="AA17" s="50" t="s">
        <v>77</v>
      </c>
      <c r="AB17" s="38">
        <v>4347.0</v>
      </c>
      <c r="AC17" s="48">
        <f t="shared" si="15"/>
        <v>912</v>
      </c>
      <c r="AD17" s="51">
        <f t="shared" si="16"/>
        <v>0.790200138</v>
      </c>
    </row>
    <row r="18">
      <c r="A18" s="61" t="s">
        <v>85</v>
      </c>
      <c r="B18" s="46" t="s">
        <v>2561</v>
      </c>
      <c r="C18" s="47"/>
      <c r="D18" s="38">
        <v>1175.0</v>
      </c>
      <c r="E18" s="38">
        <v>1007.0</v>
      </c>
      <c r="F18" s="38">
        <v>237.0</v>
      </c>
      <c r="G18" s="38">
        <v>135.0</v>
      </c>
      <c r="H18" s="38">
        <v>163.0</v>
      </c>
      <c r="I18" s="48">
        <f t="shared" si="3"/>
        <v>2419</v>
      </c>
      <c r="J18" s="48">
        <f t="shared" si="4"/>
        <v>2717</v>
      </c>
      <c r="K18" s="49">
        <f t="shared" si="5"/>
        <v>0.4857379082</v>
      </c>
      <c r="L18" s="49">
        <f t="shared" si="6"/>
        <v>0.4162877222</v>
      </c>
      <c r="M18" s="49">
        <f t="shared" si="7"/>
        <v>0.09797436957</v>
      </c>
      <c r="N18" s="32" t="str">
        <f t="shared" si="8"/>
        <v>Jânio</v>
      </c>
      <c r="O18" s="50" t="s">
        <v>77</v>
      </c>
      <c r="P18" s="38">
        <v>1102.0</v>
      </c>
      <c r="Q18" s="38">
        <v>1099.0</v>
      </c>
      <c r="R18" s="38">
        <v>144.0</v>
      </c>
      <c r="S18" s="38">
        <v>302.0</v>
      </c>
      <c r="T18" s="38">
        <v>70.0</v>
      </c>
      <c r="U18" s="48">
        <f t="shared" si="9"/>
        <v>2345</v>
      </c>
      <c r="V18" s="48">
        <f t="shared" si="10"/>
        <v>2717</v>
      </c>
      <c r="W18" s="49">
        <f t="shared" si="11"/>
        <v>0.4699360341</v>
      </c>
      <c r="X18" s="49">
        <f t="shared" si="12"/>
        <v>0.4686567164</v>
      </c>
      <c r="Y18" s="49">
        <f t="shared" si="13"/>
        <v>0.06140724947</v>
      </c>
      <c r="Z18" s="32" t="str">
        <f t="shared" si="14"/>
        <v>Jango</v>
      </c>
      <c r="AA18" s="50" t="s">
        <v>77</v>
      </c>
      <c r="AB18" s="38">
        <v>4060.0</v>
      </c>
      <c r="AC18" s="48">
        <f t="shared" si="15"/>
        <v>1343</v>
      </c>
      <c r="AD18" s="51">
        <f t="shared" si="16"/>
        <v>0.6692118227</v>
      </c>
    </row>
    <row r="19">
      <c r="A19" s="24"/>
      <c r="B19" s="46" t="s">
        <v>2562</v>
      </c>
      <c r="C19" s="47"/>
      <c r="D19" s="38">
        <v>596.0</v>
      </c>
      <c r="E19" s="38">
        <v>677.0</v>
      </c>
      <c r="F19" s="38">
        <v>63.0</v>
      </c>
      <c r="G19" s="38">
        <v>87.0</v>
      </c>
      <c r="H19" s="38">
        <v>103.0</v>
      </c>
      <c r="I19" s="48">
        <f t="shared" si="3"/>
        <v>1336</v>
      </c>
      <c r="J19" s="48">
        <f t="shared" si="4"/>
        <v>1526</v>
      </c>
      <c r="K19" s="49">
        <f t="shared" si="5"/>
        <v>0.4461077844</v>
      </c>
      <c r="L19" s="49">
        <f t="shared" si="6"/>
        <v>0.5067365269</v>
      </c>
      <c r="M19" s="49">
        <f t="shared" si="7"/>
        <v>0.04715568862</v>
      </c>
      <c r="N19" s="32" t="str">
        <f t="shared" si="8"/>
        <v>Mal. Lott</v>
      </c>
      <c r="O19" s="50" t="s">
        <v>77</v>
      </c>
      <c r="P19" s="38">
        <v>688.0</v>
      </c>
      <c r="Q19" s="38">
        <v>511.0</v>
      </c>
      <c r="R19" s="38">
        <v>39.0</v>
      </c>
      <c r="S19" s="38">
        <v>256.0</v>
      </c>
      <c r="T19" s="38">
        <v>32.0</v>
      </c>
      <c r="U19" s="48">
        <f t="shared" si="9"/>
        <v>1238</v>
      </c>
      <c r="V19" s="48">
        <f t="shared" si="10"/>
        <v>1526</v>
      </c>
      <c r="W19" s="49">
        <f t="shared" si="11"/>
        <v>0.5557350565</v>
      </c>
      <c r="X19" s="49">
        <f t="shared" si="12"/>
        <v>0.4127625202</v>
      </c>
      <c r="Y19" s="49">
        <f t="shared" si="13"/>
        <v>0.03150242326</v>
      </c>
      <c r="Z19" s="32" t="str">
        <f t="shared" si="14"/>
        <v>Jango</v>
      </c>
      <c r="AA19" s="50" t="s">
        <v>77</v>
      </c>
      <c r="AB19" s="38">
        <v>3159.0</v>
      </c>
      <c r="AC19" s="48">
        <f t="shared" si="15"/>
        <v>1633</v>
      </c>
      <c r="AD19" s="51">
        <f t="shared" si="16"/>
        <v>0.4830642608</v>
      </c>
    </row>
    <row r="20">
      <c r="A20" s="110" t="s">
        <v>90</v>
      </c>
      <c r="B20" s="46" t="s">
        <v>2563</v>
      </c>
      <c r="C20" s="47"/>
      <c r="D20" s="38">
        <v>3110.0</v>
      </c>
      <c r="E20" s="38">
        <v>3635.0</v>
      </c>
      <c r="F20" s="38">
        <v>291.0</v>
      </c>
      <c r="G20" s="38">
        <v>277.0</v>
      </c>
      <c r="H20" s="38">
        <v>322.0</v>
      </c>
      <c r="I20" s="48">
        <f t="shared" si="3"/>
        <v>7036</v>
      </c>
      <c r="J20" s="48">
        <f t="shared" si="4"/>
        <v>7635</v>
      </c>
      <c r="K20" s="49">
        <f t="shared" si="5"/>
        <v>0.4420125071</v>
      </c>
      <c r="L20" s="49">
        <f t="shared" si="6"/>
        <v>0.5166287663</v>
      </c>
      <c r="M20" s="49">
        <f t="shared" si="7"/>
        <v>0.04135872655</v>
      </c>
      <c r="N20" s="32" t="str">
        <f t="shared" si="8"/>
        <v>Mal. Lott</v>
      </c>
      <c r="O20" s="50" t="s">
        <v>77</v>
      </c>
      <c r="P20" s="38">
        <v>3736.0</v>
      </c>
      <c r="Q20" s="38">
        <v>2774.0</v>
      </c>
      <c r="R20" s="38">
        <v>270.0</v>
      </c>
      <c r="S20" s="38">
        <v>664.0</v>
      </c>
      <c r="T20" s="38">
        <v>191.0</v>
      </c>
      <c r="U20" s="48">
        <f t="shared" si="9"/>
        <v>6780</v>
      </c>
      <c r="V20" s="48">
        <f t="shared" si="10"/>
        <v>7635</v>
      </c>
      <c r="W20" s="49">
        <f t="shared" si="11"/>
        <v>0.5510324484</v>
      </c>
      <c r="X20" s="49">
        <f t="shared" si="12"/>
        <v>0.4091445428</v>
      </c>
      <c r="Y20" s="49">
        <f t="shared" si="13"/>
        <v>0.03982300885</v>
      </c>
      <c r="Z20" s="32" t="str">
        <f t="shared" si="14"/>
        <v>Jango</v>
      </c>
      <c r="AA20" s="50" t="s">
        <v>77</v>
      </c>
      <c r="AB20" s="38">
        <v>9796.0</v>
      </c>
      <c r="AC20" s="48">
        <f t="shared" si="15"/>
        <v>2161</v>
      </c>
      <c r="AD20" s="51">
        <f t="shared" si="16"/>
        <v>0.779399755</v>
      </c>
    </row>
    <row r="21">
      <c r="A21" s="61" t="s">
        <v>92</v>
      </c>
      <c r="B21" s="46" t="s">
        <v>2564</v>
      </c>
      <c r="C21" s="47"/>
      <c r="D21" s="38">
        <v>654.0</v>
      </c>
      <c r="E21" s="38">
        <v>408.0</v>
      </c>
      <c r="F21" s="38">
        <v>162.0</v>
      </c>
      <c r="G21" s="38">
        <v>83.0</v>
      </c>
      <c r="H21" s="38">
        <v>88.0</v>
      </c>
      <c r="I21" s="48">
        <f t="shared" si="3"/>
        <v>1224</v>
      </c>
      <c r="J21" s="48">
        <f t="shared" si="4"/>
        <v>1395</v>
      </c>
      <c r="K21" s="49">
        <f t="shared" si="5"/>
        <v>0.5343137255</v>
      </c>
      <c r="L21" s="49">
        <f t="shared" si="6"/>
        <v>0.3333333333</v>
      </c>
      <c r="M21" s="49">
        <f t="shared" si="7"/>
        <v>0.1323529412</v>
      </c>
      <c r="N21" s="32" t="str">
        <f t="shared" si="8"/>
        <v>Jânio</v>
      </c>
      <c r="O21" s="50" t="s">
        <v>77</v>
      </c>
      <c r="P21" s="38">
        <v>382.0</v>
      </c>
      <c r="Q21" s="38">
        <v>714.0</v>
      </c>
      <c r="R21" s="38">
        <v>72.0</v>
      </c>
      <c r="S21" s="38">
        <v>172.0</v>
      </c>
      <c r="T21" s="38">
        <v>55.0</v>
      </c>
      <c r="U21" s="48">
        <f t="shared" si="9"/>
        <v>1168</v>
      </c>
      <c r="V21" s="48">
        <f t="shared" si="10"/>
        <v>1395</v>
      </c>
      <c r="W21" s="49">
        <f t="shared" si="11"/>
        <v>0.3270547945</v>
      </c>
      <c r="X21" s="49">
        <f t="shared" si="12"/>
        <v>0.6113013699</v>
      </c>
      <c r="Y21" s="49">
        <f t="shared" si="13"/>
        <v>0.06164383562</v>
      </c>
      <c r="Z21" s="32" t="str">
        <f t="shared" si="14"/>
        <v>Milton</v>
      </c>
      <c r="AA21" s="50" t="s">
        <v>77</v>
      </c>
      <c r="AB21" s="38">
        <v>1716.0</v>
      </c>
      <c r="AC21" s="48">
        <f t="shared" si="15"/>
        <v>321</v>
      </c>
      <c r="AD21" s="51">
        <f t="shared" si="16"/>
        <v>0.8129370629</v>
      </c>
    </row>
    <row r="22">
      <c r="A22" s="23"/>
      <c r="B22" s="46" t="s">
        <v>2565</v>
      </c>
      <c r="C22" s="47"/>
      <c r="D22" s="38">
        <v>240.0</v>
      </c>
      <c r="E22" s="38">
        <v>570.0</v>
      </c>
      <c r="F22" s="38">
        <v>64.0</v>
      </c>
      <c r="G22" s="38">
        <v>48.0</v>
      </c>
      <c r="H22" s="38">
        <v>40.0</v>
      </c>
      <c r="I22" s="48">
        <f t="shared" si="3"/>
        <v>874</v>
      </c>
      <c r="J22" s="48">
        <f t="shared" si="4"/>
        <v>962</v>
      </c>
      <c r="K22" s="49">
        <f t="shared" si="5"/>
        <v>0.2745995423</v>
      </c>
      <c r="L22" s="49">
        <f t="shared" si="6"/>
        <v>0.652173913</v>
      </c>
      <c r="M22" s="49">
        <f t="shared" si="7"/>
        <v>0.07322654462</v>
      </c>
      <c r="N22" s="32" t="str">
        <f t="shared" si="8"/>
        <v>Mal. Lott</v>
      </c>
      <c r="O22" s="50" t="s">
        <v>77</v>
      </c>
      <c r="P22" s="38">
        <v>483.0</v>
      </c>
      <c r="Q22" s="38">
        <v>190.0</v>
      </c>
      <c r="R22" s="38">
        <v>53.0</v>
      </c>
      <c r="S22" s="38">
        <v>213.0</v>
      </c>
      <c r="T22" s="38">
        <v>23.0</v>
      </c>
      <c r="U22" s="48">
        <f t="shared" si="9"/>
        <v>726</v>
      </c>
      <c r="V22" s="48">
        <f t="shared" si="10"/>
        <v>962</v>
      </c>
      <c r="W22" s="49">
        <f t="shared" si="11"/>
        <v>0.6652892562</v>
      </c>
      <c r="X22" s="49">
        <f t="shared" si="12"/>
        <v>0.261707989</v>
      </c>
      <c r="Y22" s="49">
        <f t="shared" si="13"/>
        <v>0.07300275482</v>
      </c>
      <c r="Z22" s="32" t="str">
        <f t="shared" si="14"/>
        <v>Jango</v>
      </c>
      <c r="AA22" s="50" t="s">
        <v>77</v>
      </c>
      <c r="AB22" s="38">
        <v>1262.0</v>
      </c>
      <c r="AC22" s="48">
        <f t="shared" si="15"/>
        <v>300</v>
      </c>
      <c r="AD22" s="51">
        <f t="shared" si="16"/>
        <v>0.7622820919</v>
      </c>
    </row>
    <row r="23">
      <c r="A23" s="23"/>
      <c r="B23" s="46" t="s">
        <v>2566</v>
      </c>
      <c r="C23" s="47"/>
      <c r="D23" s="38">
        <v>434.0</v>
      </c>
      <c r="E23" s="38">
        <v>481.0</v>
      </c>
      <c r="F23" s="38">
        <v>53.0</v>
      </c>
      <c r="G23" s="38">
        <v>44.0</v>
      </c>
      <c r="H23" s="38">
        <v>44.0</v>
      </c>
      <c r="I23" s="48">
        <f t="shared" si="3"/>
        <v>968</v>
      </c>
      <c r="J23" s="48">
        <f t="shared" si="4"/>
        <v>1056</v>
      </c>
      <c r="K23" s="49">
        <f t="shared" si="5"/>
        <v>0.4483471074</v>
      </c>
      <c r="L23" s="49">
        <f t="shared" si="6"/>
        <v>0.4969008264</v>
      </c>
      <c r="M23" s="49">
        <f t="shared" si="7"/>
        <v>0.05475206612</v>
      </c>
      <c r="N23" s="32" t="str">
        <f t="shared" si="8"/>
        <v>Mal. Lott</v>
      </c>
      <c r="O23" s="50" t="s">
        <v>77</v>
      </c>
      <c r="P23" s="38">
        <v>507.0</v>
      </c>
      <c r="Q23" s="38">
        <v>401.0</v>
      </c>
      <c r="R23" s="38">
        <v>27.0</v>
      </c>
      <c r="S23" s="38">
        <v>99.0</v>
      </c>
      <c r="T23" s="38">
        <v>22.0</v>
      </c>
      <c r="U23" s="48">
        <f t="shared" si="9"/>
        <v>935</v>
      </c>
      <c r="V23" s="48">
        <f t="shared" si="10"/>
        <v>1056</v>
      </c>
      <c r="W23" s="49">
        <f t="shared" si="11"/>
        <v>0.5422459893</v>
      </c>
      <c r="X23" s="49">
        <f t="shared" si="12"/>
        <v>0.4288770053</v>
      </c>
      <c r="Y23" s="49">
        <f t="shared" si="13"/>
        <v>0.02887700535</v>
      </c>
      <c r="Z23" s="32" t="str">
        <f t="shared" si="14"/>
        <v>Jango</v>
      </c>
      <c r="AA23" s="50" t="s">
        <v>77</v>
      </c>
      <c r="AB23" s="38">
        <v>1278.0</v>
      </c>
      <c r="AC23" s="48">
        <f t="shared" si="15"/>
        <v>222</v>
      </c>
      <c r="AD23" s="51">
        <f t="shared" si="16"/>
        <v>0.8262910798</v>
      </c>
    </row>
    <row r="24">
      <c r="A24" s="23"/>
      <c r="B24" s="46" t="s">
        <v>2567</v>
      </c>
      <c r="C24" s="47"/>
      <c r="D24" s="38">
        <v>258.0</v>
      </c>
      <c r="E24" s="38">
        <v>442.0</v>
      </c>
      <c r="F24" s="38">
        <v>66.0</v>
      </c>
      <c r="G24" s="38">
        <v>38.0</v>
      </c>
      <c r="H24" s="38">
        <v>45.0</v>
      </c>
      <c r="I24" s="48">
        <f t="shared" si="3"/>
        <v>766</v>
      </c>
      <c r="J24" s="48">
        <f t="shared" si="4"/>
        <v>849</v>
      </c>
      <c r="K24" s="49">
        <f t="shared" si="5"/>
        <v>0.3368146214</v>
      </c>
      <c r="L24" s="49">
        <f t="shared" si="6"/>
        <v>0.5770234987</v>
      </c>
      <c r="M24" s="49">
        <f t="shared" si="7"/>
        <v>0.0861618799</v>
      </c>
      <c r="N24" s="32" t="str">
        <f t="shared" si="8"/>
        <v>Mal. Lott</v>
      </c>
      <c r="O24" s="50" t="s">
        <v>77</v>
      </c>
      <c r="P24" s="38">
        <v>424.0</v>
      </c>
      <c r="Q24" s="38">
        <v>233.0</v>
      </c>
      <c r="R24" s="38">
        <v>34.0</v>
      </c>
      <c r="S24" s="38">
        <v>131.0</v>
      </c>
      <c r="T24" s="38">
        <v>27.0</v>
      </c>
      <c r="U24" s="48">
        <f t="shared" si="9"/>
        <v>691</v>
      </c>
      <c r="V24" s="48">
        <f t="shared" si="10"/>
        <v>849</v>
      </c>
      <c r="W24" s="49">
        <f t="shared" si="11"/>
        <v>0.6136034732</v>
      </c>
      <c r="X24" s="49">
        <f t="shared" si="12"/>
        <v>0.3371924747</v>
      </c>
      <c r="Y24" s="49">
        <f t="shared" si="13"/>
        <v>0.0492040521</v>
      </c>
      <c r="Z24" s="32" t="str">
        <f t="shared" si="14"/>
        <v>Jango</v>
      </c>
      <c r="AA24" s="50" t="s">
        <v>77</v>
      </c>
      <c r="AB24" s="38">
        <v>1025.0</v>
      </c>
      <c r="AC24" s="48">
        <f t="shared" si="15"/>
        <v>176</v>
      </c>
      <c r="AD24" s="51">
        <f t="shared" si="16"/>
        <v>0.8282926829</v>
      </c>
    </row>
    <row r="25">
      <c r="A25" s="23"/>
      <c r="B25" s="46" t="s">
        <v>2568</v>
      </c>
      <c r="C25" s="47"/>
      <c r="D25" s="38">
        <v>264.0</v>
      </c>
      <c r="E25" s="38">
        <v>247.0</v>
      </c>
      <c r="F25" s="38">
        <v>91.0</v>
      </c>
      <c r="G25" s="38">
        <v>28.0</v>
      </c>
      <c r="H25" s="38">
        <v>29.0</v>
      </c>
      <c r="I25" s="48">
        <f t="shared" si="3"/>
        <v>602</v>
      </c>
      <c r="J25" s="48">
        <f t="shared" si="4"/>
        <v>659</v>
      </c>
      <c r="K25" s="49">
        <f t="shared" si="5"/>
        <v>0.438538206</v>
      </c>
      <c r="L25" s="49">
        <f t="shared" si="6"/>
        <v>0.4102990033</v>
      </c>
      <c r="M25" s="49">
        <f t="shared" si="7"/>
        <v>0.1511627907</v>
      </c>
      <c r="N25" s="32" t="str">
        <f t="shared" si="8"/>
        <v>Jânio</v>
      </c>
      <c r="O25" s="50" t="s">
        <v>77</v>
      </c>
      <c r="P25" s="38">
        <v>269.0</v>
      </c>
      <c r="Q25" s="38">
        <v>278.0</v>
      </c>
      <c r="R25" s="38">
        <v>29.0</v>
      </c>
      <c r="S25" s="38">
        <v>61.0</v>
      </c>
      <c r="T25" s="38">
        <v>22.0</v>
      </c>
      <c r="U25" s="48">
        <f t="shared" si="9"/>
        <v>576</v>
      </c>
      <c r="V25" s="48">
        <f t="shared" si="10"/>
        <v>659</v>
      </c>
      <c r="W25" s="49">
        <f t="shared" si="11"/>
        <v>0.4670138889</v>
      </c>
      <c r="X25" s="49">
        <f t="shared" si="12"/>
        <v>0.4826388889</v>
      </c>
      <c r="Y25" s="49">
        <f t="shared" si="13"/>
        <v>0.05034722222</v>
      </c>
      <c r="Z25" s="32" t="str">
        <f t="shared" si="14"/>
        <v>Milton</v>
      </c>
      <c r="AA25" s="50" t="s">
        <v>77</v>
      </c>
      <c r="AB25" s="38">
        <v>790.0</v>
      </c>
      <c r="AC25" s="48">
        <f t="shared" si="15"/>
        <v>131</v>
      </c>
      <c r="AD25" s="51">
        <f t="shared" si="16"/>
        <v>0.8341772152</v>
      </c>
    </row>
    <row r="26">
      <c r="A26" s="24"/>
      <c r="B26" s="46" t="s">
        <v>2569</v>
      </c>
      <c r="C26" s="47"/>
      <c r="D26" s="38">
        <v>337.0</v>
      </c>
      <c r="E26" s="38">
        <v>218.0</v>
      </c>
      <c r="F26" s="38">
        <v>74.0</v>
      </c>
      <c r="G26" s="38">
        <v>39.0</v>
      </c>
      <c r="H26" s="38">
        <v>27.0</v>
      </c>
      <c r="I26" s="48">
        <f t="shared" si="3"/>
        <v>629</v>
      </c>
      <c r="J26" s="48">
        <f t="shared" si="4"/>
        <v>695</v>
      </c>
      <c r="K26" s="49">
        <f t="shared" si="5"/>
        <v>0.5357710652</v>
      </c>
      <c r="L26" s="49">
        <f t="shared" si="6"/>
        <v>0.346581876</v>
      </c>
      <c r="M26" s="49">
        <f t="shared" si="7"/>
        <v>0.1176470588</v>
      </c>
      <c r="N26" s="32" t="str">
        <f t="shared" si="8"/>
        <v>Jânio</v>
      </c>
      <c r="O26" s="50" t="s">
        <v>77</v>
      </c>
      <c r="P26" s="38">
        <v>230.0</v>
      </c>
      <c r="Q26" s="38">
        <v>311.0</v>
      </c>
      <c r="R26" s="38">
        <v>38.0</v>
      </c>
      <c r="S26" s="38">
        <v>103.0</v>
      </c>
      <c r="T26" s="38">
        <v>13.0</v>
      </c>
      <c r="U26" s="48">
        <f t="shared" si="9"/>
        <v>579</v>
      </c>
      <c r="V26" s="48">
        <f t="shared" si="10"/>
        <v>695</v>
      </c>
      <c r="W26" s="49">
        <f t="shared" si="11"/>
        <v>0.3972366149</v>
      </c>
      <c r="X26" s="49">
        <f t="shared" si="12"/>
        <v>0.5371329879</v>
      </c>
      <c r="Y26" s="49">
        <f t="shared" si="13"/>
        <v>0.06563039724</v>
      </c>
      <c r="Z26" s="32" t="str">
        <f t="shared" si="14"/>
        <v>Milton</v>
      </c>
      <c r="AA26" s="50" t="s">
        <v>77</v>
      </c>
      <c r="AB26" s="38">
        <v>829.0</v>
      </c>
      <c r="AC26" s="48">
        <f t="shared" si="15"/>
        <v>134</v>
      </c>
      <c r="AD26" s="51">
        <f t="shared" si="16"/>
        <v>0.8383594692</v>
      </c>
    </row>
    <row r="27">
      <c r="A27" s="61" t="s">
        <v>94</v>
      </c>
      <c r="B27" s="46" t="s">
        <v>2570</v>
      </c>
      <c r="C27" s="47"/>
      <c r="D27" s="38">
        <v>3480.0</v>
      </c>
      <c r="E27" s="38">
        <v>3153.0</v>
      </c>
      <c r="F27" s="38">
        <v>593.0</v>
      </c>
      <c r="G27" s="38">
        <v>275.0</v>
      </c>
      <c r="H27" s="38">
        <v>245.0</v>
      </c>
      <c r="I27" s="48">
        <f t="shared" si="3"/>
        <v>7226</v>
      </c>
      <c r="J27" s="48">
        <f t="shared" si="4"/>
        <v>7746</v>
      </c>
      <c r="K27" s="49">
        <f t="shared" si="5"/>
        <v>0.481594243</v>
      </c>
      <c r="L27" s="49">
        <f t="shared" si="6"/>
        <v>0.4363409909</v>
      </c>
      <c r="M27" s="49">
        <f t="shared" si="7"/>
        <v>0.08206476612</v>
      </c>
      <c r="N27" s="32" t="str">
        <f t="shared" si="8"/>
        <v>Jânio</v>
      </c>
      <c r="O27" s="50" t="s">
        <v>77</v>
      </c>
      <c r="P27" s="38">
        <v>2936.0</v>
      </c>
      <c r="Q27" s="38">
        <v>2985.0</v>
      </c>
      <c r="R27" s="38">
        <v>926.0</v>
      </c>
      <c r="S27" s="38">
        <v>575.0</v>
      </c>
      <c r="T27" s="38">
        <v>324.0</v>
      </c>
      <c r="U27" s="48">
        <f t="shared" si="9"/>
        <v>6847</v>
      </c>
      <c r="V27" s="48">
        <f t="shared" si="10"/>
        <v>7746</v>
      </c>
      <c r="W27" s="49">
        <f t="shared" si="11"/>
        <v>0.4288009347</v>
      </c>
      <c r="X27" s="49">
        <f t="shared" si="12"/>
        <v>0.4359573536</v>
      </c>
      <c r="Y27" s="49">
        <f t="shared" si="13"/>
        <v>0.1352417117</v>
      </c>
      <c r="Z27" s="32" t="str">
        <f t="shared" si="14"/>
        <v>Milton</v>
      </c>
      <c r="AA27" s="50" t="s">
        <v>77</v>
      </c>
      <c r="AB27" s="38">
        <v>9216.0</v>
      </c>
      <c r="AC27" s="48">
        <f t="shared" si="15"/>
        <v>1470</v>
      </c>
      <c r="AD27" s="51">
        <f t="shared" si="16"/>
        <v>0.8404947917</v>
      </c>
    </row>
    <row r="28">
      <c r="A28" s="23"/>
      <c r="B28" s="46" t="s">
        <v>2571</v>
      </c>
      <c r="C28" s="47"/>
      <c r="D28" s="38">
        <v>381.0</v>
      </c>
      <c r="E28" s="38">
        <v>345.0</v>
      </c>
      <c r="F28" s="38">
        <v>21.0</v>
      </c>
      <c r="G28" s="38">
        <v>30.0</v>
      </c>
      <c r="H28" s="38">
        <v>17.0</v>
      </c>
      <c r="I28" s="48">
        <f t="shared" si="3"/>
        <v>747</v>
      </c>
      <c r="J28" s="48">
        <f t="shared" si="4"/>
        <v>794</v>
      </c>
      <c r="K28" s="49">
        <f t="shared" si="5"/>
        <v>0.5100401606</v>
      </c>
      <c r="L28" s="49">
        <f t="shared" si="6"/>
        <v>0.4618473896</v>
      </c>
      <c r="M28" s="49">
        <f t="shared" si="7"/>
        <v>0.0281124498</v>
      </c>
      <c r="N28" s="32" t="str">
        <f t="shared" si="8"/>
        <v>Jânio</v>
      </c>
      <c r="O28" s="50" t="s">
        <v>77</v>
      </c>
      <c r="P28" s="38">
        <v>345.0</v>
      </c>
      <c r="Q28" s="38">
        <v>367.0</v>
      </c>
      <c r="R28" s="38">
        <v>22.0</v>
      </c>
      <c r="S28" s="38">
        <v>51.0</v>
      </c>
      <c r="T28" s="38">
        <v>9.0</v>
      </c>
      <c r="U28" s="48">
        <f t="shared" si="9"/>
        <v>734</v>
      </c>
      <c r="V28" s="48">
        <f t="shared" si="10"/>
        <v>794</v>
      </c>
      <c r="W28" s="49">
        <f t="shared" si="11"/>
        <v>0.470027248</v>
      </c>
      <c r="X28" s="49">
        <f t="shared" si="12"/>
        <v>0.5</v>
      </c>
      <c r="Y28" s="49">
        <f t="shared" si="13"/>
        <v>0.02997275204</v>
      </c>
      <c r="Z28" s="32" t="str">
        <f t="shared" si="14"/>
        <v>Milton</v>
      </c>
      <c r="AA28" s="50" t="s">
        <v>77</v>
      </c>
      <c r="AB28" s="38">
        <v>962.0</v>
      </c>
      <c r="AC28" s="48">
        <f t="shared" si="15"/>
        <v>168</v>
      </c>
      <c r="AD28" s="51">
        <f t="shared" si="16"/>
        <v>0.8253638254</v>
      </c>
    </row>
    <row r="29">
      <c r="A29" s="23"/>
      <c r="B29" s="46" t="s">
        <v>2572</v>
      </c>
      <c r="C29" s="47"/>
      <c r="D29" s="38">
        <v>825.0</v>
      </c>
      <c r="E29" s="38">
        <v>617.0</v>
      </c>
      <c r="F29" s="38">
        <v>69.0</v>
      </c>
      <c r="G29" s="38">
        <v>79.0</v>
      </c>
      <c r="H29" s="38">
        <v>89.0</v>
      </c>
      <c r="I29" s="48">
        <f t="shared" si="3"/>
        <v>1511</v>
      </c>
      <c r="J29" s="48">
        <f t="shared" si="4"/>
        <v>1679</v>
      </c>
      <c r="K29" s="49">
        <f t="shared" si="5"/>
        <v>0.5459960291</v>
      </c>
      <c r="L29" s="49">
        <f t="shared" si="6"/>
        <v>0.4083388484</v>
      </c>
      <c r="M29" s="49">
        <f t="shared" si="7"/>
        <v>0.04566512244</v>
      </c>
      <c r="N29" s="32" t="str">
        <f t="shared" si="8"/>
        <v>Jânio</v>
      </c>
      <c r="O29" s="50" t="s">
        <v>77</v>
      </c>
      <c r="P29" s="38">
        <v>774.0</v>
      </c>
      <c r="Q29" s="38">
        <v>580.0</v>
      </c>
      <c r="R29" s="38">
        <v>70.0</v>
      </c>
      <c r="S29" s="38">
        <v>200.0</v>
      </c>
      <c r="T29" s="38">
        <v>55.0</v>
      </c>
      <c r="U29" s="48">
        <f t="shared" si="9"/>
        <v>1424</v>
      </c>
      <c r="V29" s="48">
        <f t="shared" si="10"/>
        <v>1679</v>
      </c>
      <c r="W29" s="49">
        <f t="shared" si="11"/>
        <v>0.5435393258</v>
      </c>
      <c r="X29" s="49">
        <f t="shared" si="12"/>
        <v>0.4073033708</v>
      </c>
      <c r="Y29" s="49">
        <f t="shared" si="13"/>
        <v>0.04915730337</v>
      </c>
      <c r="Z29" s="32" t="str">
        <f t="shared" si="14"/>
        <v>Jango</v>
      </c>
      <c r="AA29" s="50" t="s">
        <v>77</v>
      </c>
      <c r="AB29" s="38">
        <v>2541.0</v>
      </c>
      <c r="AC29" s="48">
        <f t="shared" si="15"/>
        <v>862</v>
      </c>
      <c r="AD29" s="51">
        <f t="shared" si="16"/>
        <v>0.6607634789</v>
      </c>
    </row>
    <row r="30">
      <c r="A30" s="24"/>
      <c r="B30" s="46" t="s">
        <v>2573</v>
      </c>
      <c r="C30" s="47"/>
      <c r="D30" s="38">
        <v>275.0</v>
      </c>
      <c r="E30" s="38">
        <v>347.0</v>
      </c>
      <c r="F30" s="38">
        <v>90.0</v>
      </c>
      <c r="G30" s="38">
        <v>53.0</v>
      </c>
      <c r="H30" s="38">
        <v>14.0</v>
      </c>
      <c r="I30" s="48">
        <f t="shared" si="3"/>
        <v>712</v>
      </c>
      <c r="J30" s="48">
        <f t="shared" si="4"/>
        <v>779</v>
      </c>
      <c r="K30" s="49">
        <f t="shared" si="5"/>
        <v>0.3862359551</v>
      </c>
      <c r="L30" s="49">
        <f t="shared" si="6"/>
        <v>0.4873595506</v>
      </c>
      <c r="M30" s="49">
        <f t="shared" si="7"/>
        <v>0.1264044944</v>
      </c>
      <c r="N30" s="32" t="str">
        <f t="shared" si="8"/>
        <v>Mal. Lott</v>
      </c>
      <c r="O30" s="50" t="s">
        <v>77</v>
      </c>
      <c r="P30" s="38">
        <v>349.0</v>
      </c>
      <c r="Q30" s="38">
        <v>268.0</v>
      </c>
      <c r="R30" s="38">
        <v>51.0</v>
      </c>
      <c r="S30" s="38">
        <v>76.0</v>
      </c>
      <c r="T30" s="38">
        <v>35.0</v>
      </c>
      <c r="U30" s="48">
        <f t="shared" si="9"/>
        <v>668</v>
      </c>
      <c r="V30" s="48">
        <f t="shared" si="10"/>
        <v>779</v>
      </c>
      <c r="W30" s="49">
        <f t="shared" si="11"/>
        <v>0.5224550898</v>
      </c>
      <c r="X30" s="49">
        <f t="shared" si="12"/>
        <v>0.4011976048</v>
      </c>
      <c r="Y30" s="49">
        <f t="shared" si="13"/>
        <v>0.07634730539</v>
      </c>
      <c r="Z30" s="32" t="str">
        <f t="shared" si="14"/>
        <v>Jango</v>
      </c>
      <c r="AA30" s="50" t="s">
        <v>77</v>
      </c>
      <c r="AB30" s="38">
        <v>875.0</v>
      </c>
      <c r="AC30" s="48">
        <f t="shared" si="15"/>
        <v>96</v>
      </c>
      <c r="AD30" s="51">
        <f t="shared" si="16"/>
        <v>0.8902857143</v>
      </c>
    </row>
    <row r="31">
      <c r="A31" s="61" t="s">
        <v>97</v>
      </c>
      <c r="B31" s="46" t="s">
        <v>2574</v>
      </c>
      <c r="C31" s="47"/>
      <c r="D31" s="38">
        <v>1649.0</v>
      </c>
      <c r="E31" s="38">
        <v>2050.0</v>
      </c>
      <c r="F31" s="38">
        <v>1060.0</v>
      </c>
      <c r="G31" s="38">
        <v>238.0</v>
      </c>
      <c r="H31" s="38">
        <v>144.0</v>
      </c>
      <c r="I31" s="48">
        <f t="shared" si="3"/>
        <v>4759</v>
      </c>
      <c r="J31" s="48">
        <f t="shared" si="4"/>
        <v>5141</v>
      </c>
      <c r="K31" s="49">
        <f t="shared" si="5"/>
        <v>0.3465013658</v>
      </c>
      <c r="L31" s="49">
        <f t="shared" si="6"/>
        <v>0.4307627653</v>
      </c>
      <c r="M31" s="49">
        <f t="shared" si="7"/>
        <v>0.2227358689</v>
      </c>
      <c r="N31" s="32" t="str">
        <f t="shared" si="8"/>
        <v>Mal. Lott</v>
      </c>
      <c r="O31" s="50" t="s">
        <v>77</v>
      </c>
      <c r="P31" s="38">
        <v>1943.0</v>
      </c>
      <c r="Q31" s="38">
        <v>1891.0</v>
      </c>
      <c r="R31" s="38">
        <v>485.0</v>
      </c>
      <c r="S31" s="38">
        <v>649.0</v>
      </c>
      <c r="T31" s="38">
        <v>173.0</v>
      </c>
      <c r="U31" s="48">
        <f t="shared" si="9"/>
        <v>4319</v>
      </c>
      <c r="V31" s="48">
        <f t="shared" si="10"/>
        <v>5141</v>
      </c>
      <c r="W31" s="49">
        <f t="shared" si="11"/>
        <v>0.4498726557</v>
      </c>
      <c r="X31" s="49">
        <f t="shared" si="12"/>
        <v>0.4378328317</v>
      </c>
      <c r="Y31" s="49">
        <f t="shared" si="13"/>
        <v>0.1122945126</v>
      </c>
      <c r="Z31" s="32" t="str">
        <f t="shared" si="14"/>
        <v>Jango</v>
      </c>
      <c r="AA31" s="50" t="s">
        <v>77</v>
      </c>
      <c r="AB31" s="38">
        <v>5944.0</v>
      </c>
      <c r="AC31" s="48">
        <f t="shared" si="15"/>
        <v>803</v>
      </c>
      <c r="AD31" s="51">
        <f t="shared" si="16"/>
        <v>0.8649057873</v>
      </c>
    </row>
    <row r="32">
      <c r="A32" s="23"/>
      <c r="B32" s="46" t="s">
        <v>2575</v>
      </c>
      <c r="C32" s="47"/>
      <c r="D32" s="38">
        <v>610.0</v>
      </c>
      <c r="E32" s="38">
        <v>650.0</v>
      </c>
      <c r="F32" s="38">
        <v>76.0</v>
      </c>
      <c r="G32" s="38">
        <v>73.0</v>
      </c>
      <c r="H32" s="38">
        <v>34.0</v>
      </c>
      <c r="I32" s="48">
        <f t="shared" si="3"/>
        <v>1336</v>
      </c>
      <c r="J32" s="48">
        <f t="shared" si="4"/>
        <v>1443</v>
      </c>
      <c r="K32" s="49">
        <f t="shared" si="5"/>
        <v>0.4565868263</v>
      </c>
      <c r="L32" s="49">
        <f t="shared" si="6"/>
        <v>0.4865269461</v>
      </c>
      <c r="M32" s="49">
        <f t="shared" si="7"/>
        <v>0.05688622754</v>
      </c>
      <c r="N32" s="32" t="str">
        <f t="shared" si="8"/>
        <v>Mal. Lott</v>
      </c>
      <c r="O32" s="50" t="s">
        <v>77</v>
      </c>
      <c r="P32" s="38">
        <v>597.0</v>
      </c>
      <c r="Q32" s="38">
        <v>540.0</v>
      </c>
      <c r="R32" s="38">
        <v>37.0</v>
      </c>
      <c r="S32" s="38">
        <v>247.0</v>
      </c>
      <c r="T32" s="38">
        <v>22.0</v>
      </c>
      <c r="U32" s="48">
        <f t="shared" si="9"/>
        <v>1174</v>
      </c>
      <c r="V32" s="48">
        <f t="shared" si="10"/>
        <v>1443</v>
      </c>
      <c r="W32" s="49">
        <f t="shared" si="11"/>
        <v>0.5085178876</v>
      </c>
      <c r="X32" s="49">
        <f t="shared" si="12"/>
        <v>0.4599659284</v>
      </c>
      <c r="Y32" s="49">
        <f t="shared" si="13"/>
        <v>0.03151618399</v>
      </c>
      <c r="Z32" s="32" t="str">
        <f t="shared" si="14"/>
        <v>Jango</v>
      </c>
      <c r="AA32" s="50" t="s">
        <v>77</v>
      </c>
      <c r="AB32" s="38">
        <v>1541.0</v>
      </c>
      <c r="AC32" s="48">
        <f t="shared" si="15"/>
        <v>98</v>
      </c>
      <c r="AD32" s="51">
        <f t="shared" si="16"/>
        <v>0.9364049319</v>
      </c>
    </row>
    <row r="33">
      <c r="A33" s="24"/>
      <c r="B33" s="46" t="s">
        <v>2576</v>
      </c>
      <c r="C33" s="47"/>
      <c r="D33" s="38">
        <v>491.0</v>
      </c>
      <c r="E33" s="38">
        <v>445.0</v>
      </c>
      <c r="F33" s="38">
        <v>127.0</v>
      </c>
      <c r="G33" s="38">
        <v>77.0</v>
      </c>
      <c r="H33" s="38">
        <v>55.0</v>
      </c>
      <c r="I33" s="48">
        <f t="shared" si="3"/>
        <v>1063</v>
      </c>
      <c r="J33" s="48">
        <f t="shared" si="4"/>
        <v>1195</v>
      </c>
      <c r="K33" s="49">
        <f t="shared" si="5"/>
        <v>0.4619002822</v>
      </c>
      <c r="L33" s="49">
        <f t="shared" si="6"/>
        <v>0.4186265287</v>
      </c>
      <c r="M33" s="49">
        <f t="shared" si="7"/>
        <v>0.1194731891</v>
      </c>
      <c r="N33" s="32" t="str">
        <f t="shared" si="8"/>
        <v>Jânio</v>
      </c>
      <c r="O33" s="50" t="s">
        <v>77</v>
      </c>
      <c r="P33" s="38">
        <v>422.0</v>
      </c>
      <c r="Q33" s="38">
        <v>534.0</v>
      </c>
      <c r="R33" s="38">
        <v>31.0</v>
      </c>
      <c r="S33" s="38">
        <v>172.0</v>
      </c>
      <c r="T33" s="38">
        <v>36.0</v>
      </c>
      <c r="U33" s="48">
        <f t="shared" si="9"/>
        <v>987</v>
      </c>
      <c r="V33" s="48">
        <f t="shared" si="10"/>
        <v>1195</v>
      </c>
      <c r="W33" s="49">
        <f t="shared" si="11"/>
        <v>0.4275582573</v>
      </c>
      <c r="X33" s="49">
        <f t="shared" si="12"/>
        <v>0.5410334347</v>
      </c>
      <c r="Y33" s="49">
        <f t="shared" si="13"/>
        <v>0.031408308</v>
      </c>
      <c r="Z33" s="32" t="str">
        <f t="shared" si="14"/>
        <v>Milton</v>
      </c>
      <c r="AA33" s="50" t="s">
        <v>77</v>
      </c>
      <c r="AB33" s="38">
        <v>1354.0</v>
      </c>
      <c r="AC33" s="48">
        <f t="shared" si="15"/>
        <v>159</v>
      </c>
      <c r="AD33" s="51">
        <f t="shared" si="16"/>
        <v>0.8825701625</v>
      </c>
    </row>
    <row r="34">
      <c r="A34" s="61" t="s">
        <v>99</v>
      </c>
      <c r="B34" s="46" t="s">
        <v>2577</v>
      </c>
      <c r="C34" s="47"/>
      <c r="D34" s="38">
        <v>1644.0</v>
      </c>
      <c r="E34" s="38">
        <v>929.0</v>
      </c>
      <c r="F34" s="38">
        <v>272.0</v>
      </c>
      <c r="G34" s="38">
        <v>97.0</v>
      </c>
      <c r="H34" s="38">
        <v>179.0</v>
      </c>
      <c r="I34" s="48">
        <f t="shared" si="3"/>
        <v>2845</v>
      </c>
      <c r="J34" s="48">
        <f t="shared" si="4"/>
        <v>3121</v>
      </c>
      <c r="K34" s="49">
        <f t="shared" si="5"/>
        <v>0.5778558875</v>
      </c>
      <c r="L34" s="49">
        <f t="shared" si="6"/>
        <v>0.3265377856</v>
      </c>
      <c r="M34" s="49">
        <f t="shared" si="7"/>
        <v>0.09560632689</v>
      </c>
      <c r="N34" s="32" t="str">
        <f t="shared" si="8"/>
        <v>Jânio</v>
      </c>
      <c r="O34" s="50" t="s">
        <v>77</v>
      </c>
      <c r="P34" s="38">
        <v>864.0</v>
      </c>
      <c r="Q34" s="38">
        <v>1559.0</v>
      </c>
      <c r="R34" s="38">
        <v>168.0</v>
      </c>
      <c r="S34" s="38">
        <v>430.0</v>
      </c>
      <c r="T34" s="38">
        <v>100.0</v>
      </c>
      <c r="U34" s="48">
        <f t="shared" si="9"/>
        <v>2591</v>
      </c>
      <c r="V34" s="48">
        <f t="shared" si="10"/>
        <v>3121</v>
      </c>
      <c r="W34" s="49">
        <f t="shared" si="11"/>
        <v>0.3334619838</v>
      </c>
      <c r="X34" s="49">
        <f t="shared" si="12"/>
        <v>0.601698186</v>
      </c>
      <c r="Y34" s="49">
        <f t="shared" si="13"/>
        <v>0.06483983018</v>
      </c>
      <c r="Z34" s="32" t="str">
        <f t="shared" si="14"/>
        <v>Milton</v>
      </c>
      <c r="AA34" s="50" t="s">
        <v>77</v>
      </c>
      <c r="AB34" s="38">
        <v>5102.0</v>
      </c>
      <c r="AC34" s="48">
        <f t="shared" si="15"/>
        <v>1981</v>
      </c>
      <c r="AD34" s="51">
        <f t="shared" si="16"/>
        <v>0.6117208938</v>
      </c>
    </row>
    <row r="35">
      <c r="A35" s="23"/>
      <c r="B35" s="46" t="s">
        <v>2578</v>
      </c>
      <c r="C35" s="47"/>
      <c r="D35" s="38">
        <v>504.0</v>
      </c>
      <c r="E35" s="38">
        <v>946.0</v>
      </c>
      <c r="F35" s="38">
        <v>69.0</v>
      </c>
      <c r="G35" s="38">
        <v>70.0</v>
      </c>
      <c r="H35" s="38">
        <v>75.0</v>
      </c>
      <c r="I35" s="48">
        <f t="shared" si="3"/>
        <v>1519</v>
      </c>
      <c r="J35" s="48">
        <f t="shared" si="4"/>
        <v>1664</v>
      </c>
      <c r="K35" s="49">
        <f t="shared" si="5"/>
        <v>0.331797235</v>
      </c>
      <c r="L35" s="49">
        <f t="shared" si="6"/>
        <v>0.6227781435</v>
      </c>
      <c r="M35" s="49">
        <f t="shared" si="7"/>
        <v>0.04542462146</v>
      </c>
      <c r="N35" s="32" t="str">
        <f t="shared" si="8"/>
        <v>Mal. Lott</v>
      </c>
      <c r="O35" s="50" t="s">
        <v>77</v>
      </c>
      <c r="P35" s="38">
        <v>979.0</v>
      </c>
      <c r="Q35" s="38">
        <v>422.0</v>
      </c>
      <c r="R35" s="38">
        <v>53.0</v>
      </c>
      <c r="S35" s="38">
        <v>184.0</v>
      </c>
      <c r="T35" s="38">
        <v>26.0</v>
      </c>
      <c r="U35" s="48">
        <f t="shared" si="9"/>
        <v>1454</v>
      </c>
      <c r="V35" s="48">
        <f t="shared" si="10"/>
        <v>1664</v>
      </c>
      <c r="W35" s="49">
        <f t="shared" si="11"/>
        <v>0.6733149931</v>
      </c>
      <c r="X35" s="49">
        <f t="shared" si="12"/>
        <v>0.2902338377</v>
      </c>
      <c r="Y35" s="49">
        <f t="shared" si="13"/>
        <v>0.03645116919</v>
      </c>
      <c r="Z35" s="32" t="str">
        <f t="shared" si="14"/>
        <v>Jango</v>
      </c>
      <c r="AA35" s="50" t="s">
        <v>77</v>
      </c>
      <c r="AB35" s="38">
        <v>3966.0</v>
      </c>
      <c r="AC35" s="48">
        <f t="shared" si="15"/>
        <v>2302</v>
      </c>
      <c r="AD35" s="51">
        <f t="shared" si="16"/>
        <v>0.4195663137</v>
      </c>
    </row>
    <row r="36">
      <c r="A36" s="24"/>
      <c r="B36" s="46" t="s">
        <v>2579</v>
      </c>
      <c r="C36" s="47"/>
      <c r="D36" s="38">
        <v>676.0</v>
      </c>
      <c r="E36" s="38">
        <v>667.0</v>
      </c>
      <c r="F36" s="38">
        <v>114.0</v>
      </c>
      <c r="G36" s="38">
        <v>77.0</v>
      </c>
      <c r="H36" s="38">
        <v>104.0</v>
      </c>
      <c r="I36" s="48">
        <f t="shared" si="3"/>
        <v>1457</v>
      </c>
      <c r="J36" s="48">
        <f t="shared" si="4"/>
        <v>1638</v>
      </c>
      <c r="K36" s="49">
        <f t="shared" si="5"/>
        <v>0.4639670556</v>
      </c>
      <c r="L36" s="49">
        <f t="shared" si="6"/>
        <v>0.4577899794</v>
      </c>
      <c r="M36" s="49">
        <f t="shared" si="7"/>
        <v>0.078242965</v>
      </c>
      <c r="N36" s="32" t="str">
        <f t="shared" si="8"/>
        <v>Jânio</v>
      </c>
      <c r="O36" s="50" t="s">
        <v>77</v>
      </c>
      <c r="P36" s="38">
        <v>708.0</v>
      </c>
      <c r="Q36" s="38">
        <v>512.0</v>
      </c>
      <c r="R36" s="38">
        <v>114.0</v>
      </c>
      <c r="S36" s="38">
        <v>250.0</v>
      </c>
      <c r="T36" s="38">
        <v>54.0</v>
      </c>
      <c r="U36" s="48">
        <f t="shared" si="9"/>
        <v>1334</v>
      </c>
      <c r="V36" s="48">
        <f t="shared" si="10"/>
        <v>1638</v>
      </c>
      <c r="W36" s="49">
        <f t="shared" si="11"/>
        <v>0.5307346327</v>
      </c>
      <c r="X36" s="49">
        <f t="shared" si="12"/>
        <v>0.383808096</v>
      </c>
      <c r="Y36" s="49">
        <f t="shared" si="13"/>
        <v>0.08545727136</v>
      </c>
      <c r="Z36" s="32" t="str">
        <f t="shared" si="14"/>
        <v>Jango</v>
      </c>
      <c r="AA36" s="50" t="s">
        <v>77</v>
      </c>
      <c r="AB36" s="38">
        <v>5175.0</v>
      </c>
      <c r="AC36" s="48">
        <f t="shared" si="15"/>
        <v>3537</v>
      </c>
      <c r="AD36" s="51">
        <f t="shared" si="16"/>
        <v>0.3165217391</v>
      </c>
    </row>
    <row r="37">
      <c r="A37" s="110" t="s">
        <v>104</v>
      </c>
      <c r="B37" s="46" t="s">
        <v>2580</v>
      </c>
      <c r="C37" s="47"/>
      <c r="D37" s="38">
        <v>977.0</v>
      </c>
      <c r="E37" s="38">
        <v>1117.0</v>
      </c>
      <c r="F37" s="38">
        <v>164.0</v>
      </c>
      <c r="G37" s="38">
        <v>157.0</v>
      </c>
      <c r="H37" s="38">
        <v>94.0</v>
      </c>
      <c r="I37" s="48">
        <f t="shared" si="3"/>
        <v>2258</v>
      </c>
      <c r="J37" s="48">
        <f t="shared" si="4"/>
        <v>2509</v>
      </c>
      <c r="K37" s="49">
        <f t="shared" si="5"/>
        <v>0.432683791</v>
      </c>
      <c r="L37" s="49">
        <f t="shared" si="6"/>
        <v>0.4946855624</v>
      </c>
      <c r="M37" s="49">
        <f t="shared" si="7"/>
        <v>0.07263064659</v>
      </c>
      <c r="N37" s="32" t="str">
        <f t="shared" si="8"/>
        <v>Mal. Lott</v>
      </c>
      <c r="O37" s="50" t="s">
        <v>77</v>
      </c>
      <c r="P37" s="38">
        <v>1028.0</v>
      </c>
      <c r="Q37" s="38">
        <v>885.0</v>
      </c>
      <c r="R37" s="38">
        <v>131.0</v>
      </c>
      <c r="S37" s="38">
        <v>396.0</v>
      </c>
      <c r="T37" s="38">
        <v>69.0</v>
      </c>
      <c r="U37" s="48">
        <f t="shared" si="9"/>
        <v>2044</v>
      </c>
      <c r="V37" s="48">
        <f t="shared" si="10"/>
        <v>2509</v>
      </c>
      <c r="W37" s="49">
        <f t="shared" si="11"/>
        <v>0.5029354207</v>
      </c>
      <c r="X37" s="49">
        <f t="shared" si="12"/>
        <v>0.4329745597</v>
      </c>
      <c r="Y37" s="49">
        <f t="shared" si="13"/>
        <v>0.06409001957</v>
      </c>
      <c r="Z37" s="32" t="str">
        <f t="shared" si="14"/>
        <v>Jango</v>
      </c>
      <c r="AA37" s="50" t="s">
        <v>77</v>
      </c>
      <c r="AB37" s="38">
        <v>2948.0</v>
      </c>
      <c r="AC37" s="48">
        <f t="shared" si="15"/>
        <v>439</v>
      </c>
      <c r="AD37" s="51">
        <f t="shared" si="16"/>
        <v>0.8510854817</v>
      </c>
    </row>
    <row r="38">
      <c r="A38" s="61" t="s">
        <v>107</v>
      </c>
      <c r="B38" s="46" t="s">
        <v>2581</v>
      </c>
      <c r="C38" s="47"/>
      <c r="D38" s="38">
        <v>1276.0</v>
      </c>
      <c r="E38" s="38">
        <v>1358.0</v>
      </c>
      <c r="F38" s="38">
        <v>129.0</v>
      </c>
      <c r="G38" s="38">
        <v>135.0</v>
      </c>
      <c r="H38" s="38">
        <v>99.0</v>
      </c>
      <c r="I38" s="48">
        <f t="shared" si="3"/>
        <v>2763</v>
      </c>
      <c r="J38" s="48">
        <f t="shared" si="4"/>
        <v>2997</v>
      </c>
      <c r="K38" s="49">
        <f t="shared" si="5"/>
        <v>0.4618168657</v>
      </c>
      <c r="L38" s="49">
        <f t="shared" si="6"/>
        <v>0.4914947521</v>
      </c>
      <c r="M38" s="49">
        <f t="shared" si="7"/>
        <v>0.04668838219</v>
      </c>
      <c r="N38" s="32" t="str">
        <f t="shared" si="8"/>
        <v>Mal. Lott</v>
      </c>
      <c r="O38" s="50" t="s">
        <v>77</v>
      </c>
      <c r="P38" s="38">
        <v>1272.0</v>
      </c>
      <c r="Q38" s="38">
        <v>1174.0</v>
      </c>
      <c r="R38" s="38">
        <v>111.0</v>
      </c>
      <c r="S38" s="38">
        <v>385.0</v>
      </c>
      <c r="T38" s="38">
        <v>55.0</v>
      </c>
      <c r="U38" s="48">
        <f t="shared" si="9"/>
        <v>2557</v>
      </c>
      <c r="V38" s="48">
        <f t="shared" si="10"/>
        <v>2997</v>
      </c>
      <c r="W38" s="49">
        <f t="shared" si="11"/>
        <v>0.4974579585</v>
      </c>
      <c r="X38" s="49">
        <f t="shared" si="12"/>
        <v>0.4591317951</v>
      </c>
      <c r="Y38" s="49">
        <f t="shared" si="13"/>
        <v>0.04341024638</v>
      </c>
      <c r="Z38" s="32" t="str">
        <f t="shared" si="14"/>
        <v>Jango</v>
      </c>
      <c r="AA38" s="50" t="s">
        <v>77</v>
      </c>
      <c r="AB38" s="38">
        <v>3496.0</v>
      </c>
      <c r="AC38" s="48">
        <f t="shared" si="15"/>
        <v>499</v>
      </c>
      <c r="AD38" s="51">
        <f t="shared" si="16"/>
        <v>0.8572654462</v>
      </c>
    </row>
    <row r="39">
      <c r="A39" s="24"/>
      <c r="B39" s="46" t="s">
        <v>2582</v>
      </c>
      <c r="C39" s="47"/>
      <c r="D39" s="38">
        <v>365.0</v>
      </c>
      <c r="E39" s="38">
        <v>494.0</v>
      </c>
      <c r="F39" s="38">
        <v>42.0</v>
      </c>
      <c r="G39" s="38">
        <v>51.0</v>
      </c>
      <c r="H39" s="38">
        <v>60.0</v>
      </c>
      <c r="I39" s="48">
        <f t="shared" si="3"/>
        <v>901</v>
      </c>
      <c r="J39" s="48">
        <f t="shared" si="4"/>
        <v>1012</v>
      </c>
      <c r="K39" s="49">
        <f t="shared" si="5"/>
        <v>0.4051054384</v>
      </c>
      <c r="L39" s="49">
        <f t="shared" si="6"/>
        <v>0.5482796892</v>
      </c>
      <c r="M39" s="49">
        <f t="shared" si="7"/>
        <v>0.04661487236</v>
      </c>
      <c r="N39" s="32" t="str">
        <f t="shared" si="8"/>
        <v>Mal. Lott</v>
      </c>
      <c r="O39" s="50" t="s">
        <v>77</v>
      </c>
      <c r="P39" s="38">
        <v>443.0</v>
      </c>
      <c r="Q39" s="38">
        <v>262.0</v>
      </c>
      <c r="R39" s="38">
        <v>41.0</v>
      </c>
      <c r="S39" s="38">
        <v>245.0</v>
      </c>
      <c r="T39" s="38">
        <v>21.0</v>
      </c>
      <c r="U39" s="48">
        <f t="shared" si="9"/>
        <v>746</v>
      </c>
      <c r="V39" s="48">
        <f t="shared" si="10"/>
        <v>1012</v>
      </c>
      <c r="W39" s="49">
        <f t="shared" si="11"/>
        <v>0.5938337802</v>
      </c>
      <c r="X39" s="49">
        <f t="shared" si="12"/>
        <v>0.3512064343</v>
      </c>
      <c r="Y39" s="49">
        <f t="shared" si="13"/>
        <v>0.05495978552</v>
      </c>
      <c r="Z39" s="32" t="str">
        <f t="shared" si="14"/>
        <v>Jango</v>
      </c>
      <c r="AA39" s="50" t="s">
        <v>77</v>
      </c>
      <c r="AB39" s="38">
        <v>1335.0</v>
      </c>
      <c r="AC39" s="48">
        <f t="shared" si="15"/>
        <v>323</v>
      </c>
      <c r="AD39" s="51">
        <f t="shared" si="16"/>
        <v>0.7580524345</v>
      </c>
    </row>
    <row r="40">
      <c r="A40" s="110" t="s">
        <v>111</v>
      </c>
      <c r="B40" s="46" t="s">
        <v>2583</v>
      </c>
      <c r="C40" s="47"/>
      <c r="D40" s="38">
        <v>987.0</v>
      </c>
      <c r="E40" s="38">
        <v>1137.0</v>
      </c>
      <c r="F40" s="38">
        <v>213.0</v>
      </c>
      <c r="G40" s="38">
        <v>198.0</v>
      </c>
      <c r="H40" s="38">
        <v>178.0</v>
      </c>
      <c r="I40" s="48">
        <f t="shared" si="3"/>
        <v>2337</v>
      </c>
      <c r="J40" s="48">
        <f t="shared" si="4"/>
        <v>2713</v>
      </c>
      <c r="K40" s="49">
        <f t="shared" si="5"/>
        <v>0.4223363286</v>
      </c>
      <c r="L40" s="49">
        <f t="shared" si="6"/>
        <v>0.486521181</v>
      </c>
      <c r="M40" s="49">
        <f t="shared" si="7"/>
        <v>0.09114249037</v>
      </c>
      <c r="N40" s="32" t="str">
        <f t="shared" si="8"/>
        <v>Mal. Lott</v>
      </c>
      <c r="O40" s="50" t="s">
        <v>77</v>
      </c>
      <c r="P40" s="38">
        <v>1170.0</v>
      </c>
      <c r="Q40" s="38">
        <v>926.0</v>
      </c>
      <c r="R40" s="38">
        <v>182.0</v>
      </c>
      <c r="S40" s="38">
        <v>309.0</v>
      </c>
      <c r="T40" s="38">
        <v>126.0</v>
      </c>
      <c r="U40" s="48">
        <f t="shared" si="9"/>
        <v>2278</v>
      </c>
      <c r="V40" s="48">
        <f t="shared" si="10"/>
        <v>2713</v>
      </c>
      <c r="W40" s="49">
        <f t="shared" si="11"/>
        <v>0.5136084284</v>
      </c>
      <c r="X40" s="49">
        <f t="shared" si="12"/>
        <v>0.4064969271</v>
      </c>
      <c r="Y40" s="49">
        <f t="shared" si="13"/>
        <v>0.07989464442</v>
      </c>
      <c r="Z40" s="32" t="str">
        <f t="shared" si="14"/>
        <v>Jango</v>
      </c>
      <c r="AA40" s="50" t="s">
        <v>77</v>
      </c>
      <c r="AB40" s="38">
        <v>3276.0</v>
      </c>
      <c r="AC40" s="48">
        <f t="shared" si="15"/>
        <v>563</v>
      </c>
      <c r="AD40" s="51">
        <f t="shared" si="16"/>
        <v>0.8281440781</v>
      </c>
    </row>
    <row r="41">
      <c r="A41" s="110" t="s">
        <v>114</v>
      </c>
      <c r="B41" s="46" t="s">
        <v>2584</v>
      </c>
      <c r="C41" s="47"/>
      <c r="D41" s="38">
        <v>1254.0</v>
      </c>
      <c r="E41" s="38">
        <v>1484.0</v>
      </c>
      <c r="F41" s="38">
        <v>642.0</v>
      </c>
      <c r="G41" s="38">
        <v>221.0</v>
      </c>
      <c r="H41" s="38">
        <v>188.0</v>
      </c>
      <c r="I41" s="48">
        <f t="shared" si="3"/>
        <v>3380</v>
      </c>
      <c r="J41" s="48">
        <f t="shared" si="4"/>
        <v>3789</v>
      </c>
      <c r="K41" s="49">
        <f t="shared" si="5"/>
        <v>0.3710059172</v>
      </c>
      <c r="L41" s="49">
        <f t="shared" si="6"/>
        <v>0.4390532544</v>
      </c>
      <c r="M41" s="49">
        <f t="shared" si="7"/>
        <v>0.1899408284</v>
      </c>
      <c r="N41" s="32" t="str">
        <f t="shared" si="8"/>
        <v>Mal. Lott</v>
      </c>
      <c r="O41" s="50" t="s">
        <v>77</v>
      </c>
      <c r="P41" s="38">
        <v>1459.0</v>
      </c>
      <c r="Q41" s="38">
        <v>1080.0</v>
      </c>
      <c r="R41" s="38">
        <v>212.0</v>
      </c>
      <c r="S41" s="38">
        <v>952.0</v>
      </c>
      <c r="T41" s="38">
        <v>86.0</v>
      </c>
      <c r="U41" s="48">
        <f t="shared" si="9"/>
        <v>2751</v>
      </c>
      <c r="V41" s="48">
        <f t="shared" si="10"/>
        <v>3789</v>
      </c>
      <c r="W41" s="49">
        <f t="shared" si="11"/>
        <v>0.5303525991</v>
      </c>
      <c r="X41" s="49">
        <f t="shared" si="12"/>
        <v>0.3925845147</v>
      </c>
      <c r="Y41" s="49">
        <f t="shared" si="13"/>
        <v>0.07706288622</v>
      </c>
      <c r="Z41" s="32" t="str">
        <f t="shared" si="14"/>
        <v>Jango</v>
      </c>
      <c r="AA41" s="50" t="s">
        <v>77</v>
      </c>
      <c r="AB41" s="38">
        <v>5149.0</v>
      </c>
      <c r="AC41" s="48">
        <f t="shared" si="15"/>
        <v>1360</v>
      </c>
      <c r="AD41" s="51">
        <f t="shared" si="16"/>
        <v>0.7358710429</v>
      </c>
    </row>
    <row r="42">
      <c r="A42" s="61" t="s">
        <v>117</v>
      </c>
      <c r="B42" s="46" t="s">
        <v>2585</v>
      </c>
      <c r="C42" s="47"/>
      <c r="D42" s="38">
        <v>1390.0</v>
      </c>
      <c r="E42" s="38">
        <v>594.0</v>
      </c>
      <c r="F42" s="38">
        <v>99.0</v>
      </c>
      <c r="G42" s="38">
        <v>62.0</v>
      </c>
      <c r="H42" s="38">
        <v>58.0</v>
      </c>
      <c r="I42" s="48">
        <f t="shared" si="3"/>
        <v>2083</v>
      </c>
      <c r="J42" s="48">
        <f t="shared" si="4"/>
        <v>2203</v>
      </c>
      <c r="K42" s="49">
        <f t="shared" si="5"/>
        <v>0.6673067691</v>
      </c>
      <c r="L42" s="49">
        <f t="shared" si="6"/>
        <v>0.2851656265</v>
      </c>
      <c r="M42" s="49">
        <f t="shared" si="7"/>
        <v>0.04752760442</v>
      </c>
      <c r="N42" s="32" t="str">
        <f t="shared" si="8"/>
        <v>Jânio</v>
      </c>
      <c r="O42" s="50" t="s">
        <v>77</v>
      </c>
      <c r="P42" s="38">
        <v>554.0</v>
      </c>
      <c r="Q42" s="38">
        <v>1362.0</v>
      </c>
      <c r="R42" s="38">
        <v>98.0</v>
      </c>
      <c r="S42" s="38">
        <v>145.0</v>
      </c>
      <c r="T42" s="38">
        <v>44.0</v>
      </c>
      <c r="U42" s="48">
        <f t="shared" si="9"/>
        <v>2014</v>
      </c>
      <c r="V42" s="48">
        <f t="shared" si="10"/>
        <v>2203</v>
      </c>
      <c r="W42" s="49">
        <f t="shared" si="11"/>
        <v>0.2750744786</v>
      </c>
      <c r="X42" s="49">
        <f t="shared" si="12"/>
        <v>0.676266137</v>
      </c>
      <c r="Y42" s="49">
        <f t="shared" si="13"/>
        <v>0.04865938431</v>
      </c>
      <c r="Z42" s="32" t="str">
        <f t="shared" si="14"/>
        <v>Milton</v>
      </c>
      <c r="AA42" s="50" t="s">
        <v>77</v>
      </c>
      <c r="AB42" s="38">
        <v>2951.0</v>
      </c>
      <c r="AC42" s="48">
        <f t="shared" si="15"/>
        <v>748</v>
      </c>
      <c r="AD42" s="51">
        <f t="shared" si="16"/>
        <v>0.7465266012</v>
      </c>
    </row>
    <row r="43">
      <c r="A43" s="23"/>
      <c r="B43" s="46" t="s">
        <v>2586</v>
      </c>
      <c r="C43" s="47"/>
      <c r="D43" s="38">
        <v>483.0</v>
      </c>
      <c r="E43" s="38">
        <v>335.0</v>
      </c>
      <c r="F43" s="38">
        <v>32.0</v>
      </c>
      <c r="G43" s="38">
        <v>94.0</v>
      </c>
      <c r="H43" s="38">
        <v>84.0</v>
      </c>
      <c r="I43" s="48">
        <f t="shared" si="3"/>
        <v>850</v>
      </c>
      <c r="J43" s="48">
        <f t="shared" si="4"/>
        <v>1028</v>
      </c>
      <c r="K43" s="49">
        <f t="shared" si="5"/>
        <v>0.5682352941</v>
      </c>
      <c r="L43" s="49">
        <f t="shared" si="6"/>
        <v>0.3941176471</v>
      </c>
      <c r="M43" s="49">
        <f t="shared" si="7"/>
        <v>0.03764705882</v>
      </c>
      <c r="N43" s="32" t="str">
        <f t="shared" si="8"/>
        <v>Jânio</v>
      </c>
      <c r="O43" s="50" t="s">
        <v>77</v>
      </c>
      <c r="P43" s="38">
        <v>348.0</v>
      </c>
      <c r="Q43" s="38">
        <v>445.0</v>
      </c>
      <c r="R43" s="38">
        <v>34.0</v>
      </c>
      <c r="S43" s="38">
        <v>155.0</v>
      </c>
      <c r="T43" s="38">
        <v>46.0</v>
      </c>
      <c r="U43" s="48">
        <f t="shared" si="9"/>
        <v>827</v>
      </c>
      <c r="V43" s="48">
        <f t="shared" si="10"/>
        <v>1028</v>
      </c>
      <c r="W43" s="49">
        <f t="shared" si="11"/>
        <v>0.4207980653</v>
      </c>
      <c r="X43" s="49">
        <f t="shared" si="12"/>
        <v>0.53808948</v>
      </c>
      <c r="Y43" s="49">
        <f t="shared" si="13"/>
        <v>0.04111245466</v>
      </c>
      <c r="Z43" s="32" t="str">
        <f t="shared" si="14"/>
        <v>Milton</v>
      </c>
      <c r="AA43" s="50" t="s">
        <v>77</v>
      </c>
      <c r="AB43" s="38">
        <v>1355.0</v>
      </c>
      <c r="AC43" s="48">
        <f t="shared" si="15"/>
        <v>327</v>
      </c>
      <c r="AD43" s="51">
        <f t="shared" si="16"/>
        <v>0.7586715867</v>
      </c>
    </row>
    <row r="44">
      <c r="A44" s="23"/>
      <c r="B44" s="46" t="s">
        <v>2587</v>
      </c>
      <c r="C44" s="47"/>
      <c r="D44" s="38">
        <v>251.0</v>
      </c>
      <c r="E44" s="38">
        <v>339.0</v>
      </c>
      <c r="F44" s="38">
        <v>50.0</v>
      </c>
      <c r="G44" s="38">
        <v>56.0</v>
      </c>
      <c r="H44" s="38">
        <v>23.0</v>
      </c>
      <c r="I44" s="48">
        <f t="shared" si="3"/>
        <v>640</v>
      </c>
      <c r="J44" s="48">
        <f t="shared" si="4"/>
        <v>719</v>
      </c>
      <c r="K44" s="49">
        <f t="shared" si="5"/>
        <v>0.3921875</v>
      </c>
      <c r="L44" s="49">
        <f t="shared" si="6"/>
        <v>0.5296875</v>
      </c>
      <c r="M44" s="49">
        <f t="shared" si="7"/>
        <v>0.078125</v>
      </c>
      <c r="N44" s="32" t="str">
        <f t="shared" si="8"/>
        <v>Mal. Lott</v>
      </c>
      <c r="O44" s="50" t="s">
        <v>77</v>
      </c>
      <c r="P44" s="38">
        <v>343.0</v>
      </c>
      <c r="Q44" s="38">
        <v>205.0</v>
      </c>
      <c r="R44" s="38">
        <v>59.0</v>
      </c>
      <c r="S44" s="38">
        <v>99.0</v>
      </c>
      <c r="T44" s="38">
        <v>13.0</v>
      </c>
      <c r="U44" s="48">
        <f t="shared" si="9"/>
        <v>607</v>
      </c>
      <c r="V44" s="48">
        <f t="shared" si="10"/>
        <v>719</v>
      </c>
      <c r="W44" s="49">
        <f t="shared" si="11"/>
        <v>0.5650741351</v>
      </c>
      <c r="X44" s="49">
        <f t="shared" si="12"/>
        <v>0.3377265239</v>
      </c>
      <c r="Y44" s="49">
        <f t="shared" si="13"/>
        <v>0.09719934102</v>
      </c>
      <c r="Z44" s="32" t="str">
        <f t="shared" si="14"/>
        <v>Jango</v>
      </c>
      <c r="AA44" s="50" t="s">
        <v>77</v>
      </c>
      <c r="AB44" s="38">
        <v>862.0</v>
      </c>
      <c r="AC44" s="48">
        <f t="shared" si="15"/>
        <v>143</v>
      </c>
      <c r="AD44" s="51">
        <f t="shared" si="16"/>
        <v>0.8341067285</v>
      </c>
    </row>
    <row r="45">
      <c r="A45" s="23"/>
      <c r="B45" s="46" t="s">
        <v>2588</v>
      </c>
      <c r="C45" s="47"/>
      <c r="D45" s="38">
        <v>792.0</v>
      </c>
      <c r="E45" s="38">
        <v>887.0</v>
      </c>
      <c r="F45" s="38">
        <v>136.0</v>
      </c>
      <c r="G45" s="38">
        <v>71.0</v>
      </c>
      <c r="H45" s="38">
        <v>59.0</v>
      </c>
      <c r="I45" s="48">
        <f t="shared" si="3"/>
        <v>1815</v>
      </c>
      <c r="J45" s="48">
        <f t="shared" si="4"/>
        <v>1945</v>
      </c>
      <c r="K45" s="49">
        <f t="shared" si="5"/>
        <v>0.4363636364</v>
      </c>
      <c r="L45" s="49">
        <f t="shared" si="6"/>
        <v>0.4887052342</v>
      </c>
      <c r="M45" s="49">
        <f t="shared" si="7"/>
        <v>0.07493112948</v>
      </c>
      <c r="N45" s="32" t="str">
        <f t="shared" si="8"/>
        <v>Mal. Lott</v>
      </c>
      <c r="O45" s="50" t="s">
        <v>77</v>
      </c>
      <c r="P45" s="38">
        <v>882.0</v>
      </c>
      <c r="Q45" s="38">
        <v>752.0</v>
      </c>
      <c r="R45" s="38">
        <v>77.0</v>
      </c>
      <c r="S45" s="38">
        <v>198.0</v>
      </c>
      <c r="T45" s="38">
        <v>36.0</v>
      </c>
      <c r="U45" s="48">
        <f t="shared" si="9"/>
        <v>1711</v>
      </c>
      <c r="V45" s="48">
        <f t="shared" si="10"/>
        <v>1945</v>
      </c>
      <c r="W45" s="49">
        <f t="shared" si="11"/>
        <v>0.5154880187</v>
      </c>
      <c r="X45" s="49">
        <f t="shared" si="12"/>
        <v>0.439509059</v>
      </c>
      <c r="Y45" s="49">
        <f t="shared" si="13"/>
        <v>0.04500292227</v>
      </c>
      <c r="Z45" s="32" t="str">
        <f t="shared" si="14"/>
        <v>Jango</v>
      </c>
      <c r="AA45" s="50" t="s">
        <v>77</v>
      </c>
      <c r="AB45" s="38">
        <v>2316.0</v>
      </c>
      <c r="AC45" s="48">
        <f t="shared" si="15"/>
        <v>371</v>
      </c>
      <c r="AD45" s="51">
        <f t="shared" si="16"/>
        <v>0.8398100173</v>
      </c>
    </row>
    <row r="46">
      <c r="A46" s="23"/>
      <c r="B46" s="46" t="s">
        <v>2589</v>
      </c>
      <c r="C46" s="47"/>
      <c r="D46" s="38">
        <v>433.0</v>
      </c>
      <c r="E46" s="38">
        <v>153.0</v>
      </c>
      <c r="F46" s="38">
        <v>55.0</v>
      </c>
      <c r="G46" s="38">
        <v>49.0</v>
      </c>
      <c r="H46" s="38">
        <v>30.0</v>
      </c>
      <c r="I46" s="48">
        <f t="shared" si="3"/>
        <v>641</v>
      </c>
      <c r="J46" s="48">
        <f t="shared" si="4"/>
        <v>720</v>
      </c>
      <c r="K46" s="49">
        <f t="shared" si="5"/>
        <v>0.6755070203</v>
      </c>
      <c r="L46" s="49">
        <f t="shared" si="6"/>
        <v>0.2386895476</v>
      </c>
      <c r="M46" s="49">
        <f t="shared" si="7"/>
        <v>0.08580343214</v>
      </c>
      <c r="N46" s="32" t="str">
        <f t="shared" si="8"/>
        <v>Jânio</v>
      </c>
      <c r="O46" s="50" t="s">
        <v>77</v>
      </c>
      <c r="P46" s="38">
        <v>150.0</v>
      </c>
      <c r="Q46" s="38">
        <v>422.0</v>
      </c>
      <c r="R46" s="38">
        <v>36.0</v>
      </c>
      <c r="S46" s="38">
        <v>100.0</v>
      </c>
      <c r="T46" s="38">
        <v>12.0</v>
      </c>
      <c r="U46" s="48">
        <f t="shared" si="9"/>
        <v>608</v>
      </c>
      <c r="V46" s="48">
        <f t="shared" si="10"/>
        <v>720</v>
      </c>
      <c r="W46" s="49">
        <f t="shared" si="11"/>
        <v>0.2467105263</v>
      </c>
      <c r="X46" s="49">
        <f t="shared" si="12"/>
        <v>0.6940789474</v>
      </c>
      <c r="Y46" s="49">
        <f t="shared" si="13"/>
        <v>0.05921052632</v>
      </c>
      <c r="Z46" s="32" t="str">
        <f t="shared" si="14"/>
        <v>Milton</v>
      </c>
      <c r="AA46" s="50" t="s">
        <v>77</v>
      </c>
      <c r="AB46" s="38">
        <v>880.0</v>
      </c>
      <c r="AC46" s="48">
        <f t="shared" si="15"/>
        <v>160</v>
      </c>
      <c r="AD46" s="51">
        <f t="shared" si="16"/>
        <v>0.8181818182</v>
      </c>
    </row>
    <row r="47">
      <c r="A47" s="23"/>
      <c r="B47" s="46" t="s">
        <v>2590</v>
      </c>
      <c r="C47" s="47"/>
      <c r="D47" s="38">
        <v>378.0</v>
      </c>
      <c r="E47" s="38">
        <v>192.0</v>
      </c>
      <c r="F47" s="38">
        <v>49.0</v>
      </c>
      <c r="G47" s="38">
        <v>40.0</v>
      </c>
      <c r="H47" s="38">
        <v>42.0</v>
      </c>
      <c r="I47" s="48">
        <f t="shared" si="3"/>
        <v>619</v>
      </c>
      <c r="J47" s="48">
        <f t="shared" si="4"/>
        <v>701</v>
      </c>
      <c r="K47" s="49">
        <f t="shared" si="5"/>
        <v>0.6106623586</v>
      </c>
      <c r="L47" s="49">
        <f t="shared" si="6"/>
        <v>0.310177706</v>
      </c>
      <c r="M47" s="49">
        <f t="shared" si="7"/>
        <v>0.07915993538</v>
      </c>
      <c r="N47" s="32" t="str">
        <f t="shared" si="8"/>
        <v>Jânio</v>
      </c>
      <c r="O47" s="50" t="s">
        <v>77</v>
      </c>
      <c r="P47" s="38">
        <v>180.0</v>
      </c>
      <c r="Q47" s="38">
        <v>382.0</v>
      </c>
      <c r="R47" s="38">
        <v>51.0</v>
      </c>
      <c r="S47" s="38">
        <v>61.0</v>
      </c>
      <c r="T47" s="38">
        <v>27.0</v>
      </c>
      <c r="U47" s="48">
        <f t="shared" si="9"/>
        <v>613</v>
      </c>
      <c r="V47" s="48">
        <f t="shared" si="10"/>
        <v>701</v>
      </c>
      <c r="W47" s="49">
        <f t="shared" si="11"/>
        <v>0.2936378467</v>
      </c>
      <c r="X47" s="49">
        <f t="shared" si="12"/>
        <v>0.6231647635</v>
      </c>
      <c r="Y47" s="49">
        <f t="shared" si="13"/>
        <v>0.08319738989</v>
      </c>
      <c r="Z47" s="32" t="str">
        <f t="shared" si="14"/>
        <v>Milton</v>
      </c>
      <c r="AA47" s="50" t="s">
        <v>77</v>
      </c>
      <c r="AB47" s="38">
        <v>808.0</v>
      </c>
      <c r="AC47" s="48">
        <f t="shared" si="15"/>
        <v>107</v>
      </c>
      <c r="AD47" s="51">
        <f t="shared" si="16"/>
        <v>0.8675742574</v>
      </c>
    </row>
    <row r="48">
      <c r="A48" s="24"/>
      <c r="B48" s="46" t="s">
        <v>2591</v>
      </c>
      <c r="C48" s="47"/>
      <c r="D48" s="38">
        <v>225.0</v>
      </c>
      <c r="E48" s="38">
        <v>405.0</v>
      </c>
      <c r="F48" s="38">
        <v>59.0</v>
      </c>
      <c r="G48" s="38">
        <v>48.0</v>
      </c>
      <c r="H48" s="38">
        <v>32.0</v>
      </c>
      <c r="I48" s="48">
        <f t="shared" si="3"/>
        <v>689</v>
      </c>
      <c r="J48" s="48">
        <f t="shared" si="4"/>
        <v>769</v>
      </c>
      <c r="K48" s="49">
        <f t="shared" si="5"/>
        <v>0.3265602322</v>
      </c>
      <c r="L48" s="49">
        <f t="shared" si="6"/>
        <v>0.587808418</v>
      </c>
      <c r="M48" s="49">
        <f t="shared" si="7"/>
        <v>0.08563134978</v>
      </c>
      <c r="N48" s="32" t="str">
        <f t="shared" si="8"/>
        <v>Mal. Lott</v>
      </c>
      <c r="O48" s="50" t="s">
        <v>77</v>
      </c>
      <c r="P48" s="38">
        <v>320.0</v>
      </c>
      <c r="Q48" s="38">
        <v>243.0</v>
      </c>
      <c r="R48" s="38">
        <v>51.0</v>
      </c>
      <c r="S48" s="38">
        <v>132.0</v>
      </c>
      <c r="T48" s="38">
        <v>23.0</v>
      </c>
      <c r="U48" s="48">
        <f t="shared" si="9"/>
        <v>614</v>
      </c>
      <c r="V48" s="48">
        <f t="shared" si="10"/>
        <v>769</v>
      </c>
      <c r="W48" s="49">
        <f t="shared" si="11"/>
        <v>0.5211726384</v>
      </c>
      <c r="X48" s="49">
        <f t="shared" si="12"/>
        <v>0.3957654723</v>
      </c>
      <c r="Y48" s="49">
        <f t="shared" si="13"/>
        <v>0.08306188925</v>
      </c>
      <c r="Z48" s="32" t="str">
        <f t="shared" si="14"/>
        <v>Jango</v>
      </c>
      <c r="AA48" s="50" t="s">
        <v>77</v>
      </c>
      <c r="AB48" s="38">
        <v>914.0</v>
      </c>
      <c r="AC48" s="48">
        <f t="shared" si="15"/>
        <v>145</v>
      </c>
      <c r="AD48" s="51">
        <f t="shared" si="16"/>
        <v>0.841356674</v>
      </c>
    </row>
    <row r="49">
      <c r="A49" s="110" t="s">
        <v>119</v>
      </c>
      <c r="B49" s="46" t="s">
        <v>2592</v>
      </c>
      <c r="C49" s="47"/>
      <c r="D49" s="38">
        <v>437.0</v>
      </c>
      <c r="E49" s="38">
        <v>716.0</v>
      </c>
      <c r="F49" s="38">
        <v>146.0</v>
      </c>
      <c r="G49" s="38">
        <v>134.0</v>
      </c>
      <c r="H49" s="38">
        <v>146.0</v>
      </c>
      <c r="I49" s="48">
        <f t="shared" si="3"/>
        <v>1299</v>
      </c>
      <c r="J49" s="48">
        <f t="shared" si="4"/>
        <v>1579</v>
      </c>
      <c r="K49" s="49">
        <f t="shared" si="5"/>
        <v>0.3364126251</v>
      </c>
      <c r="L49" s="49">
        <f t="shared" si="6"/>
        <v>0.5511932256</v>
      </c>
      <c r="M49" s="49">
        <f t="shared" si="7"/>
        <v>0.1123941493</v>
      </c>
      <c r="N49" s="32" t="str">
        <f t="shared" si="8"/>
        <v>Mal. Lott</v>
      </c>
      <c r="O49" s="50" t="s">
        <v>77</v>
      </c>
      <c r="P49" s="38">
        <v>771.0</v>
      </c>
      <c r="Q49" s="38">
        <v>362.0</v>
      </c>
      <c r="R49" s="38">
        <v>98.0</v>
      </c>
      <c r="S49" s="38">
        <v>287.0</v>
      </c>
      <c r="T49" s="38">
        <v>61.0</v>
      </c>
      <c r="U49" s="48">
        <f t="shared" si="9"/>
        <v>1231</v>
      </c>
      <c r="V49" s="48">
        <f t="shared" si="10"/>
        <v>1579</v>
      </c>
      <c r="W49" s="49">
        <f t="shared" si="11"/>
        <v>0.626320065</v>
      </c>
      <c r="X49" s="49">
        <f t="shared" si="12"/>
        <v>0.2940698619</v>
      </c>
      <c r="Y49" s="49">
        <f t="shared" si="13"/>
        <v>0.07961007311</v>
      </c>
      <c r="Z49" s="32" t="str">
        <f t="shared" si="14"/>
        <v>Jango</v>
      </c>
      <c r="AA49" s="50" t="s">
        <v>77</v>
      </c>
      <c r="AB49" s="38">
        <v>1900.0</v>
      </c>
      <c r="AC49" s="48">
        <f t="shared" si="15"/>
        <v>321</v>
      </c>
      <c r="AD49" s="51">
        <f t="shared" si="16"/>
        <v>0.8310526316</v>
      </c>
    </row>
    <row r="50">
      <c r="A50" s="61" t="s">
        <v>123</v>
      </c>
      <c r="B50" s="46" t="s">
        <v>2593</v>
      </c>
      <c r="C50" s="47"/>
      <c r="D50" s="38">
        <v>1303.0</v>
      </c>
      <c r="E50" s="38">
        <v>1065.0</v>
      </c>
      <c r="F50" s="38">
        <v>94.0</v>
      </c>
      <c r="G50" s="38">
        <v>135.0</v>
      </c>
      <c r="H50" s="38">
        <v>133.0</v>
      </c>
      <c r="I50" s="48">
        <f t="shared" si="3"/>
        <v>2462</v>
      </c>
      <c r="J50" s="48">
        <f t="shared" si="4"/>
        <v>2730</v>
      </c>
      <c r="K50" s="49">
        <f t="shared" si="5"/>
        <v>0.5292445167</v>
      </c>
      <c r="L50" s="49">
        <f t="shared" si="6"/>
        <v>0.4325751422</v>
      </c>
      <c r="M50" s="49">
        <f t="shared" si="7"/>
        <v>0.03818034119</v>
      </c>
      <c r="N50" s="32" t="str">
        <f t="shared" si="8"/>
        <v>Jânio</v>
      </c>
      <c r="O50" s="50" t="s">
        <v>77</v>
      </c>
      <c r="P50" s="38">
        <v>988.0</v>
      </c>
      <c r="Q50" s="38">
        <v>1186.0</v>
      </c>
      <c r="R50" s="38">
        <v>112.0</v>
      </c>
      <c r="S50" s="38">
        <v>324.0</v>
      </c>
      <c r="T50" s="38">
        <v>120.0</v>
      </c>
      <c r="U50" s="48">
        <f t="shared" si="9"/>
        <v>2286</v>
      </c>
      <c r="V50" s="48">
        <f t="shared" si="10"/>
        <v>2730</v>
      </c>
      <c r="W50" s="49">
        <f t="shared" si="11"/>
        <v>0.4321959755</v>
      </c>
      <c r="X50" s="49">
        <f t="shared" si="12"/>
        <v>0.5188101487</v>
      </c>
      <c r="Y50" s="49">
        <f t="shared" si="13"/>
        <v>0.04899387577</v>
      </c>
      <c r="Z50" s="32" t="str">
        <f t="shared" si="14"/>
        <v>Milton</v>
      </c>
      <c r="AA50" s="50" t="s">
        <v>77</v>
      </c>
      <c r="AB50" s="38">
        <v>4307.0</v>
      </c>
      <c r="AC50" s="48">
        <f t="shared" si="15"/>
        <v>1577</v>
      </c>
      <c r="AD50" s="51">
        <f t="shared" si="16"/>
        <v>0.6338518691</v>
      </c>
    </row>
    <row r="51">
      <c r="A51" s="23"/>
      <c r="B51" s="46" t="s">
        <v>2594</v>
      </c>
      <c r="C51" s="47"/>
      <c r="D51" s="38">
        <v>1496.0</v>
      </c>
      <c r="E51" s="38">
        <v>847.0</v>
      </c>
      <c r="F51" s="38">
        <v>156.0</v>
      </c>
      <c r="G51" s="38">
        <v>127.0</v>
      </c>
      <c r="H51" s="38">
        <v>196.0</v>
      </c>
      <c r="I51" s="48">
        <f t="shared" si="3"/>
        <v>2499</v>
      </c>
      <c r="J51" s="48">
        <f t="shared" si="4"/>
        <v>2822</v>
      </c>
      <c r="K51" s="49">
        <f t="shared" si="5"/>
        <v>0.5986394558</v>
      </c>
      <c r="L51" s="49">
        <f t="shared" si="6"/>
        <v>0.3389355742</v>
      </c>
      <c r="M51" s="49">
        <f t="shared" si="7"/>
        <v>0.06242496999</v>
      </c>
      <c r="N51" s="32" t="str">
        <f t="shared" si="8"/>
        <v>Jânio</v>
      </c>
      <c r="O51" s="50" t="s">
        <v>77</v>
      </c>
      <c r="P51" s="38">
        <v>918.0</v>
      </c>
      <c r="Q51" s="38">
        <v>1379.0</v>
      </c>
      <c r="R51" s="38">
        <v>103.0</v>
      </c>
      <c r="S51" s="38">
        <v>319.0</v>
      </c>
      <c r="T51" s="38">
        <v>103.0</v>
      </c>
      <c r="U51" s="48">
        <f t="shared" si="9"/>
        <v>2400</v>
      </c>
      <c r="V51" s="48">
        <f t="shared" si="10"/>
        <v>2822</v>
      </c>
      <c r="W51" s="49">
        <f t="shared" si="11"/>
        <v>0.3825</v>
      </c>
      <c r="X51" s="49">
        <f t="shared" si="12"/>
        <v>0.5745833333</v>
      </c>
      <c r="Y51" s="49">
        <f t="shared" si="13"/>
        <v>0.04291666667</v>
      </c>
      <c r="Z51" s="32" t="str">
        <f t="shared" si="14"/>
        <v>Milton</v>
      </c>
      <c r="AA51" s="50" t="s">
        <v>77</v>
      </c>
      <c r="AB51" s="55">
        <v>2683.0</v>
      </c>
      <c r="AC51" s="45" t="s">
        <v>1025</v>
      </c>
      <c r="AD51" s="45" t="s">
        <v>1025</v>
      </c>
    </row>
    <row r="52">
      <c r="A52" s="23"/>
      <c r="B52" s="46" t="s">
        <v>2595</v>
      </c>
      <c r="C52" s="47"/>
      <c r="D52" s="38">
        <v>240.0</v>
      </c>
      <c r="E52" s="38">
        <v>420.0</v>
      </c>
      <c r="F52" s="38">
        <v>124.0</v>
      </c>
      <c r="G52" s="38">
        <v>71.0</v>
      </c>
      <c r="H52" s="38">
        <v>75.0</v>
      </c>
      <c r="I52" s="48">
        <f t="shared" si="3"/>
        <v>784</v>
      </c>
      <c r="J52" s="48">
        <f t="shared" si="4"/>
        <v>930</v>
      </c>
      <c r="K52" s="49">
        <f t="shared" si="5"/>
        <v>0.306122449</v>
      </c>
      <c r="L52" s="49">
        <f t="shared" si="6"/>
        <v>0.5357142857</v>
      </c>
      <c r="M52" s="49">
        <f t="shared" si="7"/>
        <v>0.1581632653</v>
      </c>
      <c r="N52" s="32" t="str">
        <f t="shared" si="8"/>
        <v>Mal. Lott</v>
      </c>
      <c r="O52" s="50" t="s">
        <v>77</v>
      </c>
      <c r="P52" s="38">
        <v>404.0</v>
      </c>
      <c r="Q52" s="38">
        <v>158.0</v>
      </c>
      <c r="R52" s="38">
        <v>86.0</v>
      </c>
      <c r="S52" s="38">
        <v>199.0</v>
      </c>
      <c r="T52" s="38">
        <v>83.0</v>
      </c>
      <c r="U52" s="48">
        <f t="shared" si="9"/>
        <v>648</v>
      </c>
      <c r="V52" s="48">
        <f t="shared" si="10"/>
        <v>930</v>
      </c>
      <c r="W52" s="49">
        <f t="shared" si="11"/>
        <v>0.6234567901</v>
      </c>
      <c r="X52" s="49">
        <f t="shared" si="12"/>
        <v>0.2438271605</v>
      </c>
      <c r="Y52" s="49">
        <f t="shared" si="13"/>
        <v>0.1327160494</v>
      </c>
      <c r="Z52" s="32" t="str">
        <f t="shared" si="14"/>
        <v>Jango</v>
      </c>
      <c r="AA52" s="50" t="s">
        <v>77</v>
      </c>
      <c r="AB52" s="38">
        <v>1707.0</v>
      </c>
      <c r="AC52" s="48">
        <f t="shared" ref="AC52:AC193" si="17">AB52-V52</f>
        <v>777</v>
      </c>
      <c r="AD52" s="51">
        <f t="shared" ref="AD52:AD193" si="18">V52/AB52</f>
        <v>0.5448154657</v>
      </c>
    </row>
    <row r="53">
      <c r="A53" s="23"/>
      <c r="B53" s="46" t="s">
        <v>2596</v>
      </c>
      <c r="C53" s="47"/>
      <c r="D53" s="38">
        <v>554.0</v>
      </c>
      <c r="E53" s="38">
        <v>609.0</v>
      </c>
      <c r="F53" s="38">
        <v>87.0</v>
      </c>
      <c r="G53" s="38">
        <v>69.0</v>
      </c>
      <c r="H53" s="38">
        <v>91.0</v>
      </c>
      <c r="I53" s="48">
        <f t="shared" si="3"/>
        <v>1250</v>
      </c>
      <c r="J53" s="48">
        <f t="shared" si="4"/>
        <v>1410</v>
      </c>
      <c r="K53" s="49">
        <f t="shared" si="5"/>
        <v>0.4432</v>
      </c>
      <c r="L53" s="49">
        <f t="shared" si="6"/>
        <v>0.4872</v>
      </c>
      <c r="M53" s="49">
        <f t="shared" si="7"/>
        <v>0.0696</v>
      </c>
      <c r="N53" s="32" t="str">
        <f t="shared" si="8"/>
        <v>Mal. Lott</v>
      </c>
      <c r="O53" s="50" t="s">
        <v>77</v>
      </c>
      <c r="P53" s="38">
        <v>634.0</v>
      </c>
      <c r="Q53" s="38">
        <v>465.0</v>
      </c>
      <c r="R53" s="38">
        <v>78.0</v>
      </c>
      <c r="S53" s="38">
        <v>123.0</v>
      </c>
      <c r="T53" s="38">
        <v>110.0</v>
      </c>
      <c r="U53" s="48">
        <f t="shared" si="9"/>
        <v>1177</v>
      </c>
      <c r="V53" s="48">
        <f t="shared" si="10"/>
        <v>1410</v>
      </c>
      <c r="W53" s="49">
        <f t="shared" si="11"/>
        <v>0.5386576041</v>
      </c>
      <c r="X53" s="49">
        <f t="shared" si="12"/>
        <v>0.3950722175</v>
      </c>
      <c r="Y53" s="49">
        <f t="shared" si="13"/>
        <v>0.06627017842</v>
      </c>
      <c r="Z53" s="32" t="str">
        <f t="shared" si="14"/>
        <v>Jango</v>
      </c>
      <c r="AA53" s="50" t="s">
        <v>77</v>
      </c>
      <c r="AB53" s="38">
        <v>3640.0</v>
      </c>
      <c r="AC53" s="48">
        <f t="shared" si="17"/>
        <v>2230</v>
      </c>
      <c r="AD53" s="51">
        <f t="shared" si="18"/>
        <v>0.3873626374</v>
      </c>
    </row>
    <row r="54">
      <c r="A54" s="24"/>
      <c r="B54" s="46" t="s">
        <v>2597</v>
      </c>
      <c r="C54" s="47"/>
      <c r="D54" s="38">
        <v>224.0</v>
      </c>
      <c r="E54" s="38">
        <v>554.0</v>
      </c>
      <c r="F54" s="38">
        <v>51.0</v>
      </c>
      <c r="G54" s="38">
        <v>49.0</v>
      </c>
      <c r="H54" s="38">
        <v>45.0</v>
      </c>
      <c r="I54" s="48">
        <f t="shared" si="3"/>
        <v>829</v>
      </c>
      <c r="J54" s="48">
        <f t="shared" si="4"/>
        <v>923</v>
      </c>
      <c r="K54" s="49">
        <f t="shared" si="5"/>
        <v>0.2702050663</v>
      </c>
      <c r="L54" s="49">
        <f t="shared" si="6"/>
        <v>0.6682750302</v>
      </c>
      <c r="M54" s="49">
        <f t="shared" si="7"/>
        <v>0.0615199035</v>
      </c>
      <c r="N54" s="32" t="str">
        <f t="shared" si="8"/>
        <v>Mal. Lott</v>
      </c>
      <c r="O54" s="50" t="s">
        <v>77</v>
      </c>
      <c r="P54" s="38">
        <v>617.0</v>
      </c>
      <c r="Q54" s="38">
        <v>171.0</v>
      </c>
      <c r="R54" s="55">
        <v>31.0</v>
      </c>
      <c r="S54" s="38">
        <v>79.0</v>
      </c>
      <c r="T54" s="38">
        <v>25.0</v>
      </c>
      <c r="U54" s="48">
        <f t="shared" si="9"/>
        <v>819</v>
      </c>
      <c r="V54" s="114">
        <f t="shared" si="10"/>
        <v>923</v>
      </c>
      <c r="W54" s="49">
        <f t="shared" si="11"/>
        <v>0.7533577534</v>
      </c>
      <c r="X54" s="49">
        <f t="shared" si="12"/>
        <v>0.2087912088</v>
      </c>
      <c r="Y54" s="49">
        <f t="shared" si="13"/>
        <v>0.03785103785</v>
      </c>
      <c r="Z54" s="32" t="str">
        <f t="shared" si="14"/>
        <v>Jango</v>
      </c>
      <c r="AA54" s="50" t="s">
        <v>77</v>
      </c>
      <c r="AB54" s="38">
        <v>1639.0</v>
      </c>
      <c r="AC54" s="48">
        <f t="shared" si="17"/>
        <v>716</v>
      </c>
      <c r="AD54" s="51">
        <f t="shared" si="18"/>
        <v>0.5631482611</v>
      </c>
    </row>
    <row r="55">
      <c r="A55" s="61" t="s">
        <v>125</v>
      </c>
      <c r="B55" s="46" t="s">
        <v>2598</v>
      </c>
      <c r="C55" s="47"/>
      <c r="D55" s="38">
        <v>5272.0</v>
      </c>
      <c r="E55" s="38">
        <v>4031.0</v>
      </c>
      <c r="F55" s="38">
        <v>1401.0</v>
      </c>
      <c r="G55" s="38">
        <v>374.0</v>
      </c>
      <c r="H55" s="38">
        <v>473.0</v>
      </c>
      <c r="I55" s="48">
        <f t="shared" si="3"/>
        <v>10704</v>
      </c>
      <c r="J55" s="48">
        <f t="shared" si="4"/>
        <v>11551</v>
      </c>
      <c r="K55" s="49">
        <f t="shared" si="5"/>
        <v>0.4925261584</v>
      </c>
      <c r="L55" s="49">
        <f t="shared" si="6"/>
        <v>0.3765881913</v>
      </c>
      <c r="M55" s="49">
        <f t="shared" si="7"/>
        <v>0.1308856502</v>
      </c>
      <c r="N55" s="32" t="str">
        <f t="shared" si="8"/>
        <v>Jânio</v>
      </c>
      <c r="O55" s="50" t="s">
        <v>77</v>
      </c>
      <c r="P55" s="38">
        <v>3789.0</v>
      </c>
      <c r="Q55" s="38">
        <v>4773.0</v>
      </c>
      <c r="R55" s="38">
        <v>1347.0</v>
      </c>
      <c r="S55" s="38">
        <v>1285.0</v>
      </c>
      <c r="T55" s="38">
        <v>357.0</v>
      </c>
      <c r="U55" s="48">
        <f t="shared" si="9"/>
        <v>9909</v>
      </c>
      <c r="V55" s="48">
        <f t="shared" si="10"/>
        <v>11551</v>
      </c>
      <c r="W55" s="49">
        <f t="shared" si="11"/>
        <v>0.3823796549</v>
      </c>
      <c r="X55" s="49">
        <f t="shared" si="12"/>
        <v>0.4816833182</v>
      </c>
      <c r="Y55" s="49">
        <f t="shared" si="13"/>
        <v>0.1359370269</v>
      </c>
      <c r="Z55" s="32" t="str">
        <f t="shared" si="14"/>
        <v>Milton</v>
      </c>
      <c r="AA55" s="50" t="s">
        <v>77</v>
      </c>
      <c r="AB55" s="38">
        <v>13683.0</v>
      </c>
      <c r="AC55" s="48">
        <f t="shared" si="17"/>
        <v>2132</v>
      </c>
      <c r="AD55" s="51">
        <f t="shared" si="18"/>
        <v>0.8441862165</v>
      </c>
    </row>
    <row r="56">
      <c r="A56" s="24"/>
      <c r="B56" s="46" t="s">
        <v>2599</v>
      </c>
      <c r="C56" s="47"/>
      <c r="D56" s="38">
        <v>453.0</v>
      </c>
      <c r="E56" s="38">
        <v>343.0</v>
      </c>
      <c r="F56" s="38">
        <v>29.0</v>
      </c>
      <c r="G56" s="38">
        <v>45.0</v>
      </c>
      <c r="H56" s="38">
        <v>54.0</v>
      </c>
      <c r="I56" s="48">
        <f t="shared" si="3"/>
        <v>825</v>
      </c>
      <c r="J56" s="48">
        <f t="shared" si="4"/>
        <v>924</v>
      </c>
      <c r="K56" s="49">
        <f t="shared" si="5"/>
        <v>0.5490909091</v>
      </c>
      <c r="L56" s="49">
        <f t="shared" si="6"/>
        <v>0.4157575758</v>
      </c>
      <c r="M56" s="49">
        <f t="shared" si="7"/>
        <v>0.03515151515</v>
      </c>
      <c r="N56" s="32" t="str">
        <f t="shared" si="8"/>
        <v>Jânio</v>
      </c>
      <c r="O56" s="50" t="s">
        <v>77</v>
      </c>
      <c r="P56" s="38">
        <v>314.0</v>
      </c>
      <c r="Q56" s="38">
        <v>396.0</v>
      </c>
      <c r="R56" s="38">
        <v>60.0</v>
      </c>
      <c r="S56" s="38">
        <v>142.0</v>
      </c>
      <c r="T56" s="38">
        <v>12.0</v>
      </c>
      <c r="U56" s="48">
        <f t="shared" si="9"/>
        <v>770</v>
      </c>
      <c r="V56" s="48">
        <f t="shared" si="10"/>
        <v>924</v>
      </c>
      <c r="W56" s="49">
        <f t="shared" si="11"/>
        <v>0.4077922078</v>
      </c>
      <c r="X56" s="49">
        <f t="shared" si="12"/>
        <v>0.5142857143</v>
      </c>
      <c r="Y56" s="49">
        <f t="shared" si="13"/>
        <v>0.07792207792</v>
      </c>
      <c r="Z56" s="32" t="str">
        <f t="shared" si="14"/>
        <v>Milton</v>
      </c>
      <c r="AA56" s="50" t="s">
        <v>77</v>
      </c>
      <c r="AB56" s="38">
        <v>1054.0</v>
      </c>
      <c r="AC56" s="48">
        <f t="shared" si="17"/>
        <v>130</v>
      </c>
      <c r="AD56" s="51">
        <f t="shared" si="18"/>
        <v>0.8766603416</v>
      </c>
    </row>
    <row r="57">
      <c r="A57" s="61" t="s">
        <v>127</v>
      </c>
      <c r="B57" s="46" t="s">
        <v>2600</v>
      </c>
      <c r="C57" s="47"/>
      <c r="D57" s="38">
        <v>3558.0</v>
      </c>
      <c r="E57" s="38">
        <v>2701.0</v>
      </c>
      <c r="F57" s="55">
        <v>1386.0</v>
      </c>
      <c r="G57" s="38">
        <v>369.0</v>
      </c>
      <c r="H57" s="38">
        <v>347.0</v>
      </c>
      <c r="I57" s="48">
        <f t="shared" si="3"/>
        <v>7645</v>
      </c>
      <c r="J57" s="114">
        <f t="shared" si="4"/>
        <v>8361</v>
      </c>
      <c r="K57" s="49">
        <f t="shared" si="5"/>
        <v>0.4654022237</v>
      </c>
      <c r="L57" s="49">
        <f t="shared" si="6"/>
        <v>0.3533028123</v>
      </c>
      <c r="M57" s="49">
        <f t="shared" si="7"/>
        <v>0.181294964</v>
      </c>
      <c r="N57" s="32" t="str">
        <f t="shared" si="8"/>
        <v>Jânio</v>
      </c>
      <c r="O57" s="50" t="s">
        <v>77</v>
      </c>
      <c r="P57" s="38">
        <v>2625.0</v>
      </c>
      <c r="Q57" s="38">
        <v>2922.0</v>
      </c>
      <c r="R57" s="38">
        <v>1366.0</v>
      </c>
      <c r="S57" s="38">
        <v>1159.0</v>
      </c>
      <c r="T57" s="38">
        <v>289.0</v>
      </c>
      <c r="U57" s="48">
        <f t="shared" si="9"/>
        <v>6913</v>
      </c>
      <c r="V57" s="48">
        <f t="shared" si="10"/>
        <v>8361</v>
      </c>
      <c r="W57" s="49">
        <f t="shared" si="11"/>
        <v>0.3797193693</v>
      </c>
      <c r="X57" s="49">
        <f t="shared" si="12"/>
        <v>0.4226819037</v>
      </c>
      <c r="Y57" s="49">
        <f t="shared" si="13"/>
        <v>0.197598727</v>
      </c>
      <c r="Z57" s="32" t="str">
        <f t="shared" si="14"/>
        <v>Milton</v>
      </c>
      <c r="AA57" s="50" t="s">
        <v>77</v>
      </c>
      <c r="AB57" s="38">
        <v>10081.0</v>
      </c>
      <c r="AC57" s="48">
        <f t="shared" si="17"/>
        <v>1720</v>
      </c>
      <c r="AD57" s="51">
        <f t="shared" si="18"/>
        <v>0.8293820058</v>
      </c>
    </row>
    <row r="58">
      <c r="A58" s="23"/>
      <c r="B58" s="46" t="s">
        <v>2601</v>
      </c>
      <c r="C58" s="47"/>
      <c r="D58" s="38">
        <v>570.0</v>
      </c>
      <c r="E58" s="38">
        <v>474.0</v>
      </c>
      <c r="F58" s="38">
        <v>135.0</v>
      </c>
      <c r="G58" s="38">
        <v>115.0</v>
      </c>
      <c r="H58" s="38">
        <v>77.0</v>
      </c>
      <c r="I58" s="48">
        <f t="shared" si="3"/>
        <v>1179</v>
      </c>
      <c r="J58" s="48">
        <f t="shared" si="4"/>
        <v>1371</v>
      </c>
      <c r="K58" s="49">
        <f t="shared" si="5"/>
        <v>0.4834605598</v>
      </c>
      <c r="L58" s="49">
        <f t="shared" si="6"/>
        <v>0.4020356234</v>
      </c>
      <c r="M58" s="49">
        <f t="shared" si="7"/>
        <v>0.1145038168</v>
      </c>
      <c r="N58" s="32" t="str">
        <f t="shared" si="8"/>
        <v>Jânio</v>
      </c>
      <c r="O58" s="50" t="s">
        <v>77</v>
      </c>
      <c r="P58" s="38">
        <v>481.0</v>
      </c>
      <c r="Q58" s="38">
        <v>460.0</v>
      </c>
      <c r="R58" s="38">
        <v>72.0</v>
      </c>
      <c r="S58" s="38">
        <v>304.0</v>
      </c>
      <c r="T58" s="38">
        <v>54.0</v>
      </c>
      <c r="U58" s="48">
        <f t="shared" si="9"/>
        <v>1013</v>
      </c>
      <c r="V58" s="48">
        <f t="shared" si="10"/>
        <v>1371</v>
      </c>
      <c r="W58" s="49">
        <f t="shared" si="11"/>
        <v>0.4748272458</v>
      </c>
      <c r="X58" s="49">
        <f t="shared" si="12"/>
        <v>0.4540967423</v>
      </c>
      <c r="Y58" s="49">
        <f t="shared" si="13"/>
        <v>0.07107601185</v>
      </c>
      <c r="Z58" s="32" t="str">
        <f t="shared" si="14"/>
        <v>Jango</v>
      </c>
      <c r="AA58" s="50" t="s">
        <v>77</v>
      </c>
      <c r="AB58" s="38">
        <v>1723.0</v>
      </c>
      <c r="AC58" s="48">
        <f t="shared" si="17"/>
        <v>352</v>
      </c>
      <c r="AD58" s="51">
        <f t="shared" si="18"/>
        <v>0.7957051654</v>
      </c>
    </row>
    <row r="59">
      <c r="A59" s="24"/>
      <c r="B59" s="46" t="s">
        <v>2602</v>
      </c>
      <c r="C59" s="47"/>
      <c r="D59" s="38">
        <v>838.0</v>
      </c>
      <c r="E59" s="38">
        <v>689.0</v>
      </c>
      <c r="F59" s="38">
        <v>272.0</v>
      </c>
      <c r="G59" s="38">
        <v>174.0</v>
      </c>
      <c r="H59" s="38">
        <v>203.0</v>
      </c>
      <c r="I59" s="48">
        <f t="shared" si="3"/>
        <v>1799</v>
      </c>
      <c r="J59" s="48">
        <f t="shared" si="4"/>
        <v>2176</v>
      </c>
      <c r="K59" s="49">
        <f t="shared" si="5"/>
        <v>0.4658143413</v>
      </c>
      <c r="L59" s="49">
        <f t="shared" si="6"/>
        <v>0.3829905503</v>
      </c>
      <c r="M59" s="49">
        <f t="shared" si="7"/>
        <v>0.1511951084</v>
      </c>
      <c r="N59" s="32" t="str">
        <f t="shared" si="8"/>
        <v>Jânio</v>
      </c>
      <c r="O59" s="50" t="s">
        <v>77</v>
      </c>
      <c r="P59" s="38">
        <v>687.0</v>
      </c>
      <c r="Q59" s="38">
        <v>523.0</v>
      </c>
      <c r="R59" s="38">
        <v>283.0</v>
      </c>
      <c r="S59" s="38">
        <v>594.0</v>
      </c>
      <c r="T59" s="38">
        <v>89.0</v>
      </c>
      <c r="U59" s="48">
        <f t="shared" si="9"/>
        <v>1493</v>
      </c>
      <c r="V59" s="48">
        <f t="shared" si="10"/>
        <v>2176</v>
      </c>
      <c r="W59" s="49">
        <f t="shared" si="11"/>
        <v>0.4601473543</v>
      </c>
      <c r="X59" s="49">
        <f t="shared" si="12"/>
        <v>0.3503014066</v>
      </c>
      <c r="Y59" s="49">
        <f t="shared" si="13"/>
        <v>0.1895512391</v>
      </c>
      <c r="Z59" s="32" t="str">
        <f t="shared" si="14"/>
        <v>Jango</v>
      </c>
      <c r="AA59" s="50" t="s">
        <v>77</v>
      </c>
      <c r="AB59" s="38">
        <v>2827.0</v>
      </c>
      <c r="AC59" s="48">
        <f t="shared" si="17"/>
        <v>651</v>
      </c>
      <c r="AD59" s="51">
        <f t="shared" si="18"/>
        <v>0.7697205518</v>
      </c>
    </row>
    <row r="60">
      <c r="A60" s="110" t="s">
        <v>129</v>
      </c>
      <c r="B60" s="46" t="s">
        <v>2603</v>
      </c>
      <c r="C60" s="47"/>
      <c r="D60" s="38">
        <v>1626.0</v>
      </c>
      <c r="E60" s="38">
        <v>795.0</v>
      </c>
      <c r="F60" s="38">
        <v>128.0</v>
      </c>
      <c r="G60" s="38">
        <v>286.0</v>
      </c>
      <c r="H60" s="38">
        <v>132.0</v>
      </c>
      <c r="I60" s="48">
        <f t="shared" si="3"/>
        <v>2549</v>
      </c>
      <c r="J60" s="48">
        <f t="shared" si="4"/>
        <v>2967</v>
      </c>
      <c r="K60" s="49">
        <f t="shared" si="5"/>
        <v>0.6378972146</v>
      </c>
      <c r="L60" s="49">
        <f t="shared" si="6"/>
        <v>0.3118870145</v>
      </c>
      <c r="M60" s="49">
        <f t="shared" si="7"/>
        <v>0.05021577089</v>
      </c>
      <c r="N60" s="32" t="str">
        <f t="shared" si="8"/>
        <v>Jânio</v>
      </c>
      <c r="O60" s="50" t="s">
        <v>77</v>
      </c>
      <c r="P60" s="38">
        <v>805.0</v>
      </c>
      <c r="Q60" s="38">
        <v>1398.0</v>
      </c>
      <c r="R60" s="38">
        <v>94.0</v>
      </c>
      <c r="S60" s="38">
        <v>581.0</v>
      </c>
      <c r="T60" s="38">
        <v>89.0</v>
      </c>
      <c r="U60" s="48">
        <f t="shared" si="9"/>
        <v>2297</v>
      </c>
      <c r="V60" s="48">
        <f t="shared" si="10"/>
        <v>2967</v>
      </c>
      <c r="W60" s="49">
        <f t="shared" si="11"/>
        <v>0.350457118</v>
      </c>
      <c r="X60" s="49">
        <f t="shared" si="12"/>
        <v>0.6086199391</v>
      </c>
      <c r="Y60" s="49">
        <f t="shared" si="13"/>
        <v>0.04092294297</v>
      </c>
      <c r="Z60" s="32" t="str">
        <f t="shared" si="14"/>
        <v>Milton</v>
      </c>
      <c r="AA60" s="50" t="s">
        <v>77</v>
      </c>
      <c r="AB60" s="38">
        <v>3467.0</v>
      </c>
      <c r="AC60" s="48">
        <f t="shared" si="17"/>
        <v>500</v>
      </c>
      <c r="AD60" s="51">
        <f t="shared" si="18"/>
        <v>0.8557830978</v>
      </c>
    </row>
    <row r="61">
      <c r="A61" s="110" t="s">
        <v>131</v>
      </c>
      <c r="B61" s="46" t="s">
        <v>2604</v>
      </c>
      <c r="C61" s="47"/>
      <c r="D61" s="38">
        <v>823.0</v>
      </c>
      <c r="E61" s="38">
        <v>588.0</v>
      </c>
      <c r="F61" s="38">
        <v>127.0</v>
      </c>
      <c r="G61" s="38">
        <v>54.0</v>
      </c>
      <c r="H61" s="38">
        <v>35.0</v>
      </c>
      <c r="I61" s="48">
        <f t="shared" si="3"/>
        <v>1538</v>
      </c>
      <c r="J61" s="48">
        <f t="shared" si="4"/>
        <v>1627</v>
      </c>
      <c r="K61" s="49">
        <f t="shared" si="5"/>
        <v>0.5351105332</v>
      </c>
      <c r="L61" s="49">
        <f t="shared" si="6"/>
        <v>0.3823146944</v>
      </c>
      <c r="M61" s="49">
        <f t="shared" si="7"/>
        <v>0.08257477243</v>
      </c>
      <c r="N61" s="32" t="str">
        <f t="shared" si="8"/>
        <v>Jânio</v>
      </c>
      <c r="O61" s="50" t="s">
        <v>77</v>
      </c>
      <c r="P61" s="38">
        <v>576.0</v>
      </c>
      <c r="Q61" s="38">
        <v>822.0</v>
      </c>
      <c r="R61" s="38">
        <v>36.0</v>
      </c>
      <c r="S61" s="38">
        <v>166.0</v>
      </c>
      <c r="T61" s="38">
        <v>27.0</v>
      </c>
      <c r="U61" s="48">
        <f t="shared" si="9"/>
        <v>1434</v>
      </c>
      <c r="V61" s="48">
        <f t="shared" si="10"/>
        <v>1627</v>
      </c>
      <c r="W61" s="49">
        <f t="shared" si="11"/>
        <v>0.4016736402</v>
      </c>
      <c r="X61" s="49">
        <f t="shared" si="12"/>
        <v>0.5732217573</v>
      </c>
      <c r="Y61" s="49">
        <f t="shared" si="13"/>
        <v>0.02510460251</v>
      </c>
      <c r="Z61" s="32" t="str">
        <f t="shared" si="14"/>
        <v>Milton</v>
      </c>
      <c r="AA61" s="50" t="s">
        <v>77</v>
      </c>
      <c r="AB61" s="38">
        <v>1773.0</v>
      </c>
      <c r="AC61" s="48">
        <f t="shared" si="17"/>
        <v>146</v>
      </c>
      <c r="AD61" s="51">
        <f t="shared" si="18"/>
        <v>0.9176536943</v>
      </c>
    </row>
    <row r="62">
      <c r="A62" s="61" t="s">
        <v>133</v>
      </c>
      <c r="B62" s="46" t="s">
        <v>2605</v>
      </c>
      <c r="C62" s="47"/>
      <c r="D62" s="38">
        <v>1181.0</v>
      </c>
      <c r="E62" s="38">
        <v>1103.0</v>
      </c>
      <c r="F62" s="38">
        <v>289.0</v>
      </c>
      <c r="G62" s="38">
        <v>200.0</v>
      </c>
      <c r="H62" s="38">
        <v>119.0</v>
      </c>
      <c r="I62" s="48">
        <f t="shared" si="3"/>
        <v>2573</v>
      </c>
      <c r="J62" s="48">
        <f t="shared" si="4"/>
        <v>2892</v>
      </c>
      <c r="K62" s="49">
        <f t="shared" si="5"/>
        <v>0.4589972794</v>
      </c>
      <c r="L62" s="49">
        <f t="shared" si="6"/>
        <v>0.4286824718</v>
      </c>
      <c r="M62" s="49">
        <f t="shared" si="7"/>
        <v>0.1123202487</v>
      </c>
      <c r="N62" s="32" t="str">
        <f t="shared" si="8"/>
        <v>Jânio</v>
      </c>
      <c r="O62" s="50" t="s">
        <v>77</v>
      </c>
      <c r="P62" s="38">
        <v>1078.0</v>
      </c>
      <c r="Q62" s="55">
        <v>1068.0</v>
      </c>
      <c r="R62" s="38">
        <v>265.0</v>
      </c>
      <c r="S62" s="38">
        <v>404.0</v>
      </c>
      <c r="T62" s="38">
        <v>77.0</v>
      </c>
      <c r="U62" s="48">
        <f t="shared" si="9"/>
        <v>2411</v>
      </c>
      <c r="V62" s="114">
        <f t="shared" si="10"/>
        <v>2892</v>
      </c>
      <c r="W62" s="49">
        <f t="shared" si="11"/>
        <v>0.4471173787</v>
      </c>
      <c r="X62" s="49">
        <f t="shared" si="12"/>
        <v>0.4429697221</v>
      </c>
      <c r="Y62" s="49">
        <f t="shared" si="13"/>
        <v>0.1099128992</v>
      </c>
      <c r="Z62" s="32" t="str">
        <f t="shared" si="14"/>
        <v>Jango</v>
      </c>
      <c r="AA62" s="50" t="s">
        <v>77</v>
      </c>
      <c r="AB62" s="38">
        <v>3579.0</v>
      </c>
      <c r="AC62" s="48">
        <f t="shared" si="17"/>
        <v>687</v>
      </c>
      <c r="AD62" s="51">
        <f t="shared" si="18"/>
        <v>0.8080469405</v>
      </c>
    </row>
    <row r="63">
      <c r="A63" s="24"/>
      <c r="B63" s="46" t="s">
        <v>2606</v>
      </c>
      <c r="C63" s="47"/>
      <c r="D63" s="38">
        <v>678.0</v>
      </c>
      <c r="E63" s="38">
        <v>474.0</v>
      </c>
      <c r="F63" s="38">
        <v>90.0</v>
      </c>
      <c r="G63" s="38">
        <v>119.0</v>
      </c>
      <c r="H63" s="38">
        <v>50.0</v>
      </c>
      <c r="I63" s="48">
        <f t="shared" si="3"/>
        <v>1242</v>
      </c>
      <c r="J63" s="48">
        <f t="shared" si="4"/>
        <v>1411</v>
      </c>
      <c r="K63" s="49">
        <f t="shared" si="5"/>
        <v>0.5458937198</v>
      </c>
      <c r="L63" s="49">
        <f t="shared" si="6"/>
        <v>0.3816425121</v>
      </c>
      <c r="M63" s="49">
        <f t="shared" si="7"/>
        <v>0.07246376812</v>
      </c>
      <c r="N63" s="32" t="str">
        <f t="shared" si="8"/>
        <v>Jânio</v>
      </c>
      <c r="O63" s="50" t="s">
        <v>77</v>
      </c>
      <c r="P63" s="38">
        <v>430.0</v>
      </c>
      <c r="Q63" s="38">
        <v>660.0</v>
      </c>
      <c r="R63" s="38">
        <v>78.0</v>
      </c>
      <c r="S63" s="38">
        <v>198.0</v>
      </c>
      <c r="T63" s="38">
        <v>45.0</v>
      </c>
      <c r="U63" s="48">
        <f t="shared" si="9"/>
        <v>1168</v>
      </c>
      <c r="V63" s="48">
        <f t="shared" si="10"/>
        <v>1411</v>
      </c>
      <c r="W63" s="49">
        <f t="shared" si="11"/>
        <v>0.3681506849</v>
      </c>
      <c r="X63" s="49">
        <f t="shared" si="12"/>
        <v>0.5650684932</v>
      </c>
      <c r="Y63" s="49">
        <f t="shared" si="13"/>
        <v>0.06678082192</v>
      </c>
      <c r="Z63" s="32" t="str">
        <f t="shared" si="14"/>
        <v>Milton</v>
      </c>
      <c r="AA63" s="50" t="s">
        <v>77</v>
      </c>
      <c r="AB63" s="38">
        <v>1636.0</v>
      </c>
      <c r="AC63" s="48">
        <f t="shared" si="17"/>
        <v>225</v>
      </c>
      <c r="AD63" s="51">
        <f t="shared" si="18"/>
        <v>0.8624694377</v>
      </c>
    </row>
    <row r="64">
      <c r="A64" s="61" t="s">
        <v>135</v>
      </c>
      <c r="B64" s="46" t="s">
        <v>2607</v>
      </c>
      <c r="C64" s="47"/>
      <c r="D64" s="38">
        <v>2923.0</v>
      </c>
      <c r="E64" s="38">
        <v>2028.0</v>
      </c>
      <c r="F64" s="38">
        <v>317.0</v>
      </c>
      <c r="G64" s="38">
        <v>318.0</v>
      </c>
      <c r="H64" s="38">
        <v>192.0</v>
      </c>
      <c r="I64" s="48">
        <f t="shared" si="3"/>
        <v>5268</v>
      </c>
      <c r="J64" s="48">
        <f t="shared" si="4"/>
        <v>5778</v>
      </c>
      <c r="K64" s="49">
        <f t="shared" si="5"/>
        <v>0.5548595292</v>
      </c>
      <c r="L64" s="49">
        <f t="shared" si="6"/>
        <v>0.3849658314</v>
      </c>
      <c r="M64" s="49">
        <f t="shared" si="7"/>
        <v>0.06017463933</v>
      </c>
      <c r="N64" s="32" t="str">
        <f t="shared" si="8"/>
        <v>Jânio</v>
      </c>
      <c r="O64" s="50" t="s">
        <v>77</v>
      </c>
      <c r="P64" s="38">
        <v>1899.0</v>
      </c>
      <c r="Q64" s="38">
        <v>2867.0</v>
      </c>
      <c r="R64" s="38">
        <v>257.0</v>
      </c>
      <c r="S64" s="38">
        <v>616.0</v>
      </c>
      <c r="T64" s="38">
        <v>139.0</v>
      </c>
      <c r="U64" s="48">
        <f t="shared" si="9"/>
        <v>5023</v>
      </c>
      <c r="V64" s="48">
        <f t="shared" si="10"/>
        <v>5778</v>
      </c>
      <c r="W64" s="49">
        <f t="shared" si="11"/>
        <v>0.3780609198</v>
      </c>
      <c r="X64" s="49">
        <f t="shared" si="12"/>
        <v>0.5707744376</v>
      </c>
      <c r="Y64" s="49">
        <f t="shared" si="13"/>
        <v>0.05116464264</v>
      </c>
      <c r="Z64" s="32" t="str">
        <f t="shared" si="14"/>
        <v>Milton</v>
      </c>
      <c r="AA64" s="50" t="s">
        <v>77</v>
      </c>
      <c r="AB64" s="38">
        <v>6910.0</v>
      </c>
      <c r="AC64" s="48">
        <f t="shared" si="17"/>
        <v>1132</v>
      </c>
      <c r="AD64" s="51">
        <f t="shared" si="18"/>
        <v>0.8361794501</v>
      </c>
    </row>
    <row r="65">
      <c r="A65" s="24"/>
      <c r="B65" s="46" t="s">
        <v>2259</v>
      </c>
      <c r="C65" s="47"/>
      <c r="D65" s="38">
        <v>586.0</v>
      </c>
      <c r="E65" s="38">
        <v>403.0</v>
      </c>
      <c r="F65" s="38">
        <v>64.0</v>
      </c>
      <c r="G65" s="38">
        <v>66.0</v>
      </c>
      <c r="H65" s="38">
        <v>51.0</v>
      </c>
      <c r="I65" s="48">
        <f t="shared" si="3"/>
        <v>1053</v>
      </c>
      <c r="J65" s="48">
        <f t="shared" si="4"/>
        <v>1170</v>
      </c>
      <c r="K65" s="49">
        <f t="shared" si="5"/>
        <v>0.5565052232</v>
      </c>
      <c r="L65" s="49">
        <f t="shared" si="6"/>
        <v>0.3827160494</v>
      </c>
      <c r="M65" s="49">
        <f t="shared" si="7"/>
        <v>0.06077872745</v>
      </c>
      <c r="N65" s="32" t="str">
        <f t="shared" si="8"/>
        <v>Jânio</v>
      </c>
      <c r="O65" s="50" t="s">
        <v>77</v>
      </c>
      <c r="P65" s="38">
        <v>397.0</v>
      </c>
      <c r="Q65" s="38">
        <v>541.0</v>
      </c>
      <c r="R65" s="38">
        <v>44.0</v>
      </c>
      <c r="S65" s="38">
        <v>165.0</v>
      </c>
      <c r="T65" s="38">
        <v>23.0</v>
      </c>
      <c r="U65" s="48">
        <f t="shared" si="9"/>
        <v>982</v>
      </c>
      <c r="V65" s="48">
        <f t="shared" si="10"/>
        <v>1170</v>
      </c>
      <c r="W65" s="49">
        <f t="shared" si="11"/>
        <v>0.4042769857</v>
      </c>
      <c r="X65" s="49">
        <f t="shared" si="12"/>
        <v>0.5509164969</v>
      </c>
      <c r="Y65" s="49">
        <f t="shared" si="13"/>
        <v>0.04480651731</v>
      </c>
      <c r="Z65" s="32" t="str">
        <f t="shared" si="14"/>
        <v>Milton</v>
      </c>
      <c r="AA65" s="50" t="s">
        <v>77</v>
      </c>
      <c r="AB65" s="38">
        <v>1305.0</v>
      </c>
      <c r="AC65" s="48">
        <f t="shared" si="17"/>
        <v>135</v>
      </c>
      <c r="AD65" s="51">
        <f t="shared" si="18"/>
        <v>0.8965517241</v>
      </c>
    </row>
    <row r="66">
      <c r="A66" s="61" t="s">
        <v>193</v>
      </c>
      <c r="B66" s="46" t="s">
        <v>2608</v>
      </c>
      <c r="C66" s="47"/>
      <c r="D66" s="38">
        <v>6159.0</v>
      </c>
      <c r="E66" s="38">
        <v>6226.0</v>
      </c>
      <c r="F66" s="38">
        <v>733.0</v>
      </c>
      <c r="G66" s="38">
        <v>657.0</v>
      </c>
      <c r="H66" s="38">
        <v>494.0</v>
      </c>
      <c r="I66" s="48">
        <f t="shared" si="3"/>
        <v>13118</v>
      </c>
      <c r="J66" s="48">
        <f t="shared" si="4"/>
        <v>14269</v>
      </c>
      <c r="K66" s="49">
        <f t="shared" si="5"/>
        <v>0.4695075469</v>
      </c>
      <c r="L66" s="49">
        <f t="shared" si="6"/>
        <v>0.4746150328</v>
      </c>
      <c r="M66" s="49">
        <f t="shared" si="7"/>
        <v>0.05587742034</v>
      </c>
      <c r="N66" s="32" t="str">
        <f t="shared" si="8"/>
        <v>Mal. Lott</v>
      </c>
      <c r="O66" s="50" t="s">
        <v>77</v>
      </c>
      <c r="P66" s="38">
        <v>5391.0</v>
      </c>
      <c r="Q66" s="38">
        <v>6083.0</v>
      </c>
      <c r="R66" s="38">
        <v>1110.0</v>
      </c>
      <c r="S66" s="55">
        <v>1221.0</v>
      </c>
      <c r="T66" s="38">
        <v>464.0</v>
      </c>
      <c r="U66" s="48">
        <f t="shared" si="9"/>
        <v>12584</v>
      </c>
      <c r="V66" s="114">
        <f t="shared" si="10"/>
        <v>14269</v>
      </c>
      <c r="W66" s="49">
        <f t="shared" si="11"/>
        <v>0.4284011443</v>
      </c>
      <c r="X66" s="49">
        <f t="shared" si="12"/>
        <v>0.4833916084</v>
      </c>
      <c r="Y66" s="49">
        <f t="shared" si="13"/>
        <v>0.0882072473</v>
      </c>
      <c r="Z66" s="32" t="str">
        <f t="shared" si="14"/>
        <v>Milton</v>
      </c>
      <c r="AA66" s="50" t="s">
        <v>77</v>
      </c>
      <c r="AB66" s="38">
        <v>16572.0</v>
      </c>
      <c r="AC66" s="48">
        <f t="shared" si="17"/>
        <v>2303</v>
      </c>
      <c r="AD66" s="51">
        <f t="shared" si="18"/>
        <v>0.8610306541</v>
      </c>
    </row>
    <row r="67">
      <c r="A67" s="23"/>
      <c r="B67" s="46" t="s">
        <v>2609</v>
      </c>
      <c r="C67" s="47"/>
      <c r="D67" s="38">
        <v>596.0</v>
      </c>
      <c r="E67" s="38">
        <v>928.0</v>
      </c>
      <c r="F67" s="38">
        <v>72.0</v>
      </c>
      <c r="G67" s="38">
        <v>102.0</v>
      </c>
      <c r="H67" s="38">
        <v>65.0</v>
      </c>
      <c r="I67" s="48">
        <f t="shared" si="3"/>
        <v>1596</v>
      </c>
      <c r="J67" s="48">
        <f t="shared" si="4"/>
        <v>1763</v>
      </c>
      <c r="K67" s="49">
        <f t="shared" si="5"/>
        <v>0.373433584</v>
      </c>
      <c r="L67" s="49">
        <f t="shared" si="6"/>
        <v>0.5814536341</v>
      </c>
      <c r="M67" s="49">
        <f t="shared" si="7"/>
        <v>0.04511278195</v>
      </c>
      <c r="N67" s="32" t="str">
        <f t="shared" si="8"/>
        <v>Mal. Lott</v>
      </c>
      <c r="O67" s="50" t="s">
        <v>77</v>
      </c>
      <c r="P67" s="38">
        <v>856.0</v>
      </c>
      <c r="Q67" s="38">
        <v>558.0</v>
      </c>
      <c r="R67" s="38">
        <v>92.0</v>
      </c>
      <c r="S67" s="38">
        <v>217.0</v>
      </c>
      <c r="T67" s="38">
        <v>40.0</v>
      </c>
      <c r="U67" s="48">
        <f t="shared" si="9"/>
        <v>1506</v>
      </c>
      <c r="V67" s="48">
        <f t="shared" si="10"/>
        <v>1763</v>
      </c>
      <c r="W67" s="49">
        <f t="shared" si="11"/>
        <v>0.5683930943</v>
      </c>
      <c r="X67" s="49">
        <f t="shared" si="12"/>
        <v>0.3705179283</v>
      </c>
      <c r="Y67" s="49">
        <f t="shared" si="13"/>
        <v>0.06108897742</v>
      </c>
      <c r="Z67" s="32" t="str">
        <f t="shared" si="14"/>
        <v>Jango</v>
      </c>
      <c r="AA67" s="50" t="s">
        <v>77</v>
      </c>
      <c r="AB67" s="38">
        <v>2143.0</v>
      </c>
      <c r="AC67" s="48">
        <f t="shared" si="17"/>
        <v>380</v>
      </c>
      <c r="AD67" s="51">
        <f t="shared" si="18"/>
        <v>0.8226784881</v>
      </c>
    </row>
    <row r="68">
      <c r="A68" s="23"/>
      <c r="B68" s="46" t="s">
        <v>2610</v>
      </c>
      <c r="C68" s="47"/>
      <c r="D68" s="38">
        <v>1041.0</v>
      </c>
      <c r="E68" s="38">
        <v>941.0</v>
      </c>
      <c r="F68" s="38">
        <v>81.0</v>
      </c>
      <c r="G68" s="38">
        <v>76.0</v>
      </c>
      <c r="H68" s="38">
        <v>61.0</v>
      </c>
      <c r="I68" s="48">
        <f t="shared" si="3"/>
        <v>2063</v>
      </c>
      <c r="J68" s="48">
        <f t="shared" si="4"/>
        <v>2200</v>
      </c>
      <c r="K68" s="49">
        <f t="shared" si="5"/>
        <v>0.5046049443</v>
      </c>
      <c r="L68" s="49">
        <f t="shared" si="6"/>
        <v>0.4561318468</v>
      </c>
      <c r="M68" s="49">
        <f t="shared" si="7"/>
        <v>0.03926320892</v>
      </c>
      <c r="N68" s="32" t="str">
        <f t="shared" si="8"/>
        <v>Jânio</v>
      </c>
      <c r="O68" s="50" t="s">
        <v>77</v>
      </c>
      <c r="P68" s="38">
        <v>939.0</v>
      </c>
      <c r="Q68" s="38">
        <v>993.0</v>
      </c>
      <c r="R68" s="38">
        <v>86.0</v>
      </c>
      <c r="S68" s="38">
        <v>140.0</v>
      </c>
      <c r="T68" s="38">
        <v>42.0</v>
      </c>
      <c r="U68" s="48">
        <f t="shared" si="9"/>
        <v>2018</v>
      </c>
      <c r="V68" s="48">
        <f t="shared" si="10"/>
        <v>2200</v>
      </c>
      <c r="W68" s="49">
        <f t="shared" si="11"/>
        <v>0.4653121903</v>
      </c>
      <c r="X68" s="49">
        <f t="shared" si="12"/>
        <v>0.4920713578</v>
      </c>
      <c r="Y68" s="49">
        <f t="shared" si="13"/>
        <v>0.04261645193</v>
      </c>
      <c r="Z68" s="32" t="str">
        <f t="shared" si="14"/>
        <v>Milton</v>
      </c>
      <c r="AA68" s="50" t="s">
        <v>77</v>
      </c>
      <c r="AB68" s="38">
        <v>2567.0</v>
      </c>
      <c r="AC68" s="48">
        <f t="shared" si="17"/>
        <v>367</v>
      </c>
      <c r="AD68" s="51">
        <f t="shared" si="18"/>
        <v>0.8570315543</v>
      </c>
    </row>
    <row r="69">
      <c r="A69" s="23"/>
      <c r="B69" s="46" t="s">
        <v>2611</v>
      </c>
      <c r="C69" s="47"/>
      <c r="D69" s="38">
        <v>186.0</v>
      </c>
      <c r="E69" s="38">
        <v>404.0</v>
      </c>
      <c r="F69" s="38">
        <v>44.0</v>
      </c>
      <c r="G69" s="38">
        <v>33.0</v>
      </c>
      <c r="H69" s="38">
        <v>33.0</v>
      </c>
      <c r="I69" s="48">
        <f t="shared" si="3"/>
        <v>634</v>
      </c>
      <c r="J69" s="48">
        <f t="shared" si="4"/>
        <v>700</v>
      </c>
      <c r="K69" s="49">
        <f t="shared" si="5"/>
        <v>0.2933753943</v>
      </c>
      <c r="L69" s="49">
        <f t="shared" si="6"/>
        <v>0.6372239748</v>
      </c>
      <c r="M69" s="49">
        <f t="shared" si="7"/>
        <v>0.06940063091</v>
      </c>
      <c r="N69" s="32" t="str">
        <f t="shared" si="8"/>
        <v>Mal. Lott</v>
      </c>
      <c r="O69" s="50" t="s">
        <v>77</v>
      </c>
      <c r="P69" s="38">
        <v>394.0</v>
      </c>
      <c r="Q69" s="38">
        <v>184.0</v>
      </c>
      <c r="R69" s="38">
        <v>37.0</v>
      </c>
      <c r="S69" s="38">
        <v>57.0</v>
      </c>
      <c r="T69" s="38">
        <v>28.0</v>
      </c>
      <c r="U69" s="48">
        <f t="shared" si="9"/>
        <v>615</v>
      </c>
      <c r="V69" s="48">
        <f t="shared" si="10"/>
        <v>700</v>
      </c>
      <c r="W69" s="49">
        <f t="shared" si="11"/>
        <v>0.6406504065</v>
      </c>
      <c r="X69" s="49">
        <f t="shared" si="12"/>
        <v>0.2991869919</v>
      </c>
      <c r="Y69" s="49">
        <f t="shared" si="13"/>
        <v>0.06016260163</v>
      </c>
      <c r="Z69" s="32" t="str">
        <f t="shared" si="14"/>
        <v>Jango</v>
      </c>
      <c r="AA69" s="50" t="s">
        <v>77</v>
      </c>
      <c r="AB69" s="38">
        <v>937.0</v>
      </c>
      <c r="AC69" s="48">
        <f t="shared" si="17"/>
        <v>237</v>
      </c>
      <c r="AD69" s="51">
        <f t="shared" si="18"/>
        <v>0.7470651014</v>
      </c>
    </row>
    <row r="70">
      <c r="A70" s="23"/>
      <c r="B70" s="46" t="s">
        <v>2612</v>
      </c>
      <c r="C70" s="47"/>
      <c r="D70" s="38">
        <v>175.0</v>
      </c>
      <c r="E70" s="38">
        <v>216.0</v>
      </c>
      <c r="F70" s="38">
        <v>35.0</v>
      </c>
      <c r="G70" s="38">
        <v>44.0</v>
      </c>
      <c r="H70" s="38">
        <v>21.0</v>
      </c>
      <c r="I70" s="48">
        <f t="shared" si="3"/>
        <v>426</v>
      </c>
      <c r="J70" s="48">
        <f t="shared" si="4"/>
        <v>491</v>
      </c>
      <c r="K70" s="49">
        <f t="shared" si="5"/>
        <v>0.4107981221</v>
      </c>
      <c r="L70" s="49">
        <f t="shared" si="6"/>
        <v>0.5070422535</v>
      </c>
      <c r="M70" s="49">
        <f t="shared" si="7"/>
        <v>0.08215962441</v>
      </c>
      <c r="N70" s="32" t="str">
        <f t="shared" si="8"/>
        <v>Mal. Lott</v>
      </c>
      <c r="O70" s="50" t="s">
        <v>77</v>
      </c>
      <c r="P70" s="38">
        <v>242.0</v>
      </c>
      <c r="Q70" s="38">
        <v>168.0</v>
      </c>
      <c r="R70" s="38">
        <v>29.0</v>
      </c>
      <c r="S70" s="38">
        <v>40.0</v>
      </c>
      <c r="T70" s="38">
        <v>12.0</v>
      </c>
      <c r="U70" s="48">
        <f t="shared" si="9"/>
        <v>439</v>
      </c>
      <c r="V70" s="48">
        <f t="shared" si="10"/>
        <v>491</v>
      </c>
      <c r="W70" s="49">
        <f t="shared" si="11"/>
        <v>0.5512528474</v>
      </c>
      <c r="X70" s="49">
        <f t="shared" si="12"/>
        <v>0.3826879271</v>
      </c>
      <c r="Y70" s="49">
        <f t="shared" si="13"/>
        <v>0.06605922551</v>
      </c>
      <c r="Z70" s="32" t="str">
        <f t="shared" si="14"/>
        <v>Jango</v>
      </c>
      <c r="AA70" s="50" t="s">
        <v>77</v>
      </c>
      <c r="AB70" s="38">
        <v>614.0</v>
      </c>
      <c r="AC70" s="48">
        <f t="shared" si="17"/>
        <v>123</v>
      </c>
      <c r="AD70" s="51">
        <f t="shared" si="18"/>
        <v>0.7996742671</v>
      </c>
    </row>
    <row r="71">
      <c r="A71" s="23"/>
      <c r="B71" s="46" t="s">
        <v>2613</v>
      </c>
      <c r="C71" s="47"/>
      <c r="D71" s="38">
        <v>538.0</v>
      </c>
      <c r="E71" s="38">
        <v>530.0</v>
      </c>
      <c r="F71" s="38">
        <v>70.0</v>
      </c>
      <c r="G71" s="38">
        <v>77.0</v>
      </c>
      <c r="H71" s="38">
        <v>50.0</v>
      </c>
      <c r="I71" s="48">
        <f t="shared" si="3"/>
        <v>1138</v>
      </c>
      <c r="J71" s="48">
        <f t="shared" si="4"/>
        <v>1265</v>
      </c>
      <c r="K71" s="49">
        <f t="shared" si="5"/>
        <v>0.4727592267</v>
      </c>
      <c r="L71" s="49">
        <f t="shared" si="6"/>
        <v>0.4657293497</v>
      </c>
      <c r="M71" s="49">
        <f t="shared" si="7"/>
        <v>0.06151142355</v>
      </c>
      <c r="N71" s="32" t="str">
        <f t="shared" si="8"/>
        <v>Jânio</v>
      </c>
      <c r="O71" s="50" t="s">
        <v>77</v>
      </c>
      <c r="P71" s="38">
        <v>503.0</v>
      </c>
      <c r="Q71" s="38">
        <v>496.0</v>
      </c>
      <c r="R71" s="38">
        <v>85.0</v>
      </c>
      <c r="S71" s="38">
        <v>137.0</v>
      </c>
      <c r="T71" s="38">
        <v>44.0</v>
      </c>
      <c r="U71" s="48">
        <f t="shared" si="9"/>
        <v>1084</v>
      </c>
      <c r="V71" s="48">
        <f t="shared" si="10"/>
        <v>1265</v>
      </c>
      <c r="W71" s="49">
        <f t="shared" si="11"/>
        <v>0.4640221402</v>
      </c>
      <c r="X71" s="49">
        <f t="shared" si="12"/>
        <v>0.4575645756</v>
      </c>
      <c r="Y71" s="49">
        <f t="shared" si="13"/>
        <v>0.07841328413</v>
      </c>
      <c r="Z71" s="32" t="str">
        <f t="shared" si="14"/>
        <v>Jango</v>
      </c>
      <c r="AA71" s="50" t="s">
        <v>77</v>
      </c>
      <c r="AB71" s="38">
        <v>1458.0</v>
      </c>
      <c r="AC71" s="48">
        <f t="shared" si="17"/>
        <v>193</v>
      </c>
      <c r="AD71" s="51">
        <f t="shared" si="18"/>
        <v>0.8676268861</v>
      </c>
    </row>
    <row r="72">
      <c r="A72" s="24"/>
      <c r="B72" s="46" t="s">
        <v>2614</v>
      </c>
      <c r="C72" s="47"/>
      <c r="D72" s="38">
        <v>729.0</v>
      </c>
      <c r="E72" s="38">
        <v>384.0</v>
      </c>
      <c r="F72" s="38">
        <v>34.0</v>
      </c>
      <c r="G72" s="38">
        <v>57.0</v>
      </c>
      <c r="H72" s="38">
        <v>41.0</v>
      </c>
      <c r="I72" s="48">
        <f t="shared" si="3"/>
        <v>1147</v>
      </c>
      <c r="J72" s="48">
        <f t="shared" si="4"/>
        <v>1245</v>
      </c>
      <c r="K72" s="49">
        <f t="shared" si="5"/>
        <v>0.6355710549</v>
      </c>
      <c r="L72" s="49">
        <f t="shared" si="6"/>
        <v>0.3347863993</v>
      </c>
      <c r="M72" s="49">
        <f t="shared" si="7"/>
        <v>0.02964254577</v>
      </c>
      <c r="N72" s="32" t="str">
        <f t="shared" si="8"/>
        <v>Jânio</v>
      </c>
      <c r="O72" s="50" t="s">
        <v>77</v>
      </c>
      <c r="P72" s="38">
        <v>373.0</v>
      </c>
      <c r="Q72" s="38">
        <v>688.0</v>
      </c>
      <c r="R72" s="38">
        <v>49.0</v>
      </c>
      <c r="S72" s="38">
        <v>106.0</v>
      </c>
      <c r="T72" s="38">
        <v>29.0</v>
      </c>
      <c r="U72" s="48">
        <f t="shared" si="9"/>
        <v>1110</v>
      </c>
      <c r="V72" s="48">
        <f t="shared" si="10"/>
        <v>1245</v>
      </c>
      <c r="W72" s="49">
        <f t="shared" si="11"/>
        <v>0.336036036</v>
      </c>
      <c r="X72" s="49">
        <f t="shared" si="12"/>
        <v>0.6198198198</v>
      </c>
      <c r="Y72" s="49">
        <f t="shared" si="13"/>
        <v>0.04414414414</v>
      </c>
      <c r="Z72" s="32" t="str">
        <f t="shared" si="14"/>
        <v>Milton</v>
      </c>
      <c r="AA72" s="50" t="s">
        <v>77</v>
      </c>
      <c r="AB72" s="38">
        <v>1445.0</v>
      </c>
      <c r="AC72" s="48">
        <f t="shared" si="17"/>
        <v>200</v>
      </c>
      <c r="AD72" s="51">
        <f t="shared" si="18"/>
        <v>0.8615916955</v>
      </c>
    </row>
    <row r="73">
      <c r="A73" s="61" t="s">
        <v>196</v>
      </c>
      <c r="B73" s="46" t="s">
        <v>2615</v>
      </c>
      <c r="C73" s="47"/>
      <c r="D73" s="38">
        <v>643.0</v>
      </c>
      <c r="E73" s="38">
        <v>1453.0</v>
      </c>
      <c r="F73" s="38">
        <v>256.0</v>
      </c>
      <c r="G73" s="38">
        <v>158.0</v>
      </c>
      <c r="H73" s="38">
        <v>149.0</v>
      </c>
      <c r="I73" s="48">
        <f t="shared" si="3"/>
        <v>2352</v>
      </c>
      <c r="J73" s="48">
        <f t="shared" si="4"/>
        <v>2659</v>
      </c>
      <c r="K73" s="49">
        <f t="shared" si="5"/>
        <v>0.2733843537</v>
      </c>
      <c r="L73" s="49">
        <f t="shared" si="6"/>
        <v>0.6177721088</v>
      </c>
      <c r="M73" s="49">
        <f t="shared" si="7"/>
        <v>0.1088435374</v>
      </c>
      <c r="N73" s="32" t="str">
        <f t="shared" si="8"/>
        <v>Mal. Lott</v>
      </c>
      <c r="O73" s="50" t="s">
        <v>77</v>
      </c>
      <c r="P73" s="38">
        <v>1428.0</v>
      </c>
      <c r="Q73" s="38">
        <v>648.0</v>
      </c>
      <c r="R73" s="38">
        <v>161.0</v>
      </c>
      <c r="S73" s="38">
        <v>301.0</v>
      </c>
      <c r="T73" s="38">
        <v>121.0</v>
      </c>
      <c r="U73" s="48">
        <f t="shared" si="9"/>
        <v>2237</v>
      </c>
      <c r="V73" s="48">
        <f t="shared" si="10"/>
        <v>2659</v>
      </c>
      <c r="W73" s="49">
        <f t="shared" si="11"/>
        <v>0.6383549397</v>
      </c>
      <c r="X73" s="49">
        <f t="shared" si="12"/>
        <v>0.2896736701</v>
      </c>
      <c r="Y73" s="49">
        <f t="shared" si="13"/>
        <v>0.07197139025</v>
      </c>
      <c r="Z73" s="32" t="str">
        <f t="shared" si="14"/>
        <v>Jango</v>
      </c>
      <c r="AA73" s="50" t="s">
        <v>77</v>
      </c>
      <c r="AB73" s="38">
        <v>2951.0</v>
      </c>
      <c r="AC73" s="48">
        <f t="shared" si="17"/>
        <v>292</v>
      </c>
      <c r="AD73" s="51">
        <f t="shared" si="18"/>
        <v>0.9010504914</v>
      </c>
    </row>
    <row r="74">
      <c r="A74" s="24"/>
      <c r="B74" s="46" t="s">
        <v>2616</v>
      </c>
      <c r="C74" s="47"/>
      <c r="D74" s="38">
        <v>392.0</v>
      </c>
      <c r="E74" s="38">
        <v>445.0</v>
      </c>
      <c r="F74" s="38">
        <v>48.0</v>
      </c>
      <c r="G74" s="38">
        <v>59.0</v>
      </c>
      <c r="H74" s="38">
        <v>62.0</v>
      </c>
      <c r="I74" s="48">
        <f t="shared" si="3"/>
        <v>885</v>
      </c>
      <c r="J74" s="48">
        <f t="shared" si="4"/>
        <v>1006</v>
      </c>
      <c r="K74" s="49">
        <f t="shared" si="5"/>
        <v>0.4429378531</v>
      </c>
      <c r="L74" s="49">
        <f t="shared" si="6"/>
        <v>0.5028248588</v>
      </c>
      <c r="M74" s="49">
        <f t="shared" si="7"/>
        <v>0.05423728814</v>
      </c>
      <c r="N74" s="32" t="str">
        <f t="shared" si="8"/>
        <v>Mal. Lott</v>
      </c>
      <c r="O74" s="50" t="s">
        <v>77</v>
      </c>
      <c r="P74" s="38">
        <v>417.0</v>
      </c>
      <c r="Q74" s="38">
        <v>368.0</v>
      </c>
      <c r="R74" s="38">
        <v>45.0</v>
      </c>
      <c r="S74" s="38">
        <v>152.0</v>
      </c>
      <c r="T74" s="38">
        <v>24.0</v>
      </c>
      <c r="U74" s="48">
        <f t="shared" si="9"/>
        <v>830</v>
      </c>
      <c r="V74" s="48">
        <f t="shared" si="10"/>
        <v>1006</v>
      </c>
      <c r="W74" s="49">
        <f t="shared" si="11"/>
        <v>0.5024096386</v>
      </c>
      <c r="X74" s="49">
        <f t="shared" si="12"/>
        <v>0.443373494</v>
      </c>
      <c r="Y74" s="49">
        <f t="shared" si="13"/>
        <v>0.05421686747</v>
      </c>
      <c r="Z74" s="32" t="str">
        <f t="shared" si="14"/>
        <v>Jango</v>
      </c>
      <c r="AA74" s="50" t="s">
        <v>77</v>
      </c>
      <c r="AB74" s="38">
        <v>1178.0</v>
      </c>
      <c r="AC74" s="48">
        <f t="shared" si="17"/>
        <v>172</v>
      </c>
      <c r="AD74" s="51">
        <f t="shared" si="18"/>
        <v>0.8539898132</v>
      </c>
    </row>
    <row r="75">
      <c r="A75" s="110" t="s">
        <v>198</v>
      </c>
      <c r="B75" s="46" t="s">
        <v>2617</v>
      </c>
      <c r="C75" s="47"/>
      <c r="D75" s="38">
        <v>21339.0</v>
      </c>
      <c r="E75" s="38">
        <v>22805.0</v>
      </c>
      <c r="F75" s="38">
        <v>9867.0</v>
      </c>
      <c r="G75" s="38">
        <v>1876.0</v>
      </c>
      <c r="H75" s="38">
        <v>2810.0</v>
      </c>
      <c r="I75" s="48">
        <f t="shared" si="3"/>
        <v>54011</v>
      </c>
      <c r="J75" s="48">
        <f t="shared" si="4"/>
        <v>58697</v>
      </c>
      <c r="K75" s="49">
        <f t="shared" si="5"/>
        <v>0.3950861861</v>
      </c>
      <c r="L75" s="49">
        <f t="shared" si="6"/>
        <v>0.4222288052</v>
      </c>
      <c r="M75" s="49">
        <f t="shared" si="7"/>
        <v>0.1826850086</v>
      </c>
      <c r="N75" s="32" t="str">
        <f t="shared" si="8"/>
        <v>Mal. Lott</v>
      </c>
      <c r="O75" s="50"/>
      <c r="P75" s="38">
        <v>19695.0</v>
      </c>
      <c r="Q75" s="38">
        <v>27226.0</v>
      </c>
      <c r="R75" s="38">
        <v>4963.0</v>
      </c>
      <c r="S75" s="38">
        <v>4188.0</v>
      </c>
      <c r="T75" s="38">
        <v>2625.0</v>
      </c>
      <c r="U75" s="48">
        <f t="shared" si="9"/>
        <v>51884</v>
      </c>
      <c r="V75" s="48">
        <f t="shared" si="10"/>
        <v>58697</v>
      </c>
      <c r="W75" s="49">
        <f t="shared" si="11"/>
        <v>0.3795967928</v>
      </c>
      <c r="X75" s="49">
        <f t="shared" si="12"/>
        <v>0.5247475137</v>
      </c>
      <c r="Y75" s="49">
        <f t="shared" si="13"/>
        <v>0.09565569347</v>
      </c>
      <c r="Z75" s="32" t="str">
        <f t="shared" si="14"/>
        <v>Milton</v>
      </c>
      <c r="AA75" s="50"/>
      <c r="AB75" s="38">
        <v>67345.0</v>
      </c>
      <c r="AC75" s="48">
        <f t="shared" si="17"/>
        <v>8648</v>
      </c>
      <c r="AD75" s="51">
        <f t="shared" si="18"/>
        <v>0.8715866063</v>
      </c>
    </row>
    <row r="76">
      <c r="A76" s="110" t="s">
        <v>202</v>
      </c>
      <c r="B76" s="46" t="s">
        <v>2618</v>
      </c>
      <c r="C76" s="47"/>
      <c r="D76" s="38">
        <v>21050.0</v>
      </c>
      <c r="E76" s="38">
        <v>23055.0</v>
      </c>
      <c r="F76" s="38">
        <v>11053.0</v>
      </c>
      <c r="G76" s="38">
        <v>2321.0</v>
      </c>
      <c r="H76" s="38">
        <v>3300.0</v>
      </c>
      <c r="I76" s="48">
        <f t="shared" si="3"/>
        <v>55158</v>
      </c>
      <c r="J76" s="48">
        <f t="shared" si="4"/>
        <v>60779</v>
      </c>
      <c r="K76" s="49">
        <f t="shared" si="5"/>
        <v>0.3816309511</v>
      </c>
      <c r="L76" s="49">
        <f t="shared" si="6"/>
        <v>0.4179810726</v>
      </c>
      <c r="M76" s="49">
        <f t="shared" si="7"/>
        <v>0.2003879764</v>
      </c>
      <c r="N76" s="32" t="str">
        <f t="shared" si="8"/>
        <v>Mal. Lott</v>
      </c>
      <c r="O76" s="50"/>
      <c r="P76" s="38">
        <v>21295.0</v>
      </c>
      <c r="Q76" s="38">
        <v>26897.0</v>
      </c>
      <c r="R76" s="38">
        <v>4630.0</v>
      </c>
      <c r="S76" s="38">
        <v>4623.0</v>
      </c>
      <c r="T76" s="38">
        <v>3334.0</v>
      </c>
      <c r="U76" s="48">
        <f t="shared" si="9"/>
        <v>52822</v>
      </c>
      <c r="V76" s="48">
        <f t="shared" si="10"/>
        <v>60779</v>
      </c>
      <c r="W76" s="49">
        <f t="shared" si="11"/>
        <v>0.4031464163</v>
      </c>
      <c r="X76" s="49">
        <f t="shared" si="12"/>
        <v>0.5092007118</v>
      </c>
      <c r="Y76" s="49">
        <f t="shared" si="13"/>
        <v>0.08765287191</v>
      </c>
      <c r="Z76" s="32" t="str">
        <f t="shared" si="14"/>
        <v>Milton</v>
      </c>
      <c r="AA76" s="50"/>
      <c r="AB76" s="38">
        <v>69100.0</v>
      </c>
      <c r="AC76" s="48">
        <f t="shared" si="17"/>
        <v>8321</v>
      </c>
      <c r="AD76" s="51">
        <f t="shared" si="18"/>
        <v>0.8795803184</v>
      </c>
    </row>
    <row r="77">
      <c r="A77" s="110" t="s">
        <v>205</v>
      </c>
      <c r="B77" s="46" t="s">
        <v>2619</v>
      </c>
      <c r="C77" s="47"/>
      <c r="D77" s="38">
        <v>30971.0</v>
      </c>
      <c r="E77" s="38">
        <v>24386.0</v>
      </c>
      <c r="F77" s="38">
        <v>6032.0</v>
      </c>
      <c r="G77" s="38">
        <v>1264.0</v>
      </c>
      <c r="H77" s="38">
        <v>1527.0</v>
      </c>
      <c r="I77" s="48">
        <f t="shared" si="3"/>
        <v>61389</v>
      </c>
      <c r="J77" s="48">
        <f t="shared" si="4"/>
        <v>64180</v>
      </c>
      <c r="K77" s="49">
        <f t="shared" si="5"/>
        <v>0.5045040642</v>
      </c>
      <c r="L77" s="49">
        <f t="shared" si="6"/>
        <v>0.3972372901</v>
      </c>
      <c r="M77" s="49">
        <f t="shared" si="7"/>
        <v>0.09825864569</v>
      </c>
      <c r="N77" s="32" t="str">
        <f t="shared" si="8"/>
        <v>Jânio</v>
      </c>
      <c r="O77" s="50"/>
      <c r="P77" s="38">
        <v>16616.0</v>
      </c>
      <c r="Q77" s="38">
        <v>38156.0</v>
      </c>
      <c r="R77" s="38">
        <v>5551.0</v>
      </c>
      <c r="S77" s="38">
        <v>2324.0</v>
      </c>
      <c r="T77" s="38">
        <v>1533.0</v>
      </c>
      <c r="U77" s="48">
        <f t="shared" si="9"/>
        <v>60323</v>
      </c>
      <c r="V77" s="48">
        <f t="shared" si="10"/>
        <v>64180</v>
      </c>
      <c r="W77" s="49">
        <f t="shared" si="11"/>
        <v>0.2754504915</v>
      </c>
      <c r="X77" s="49">
        <f t="shared" si="12"/>
        <v>0.6325282231</v>
      </c>
      <c r="Y77" s="49">
        <f t="shared" si="13"/>
        <v>0.09202128541</v>
      </c>
      <c r="Z77" s="32" t="str">
        <f t="shared" si="14"/>
        <v>Milton</v>
      </c>
      <c r="AA77" s="50"/>
      <c r="AB77" s="38">
        <v>72343.0</v>
      </c>
      <c r="AC77" s="48">
        <f t="shared" si="17"/>
        <v>8163</v>
      </c>
      <c r="AD77" s="51">
        <f t="shared" si="18"/>
        <v>0.8871625451</v>
      </c>
    </row>
    <row r="78">
      <c r="A78" s="110" t="s">
        <v>141</v>
      </c>
      <c r="B78" s="46" t="s">
        <v>2620</v>
      </c>
      <c r="C78" s="47"/>
      <c r="D78" s="38">
        <v>4301.0</v>
      </c>
      <c r="E78" s="38">
        <v>5243.0</v>
      </c>
      <c r="F78" s="38">
        <v>2955.0</v>
      </c>
      <c r="G78" s="38">
        <v>650.0</v>
      </c>
      <c r="H78" s="38">
        <v>865.0</v>
      </c>
      <c r="I78" s="48">
        <f t="shared" si="3"/>
        <v>12499</v>
      </c>
      <c r="J78" s="48">
        <f t="shared" si="4"/>
        <v>14014</v>
      </c>
      <c r="K78" s="49">
        <f t="shared" si="5"/>
        <v>0.3441075286</v>
      </c>
      <c r="L78" s="49">
        <f t="shared" si="6"/>
        <v>0.4194735579</v>
      </c>
      <c r="M78" s="49">
        <f t="shared" si="7"/>
        <v>0.2364189135</v>
      </c>
      <c r="N78" s="32" t="str">
        <f t="shared" si="8"/>
        <v>Mal. Lott</v>
      </c>
      <c r="O78" s="50"/>
      <c r="P78" s="38">
        <v>5130.0</v>
      </c>
      <c r="Q78" s="38">
        <v>5637.0</v>
      </c>
      <c r="R78" s="38">
        <v>1023.0</v>
      </c>
      <c r="S78" s="38">
        <v>1441.0</v>
      </c>
      <c r="T78" s="38">
        <v>783.0</v>
      </c>
      <c r="U78" s="48">
        <f t="shared" si="9"/>
        <v>11790</v>
      </c>
      <c r="V78" s="48">
        <f t="shared" si="10"/>
        <v>14014</v>
      </c>
      <c r="W78" s="49">
        <f t="shared" si="11"/>
        <v>0.4351145038</v>
      </c>
      <c r="X78" s="49">
        <f t="shared" si="12"/>
        <v>0.4781170483</v>
      </c>
      <c r="Y78" s="49">
        <f t="shared" si="13"/>
        <v>0.08676844784</v>
      </c>
      <c r="Z78" s="32" t="str">
        <f t="shared" si="14"/>
        <v>Milton</v>
      </c>
      <c r="AA78" s="50"/>
      <c r="AB78" s="38">
        <v>16629.0</v>
      </c>
      <c r="AC78" s="48">
        <f t="shared" si="17"/>
        <v>2615</v>
      </c>
      <c r="AD78" s="51">
        <f t="shared" si="18"/>
        <v>0.8427446028</v>
      </c>
    </row>
    <row r="79">
      <c r="A79" s="110" t="s">
        <v>77</v>
      </c>
      <c r="B79" s="46" t="s">
        <v>2621</v>
      </c>
      <c r="C79" s="47"/>
      <c r="D79" s="38">
        <v>77661.0</v>
      </c>
      <c r="E79" s="38">
        <v>75489.0</v>
      </c>
      <c r="F79" s="38">
        <v>29907.0</v>
      </c>
      <c r="G79" s="38">
        <v>6111.0</v>
      </c>
      <c r="H79" s="38">
        <v>8502.0</v>
      </c>
      <c r="I79" s="48">
        <f t="shared" si="3"/>
        <v>183057</v>
      </c>
      <c r="J79" s="48">
        <f t="shared" si="4"/>
        <v>197670</v>
      </c>
      <c r="K79" s="49">
        <f t="shared" si="5"/>
        <v>0.4242449073</v>
      </c>
      <c r="L79" s="49">
        <f t="shared" si="6"/>
        <v>0.4123797506</v>
      </c>
      <c r="M79" s="49">
        <f t="shared" si="7"/>
        <v>0.1633753421</v>
      </c>
      <c r="N79" s="32" t="str">
        <f t="shared" si="8"/>
        <v>Jânio</v>
      </c>
      <c r="O79" s="50" t="s">
        <v>77</v>
      </c>
      <c r="P79" s="38">
        <v>62736.0</v>
      </c>
      <c r="Q79" s="38">
        <v>97916.0</v>
      </c>
      <c r="R79" s="38">
        <v>16167.0</v>
      </c>
      <c r="S79" s="38">
        <v>12576.0</v>
      </c>
      <c r="T79" s="38">
        <v>8275.0</v>
      </c>
      <c r="U79" s="48">
        <f t="shared" si="9"/>
        <v>176819</v>
      </c>
      <c r="V79" s="48">
        <f t="shared" si="10"/>
        <v>197670</v>
      </c>
      <c r="W79" s="49">
        <f t="shared" si="11"/>
        <v>0.3548034996</v>
      </c>
      <c r="X79" s="49">
        <f t="shared" si="12"/>
        <v>0.5537640186</v>
      </c>
      <c r="Y79" s="49">
        <f t="shared" si="13"/>
        <v>0.0914324818</v>
      </c>
      <c r="Z79" s="32" t="str">
        <f t="shared" si="14"/>
        <v>Milton</v>
      </c>
      <c r="AA79" s="50" t="s">
        <v>77</v>
      </c>
      <c r="AB79" s="38">
        <v>225417.0</v>
      </c>
      <c r="AC79" s="48">
        <f t="shared" si="17"/>
        <v>27747</v>
      </c>
      <c r="AD79" s="51">
        <f t="shared" si="18"/>
        <v>0.8769081303</v>
      </c>
    </row>
    <row r="80">
      <c r="A80" s="61" t="s">
        <v>143</v>
      </c>
      <c r="B80" s="46" t="s">
        <v>2622</v>
      </c>
      <c r="C80" s="47"/>
      <c r="D80" s="38">
        <v>694.0</v>
      </c>
      <c r="E80" s="38">
        <v>1182.0</v>
      </c>
      <c r="F80" s="38">
        <v>217.0</v>
      </c>
      <c r="G80" s="48">
        <v>126.0</v>
      </c>
      <c r="H80" s="38">
        <v>167.0</v>
      </c>
      <c r="I80" s="48">
        <f t="shared" si="3"/>
        <v>2093</v>
      </c>
      <c r="J80" s="48">
        <f t="shared" si="4"/>
        <v>2386</v>
      </c>
      <c r="K80" s="49">
        <f t="shared" si="5"/>
        <v>0.331581462</v>
      </c>
      <c r="L80" s="49">
        <f t="shared" si="6"/>
        <v>0.5647396082</v>
      </c>
      <c r="M80" s="49">
        <f t="shared" si="7"/>
        <v>0.1036789298</v>
      </c>
      <c r="N80" s="32" t="str">
        <f t="shared" si="8"/>
        <v>Mal. Lott</v>
      </c>
      <c r="O80" s="50" t="s">
        <v>77</v>
      </c>
      <c r="P80" s="38">
        <v>1172.0</v>
      </c>
      <c r="Q80" s="38">
        <v>732.0</v>
      </c>
      <c r="R80" s="38">
        <v>85.0</v>
      </c>
      <c r="S80" s="38">
        <v>270.0</v>
      </c>
      <c r="T80" s="38">
        <v>127.0</v>
      </c>
      <c r="U80" s="48">
        <f t="shared" si="9"/>
        <v>1989</v>
      </c>
      <c r="V80" s="48">
        <f t="shared" si="10"/>
        <v>2386</v>
      </c>
      <c r="W80" s="49">
        <f t="shared" si="11"/>
        <v>0.5892408245</v>
      </c>
      <c r="X80" s="49">
        <f t="shared" si="12"/>
        <v>0.3680241327</v>
      </c>
      <c r="Y80" s="49">
        <f t="shared" si="13"/>
        <v>0.04273504274</v>
      </c>
      <c r="Z80" s="32" t="str">
        <f t="shared" si="14"/>
        <v>Jango</v>
      </c>
      <c r="AA80" s="50" t="s">
        <v>77</v>
      </c>
      <c r="AB80" s="38">
        <v>2767.0</v>
      </c>
      <c r="AC80" s="48">
        <f t="shared" si="17"/>
        <v>381</v>
      </c>
      <c r="AD80" s="51">
        <f t="shared" si="18"/>
        <v>0.8623057463</v>
      </c>
    </row>
    <row r="81">
      <c r="A81" s="24"/>
      <c r="B81" s="46" t="s">
        <v>2623</v>
      </c>
      <c r="C81" s="47"/>
      <c r="D81" s="38">
        <v>462.0</v>
      </c>
      <c r="E81" s="38">
        <v>534.0</v>
      </c>
      <c r="F81" s="38">
        <v>91.0</v>
      </c>
      <c r="G81" s="48">
        <v>75.0</v>
      </c>
      <c r="H81" s="38">
        <v>98.0</v>
      </c>
      <c r="I81" s="48">
        <f t="shared" si="3"/>
        <v>1087</v>
      </c>
      <c r="J81" s="48">
        <f t="shared" si="4"/>
        <v>1260</v>
      </c>
      <c r="K81" s="49">
        <f t="shared" si="5"/>
        <v>0.4250229991</v>
      </c>
      <c r="L81" s="49">
        <f t="shared" si="6"/>
        <v>0.4912603496</v>
      </c>
      <c r="M81" s="49">
        <f t="shared" si="7"/>
        <v>0.08371665133</v>
      </c>
      <c r="N81" s="32" t="str">
        <f t="shared" si="8"/>
        <v>Mal. Lott</v>
      </c>
      <c r="O81" s="50" t="s">
        <v>77</v>
      </c>
      <c r="P81" s="38">
        <v>496.0</v>
      </c>
      <c r="Q81" s="38">
        <v>457.0</v>
      </c>
      <c r="R81" s="38">
        <v>63.0</v>
      </c>
      <c r="S81" s="38">
        <v>170.0</v>
      </c>
      <c r="T81" s="38">
        <v>74.0</v>
      </c>
      <c r="U81" s="48">
        <f t="shared" si="9"/>
        <v>1016</v>
      </c>
      <c r="V81" s="48">
        <f t="shared" si="10"/>
        <v>1260</v>
      </c>
      <c r="W81" s="49">
        <f t="shared" si="11"/>
        <v>0.4881889764</v>
      </c>
      <c r="X81" s="49">
        <f t="shared" si="12"/>
        <v>0.4498031496</v>
      </c>
      <c r="Y81" s="49">
        <f t="shared" si="13"/>
        <v>0.06200787402</v>
      </c>
      <c r="Z81" s="32" t="str">
        <f t="shared" si="14"/>
        <v>Jango</v>
      </c>
      <c r="AA81" s="50" t="s">
        <v>77</v>
      </c>
      <c r="AB81" s="38">
        <v>1572.0</v>
      </c>
      <c r="AC81" s="48">
        <f t="shared" si="17"/>
        <v>312</v>
      </c>
      <c r="AD81" s="51">
        <f t="shared" si="18"/>
        <v>0.8015267176</v>
      </c>
    </row>
    <row r="82">
      <c r="A82" s="61" t="s">
        <v>145</v>
      </c>
      <c r="B82" s="46" t="s">
        <v>2624</v>
      </c>
      <c r="C82" s="47"/>
      <c r="D82" s="38">
        <v>1840.0</v>
      </c>
      <c r="E82" s="38">
        <v>1773.0</v>
      </c>
      <c r="F82" s="38">
        <v>488.0</v>
      </c>
      <c r="G82" s="48">
        <v>373.0</v>
      </c>
      <c r="H82" s="38">
        <v>345.0</v>
      </c>
      <c r="I82" s="48">
        <f t="shared" si="3"/>
        <v>4101</v>
      </c>
      <c r="J82" s="48">
        <f t="shared" si="4"/>
        <v>4819</v>
      </c>
      <c r="K82" s="49">
        <f t="shared" si="5"/>
        <v>0.4486710558</v>
      </c>
      <c r="L82" s="49">
        <f t="shared" si="6"/>
        <v>0.4323335772</v>
      </c>
      <c r="M82" s="49">
        <f t="shared" si="7"/>
        <v>0.118995367</v>
      </c>
      <c r="N82" s="32" t="str">
        <f t="shared" si="8"/>
        <v>Jânio</v>
      </c>
      <c r="O82" s="50" t="s">
        <v>77</v>
      </c>
      <c r="P82" s="38">
        <v>1769.0</v>
      </c>
      <c r="Q82" s="38">
        <v>1803.0</v>
      </c>
      <c r="R82" s="38">
        <v>245.0</v>
      </c>
      <c r="S82" s="38">
        <v>734.0</v>
      </c>
      <c r="T82" s="38">
        <v>268.0</v>
      </c>
      <c r="U82" s="48">
        <f t="shared" si="9"/>
        <v>3817</v>
      </c>
      <c r="V82" s="48">
        <f t="shared" si="10"/>
        <v>4819</v>
      </c>
      <c r="W82" s="49">
        <f t="shared" si="11"/>
        <v>0.4634529735</v>
      </c>
      <c r="X82" s="49">
        <f t="shared" si="12"/>
        <v>0.4723604925</v>
      </c>
      <c r="Y82" s="49">
        <f t="shared" si="13"/>
        <v>0.06418653393</v>
      </c>
      <c r="Z82" s="32" t="str">
        <f t="shared" si="14"/>
        <v>Milton</v>
      </c>
      <c r="AA82" s="50" t="s">
        <v>77</v>
      </c>
      <c r="AB82" s="38">
        <v>5566.0</v>
      </c>
      <c r="AC82" s="48">
        <f t="shared" si="17"/>
        <v>747</v>
      </c>
      <c r="AD82" s="51">
        <f t="shared" si="18"/>
        <v>0.8657923105</v>
      </c>
    </row>
    <row r="83">
      <c r="A83" s="24"/>
      <c r="B83" s="46" t="s">
        <v>2625</v>
      </c>
      <c r="C83" s="47"/>
      <c r="D83" s="38">
        <v>1383.0</v>
      </c>
      <c r="E83" s="38">
        <v>1383.0</v>
      </c>
      <c r="F83" s="38">
        <v>847.0</v>
      </c>
      <c r="G83" s="48">
        <v>349.0</v>
      </c>
      <c r="H83" s="38">
        <v>356.0</v>
      </c>
      <c r="I83" s="48">
        <f t="shared" si="3"/>
        <v>3613</v>
      </c>
      <c r="J83" s="48">
        <f t="shared" si="4"/>
        <v>4318</v>
      </c>
      <c r="K83" s="49">
        <f t="shared" si="5"/>
        <v>0.3827843897</v>
      </c>
      <c r="L83" s="49">
        <f t="shared" si="6"/>
        <v>0.3827843897</v>
      </c>
      <c r="M83" s="49">
        <f t="shared" si="7"/>
        <v>0.2344312206</v>
      </c>
      <c r="N83" s="32" t="str">
        <f t="shared" si="8"/>
        <v>Empate</v>
      </c>
      <c r="O83" s="50" t="s">
        <v>77</v>
      </c>
      <c r="P83" s="38">
        <v>1546.0</v>
      </c>
      <c r="Q83" s="38">
        <v>1564.0</v>
      </c>
      <c r="R83" s="38">
        <v>272.0</v>
      </c>
      <c r="S83" s="38">
        <v>630.0</v>
      </c>
      <c r="T83" s="38">
        <v>306.0</v>
      </c>
      <c r="U83" s="48">
        <f t="shared" si="9"/>
        <v>3382</v>
      </c>
      <c r="V83" s="48">
        <f t="shared" si="10"/>
        <v>4318</v>
      </c>
      <c r="W83" s="49">
        <f t="shared" si="11"/>
        <v>0.457125961</v>
      </c>
      <c r="X83" s="49">
        <f t="shared" si="12"/>
        <v>0.4624482555</v>
      </c>
      <c r="Y83" s="49">
        <f t="shared" si="13"/>
        <v>0.08042578356</v>
      </c>
      <c r="Z83" s="32" t="str">
        <f t="shared" si="14"/>
        <v>Milton</v>
      </c>
      <c r="AA83" s="50" t="s">
        <v>77</v>
      </c>
      <c r="AB83" s="38">
        <v>5369.0</v>
      </c>
      <c r="AC83" s="48">
        <f t="shared" si="17"/>
        <v>1051</v>
      </c>
      <c r="AD83" s="51">
        <f t="shared" si="18"/>
        <v>0.8042466009</v>
      </c>
    </row>
    <row r="84">
      <c r="A84" s="61" t="s">
        <v>207</v>
      </c>
      <c r="B84" s="46" t="s">
        <v>2626</v>
      </c>
      <c r="C84" s="47"/>
      <c r="D84" s="38">
        <v>1548.0</v>
      </c>
      <c r="E84" s="38">
        <v>1474.0</v>
      </c>
      <c r="F84" s="38">
        <v>193.0</v>
      </c>
      <c r="G84" s="48">
        <v>95.0</v>
      </c>
      <c r="H84" s="38">
        <v>127.0</v>
      </c>
      <c r="I84" s="48">
        <f t="shared" si="3"/>
        <v>3215</v>
      </c>
      <c r="J84" s="48">
        <f t="shared" si="4"/>
        <v>3437</v>
      </c>
      <c r="K84" s="49">
        <f t="shared" si="5"/>
        <v>0.4814930016</v>
      </c>
      <c r="L84" s="49">
        <f t="shared" si="6"/>
        <v>0.4584758942</v>
      </c>
      <c r="M84" s="49">
        <f t="shared" si="7"/>
        <v>0.0600311042</v>
      </c>
      <c r="N84" s="32" t="str">
        <f t="shared" si="8"/>
        <v>Jânio</v>
      </c>
      <c r="O84" s="50" t="s">
        <v>77</v>
      </c>
      <c r="P84" s="38">
        <v>1473.0</v>
      </c>
      <c r="Q84" s="38">
        <v>1442.0</v>
      </c>
      <c r="R84" s="38">
        <v>220.0</v>
      </c>
      <c r="S84" s="38">
        <v>222.0</v>
      </c>
      <c r="T84" s="38">
        <v>80.0</v>
      </c>
      <c r="U84" s="48">
        <f t="shared" si="9"/>
        <v>3135</v>
      </c>
      <c r="V84" s="48">
        <f t="shared" si="10"/>
        <v>3437</v>
      </c>
      <c r="W84" s="49">
        <f t="shared" si="11"/>
        <v>0.4698564593</v>
      </c>
      <c r="X84" s="49">
        <f t="shared" si="12"/>
        <v>0.4599681021</v>
      </c>
      <c r="Y84" s="49">
        <f t="shared" si="13"/>
        <v>0.0701754386</v>
      </c>
      <c r="Z84" s="32" t="str">
        <f t="shared" si="14"/>
        <v>Jango</v>
      </c>
      <c r="AA84" s="50" t="s">
        <v>77</v>
      </c>
      <c r="AB84" s="38">
        <v>3866.0</v>
      </c>
      <c r="AC84" s="48">
        <f t="shared" si="17"/>
        <v>429</v>
      </c>
      <c r="AD84" s="51">
        <f t="shared" si="18"/>
        <v>0.8890325918</v>
      </c>
    </row>
    <row r="85">
      <c r="A85" s="24"/>
      <c r="B85" s="46" t="s">
        <v>2627</v>
      </c>
      <c r="C85" s="47"/>
      <c r="D85" s="38">
        <v>181.0</v>
      </c>
      <c r="E85" s="38">
        <v>454.0</v>
      </c>
      <c r="F85" s="38">
        <v>37.0</v>
      </c>
      <c r="G85" s="48">
        <v>20.0</v>
      </c>
      <c r="H85" s="38">
        <v>14.0</v>
      </c>
      <c r="I85" s="48">
        <f t="shared" si="3"/>
        <v>672</v>
      </c>
      <c r="J85" s="48">
        <f t="shared" si="4"/>
        <v>706</v>
      </c>
      <c r="K85" s="49">
        <f t="shared" si="5"/>
        <v>0.2693452381</v>
      </c>
      <c r="L85" s="49">
        <f t="shared" si="6"/>
        <v>0.6755952381</v>
      </c>
      <c r="M85" s="49">
        <f t="shared" si="7"/>
        <v>0.05505952381</v>
      </c>
      <c r="N85" s="32" t="str">
        <f t="shared" si="8"/>
        <v>Mal. Lott</v>
      </c>
      <c r="O85" s="50" t="s">
        <v>77</v>
      </c>
      <c r="P85" s="38">
        <v>443.0</v>
      </c>
      <c r="Q85" s="38">
        <v>179.0</v>
      </c>
      <c r="R85" s="38">
        <v>29.0</v>
      </c>
      <c r="S85" s="38">
        <v>46.0</v>
      </c>
      <c r="T85" s="38">
        <v>9.0</v>
      </c>
      <c r="U85" s="48">
        <f t="shared" si="9"/>
        <v>651</v>
      </c>
      <c r="V85" s="48">
        <f t="shared" si="10"/>
        <v>706</v>
      </c>
      <c r="W85" s="49">
        <f t="shared" si="11"/>
        <v>0.6804915515</v>
      </c>
      <c r="X85" s="49">
        <f t="shared" si="12"/>
        <v>0.2749615975</v>
      </c>
      <c r="Y85" s="49">
        <f t="shared" si="13"/>
        <v>0.044546851</v>
      </c>
      <c r="Z85" s="32" t="str">
        <f t="shared" si="14"/>
        <v>Jango</v>
      </c>
      <c r="AA85" s="50" t="s">
        <v>77</v>
      </c>
      <c r="AB85" s="38">
        <v>789.0</v>
      </c>
      <c r="AC85" s="48">
        <f t="shared" si="17"/>
        <v>83</v>
      </c>
      <c r="AD85" s="51">
        <f t="shared" si="18"/>
        <v>0.8948035488</v>
      </c>
    </row>
    <row r="86">
      <c r="A86" s="61" t="s">
        <v>209</v>
      </c>
      <c r="B86" s="46" t="s">
        <v>2628</v>
      </c>
      <c r="C86" s="47"/>
      <c r="D86" s="38">
        <v>1354.0</v>
      </c>
      <c r="E86" s="38">
        <v>1024.0</v>
      </c>
      <c r="F86" s="38">
        <v>132.0</v>
      </c>
      <c r="G86" s="48">
        <v>147.0</v>
      </c>
      <c r="H86" s="38">
        <v>97.0</v>
      </c>
      <c r="I86" s="48">
        <f t="shared" si="3"/>
        <v>2510</v>
      </c>
      <c r="J86" s="48">
        <f t="shared" si="4"/>
        <v>2754</v>
      </c>
      <c r="K86" s="49">
        <f t="shared" si="5"/>
        <v>0.5394422311</v>
      </c>
      <c r="L86" s="49">
        <f t="shared" si="6"/>
        <v>0.4079681275</v>
      </c>
      <c r="M86" s="49">
        <f t="shared" si="7"/>
        <v>0.05258964143</v>
      </c>
      <c r="N86" s="32" t="str">
        <f t="shared" si="8"/>
        <v>Jânio</v>
      </c>
      <c r="O86" s="50" t="s">
        <v>77</v>
      </c>
      <c r="P86" s="38">
        <v>868.0</v>
      </c>
      <c r="Q86" s="38">
        <v>1348.0</v>
      </c>
      <c r="R86" s="38">
        <v>126.0</v>
      </c>
      <c r="S86" s="38">
        <v>330.0</v>
      </c>
      <c r="T86" s="38">
        <v>82.0</v>
      </c>
      <c r="U86" s="48">
        <f t="shared" si="9"/>
        <v>2342</v>
      </c>
      <c r="V86" s="48">
        <f t="shared" si="10"/>
        <v>2754</v>
      </c>
      <c r="W86" s="49">
        <f t="shared" si="11"/>
        <v>0.3706233988</v>
      </c>
      <c r="X86" s="49">
        <f t="shared" si="12"/>
        <v>0.5755764304</v>
      </c>
      <c r="Y86" s="49">
        <f t="shared" si="13"/>
        <v>0.05380017079</v>
      </c>
      <c r="Z86" s="32" t="str">
        <f t="shared" si="14"/>
        <v>Milton</v>
      </c>
      <c r="AA86" s="50" t="s">
        <v>77</v>
      </c>
      <c r="AB86" s="38">
        <v>3095.0</v>
      </c>
      <c r="AC86" s="48">
        <f t="shared" si="17"/>
        <v>341</v>
      </c>
      <c r="AD86" s="51">
        <f t="shared" si="18"/>
        <v>0.889822294</v>
      </c>
    </row>
    <row r="87">
      <c r="A87" s="23"/>
      <c r="B87" s="46" t="s">
        <v>2629</v>
      </c>
      <c r="C87" s="47"/>
      <c r="D87" s="38">
        <v>441.0</v>
      </c>
      <c r="E87" s="38">
        <v>371.0</v>
      </c>
      <c r="F87" s="38">
        <v>70.0</v>
      </c>
      <c r="G87" s="48">
        <v>39.0</v>
      </c>
      <c r="H87" s="38">
        <v>31.0</v>
      </c>
      <c r="I87" s="48">
        <f t="shared" si="3"/>
        <v>882</v>
      </c>
      <c r="J87" s="48">
        <f t="shared" si="4"/>
        <v>952</v>
      </c>
      <c r="K87" s="49">
        <f t="shared" si="5"/>
        <v>0.5</v>
      </c>
      <c r="L87" s="49">
        <f t="shared" si="6"/>
        <v>0.4206349206</v>
      </c>
      <c r="M87" s="49">
        <f t="shared" si="7"/>
        <v>0.07936507937</v>
      </c>
      <c r="N87" s="32" t="str">
        <f t="shared" si="8"/>
        <v>Jânio</v>
      </c>
      <c r="O87" s="50" t="s">
        <v>77</v>
      </c>
      <c r="P87" s="38">
        <v>370.0</v>
      </c>
      <c r="Q87" s="38">
        <v>456.0</v>
      </c>
      <c r="R87" s="38">
        <v>33.0</v>
      </c>
      <c r="S87" s="38">
        <v>76.0</v>
      </c>
      <c r="T87" s="38">
        <v>17.0</v>
      </c>
      <c r="U87" s="48">
        <f t="shared" si="9"/>
        <v>859</v>
      </c>
      <c r="V87" s="48">
        <f t="shared" si="10"/>
        <v>952</v>
      </c>
      <c r="W87" s="49">
        <f t="shared" si="11"/>
        <v>0.4307334109</v>
      </c>
      <c r="X87" s="49">
        <f t="shared" si="12"/>
        <v>0.5308498254</v>
      </c>
      <c r="Y87" s="49">
        <f t="shared" si="13"/>
        <v>0.03841676368</v>
      </c>
      <c r="Z87" s="32" t="str">
        <f t="shared" si="14"/>
        <v>Milton</v>
      </c>
      <c r="AA87" s="50" t="s">
        <v>77</v>
      </c>
      <c r="AB87" s="38">
        <v>1045.0</v>
      </c>
      <c r="AC87" s="48">
        <f t="shared" si="17"/>
        <v>93</v>
      </c>
      <c r="AD87" s="51">
        <f t="shared" si="18"/>
        <v>0.9110047847</v>
      </c>
    </row>
    <row r="88">
      <c r="A88" s="24"/>
      <c r="B88" s="46" t="s">
        <v>2630</v>
      </c>
      <c r="C88" s="47"/>
      <c r="D88" s="38">
        <v>572.0</v>
      </c>
      <c r="E88" s="38">
        <v>485.0</v>
      </c>
      <c r="F88" s="38">
        <v>63.0</v>
      </c>
      <c r="G88" s="48">
        <v>72.0</v>
      </c>
      <c r="H88" s="38">
        <v>58.0</v>
      </c>
      <c r="I88" s="48">
        <f t="shared" si="3"/>
        <v>1120</v>
      </c>
      <c r="J88" s="48">
        <f t="shared" si="4"/>
        <v>1250</v>
      </c>
      <c r="K88" s="49">
        <f t="shared" si="5"/>
        <v>0.5107142857</v>
      </c>
      <c r="L88" s="49">
        <f t="shared" si="6"/>
        <v>0.4330357143</v>
      </c>
      <c r="M88" s="49">
        <f t="shared" si="7"/>
        <v>0.05625</v>
      </c>
      <c r="N88" s="32" t="str">
        <f t="shared" si="8"/>
        <v>Jânio</v>
      </c>
      <c r="O88" s="50" t="s">
        <v>77</v>
      </c>
      <c r="P88" s="38">
        <v>513.0</v>
      </c>
      <c r="Q88" s="38">
        <v>491.0</v>
      </c>
      <c r="R88" s="38">
        <v>46.0</v>
      </c>
      <c r="S88" s="38">
        <v>139.0</v>
      </c>
      <c r="T88" s="38">
        <v>61.0</v>
      </c>
      <c r="U88" s="48">
        <f t="shared" si="9"/>
        <v>1050</v>
      </c>
      <c r="V88" s="48">
        <f t="shared" si="10"/>
        <v>1250</v>
      </c>
      <c r="W88" s="49">
        <f t="shared" si="11"/>
        <v>0.4885714286</v>
      </c>
      <c r="X88" s="49">
        <f t="shared" si="12"/>
        <v>0.4676190476</v>
      </c>
      <c r="Y88" s="49">
        <f t="shared" si="13"/>
        <v>0.04380952381</v>
      </c>
      <c r="Z88" s="32" t="str">
        <f t="shared" si="14"/>
        <v>Jango</v>
      </c>
      <c r="AA88" s="50" t="s">
        <v>77</v>
      </c>
      <c r="AB88" s="38">
        <v>1461.0</v>
      </c>
      <c r="AC88" s="48">
        <f t="shared" si="17"/>
        <v>211</v>
      </c>
      <c r="AD88" s="51">
        <f t="shared" si="18"/>
        <v>0.855578371</v>
      </c>
    </row>
    <row r="89">
      <c r="A89" s="110" t="s">
        <v>211</v>
      </c>
      <c r="B89" s="46" t="s">
        <v>2631</v>
      </c>
      <c r="C89" s="47"/>
      <c r="D89" s="38">
        <v>2145.0</v>
      </c>
      <c r="E89" s="38">
        <v>1391.0</v>
      </c>
      <c r="F89" s="38">
        <v>109.0</v>
      </c>
      <c r="G89" s="48">
        <v>210.0</v>
      </c>
      <c r="H89" s="38">
        <v>160.0</v>
      </c>
      <c r="I89" s="48">
        <f t="shared" si="3"/>
        <v>3645</v>
      </c>
      <c r="J89" s="48">
        <f t="shared" si="4"/>
        <v>4015</v>
      </c>
      <c r="K89" s="49">
        <f t="shared" si="5"/>
        <v>0.5884773663</v>
      </c>
      <c r="L89" s="49">
        <f t="shared" si="6"/>
        <v>0.3816186557</v>
      </c>
      <c r="M89" s="49">
        <f t="shared" si="7"/>
        <v>0.02990397805</v>
      </c>
      <c r="N89" s="32" t="str">
        <f t="shared" si="8"/>
        <v>Jânio</v>
      </c>
      <c r="O89" s="50" t="s">
        <v>77</v>
      </c>
      <c r="P89" s="38">
        <v>778.0</v>
      </c>
      <c r="Q89" s="38">
        <v>2560.0</v>
      </c>
      <c r="R89" s="38">
        <v>213.0</v>
      </c>
      <c r="S89" s="38">
        <v>365.0</v>
      </c>
      <c r="T89" s="38">
        <v>99.0</v>
      </c>
      <c r="U89" s="48">
        <f t="shared" si="9"/>
        <v>3551</v>
      </c>
      <c r="V89" s="48">
        <f t="shared" si="10"/>
        <v>4015</v>
      </c>
      <c r="W89" s="49">
        <f t="shared" si="11"/>
        <v>0.2190932132</v>
      </c>
      <c r="X89" s="49">
        <f t="shared" si="12"/>
        <v>0.7209236835</v>
      </c>
      <c r="Y89" s="49">
        <f t="shared" si="13"/>
        <v>0.05998310335</v>
      </c>
      <c r="Z89" s="32" t="str">
        <f t="shared" si="14"/>
        <v>Milton</v>
      </c>
      <c r="AA89" s="50" t="s">
        <v>77</v>
      </c>
      <c r="AB89" s="38">
        <v>4974.0</v>
      </c>
      <c r="AC89" s="48">
        <f t="shared" si="17"/>
        <v>959</v>
      </c>
      <c r="AD89" s="51">
        <f t="shared" si="18"/>
        <v>0.8071974266</v>
      </c>
    </row>
    <row r="90">
      <c r="A90" s="61" t="s">
        <v>213</v>
      </c>
      <c r="B90" s="46" t="s">
        <v>2632</v>
      </c>
      <c r="C90" s="47"/>
      <c r="D90" s="38">
        <v>2301.0</v>
      </c>
      <c r="E90" s="38">
        <v>1703.0</v>
      </c>
      <c r="F90" s="38">
        <v>183.0</v>
      </c>
      <c r="G90" s="48">
        <v>297.0</v>
      </c>
      <c r="H90" s="38">
        <v>172.0</v>
      </c>
      <c r="I90" s="48">
        <f t="shared" si="3"/>
        <v>4187</v>
      </c>
      <c r="J90" s="48">
        <f t="shared" si="4"/>
        <v>4656</v>
      </c>
      <c r="K90" s="49">
        <f t="shared" si="5"/>
        <v>0.5495581562</v>
      </c>
      <c r="L90" s="49">
        <f t="shared" si="6"/>
        <v>0.4067351326</v>
      </c>
      <c r="M90" s="49">
        <f t="shared" si="7"/>
        <v>0.04370671125</v>
      </c>
      <c r="N90" s="32" t="str">
        <f t="shared" si="8"/>
        <v>Jânio</v>
      </c>
      <c r="O90" s="50" t="s">
        <v>77</v>
      </c>
      <c r="P90" s="38">
        <v>1622.0</v>
      </c>
      <c r="Q90" s="38">
        <v>2313.0</v>
      </c>
      <c r="R90" s="38">
        <v>157.0</v>
      </c>
      <c r="S90" s="38">
        <v>440.0</v>
      </c>
      <c r="T90" s="38">
        <v>124.0</v>
      </c>
      <c r="U90" s="48">
        <f t="shared" si="9"/>
        <v>4092</v>
      </c>
      <c r="V90" s="48">
        <f t="shared" si="10"/>
        <v>4656</v>
      </c>
      <c r="W90" s="49">
        <f t="shared" si="11"/>
        <v>0.3963831867</v>
      </c>
      <c r="X90" s="49">
        <f t="shared" si="12"/>
        <v>0.5652492669</v>
      </c>
      <c r="Y90" s="49">
        <f t="shared" si="13"/>
        <v>0.03836754643</v>
      </c>
      <c r="Z90" s="32" t="str">
        <f t="shared" si="14"/>
        <v>Milton</v>
      </c>
      <c r="AA90" s="50" t="s">
        <v>77</v>
      </c>
      <c r="AB90" s="38">
        <v>5946.0</v>
      </c>
      <c r="AC90" s="48">
        <f t="shared" si="17"/>
        <v>1290</v>
      </c>
      <c r="AD90" s="51">
        <f t="shared" si="18"/>
        <v>0.7830474268</v>
      </c>
    </row>
    <row r="91">
      <c r="A91" s="23"/>
      <c r="B91" s="46" t="s">
        <v>2633</v>
      </c>
      <c r="C91" s="47"/>
      <c r="D91" s="38">
        <v>325.0</v>
      </c>
      <c r="E91" s="38">
        <v>295.0</v>
      </c>
      <c r="F91" s="38">
        <v>32.0</v>
      </c>
      <c r="G91" s="48">
        <v>47.0</v>
      </c>
      <c r="H91" s="38">
        <v>22.0</v>
      </c>
      <c r="I91" s="48">
        <f t="shared" si="3"/>
        <v>652</v>
      </c>
      <c r="J91" s="48">
        <f t="shared" si="4"/>
        <v>721</v>
      </c>
      <c r="K91" s="49">
        <f t="shared" si="5"/>
        <v>0.4984662577</v>
      </c>
      <c r="L91" s="49">
        <f t="shared" si="6"/>
        <v>0.4524539877</v>
      </c>
      <c r="M91" s="49">
        <f t="shared" si="7"/>
        <v>0.0490797546</v>
      </c>
      <c r="N91" s="32" t="str">
        <f t="shared" si="8"/>
        <v>Jânio</v>
      </c>
      <c r="O91" s="50" t="s">
        <v>77</v>
      </c>
      <c r="P91" s="38">
        <v>265.0</v>
      </c>
      <c r="Q91" s="38">
        <v>307.0</v>
      </c>
      <c r="R91" s="38">
        <v>32.0</v>
      </c>
      <c r="S91" s="38">
        <v>104.0</v>
      </c>
      <c r="T91" s="38">
        <v>13.0</v>
      </c>
      <c r="U91" s="48">
        <f t="shared" si="9"/>
        <v>604</v>
      </c>
      <c r="V91" s="48">
        <f t="shared" si="10"/>
        <v>721</v>
      </c>
      <c r="W91" s="49">
        <f t="shared" si="11"/>
        <v>0.4387417219</v>
      </c>
      <c r="X91" s="49">
        <f t="shared" si="12"/>
        <v>0.5082781457</v>
      </c>
      <c r="Y91" s="49">
        <f t="shared" si="13"/>
        <v>0.05298013245</v>
      </c>
      <c r="Z91" s="32" t="str">
        <f t="shared" si="14"/>
        <v>Milton</v>
      </c>
      <c r="AA91" s="50" t="s">
        <v>77</v>
      </c>
      <c r="AB91" s="38">
        <v>905.0</v>
      </c>
      <c r="AC91" s="48">
        <f t="shared" si="17"/>
        <v>184</v>
      </c>
      <c r="AD91" s="51">
        <f t="shared" si="18"/>
        <v>0.7966850829</v>
      </c>
    </row>
    <row r="92">
      <c r="A92" s="24"/>
      <c r="B92" s="46" t="s">
        <v>2634</v>
      </c>
      <c r="C92" s="47"/>
      <c r="D92" s="38">
        <v>439.0</v>
      </c>
      <c r="E92" s="38">
        <v>383.0</v>
      </c>
      <c r="F92" s="38">
        <v>57.0</v>
      </c>
      <c r="G92" s="48">
        <v>63.0</v>
      </c>
      <c r="H92" s="38">
        <v>33.0</v>
      </c>
      <c r="I92" s="48">
        <f t="shared" si="3"/>
        <v>879</v>
      </c>
      <c r="J92" s="48">
        <f t="shared" si="4"/>
        <v>975</v>
      </c>
      <c r="K92" s="49">
        <f t="shared" si="5"/>
        <v>0.4994311718</v>
      </c>
      <c r="L92" s="49">
        <f t="shared" si="6"/>
        <v>0.4357224118</v>
      </c>
      <c r="M92" s="49">
        <f t="shared" si="7"/>
        <v>0.06484641638</v>
      </c>
      <c r="N92" s="32" t="str">
        <f t="shared" si="8"/>
        <v>Jânio</v>
      </c>
      <c r="O92" s="50" t="s">
        <v>77</v>
      </c>
      <c r="P92" s="38">
        <v>337.0</v>
      </c>
      <c r="Q92" s="38">
        <v>447.0</v>
      </c>
      <c r="R92" s="38">
        <v>53.0</v>
      </c>
      <c r="S92" s="38">
        <v>111.0</v>
      </c>
      <c r="T92" s="38">
        <v>27.0</v>
      </c>
      <c r="U92" s="48">
        <f t="shared" si="9"/>
        <v>837</v>
      </c>
      <c r="V92" s="48">
        <f t="shared" si="10"/>
        <v>975</v>
      </c>
      <c r="W92" s="49">
        <f t="shared" si="11"/>
        <v>0.4026284349</v>
      </c>
      <c r="X92" s="49">
        <f t="shared" si="12"/>
        <v>0.5340501792</v>
      </c>
      <c r="Y92" s="49">
        <f t="shared" si="13"/>
        <v>0.0633213859</v>
      </c>
      <c r="Z92" s="32" t="str">
        <f t="shared" si="14"/>
        <v>Milton</v>
      </c>
      <c r="AA92" s="50" t="s">
        <v>77</v>
      </c>
      <c r="AB92" s="38">
        <v>1202.0</v>
      </c>
      <c r="AC92" s="48">
        <f t="shared" si="17"/>
        <v>227</v>
      </c>
      <c r="AD92" s="51">
        <f t="shared" si="18"/>
        <v>0.8111480865</v>
      </c>
    </row>
    <row r="93">
      <c r="A93" s="61" t="s">
        <v>215</v>
      </c>
      <c r="B93" s="46" t="s">
        <v>1853</v>
      </c>
      <c r="C93" s="47"/>
      <c r="D93" s="38">
        <v>1461.0</v>
      </c>
      <c r="E93" s="48">
        <v>836.0</v>
      </c>
      <c r="F93" s="38">
        <v>165.0</v>
      </c>
      <c r="G93" s="48">
        <v>193.0</v>
      </c>
      <c r="H93" s="38">
        <v>85.0</v>
      </c>
      <c r="I93" s="48">
        <f t="shared" si="3"/>
        <v>2462</v>
      </c>
      <c r="J93" s="48">
        <f t="shared" si="4"/>
        <v>2740</v>
      </c>
      <c r="K93" s="49">
        <f t="shared" si="5"/>
        <v>0.5934199838</v>
      </c>
      <c r="L93" s="49">
        <f t="shared" si="6"/>
        <v>0.3395613323</v>
      </c>
      <c r="M93" s="49">
        <f t="shared" si="7"/>
        <v>0.067018684</v>
      </c>
      <c r="N93" s="32" t="str">
        <f t="shared" si="8"/>
        <v>Jânio</v>
      </c>
      <c r="O93" s="50" t="s">
        <v>77</v>
      </c>
      <c r="P93" s="38">
        <v>744.0</v>
      </c>
      <c r="Q93" s="38">
        <v>1425.0</v>
      </c>
      <c r="R93" s="38">
        <v>106.0</v>
      </c>
      <c r="S93" s="38">
        <v>393.0</v>
      </c>
      <c r="T93" s="38">
        <v>72.0</v>
      </c>
      <c r="U93" s="48">
        <f t="shared" si="9"/>
        <v>2275</v>
      </c>
      <c r="V93" s="48">
        <f t="shared" si="10"/>
        <v>2740</v>
      </c>
      <c r="W93" s="49">
        <f t="shared" si="11"/>
        <v>0.327032967</v>
      </c>
      <c r="X93" s="49">
        <f t="shared" si="12"/>
        <v>0.6263736264</v>
      </c>
      <c r="Y93" s="49">
        <f t="shared" si="13"/>
        <v>0.04659340659</v>
      </c>
      <c r="Z93" s="32" t="str">
        <f t="shared" si="14"/>
        <v>Milton</v>
      </c>
      <c r="AA93" s="50" t="s">
        <v>77</v>
      </c>
      <c r="AB93" s="38">
        <v>3125.0</v>
      </c>
      <c r="AC93" s="48">
        <f t="shared" si="17"/>
        <v>385</v>
      </c>
      <c r="AD93" s="51">
        <f t="shared" si="18"/>
        <v>0.8768</v>
      </c>
    </row>
    <row r="94">
      <c r="A94" s="23"/>
      <c r="B94" s="46" t="s">
        <v>2635</v>
      </c>
      <c r="C94" s="47"/>
      <c r="D94" s="38">
        <v>612.0</v>
      </c>
      <c r="E94" s="48">
        <v>337.0</v>
      </c>
      <c r="F94" s="38">
        <v>143.0</v>
      </c>
      <c r="G94" s="48">
        <v>158.0</v>
      </c>
      <c r="H94" s="38">
        <v>58.0</v>
      </c>
      <c r="I94" s="48">
        <f t="shared" si="3"/>
        <v>1092</v>
      </c>
      <c r="J94" s="48">
        <f t="shared" si="4"/>
        <v>1308</v>
      </c>
      <c r="K94" s="49">
        <f t="shared" si="5"/>
        <v>0.5604395604</v>
      </c>
      <c r="L94" s="49">
        <f t="shared" si="6"/>
        <v>0.3086080586</v>
      </c>
      <c r="M94" s="49">
        <f t="shared" si="7"/>
        <v>0.130952381</v>
      </c>
      <c r="N94" s="32" t="str">
        <f t="shared" si="8"/>
        <v>Jânio</v>
      </c>
      <c r="O94" s="50" t="s">
        <v>77</v>
      </c>
      <c r="P94" s="38">
        <v>299.0</v>
      </c>
      <c r="Q94" s="38">
        <v>708.0</v>
      </c>
      <c r="R94" s="38">
        <v>59.0</v>
      </c>
      <c r="S94" s="38">
        <v>210.0</v>
      </c>
      <c r="T94" s="38">
        <v>32.0</v>
      </c>
      <c r="U94" s="48">
        <f t="shared" si="9"/>
        <v>1066</v>
      </c>
      <c r="V94" s="48">
        <f t="shared" si="10"/>
        <v>1308</v>
      </c>
      <c r="W94" s="49">
        <f t="shared" si="11"/>
        <v>0.2804878049</v>
      </c>
      <c r="X94" s="49">
        <f t="shared" si="12"/>
        <v>0.6641651032</v>
      </c>
      <c r="Y94" s="49">
        <f t="shared" si="13"/>
        <v>0.05534709193</v>
      </c>
      <c r="Z94" s="32" t="str">
        <f t="shared" si="14"/>
        <v>Milton</v>
      </c>
      <c r="AA94" s="50" t="s">
        <v>77</v>
      </c>
      <c r="AB94" s="38">
        <v>1484.0</v>
      </c>
      <c r="AC94" s="48">
        <f t="shared" si="17"/>
        <v>176</v>
      </c>
      <c r="AD94" s="51">
        <f t="shared" si="18"/>
        <v>0.8814016173</v>
      </c>
    </row>
    <row r="95">
      <c r="A95" s="24"/>
      <c r="B95" s="46" t="s">
        <v>2636</v>
      </c>
      <c r="C95" s="47"/>
      <c r="D95" s="38">
        <v>1127.0</v>
      </c>
      <c r="E95" s="48">
        <v>895.0</v>
      </c>
      <c r="F95" s="38">
        <v>94.0</v>
      </c>
      <c r="G95" s="48">
        <v>181.0</v>
      </c>
      <c r="H95" s="38">
        <v>83.0</v>
      </c>
      <c r="I95" s="48">
        <f t="shared" si="3"/>
        <v>2116</v>
      </c>
      <c r="J95" s="48">
        <f t="shared" si="4"/>
        <v>2380</v>
      </c>
      <c r="K95" s="49">
        <f t="shared" si="5"/>
        <v>0.5326086957</v>
      </c>
      <c r="L95" s="49">
        <f t="shared" si="6"/>
        <v>0.4229678639</v>
      </c>
      <c r="M95" s="49">
        <f t="shared" si="7"/>
        <v>0.04442344045</v>
      </c>
      <c r="N95" s="32" t="str">
        <f t="shared" si="8"/>
        <v>Jânio</v>
      </c>
      <c r="O95" s="50" t="s">
        <v>77</v>
      </c>
      <c r="P95" s="38">
        <v>741.0</v>
      </c>
      <c r="Q95" s="38">
        <v>988.0</v>
      </c>
      <c r="R95" s="38">
        <v>64.0</v>
      </c>
      <c r="S95" s="38">
        <v>537.0</v>
      </c>
      <c r="T95" s="38">
        <v>50.0</v>
      </c>
      <c r="U95" s="48">
        <f t="shared" si="9"/>
        <v>1793</v>
      </c>
      <c r="V95" s="48">
        <f t="shared" si="10"/>
        <v>2380</v>
      </c>
      <c r="W95" s="49">
        <f t="shared" si="11"/>
        <v>0.4132738427</v>
      </c>
      <c r="X95" s="49">
        <f t="shared" si="12"/>
        <v>0.5510317903</v>
      </c>
      <c r="Y95" s="49">
        <f t="shared" si="13"/>
        <v>0.03569436698</v>
      </c>
      <c r="Z95" s="32" t="str">
        <f t="shared" si="14"/>
        <v>Milton</v>
      </c>
      <c r="AA95" s="50" t="s">
        <v>77</v>
      </c>
      <c r="AB95" s="38">
        <v>2538.0</v>
      </c>
      <c r="AC95" s="48">
        <f t="shared" si="17"/>
        <v>158</v>
      </c>
      <c r="AD95" s="51">
        <f t="shared" si="18"/>
        <v>0.9377462569</v>
      </c>
    </row>
    <row r="96">
      <c r="A96" s="61" t="s">
        <v>218</v>
      </c>
      <c r="B96" s="46" t="s">
        <v>2637</v>
      </c>
      <c r="C96" s="47"/>
      <c r="D96" s="38">
        <v>2012.0</v>
      </c>
      <c r="E96" s="48">
        <v>972.0</v>
      </c>
      <c r="F96" s="38">
        <v>466.0</v>
      </c>
      <c r="G96" s="38">
        <v>429.0</v>
      </c>
      <c r="H96" s="38">
        <v>283.0</v>
      </c>
      <c r="I96" s="48">
        <f t="shared" si="3"/>
        <v>3450</v>
      </c>
      <c r="J96" s="48">
        <f t="shared" si="4"/>
        <v>4162</v>
      </c>
      <c r="K96" s="49">
        <f t="shared" si="5"/>
        <v>0.5831884058</v>
      </c>
      <c r="L96" s="49">
        <f t="shared" si="6"/>
        <v>0.2817391304</v>
      </c>
      <c r="M96" s="49">
        <f t="shared" si="7"/>
        <v>0.1350724638</v>
      </c>
      <c r="N96" s="32" t="str">
        <f t="shared" si="8"/>
        <v>Jânio</v>
      </c>
      <c r="O96" s="50" t="s">
        <v>77</v>
      </c>
      <c r="P96" s="38">
        <v>815.0</v>
      </c>
      <c r="Q96" s="38">
        <v>1995.0</v>
      </c>
      <c r="R96" s="38">
        <v>306.0</v>
      </c>
      <c r="S96" s="38">
        <v>858.0</v>
      </c>
      <c r="T96" s="38">
        <v>188.0</v>
      </c>
      <c r="U96" s="48">
        <f t="shared" si="9"/>
        <v>3116</v>
      </c>
      <c r="V96" s="48">
        <f t="shared" si="10"/>
        <v>4162</v>
      </c>
      <c r="W96" s="49">
        <f t="shared" si="11"/>
        <v>0.2615532734</v>
      </c>
      <c r="X96" s="49">
        <f t="shared" si="12"/>
        <v>0.6402439024</v>
      </c>
      <c r="Y96" s="49">
        <f t="shared" si="13"/>
        <v>0.09820282413</v>
      </c>
      <c r="Z96" s="32" t="str">
        <f t="shared" si="14"/>
        <v>Milton</v>
      </c>
      <c r="AA96" s="50" t="s">
        <v>77</v>
      </c>
      <c r="AB96" s="38">
        <v>5015.0</v>
      </c>
      <c r="AC96" s="48">
        <f t="shared" si="17"/>
        <v>853</v>
      </c>
      <c r="AD96" s="51">
        <f t="shared" si="18"/>
        <v>0.8299102692</v>
      </c>
    </row>
    <row r="97">
      <c r="A97" s="24"/>
      <c r="B97" s="46" t="s">
        <v>2638</v>
      </c>
      <c r="C97" s="47"/>
      <c r="D97" s="38">
        <v>470.0</v>
      </c>
      <c r="E97" s="48">
        <v>351.0</v>
      </c>
      <c r="F97" s="38">
        <v>81.0</v>
      </c>
      <c r="G97" s="38">
        <v>120.0</v>
      </c>
      <c r="H97" s="38">
        <v>57.0</v>
      </c>
      <c r="I97" s="48">
        <f t="shared" si="3"/>
        <v>902</v>
      </c>
      <c r="J97" s="48">
        <f t="shared" si="4"/>
        <v>1079</v>
      </c>
      <c r="K97" s="49">
        <f t="shared" si="5"/>
        <v>0.5210643016</v>
      </c>
      <c r="L97" s="49">
        <f t="shared" si="6"/>
        <v>0.389135255</v>
      </c>
      <c r="M97" s="49">
        <f t="shared" si="7"/>
        <v>0.08980044346</v>
      </c>
      <c r="N97" s="32" t="str">
        <f t="shared" si="8"/>
        <v>Jânio</v>
      </c>
      <c r="O97" s="50" t="s">
        <v>77</v>
      </c>
      <c r="P97" s="38">
        <v>320.0</v>
      </c>
      <c r="Q97" s="38">
        <v>440.0</v>
      </c>
      <c r="R97" s="38">
        <v>28.0</v>
      </c>
      <c r="S97" s="38">
        <v>264.0</v>
      </c>
      <c r="T97" s="38">
        <v>27.0</v>
      </c>
      <c r="U97" s="48">
        <f t="shared" si="9"/>
        <v>788</v>
      </c>
      <c r="V97" s="48">
        <f t="shared" si="10"/>
        <v>1079</v>
      </c>
      <c r="W97" s="49">
        <f t="shared" si="11"/>
        <v>0.4060913706</v>
      </c>
      <c r="X97" s="49">
        <f t="shared" si="12"/>
        <v>0.5583756345</v>
      </c>
      <c r="Y97" s="49">
        <f t="shared" si="13"/>
        <v>0.03553299492</v>
      </c>
      <c r="Z97" s="32" t="str">
        <f t="shared" si="14"/>
        <v>Milton</v>
      </c>
      <c r="AA97" s="50" t="s">
        <v>77</v>
      </c>
      <c r="AB97" s="38">
        <v>1247.0</v>
      </c>
      <c r="AC97" s="48">
        <f t="shared" si="17"/>
        <v>168</v>
      </c>
      <c r="AD97" s="51">
        <f t="shared" si="18"/>
        <v>0.865276664</v>
      </c>
    </row>
    <row r="98">
      <c r="A98" s="110" t="s">
        <v>220</v>
      </c>
      <c r="B98" s="46" t="s">
        <v>2639</v>
      </c>
      <c r="C98" s="47"/>
      <c r="D98" s="38">
        <v>1202.0</v>
      </c>
      <c r="E98" s="48">
        <v>1181.0</v>
      </c>
      <c r="F98" s="38">
        <v>171.0</v>
      </c>
      <c r="G98" s="38">
        <v>114.0</v>
      </c>
      <c r="H98" s="38">
        <v>100.0</v>
      </c>
      <c r="I98" s="48">
        <f t="shared" si="3"/>
        <v>2554</v>
      </c>
      <c r="J98" s="48">
        <f t="shared" si="4"/>
        <v>2768</v>
      </c>
      <c r="K98" s="49">
        <f t="shared" si="5"/>
        <v>0.4706342991</v>
      </c>
      <c r="L98" s="49">
        <f t="shared" si="6"/>
        <v>0.4624119029</v>
      </c>
      <c r="M98" s="49">
        <f t="shared" si="7"/>
        <v>0.06695379796</v>
      </c>
      <c r="N98" s="32" t="str">
        <f t="shared" si="8"/>
        <v>Jânio</v>
      </c>
      <c r="O98" s="50" t="s">
        <v>77</v>
      </c>
      <c r="P98" s="38">
        <v>1170.0</v>
      </c>
      <c r="Q98" s="38">
        <v>1111.0</v>
      </c>
      <c r="R98" s="38">
        <v>114.0</v>
      </c>
      <c r="S98" s="38">
        <v>324.0</v>
      </c>
      <c r="T98" s="38">
        <v>49.0</v>
      </c>
      <c r="U98" s="48">
        <f t="shared" si="9"/>
        <v>2395</v>
      </c>
      <c r="V98" s="48">
        <f t="shared" si="10"/>
        <v>2768</v>
      </c>
      <c r="W98" s="49">
        <f t="shared" si="11"/>
        <v>0.4885177453</v>
      </c>
      <c r="X98" s="49">
        <f t="shared" si="12"/>
        <v>0.4638830898</v>
      </c>
      <c r="Y98" s="49">
        <f t="shared" si="13"/>
        <v>0.04759916493</v>
      </c>
      <c r="Z98" s="32" t="str">
        <f t="shared" si="14"/>
        <v>Jango</v>
      </c>
      <c r="AA98" s="50" t="s">
        <v>77</v>
      </c>
      <c r="AB98" s="38">
        <v>3326.0</v>
      </c>
      <c r="AC98" s="48">
        <f t="shared" si="17"/>
        <v>558</v>
      </c>
      <c r="AD98" s="51">
        <f t="shared" si="18"/>
        <v>0.832230908</v>
      </c>
    </row>
    <row r="99">
      <c r="A99" s="110" t="s">
        <v>295</v>
      </c>
      <c r="B99" s="46" t="s">
        <v>2640</v>
      </c>
      <c r="C99" s="47"/>
      <c r="D99" s="38">
        <v>877.0</v>
      </c>
      <c r="E99" s="48">
        <v>566.0</v>
      </c>
      <c r="F99" s="38">
        <v>505.0</v>
      </c>
      <c r="G99" s="38">
        <v>192.0</v>
      </c>
      <c r="H99" s="38">
        <v>73.0</v>
      </c>
      <c r="I99" s="48">
        <f t="shared" si="3"/>
        <v>1948</v>
      </c>
      <c r="J99" s="48">
        <f t="shared" si="4"/>
        <v>2213</v>
      </c>
      <c r="K99" s="49">
        <f t="shared" si="5"/>
        <v>0.4502053388</v>
      </c>
      <c r="L99" s="49">
        <f t="shared" si="6"/>
        <v>0.2905544148</v>
      </c>
      <c r="M99" s="49">
        <f t="shared" si="7"/>
        <v>0.2592402464</v>
      </c>
      <c r="N99" s="32" t="str">
        <f t="shared" si="8"/>
        <v>Jânio</v>
      </c>
      <c r="O99" s="50" t="s">
        <v>77</v>
      </c>
      <c r="P99" s="38">
        <v>621.0</v>
      </c>
      <c r="Q99" s="38">
        <v>783.0</v>
      </c>
      <c r="R99" s="38">
        <v>115.0</v>
      </c>
      <c r="S99" s="38">
        <v>647.0</v>
      </c>
      <c r="T99" s="38">
        <v>47.0</v>
      </c>
      <c r="U99" s="48">
        <f t="shared" si="9"/>
        <v>1519</v>
      </c>
      <c r="V99" s="48">
        <f t="shared" si="10"/>
        <v>2213</v>
      </c>
      <c r="W99" s="49">
        <f t="shared" si="11"/>
        <v>0.4088215932</v>
      </c>
      <c r="X99" s="49">
        <f t="shared" si="12"/>
        <v>0.5154707044</v>
      </c>
      <c r="Y99" s="49">
        <f t="shared" si="13"/>
        <v>0.07570770244</v>
      </c>
      <c r="Z99" s="32" t="str">
        <f t="shared" si="14"/>
        <v>Milton</v>
      </c>
      <c r="AA99" s="50" t="s">
        <v>77</v>
      </c>
      <c r="AB99" s="38">
        <v>2570.0</v>
      </c>
      <c r="AC99" s="48">
        <f t="shared" si="17"/>
        <v>357</v>
      </c>
      <c r="AD99" s="51">
        <f t="shared" si="18"/>
        <v>0.8610894942</v>
      </c>
    </row>
    <row r="100">
      <c r="A100" s="110" t="s">
        <v>299</v>
      </c>
      <c r="B100" s="46" t="s">
        <v>2641</v>
      </c>
      <c r="C100" s="47"/>
      <c r="D100" s="38">
        <v>1404.0</v>
      </c>
      <c r="E100" s="48">
        <v>1221.0</v>
      </c>
      <c r="F100" s="38">
        <v>188.0</v>
      </c>
      <c r="G100" s="38">
        <v>194.0</v>
      </c>
      <c r="H100" s="38">
        <v>151.0</v>
      </c>
      <c r="I100" s="48">
        <f t="shared" si="3"/>
        <v>2813</v>
      </c>
      <c r="J100" s="48">
        <f t="shared" si="4"/>
        <v>3158</v>
      </c>
      <c r="K100" s="49">
        <f t="shared" si="5"/>
        <v>0.4991112691</v>
      </c>
      <c r="L100" s="49">
        <f t="shared" si="6"/>
        <v>0.4340561678</v>
      </c>
      <c r="M100" s="49">
        <f t="shared" si="7"/>
        <v>0.0668325631</v>
      </c>
      <c r="N100" s="32" t="str">
        <f t="shared" si="8"/>
        <v>Jânio</v>
      </c>
      <c r="O100" s="50" t="s">
        <v>77</v>
      </c>
      <c r="P100" s="55">
        <v>1023.0</v>
      </c>
      <c r="Q100" s="38">
        <v>1608.0</v>
      </c>
      <c r="R100" s="38">
        <v>139.0</v>
      </c>
      <c r="S100" s="38">
        <v>281.0</v>
      </c>
      <c r="T100" s="38">
        <v>107.0</v>
      </c>
      <c r="U100" s="48">
        <f t="shared" si="9"/>
        <v>2770</v>
      </c>
      <c r="V100" s="114">
        <f t="shared" si="10"/>
        <v>3158</v>
      </c>
      <c r="W100" s="49">
        <f t="shared" si="11"/>
        <v>0.3693140794</v>
      </c>
      <c r="X100" s="49">
        <f t="shared" si="12"/>
        <v>0.5805054152</v>
      </c>
      <c r="Y100" s="49">
        <f t="shared" si="13"/>
        <v>0.05018050542</v>
      </c>
      <c r="Z100" s="32" t="str">
        <f t="shared" si="14"/>
        <v>Milton</v>
      </c>
      <c r="AA100" s="50" t="s">
        <v>77</v>
      </c>
      <c r="AB100" s="38">
        <v>6435.0</v>
      </c>
      <c r="AC100" s="48">
        <f t="shared" si="17"/>
        <v>3277</v>
      </c>
      <c r="AD100" s="51">
        <f t="shared" si="18"/>
        <v>0.4907536908</v>
      </c>
    </row>
    <row r="101">
      <c r="A101" s="110" t="s">
        <v>302</v>
      </c>
      <c r="B101" s="46" t="s">
        <v>2642</v>
      </c>
      <c r="C101" s="47"/>
      <c r="D101" s="38">
        <v>1651.0</v>
      </c>
      <c r="E101" s="48">
        <v>1143.0</v>
      </c>
      <c r="F101" s="38">
        <v>696.0</v>
      </c>
      <c r="G101" s="38">
        <v>95.0</v>
      </c>
      <c r="H101" s="38">
        <v>79.0</v>
      </c>
      <c r="I101" s="48">
        <f t="shared" si="3"/>
        <v>3490</v>
      </c>
      <c r="J101" s="48">
        <f t="shared" si="4"/>
        <v>3664</v>
      </c>
      <c r="K101" s="49">
        <f t="shared" si="5"/>
        <v>0.4730659026</v>
      </c>
      <c r="L101" s="49">
        <f t="shared" si="6"/>
        <v>0.3275071633</v>
      </c>
      <c r="M101" s="49">
        <f t="shared" si="7"/>
        <v>0.1994269341</v>
      </c>
      <c r="N101" s="32" t="str">
        <f t="shared" si="8"/>
        <v>Jânio</v>
      </c>
      <c r="O101" s="50" t="s">
        <v>77</v>
      </c>
      <c r="P101" s="38">
        <v>1471.0</v>
      </c>
      <c r="Q101" s="38">
        <v>1626.0</v>
      </c>
      <c r="R101" s="38">
        <v>179.0</v>
      </c>
      <c r="S101" s="38">
        <v>342.0</v>
      </c>
      <c r="T101" s="38">
        <v>46.0</v>
      </c>
      <c r="U101" s="48">
        <f t="shared" si="9"/>
        <v>3276</v>
      </c>
      <c r="V101" s="48">
        <f t="shared" si="10"/>
        <v>3664</v>
      </c>
      <c r="W101" s="49">
        <f t="shared" si="11"/>
        <v>0.449023199</v>
      </c>
      <c r="X101" s="49">
        <f t="shared" si="12"/>
        <v>0.4963369963</v>
      </c>
      <c r="Y101" s="49">
        <f t="shared" si="13"/>
        <v>0.05463980464</v>
      </c>
      <c r="Z101" s="32" t="str">
        <f t="shared" si="14"/>
        <v>Milton</v>
      </c>
      <c r="AA101" s="50" t="s">
        <v>77</v>
      </c>
      <c r="AB101" s="38">
        <v>4480.0</v>
      </c>
      <c r="AC101" s="48">
        <f t="shared" si="17"/>
        <v>816</v>
      </c>
      <c r="AD101" s="51">
        <f t="shared" si="18"/>
        <v>0.8178571429</v>
      </c>
    </row>
    <row r="102">
      <c r="A102" s="110" t="s">
        <v>304</v>
      </c>
      <c r="B102" s="46" t="s">
        <v>2643</v>
      </c>
      <c r="C102" s="47"/>
      <c r="D102" s="38">
        <v>1151.0</v>
      </c>
      <c r="E102" s="48">
        <v>1456.0</v>
      </c>
      <c r="F102" s="38">
        <v>247.0</v>
      </c>
      <c r="G102" s="38">
        <v>218.0</v>
      </c>
      <c r="H102" s="38">
        <v>231.0</v>
      </c>
      <c r="I102" s="48">
        <f t="shared" si="3"/>
        <v>2854</v>
      </c>
      <c r="J102" s="48">
        <f t="shared" si="4"/>
        <v>3303</v>
      </c>
      <c r="K102" s="49">
        <f t="shared" si="5"/>
        <v>0.403293623</v>
      </c>
      <c r="L102" s="49">
        <f t="shared" si="6"/>
        <v>0.5101611773</v>
      </c>
      <c r="M102" s="49">
        <f t="shared" si="7"/>
        <v>0.08654519972</v>
      </c>
      <c r="N102" s="32" t="str">
        <f t="shared" si="8"/>
        <v>Mal. Lott</v>
      </c>
      <c r="O102" s="50" t="s">
        <v>77</v>
      </c>
      <c r="P102" s="38">
        <v>1424.0</v>
      </c>
      <c r="Q102" s="38">
        <v>1098.0</v>
      </c>
      <c r="R102" s="38">
        <v>169.0</v>
      </c>
      <c r="S102" s="38">
        <v>451.0</v>
      </c>
      <c r="T102" s="38">
        <v>161.0</v>
      </c>
      <c r="U102" s="48">
        <f t="shared" si="9"/>
        <v>2691</v>
      </c>
      <c r="V102" s="48">
        <f t="shared" si="10"/>
        <v>3303</v>
      </c>
      <c r="W102" s="49">
        <f t="shared" si="11"/>
        <v>0.5291713118</v>
      </c>
      <c r="X102" s="49">
        <f t="shared" si="12"/>
        <v>0.4080267559</v>
      </c>
      <c r="Y102" s="49">
        <f t="shared" si="13"/>
        <v>0.06280193237</v>
      </c>
      <c r="Z102" s="32" t="str">
        <f t="shared" si="14"/>
        <v>Jango</v>
      </c>
      <c r="AA102" s="50" t="s">
        <v>77</v>
      </c>
      <c r="AB102" s="38">
        <v>3924.0</v>
      </c>
      <c r="AC102" s="48">
        <f t="shared" si="17"/>
        <v>621</v>
      </c>
      <c r="AD102" s="51">
        <f t="shared" si="18"/>
        <v>0.8417431193</v>
      </c>
    </row>
    <row r="103">
      <c r="A103" s="110" t="s">
        <v>308</v>
      </c>
      <c r="B103" s="46" t="s">
        <v>2644</v>
      </c>
      <c r="C103" s="47"/>
      <c r="D103" s="38">
        <v>1033.0</v>
      </c>
      <c r="E103" s="48">
        <v>696.0</v>
      </c>
      <c r="F103" s="38">
        <v>108.0</v>
      </c>
      <c r="G103" s="38">
        <v>66.0</v>
      </c>
      <c r="H103" s="38">
        <v>60.0</v>
      </c>
      <c r="I103" s="48">
        <f t="shared" si="3"/>
        <v>1837</v>
      </c>
      <c r="J103" s="48">
        <f t="shared" si="4"/>
        <v>1963</v>
      </c>
      <c r="K103" s="49">
        <f t="shared" si="5"/>
        <v>0.5623298857</v>
      </c>
      <c r="L103" s="49">
        <f t="shared" si="6"/>
        <v>0.3788786064</v>
      </c>
      <c r="M103" s="49">
        <f t="shared" si="7"/>
        <v>0.05879150789</v>
      </c>
      <c r="N103" s="32" t="str">
        <f t="shared" si="8"/>
        <v>Jânio</v>
      </c>
      <c r="O103" s="50" t="s">
        <v>77</v>
      </c>
      <c r="P103" s="38">
        <v>700.0</v>
      </c>
      <c r="Q103" s="38">
        <v>987.0</v>
      </c>
      <c r="R103" s="38">
        <v>35.0</v>
      </c>
      <c r="S103" s="38">
        <v>211.0</v>
      </c>
      <c r="T103" s="38">
        <v>30.0</v>
      </c>
      <c r="U103" s="48">
        <f t="shared" si="9"/>
        <v>1722</v>
      </c>
      <c r="V103" s="48">
        <f t="shared" si="10"/>
        <v>1963</v>
      </c>
      <c r="W103" s="49">
        <f t="shared" si="11"/>
        <v>0.406504065</v>
      </c>
      <c r="X103" s="49">
        <f t="shared" si="12"/>
        <v>0.5731707317</v>
      </c>
      <c r="Y103" s="49">
        <f t="shared" si="13"/>
        <v>0.02032520325</v>
      </c>
      <c r="Z103" s="32" t="str">
        <f t="shared" si="14"/>
        <v>Milton</v>
      </c>
      <c r="AA103" s="50" t="s">
        <v>77</v>
      </c>
      <c r="AB103" s="38">
        <v>2209.0</v>
      </c>
      <c r="AC103" s="48">
        <f t="shared" si="17"/>
        <v>246</v>
      </c>
      <c r="AD103" s="51">
        <f t="shared" si="18"/>
        <v>0.8886373925</v>
      </c>
    </row>
    <row r="104">
      <c r="A104" s="110" t="s">
        <v>312</v>
      </c>
      <c r="B104" s="46" t="s">
        <v>2645</v>
      </c>
      <c r="C104" s="47"/>
      <c r="D104" s="38">
        <v>729.0</v>
      </c>
      <c r="E104" s="48">
        <v>729.0</v>
      </c>
      <c r="F104" s="38">
        <v>135.0</v>
      </c>
      <c r="G104" s="38">
        <v>186.0</v>
      </c>
      <c r="H104" s="38">
        <v>141.0</v>
      </c>
      <c r="I104" s="48">
        <f t="shared" si="3"/>
        <v>1593</v>
      </c>
      <c r="J104" s="48">
        <f t="shared" si="4"/>
        <v>1920</v>
      </c>
      <c r="K104" s="49">
        <f t="shared" si="5"/>
        <v>0.4576271186</v>
      </c>
      <c r="L104" s="49">
        <f t="shared" si="6"/>
        <v>0.4576271186</v>
      </c>
      <c r="M104" s="49">
        <f t="shared" si="7"/>
        <v>0.08474576271</v>
      </c>
      <c r="N104" s="32" t="str">
        <f t="shared" si="8"/>
        <v>Empate</v>
      </c>
      <c r="O104" s="50" t="s">
        <v>77</v>
      </c>
      <c r="P104" s="38">
        <v>683.0</v>
      </c>
      <c r="Q104" s="38">
        <v>627.0</v>
      </c>
      <c r="R104" s="38">
        <v>172.0</v>
      </c>
      <c r="S104" s="38">
        <v>327.0</v>
      </c>
      <c r="T104" s="38">
        <v>111.0</v>
      </c>
      <c r="U104" s="48">
        <f t="shared" si="9"/>
        <v>1482</v>
      </c>
      <c r="V104" s="48">
        <f t="shared" si="10"/>
        <v>1920</v>
      </c>
      <c r="W104" s="49">
        <f t="shared" si="11"/>
        <v>0.4608636977</v>
      </c>
      <c r="X104" s="49">
        <f t="shared" si="12"/>
        <v>0.4230769231</v>
      </c>
      <c r="Y104" s="49">
        <f t="shared" si="13"/>
        <v>0.1160593792</v>
      </c>
      <c r="Z104" s="32" t="str">
        <f t="shared" si="14"/>
        <v>Jango</v>
      </c>
      <c r="AA104" s="50" t="s">
        <v>77</v>
      </c>
      <c r="AB104" s="38">
        <v>2638.0</v>
      </c>
      <c r="AC104" s="48">
        <f t="shared" si="17"/>
        <v>718</v>
      </c>
      <c r="AD104" s="51">
        <f t="shared" si="18"/>
        <v>0.7278241092</v>
      </c>
    </row>
    <row r="105">
      <c r="A105" s="61" t="s">
        <v>314</v>
      </c>
      <c r="B105" s="46" t="s">
        <v>2646</v>
      </c>
      <c r="C105" s="47"/>
      <c r="D105" s="38">
        <v>862.0</v>
      </c>
      <c r="E105" s="48">
        <v>429.0</v>
      </c>
      <c r="F105" s="38">
        <v>164.0</v>
      </c>
      <c r="G105" s="38">
        <v>79.0</v>
      </c>
      <c r="H105" s="38">
        <v>83.0</v>
      </c>
      <c r="I105" s="48">
        <f t="shared" si="3"/>
        <v>1455</v>
      </c>
      <c r="J105" s="48">
        <f t="shared" si="4"/>
        <v>1617</v>
      </c>
      <c r="K105" s="49">
        <f t="shared" si="5"/>
        <v>0.5924398625</v>
      </c>
      <c r="L105" s="49">
        <f t="shared" si="6"/>
        <v>0.2948453608</v>
      </c>
      <c r="M105" s="49">
        <f t="shared" si="7"/>
        <v>0.1127147766</v>
      </c>
      <c r="N105" s="32" t="str">
        <f t="shared" si="8"/>
        <v>Jânio</v>
      </c>
      <c r="O105" s="50" t="s">
        <v>77</v>
      </c>
      <c r="P105" s="38">
        <v>444.0</v>
      </c>
      <c r="Q105" s="38">
        <v>763.0</v>
      </c>
      <c r="R105" s="38">
        <v>86.0</v>
      </c>
      <c r="S105" s="38">
        <v>265.0</v>
      </c>
      <c r="T105" s="38">
        <v>59.0</v>
      </c>
      <c r="U105" s="48">
        <f t="shared" si="9"/>
        <v>1293</v>
      </c>
      <c r="V105" s="48">
        <f t="shared" si="10"/>
        <v>1617</v>
      </c>
      <c r="W105" s="49">
        <f t="shared" si="11"/>
        <v>0.343387471</v>
      </c>
      <c r="X105" s="49">
        <f t="shared" si="12"/>
        <v>0.5901005414</v>
      </c>
      <c r="Y105" s="49">
        <f t="shared" si="13"/>
        <v>0.06651198763</v>
      </c>
      <c r="Z105" s="32" t="str">
        <f t="shared" si="14"/>
        <v>Milton</v>
      </c>
      <c r="AA105" s="50" t="s">
        <v>77</v>
      </c>
      <c r="AB105" s="38">
        <v>1898.0</v>
      </c>
      <c r="AC105" s="48">
        <f t="shared" si="17"/>
        <v>281</v>
      </c>
      <c r="AD105" s="51">
        <f t="shared" si="18"/>
        <v>0.8519494204</v>
      </c>
    </row>
    <row r="106">
      <c r="A106" s="24"/>
      <c r="B106" s="46" t="s">
        <v>2647</v>
      </c>
      <c r="C106" s="47"/>
      <c r="D106" s="38">
        <v>330.0</v>
      </c>
      <c r="E106" s="48">
        <v>247.0</v>
      </c>
      <c r="F106" s="38">
        <v>144.0</v>
      </c>
      <c r="G106" s="38">
        <v>60.0</v>
      </c>
      <c r="H106" s="38">
        <v>53.0</v>
      </c>
      <c r="I106" s="48">
        <f t="shared" si="3"/>
        <v>721</v>
      </c>
      <c r="J106" s="48">
        <f t="shared" si="4"/>
        <v>834</v>
      </c>
      <c r="K106" s="49">
        <f t="shared" si="5"/>
        <v>0.4576976422</v>
      </c>
      <c r="L106" s="49">
        <f t="shared" si="6"/>
        <v>0.3425797503</v>
      </c>
      <c r="M106" s="49">
        <f t="shared" si="7"/>
        <v>0.1997226075</v>
      </c>
      <c r="N106" s="32" t="str">
        <f t="shared" si="8"/>
        <v>Jânio</v>
      </c>
      <c r="O106" s="50" t="s">
        <v>77</v>
      </c>
      <c r="P106" s="38">
        <v>276.0</v>
      </c>
      <c r="Q106" s="38">
        <v>309.0</v>
      </c>
      <c r="R106" s="38">
        <v>40.0</v>
      </c>
      <c r="S106" s="38">
        <v>167.0</v>
      </c>
      <c r="T106" s="38">
        <v>42.0</v>
      </c>
      <c r="U106" s="48">
        <f t="shared" si="9"/>
        <v>625</v>
      </c>
      <c r="V106" s="48">
        <f t="shared" si="10"/>
        <v>834</v>
      </c>
      <c r="W106" s="49">
        <f t="shared" si="11"/>
        <v>0.4416</v>
      </c>
      <c r="X106" s="49">
        <f t="shared" si="12"/>
        <v>0.4944</v>
      </c>
      <c r="Y106" s="49">
        <f t="shared" si="13"/>
        <v>0.064</v>
      </c>
      <c r="Z106" s="32" t="str">
        <f t="shared" si="14"/>
        <v>Milton</v>
      </c>
      <c r="AA106" s="50" t="s">
        <v>77</v>
      </c>
      <c r="AB106" s="38">
        <v>1007.0</v>
      </c>
      <c r="AC106" s="48">
        <f t="shared" si="17"/>
        <v>173</v>
      </c>
      <c r="AD106" s="51">
        <f t="shared" si="18"/>
        <v>0.8282025819</v>
      </c>
    </row>
    <row r="107">
      <c r="A107" s="110" t="s">
        <v>254</v>
      </c>
      <c r="B107" s="46" t="s">
        <v>2648</v>
      </c>
      <c r="C107" s="47"/>
      <c r="D107" s="38">
        <v>769.0</v>
      </c>
      <c r="E107" s="38">
        <v>413.0</v>
      </c>
      <c r="F107" s="38">
        <v>310.0</v>
      </c>
      <c r="G107" s="38">
        <v>107.0</v>
      </c>
      <c r="H107" s="38">
        <v>86.0</v>
      </c>
      <c r="I107" s="48">
        <f t="shared" si="3"/>
        <v>1492</v>
      </c>
      <c r="J107" s="48">
        <f t="shared" si="4"/>
        <v>1685</v>
      </c>
      <c r="K107" s="49">
        <f t="shared" si="5"/>
        <v>0.5154155496</v>
      </c>
      <c r="L107" s="49">
        <f t="shared" si="6"/>
        <v>0.2768096515</v>
      </c>
      <c r="M107" s="49">
        <f t="shared" si="7"/>
        <v>0.2077747989</v>
      </c>
      <c r="N107" s="32" t="str">
        <f t="shared" si="8"/>
        <v>Jânio</v>
      </c>
      <c r="O107" s="50" t="s">
        <v>77</v>
      </c>
      <c r="P107" s="38">
        <v>483.0</v>
      </c>
      <c r="Q107" s="38">
        <v>770.0</v>
      </c>
      <c r="R107" s="38">
        <v>87.0</v>
      </c>
      <c r="S107" s="38">
        <v>289.0</v>
      </c>
      <c r="T107" s="38">
        <v>56.0</v>
      </c>
      <c r="U107" s="48">
        <f t="shared" si="9"/>
        <v>1340</v>
      </c>
      <c r="V107" s="48">
        <f t="shared" si="10"/>
        <v>1685</v>
      </c>
      <c r="W107" s="49">
        <f t="shared" si="11"/>
        <v>0.3604477612</v>
      </c>
      <c r="X107" s="49">
        <f t="shared" si="12"/>
        <v>0.5746268657</v>
      </c>
      <c r="Y107" s="49">
        <f t="shared" si="13"/>
        <v>0.06492537313</v>
      </c>
      <c r="Z107" s="32" t="str">
        <f t="shared" si="14"/>
        <v>Milton</v>
      </c>
      <c r="AA107" s="50" t="s">
        <v>77</v>
      </c>
      <c r="AB107" s="38">
        <v>1883.0</v>
      </c>
      <c r="AC107" s="48">
        <f t="shared" si="17"/>
        <v>198</v>
      </c>
      <c r="AD107" s="51">
        <f t="shared" si="18"/>
        <v>0.8948486458</v>
      </c>
    </row>
    <row r="108">
      <c r="A108" s="110" t="s">
        <v>258</v>
      </c>
      <c r="B108" s="46" t="s">
        <v>2649</v>
      </c>
      <c r="C108" s="47"/>
      <c r="D108" s="38">
        <v>2133.0</v>
      </c>
      <c r="E108" s="38">
        <v>2480.0</v>
      </c>
      <c r="F108" s="38">
        <v>422.0</v>
      </c>
      <c r="G108" s="38">
        <v>409.0</v>
      </c>
      <c r="H108" s="38">
        <v>348.0</v>
      </c>
      <c r="I108" s="48">
        <f t="shared" si="3"/>
        <v>5035</v>
      </c>
      <c r="J108" s="48">
        <f t="shared" si="4"/>
        <v>5792</v>
      </c>
      <c r="K108" s="49">
        <f t="shared" si="5"/>
        <v>0.4236345581</v>
      </c>
      <c r="L108" s="49">
        <f t="shared" si="6"/>
        <v>0.4925521351</v>
      </c>
      <c r="M108" s="49">
        <f t="shared" si="7"/>
        <v>0.08381330685</v>
      </c>
      <c r="N108" s="32" t="str">
        <f t="shared" si="8"/>
        <v>Mal. Lott</v>
      </c>
      <c r="O108" s="50" t="s">
        <v>77</v>
      </c>
      <c r="P108" s="38">
        <v>2492.0</v>
      </c>
      <c r="Q108" s="38">
        <v>2084.0</v>
      </c>
      <c r="R108" s="38">
        <v>307.0</v>
      </c>
      <c r="S108" s="38">
        <v>623.0</v>
      </c>
      <c r="T108" s="38">
        <v>286.0</v>
      </c>
      <c r="U108" s="48">
        <f t="shared" si="9"/>
        <v>4883</v>
      </c>
      <c r="V108" s="48">
        <f t="shared" si="10"/>
        <v>5792</v>
      </c>
      <c r="W108" s="49">
        <f t="shared" si="11"/>
        <v>0.5103420029</v>
      </c>
      <c r="X108" s="49">
        <f t="shared" si="12"/>
        <v>0.4267868114</v>
      </c>
      <c r="Y108" s="49">
        <f t="shared" si="13"/>
        <v>0.06287118575</v>
      </c>
      <c r="Z108" s="32" t="str">
        <f t="shared" si="14"/>
        <v>Jango</v>
      </c>
      <c r="AA108" s="50" t="s">
        <v>77</v>
      </c>
      <c r="AB108" s="38">
        <v>7081.0</v>
      </c>
      <c r="AC108" s="48">
        <f t="shared" si="17"/>
        <v>1289</v>
      </c>
      <c r="AD108" s="51">
        <f t="shared" si="18"/>
        <v>0.8179635645</v>
      </c>
    </row>
    <row r="109">
      <c r="A109" s="61" t="s">
        <v>319</v>
      </c>
      <c r="B109" s="46" t="s">
        <v>2650</v>
      </c>
      <c r="C109" s="47"/>
      <c r="D109" s="38">
        <v>1595.0</v>
      </c>
      <c r="E109" s="38">
        <v>1696.0</v>
      </c>
      <c r="F109" s="38">
        <v>274.0</v>
      </c>
      <c r="G109" s="38">
        <v>177.0</v>
      </c>
      <c r="H109" s="38">
        <v>89.0</v>
      </c>
      <c r="I109" s="48">
        <f t="shared" si="3"/>
        <v>3565</v>
      </c>
      <c r="J109" s="48">
        <f t="shared" si="4"/>
        <v>3831</v>
      </c>
      <c r="K109" s="49">
        <f t="shared" si="5"/>
        <v>0.4474053296</v>
      </c>
      <c r="L109" s="49">
        <f t="shared" si="6"/>
        <v>0.4757363254</v>
      </c>
      <c r="M109" s="49">
        <f t="shared" si="7"/>
        <v>0.07685834502</v>
      </c>
      <c r="N109" s="32" t="str">
        <f t="shared" si="8"/>
        <v>Mal. Lott</v>
      </c>
      <c r="O109" s="50" t="s">
        <v>77</v>
      </c>
      <c r="P109" s="38">
        <v>1650.0</v>
      </c>
      <c r="Q109" s="38">
        <v>1568.0</v>
      </c>
      <c r="R109" s="38">
        <v>124.0</v>
      </c>
      <c r="S109" s="38">
        <v>442.0</v>
      </c>
      <c r="T109" s="38">
        <v>47.0</v>
      </c>
      <c r="U109" s="48">
        <f t="shared" si="9"/>
        <v>3342</v>
      </c>
      <c r="V109" s="48">
        <f t="shared" si="10"/>
        <v>3831</v>
      </c>
      <c r="W109" s="49">
        <f t="shared" si="11"/>
        <v>0.4937163375</v>
      </c>
      <c r="X109" s="49">
        <f t="shared" si="12"/>
        <v>0.4691801317</v>
      </c>
      <c r="Y109" s="49">
        <f t="shared" si="13"/>
        <v>0.03710353082</v>
      </c>
      <c r="Z109" s="32" t="str">
        <f t="shared" si="14"/>
        <v>Jango</v>
      </c>
      <c r="AA109" s="50" t="s">
        <v>77</v>
      </c>
      <c r="AB109" s="38">
        <v>4274.0</v>
      </c>
      <c r="AC109" s="48">
        <f t="shared" si="17"/>
        <v>443</v>
      </c>
      <c r="AD109" s="51">
        <f t="shared" si="18"/>
        <v>0.8963500234</v>
      </c>
    </row>
    <row r="110">
      <c r="A110" s="23"/>
      <c r="B110" s="46" t="s">
        <v>2651</v>
      </c>
      <c r="C110" s="47"/>
      <c r="D110" s="38">
        <v>598.0</v>
      </c>
      <c r="E110" s="38">
        <v>581.0</v>
      </c>
      <c r="F110" s="38">
        <v>167.0</v>
      </c>
      <c r="G110" s="38">
        <v>71.0</v>
      </c>
      <c r="H110" s="38">
        <v>44.0</v>
      </c>
      <c r="I110" s="48">
        <f t="shared" si="3"/>
        <v>1346</v>
      </c>
      <c r="J110" s="48">
        <f t="shared" si="4"/>
        <v>1461</v>
      </c>
      <c r="K110" s="49">
        <f t="shared" si="5"/>
        <v>0.4442793462</v>
      </c>
      <c r="L110" s="49">
        <f t="shared" si="6"/>
        <v>0.4316493314</v>
      </c>
      <c r="M110" s="49">
        <f t="shared" si="7"/>
        <v>0.1240713224</v>
      </c>
      <c r="N110" s="32" t="str">
        <f t="shared" si="8"/>
        <v>Jânio</v>
      </c>
      <c r="O110" s="50" t="s">
        <v>77</v>
      </c>
      <c r="P110" s="38">
        <v>634.0</v>
      </c>
      <c r="Q110" s="38">
        <v>537.0</v>
      </c>
      <c r="R110" s="38">
        <v>76.0</v>
      </c>
      <c r="S110" s="38">
        <v>194.0</v>
      </c>
      <c r="T110" s="38">
        <v>20.0</v>
      </c>
      <c r="U110" s="48">
        <f t="shared" si="9"/>
        <v>1247</v>
      </c>
      <c r="V110" s="48">
        <f t="shared" si="10"/>
        <v>1461</v>
      </c>
      <c r="W110" s="49">
        <f t="shared" si="11"/>
        <v>0.5084202085</v>
      </c>
      <c r="X110" s="49">
        <f t="shared" si="12"/>
        <v>0.4306335204</v>
      </c>
      <c r="Y110" s="49">
        <f t="shared" si="13"/>
        <v>0.06094627105</v>
      </c>
      <c r="Z110" s="32" t="str">
        <f t="shared" si="14"/>
        <v>Jango</v>
      </c>
      <c r="AA110" s="50" t="s">
        <v>77</v>
      </c>
      <c r="AB110" s="38">
        <v>1723.0</v>
      </c>
      <c r="AC110" s="48">
        <f t="shared" si="17"/>
        <v>262</v>
      </c>
      <c r="AD110" s="51">
        <f t="shared" si="18"/>
        <v>0.8479396402</v>
      </c>
    </row>
    <row r="111">
      <c r="A111" s="24"/>
      <c r="B111" s="46" t="s">
        <v>2652</v>
      </c>
      <c r="C111" s="47"/>
      <c r="D111" s="38">
        <v>921.0</v>
      </c>
      <c r="E111" s="38">
        <v>838.0</v>
      </c>
      <c r="F111" s="38">
        <v>78.0</v>
      </c>
      <c r="G111" s="38">
        <v>81.0</v>
      </c>
      <c r="H111" s="38">
        <v>57.0</v>
      </c>
      <c r="I111" s="48">
        <f t="shared" si="3"/>
        <v>1837</v>
      </c>
      <c r="J111" s="48">
        <f t="shared" si="4"/>
        <v>1975</v>
      </c>
      <c r="K111" s="49">
        <f t="shared" si="5"/>
        <v>0.5013609145</v>
      </c>
      <c r="L111" s="49">
        <f t="shared" si="6"/>
        <v>0.456178552</v>
      </c>
      <c r="M111" s="49">
        <f t="shared" si="7"/>
        <v>0.04246053348</v>
      </c>
      <c r="N111" s="32" t="str">
        <f t="shared" si="8"/>
        <v>Jânio</v>
      </c>
      <c r="O111" s="50" t="s">
        <v>77</v>
      </c>
      <c r="P111" s="38">
        <v>762.0</v>
      </c>
      <c r="Q111" s="38">
        <v>893.0</v>
      </c>
      <c r="R111" s="38">
        <v>43.0</v>
      </c>
      <c r="S111" s="38">
        <v>242.0</v>
      </c>
      <c r="T111" s="38">
        <v>35.0</v>
      </c>
      <c r="U111" s="48">
        <f t="shared" si="9"/>
        <v>1698</v>
      </c>
      <c r="V111" s="48">
        <f t="shared" si="10"/>
        <v>1975</v>
      </c>
      <c r="W111" s="49">
        <f t="shared" si="11"/>
        <v>0.4487632509</v>
      </c>
      <c r="X111" s="49">
        <f t="shared" si="12"/>
        <v>0.5259128386</v>
      </c>
      <c r="Y111" s="49">
        <f t="shared" si="13"/>
        <v>0.02532391048</v>
      </c>
      <c r="Z111" s="32" t="str">
        <f t="shared" si="14"/>
        <v>Milton</v>
      </c>
      <c r="AA111" s="50" t="s">
        <v>77</v>
      </c>
      <c r="AB111" s="38">
        <v>2293.0</v>
      </c>
      <c r="AC111" s="48">
        <f t="shared" si="17"/>
        <v>318</v>
      </c>
      <c r="AD111" s="51">
        <f t="shared" si="18"/>
        <v>0.8613170519</v>
      </c>
    </row>
    <row r="112">
      <c r="A112" s="61" t="s">
        <v>321</v>
      </c>
      <c r="B112" s="46" t="s">
        <v>2653</v>
      </c>
      <c r="C112" s="47"/>
      <c r="D112" s="38">
        <v>1058.0</v>
      </c>
      <c r="E112" s="38">
        <v>628.0</v>
      </c>
      <c r="F112" s="38">
        <v>155.0</v>
      </c>
      <c r="G112" s="38">
        <v>116.0</v>
      </c>
      <c r="H112" s="38">
        <v>97.0</v>
      </c>
      <c r="I112" s="48">
        <f t="shared" si="3"/>
        <v>1841</v>
      </c>
      <c r="J112" s="48">
        <f t="shared" si="4"/>
        <v>2054</v>
      </c>
      <c r="K112" s="49">
        <f t="shared" si="5"/>
        <v>0.5746876697</v>
      </c>
      <c r="L112" s="49">
        <f t="shared" si="6"/>
        <v>0.3411189571</v>
      </c>
      <c r="M112" s="49">
        <f t="shared" si="7"/>
        <v>0.08419337317</v>
      </c>
      <c r="N112" s="32" t="str">
        <f t="shared" si="8"/>
        <v>Jânio</v>
      </c>
      <c r="O112" s="50" t="s">
        <v>77</v>
      </c>
      <c r="P112" s="38">
        <v>647.0</v>
      </c>
      <c r="Q112" s="38">
        <v>861.0</v>
      </c>
      <c r="R112" s="38">
        <v>62.0</v>
      </c>
      <c r="S112" s="38">
        <v>422.0</v>
      </c>
      <c r="T112" s="38">
        <v>62.0</v>
      </c>
      <c r="U112" s="48">
        <f t="shared" si="9"/>
        <v>1570</v>
      </c>
      <c r="V112" s="48">
        <f t="shared" si="10"/>
        <v>2054</v>
      </c>
      <c r="W112" s="49">
        <f t="shared" si="11"/>
        <v>0.4121019108</v>
      </c>
      <c r="X112" s="49">
        <f t="shared" si="12"/>
        <v>0.5484076433</v>
      </c>
      <c r="Y112" s="49">
        <f t="shared" si="13"/>
        <v>0.03949044586</v>
      </c>
      <c r="Z112" s="32" t="str">
        <f t="shared" si="14"/>
        <v>Milton</v>
      </c>
      <c r="AA112" s="50" t="s">
        <v>77</v>
      </c>
      <c r="AB112" s="38">
        <v>2384.0</v>
      </c>
      <c r="AC112" s="48">
        <f t="shared" si="17"/>
        <v>330</v>
      </c>
      <c r="AD112" s="51">
        <f t="shared" si="18"/>
        <v>0.8615771812</v>
      </c>
    </row>
    <row r="113">
      <c r="A113" s="24"/>
      <c r="B113" s="46" t="s">
        <v>2654</v>
      </c>
      <c r="C113" s="47"/>
      <c r="D113" s="38">
        <v>199.0</v>
      </c>
      <c r="E113" s="38">
        <v>331.0</v>
      </c>
      <c r="F113" s="38">
        <v>61.0</v>
      </c>
      <c r="G113" s="38">
        <v>33.0</v>
      </c>
      <c r="H113" s="38">
        <v>41.0</v>
      </c>
      <c r="I113" s="48">
        <f t="shared" si="3"/>
        <v>591</v>
      </c>
      <c r="J113" s="48">
        <f t="shared" si="4"/>
        <v>665</v>
      </c>
      <c r="K113" s="49">
        <f t="shared" si="5"/>
        <v>0.3367174281</v>
      </c>
      <c r="L113" s="49">
        <f t="shared" si="6"/>
        <v>0.5600676819</v>
      </c>
      <c r="M113" s="49">
        <f t="shared" si="7"/>
        <v>0.10321489</v>
      </c>
      <c r="N113" s="32" t="str">
        <f t="shared" si="8"/>
        <v>Mal. Lott</v>
      </c>
      <c r="O113" s="50" t="s">
        <v>77</v>
      </c>
      <c r="P113" s="38">
        <v>346.0</v>
      </c>
      <c r="Q113" s="38">
        <v>168.0</v>
      </c>
      <c r="R113" s="38">
        <v>17.0</v>
      </c>
      <c r="S113" s="38">
        <v>84.0</v>
      </c>
      <c r="T113" s="38">
        <v>50.0</v>
      </c>
      <c r="U113" s="48">
        <f t="shared" si="9"/>
        <v>531</v>
      </c>
      <c r="V113" s="48">
        <f t="shared" si="10"/>
        <v>665</v>
      </c>
      <c r="W113" s="49">
        <f t="shared" si="11"/>
        <v>0.6516007533</v>
      </c>
      <c r="X113" s="49">
        <f t="shared" si="12"/>
        <v>0.3163841808</v>
      </c>
      <c r="Y113" s="49">
        <f t="shared" si="13"/>
        <v>0.03201506591</v>
      </c>
      <c r="Z113" s="32" t="str">
        <f t="shared" si="14"/>
        <v>Jango</v>
      </c>
      <c r="AA113" s="50" t="s">
        <v>77</v>
      </c>
      <c r="AB113" s="38">
        <v>836.0</v>
      </c>
      <c r="AC113" s="48">
        <f t="shared" si="17"/>
        <v>171</v>
      </c>
      <c r="AD113" s="51">
        <f t="shared" si="18"/>
        <v>0.7954545455</v>
      </c>
    </row>
    <row r="114">
      <c r="A114" s="61" t="s">
        <v>324</v>
      </c>
      <c r="B114" s="46" t="s">
        <v>2655</v>
      </c>
      <c r="C114" s="47"/>
      <c r="D114" s="38">
        <v>1001.0</v>
      </c>
      <c r="E114" s="38">
        <v>1217.0</v>
      </c>
      <c r="F114" s="38">
        <v>195.0</v>
      </c>
      <c r="G114" s="38">
        <v>122.0</v>
      </c>
      <c r="H114" s="38">
        <v>68.0</v>
      </c>
      <c r="I114" s="48">
        <f t="shared" si="3"/>
        <v>2413</v>
      </c>
      <c r="J114" s="48">
        <f t="shared" si="4"/>
        <v>2603</v>
      </c>
      <c r="K114" s="49">
        <f t="shared" si="5"/>
        <v>0.4148363034</v>
      </c>
      <c r="L114" s="49">
        <f t="shared" si="6"/>
        <v>0.5043514298</v>
      </c>
      <c r="M114" s="49">
        <f t="shared" si="7"/>
        <v>0.08081226689</v>
      </c>
      <c r="N114" s="32" t="str">
        <f t="shared" si="8"/>
        <v>Mal. Lott</v>
      </c>
      <c r="O114" s="50" t="s">
        <v>77</v>
      </c>
      <c r="P114" s="38">
        <v>1204.0</v>
      </c>
      <c r="Q114" s="38">
        <v>930.0</v>
      </c>
      <c r="R114" s="38">
        <v>91.0</v>
      </c>
      <c r="S114" s="38">
        <v>335.0</v>
      </c>
      <c r="T114" s="38">
        <v>43.0</v>
      </c>
      <c r="U114" s="48">
        <f t="shared" si="9"/>
        <v>2225</v>
      </c>
      <c r="V114" s="48">
        <f t="shared" si="10"/>
        <v>2603</v>
      </c>
      <c r="W114" s="49">
        <f t="shared" si="11"/>
        <v>0.5411235955</v>
      </c>
      <c r="X114" s="49">
        <f t="shared" si="12"/>
        <v>0.4179775281</v>
      </c>
      <c r="Y114" s="49">
        <f t="shared" si="13"/>
        <v>0.0408988764</v>
      </c>
      <c r="Z114" s="32" t="str">
        <f t="shared" si="14"/>
        <v>Jango</v>
      </c>
      <c r="AA114" s="50" t="s">
        <v>77</v>
      </c>
      <c r="AB114" s="38">
        <v>3038.0</v>
      </c>
      <c r="AC114" s="48">
        <f t="shared" si="17"/>
        <v>435</v>
      </c>
      <c r="AD114" s="51">
        <f t="shared" si="18"/>
        <v>0.8568136932</v>
      </c>
    </row>
    <row r="115">
      <c r="A115" s="23"/>
      <c r="B115" s="46" t="s">
        <v>2656</v>
      </c>
      <c r="C115" s="47"/>
      <c r="D115" s="38">
        <v>311.0</v>
      </c>
      <c r="E115" s="38">
        <v>374.0</v>
      </c>
      <c r="F115" s="38">
        <v>71.0</v>
      </c>
      <c r="G115" s="38">
        <v>73.0</v>
      </c>
      <c r="H115" s="38">
        <v>37.0</v>
      </c>
      <c r="I115" s="48">
        <f t="shared" si="3"/>
        <v>756</v>
      </c>
      <c r="J115" s="48">
        <f t="shared" si="4"/>
        <v>866</v>
      </c>
      <c r="K115" s="49">
        <f t="shared" si="5"/>
        <v>0.4113756614</v>
      </c>
      <c r="L115" s="49">
        <f t="shared" si="6"/>
        <v>0.4947089947</v>
      </c>
      <c r="M115" s="49">
        <f t="shared" si="7"/>
        <v>0.09391534392</v>
      </c>
      <c r="N115" s="32" t="str">
        <f t="shared" si="8"/>
        <v>Mal. Lott</v>
      </c>
      <c r="O115" s="50" t="s">
        <v>77</v>
      </c>
      <c r="P115" s="38">
        <v>384.0</v>
      </c>
      <c r="Q115" s="38">
        <v>252.0</v>
      </c>
      <c r="R115" s="38">
        <v>39.0</v>
      </c>
      <c r="S115" s="38">
        <v>163.0</v>
      </c>
      <c r="T115" s="38">
        <v>28.0</v>
      </c>
      <c r="U115" s="48">
        <f t="shared" si="9"/>
        <v>675</v>
      </c>
      <c r="V115" s="48">
        <f t="shared" si="10"/>
        <v>866</v>
      </c>
      <c r="W115" s="49">
        <f t="shared" si="11"/>
        <v>0.5688888889</v>
      </c>
      <c r="X115" s="49">
        <f t="shared" si="12"/>
        <v>0.3733333333</v>
      </c>
      <c r="Y115" s="49">
        <f t="shared" si="13"/>
        <v>0.05777777778</v>
      </c>
      <c r="Z115" s="32" t="str">
        <f t="shared" si="14"/>
        <v>Jango</v>
      </c>
      <c r="AA115" s="50" t="s">
        <v>77</v>
      </c>
      <c r="AB115" s="38">
        <v>1092.0</v>
      </c>
      <c r="AC115" s="48">
        <f t="shared" si="17"/>
        <v>226</v>
      </c>
      <c r="AD115" s="51">
        <f t="shared" si="18"/>
        <v>0.793040293</v>
      </c>
    </row>
    <row r="116">
      <c r="A116" s="24"/>
      <c r="B116" s="46" t="s">
        <v>2657</v>
      </c>
      <c r="C116" s="47"/>
      <c r="D116" s="38">
        <v>627.0</v>
      </c>
      <c r="E116" s="38">
        <v>473.0</v>
      </c>
      <c r="F116" s="38">
        <v>56.0</v>
      </c>
      <c r="G116" s="38">
        <v>41.0</v>
      </c>
      <c r="H116" s="38">
        <v>19.0</v>
      </c>
      <c r="I116" s="48">
        <f t="shared" si="3"/>
        <v>1156</v>
      </c>
      <c r="J116" s="48">
        <f t="shared" si="4"/>
        <v>1216</v>
      </c>
      <c r="K116" s="49">
        <f t="shared" si="5"/>
        <v>0.5423875433</v>
      </c>
      <c r="L116" s="49">
        <f t="shared" si="6"/>
        <v>0.4091695502</v>
      </c>
      <c r="M116" s="49">
        <f t="shared" si="7"/>
        <v>0.04844290657</v>
      </c>
      <c r="N116" s="32" t="str">
        <f t="shared" si="8"/>
        <v>Jânio</v>
      </c>
      <c r="O116" s="50" t="s">
        <v>77</v>
      </c>
      <c r="P116" s="38">
        <v>478.0</v>
      </c>
      <c r="Q116" s="38">
        <v>578.0</v>
      </c>
      <c r="R116" s="38">
        <v>20.0</v>
      </c>
      <c r="S116" s="38">
        <v>132.0</v>
      </c>
      <c r="T116" s="38">
        <v>8.0</v>
      </c>
      <c r="U116" s="48">
        <f t="shared" si="9"/>
        <v>1076</v>
      </c>
      <c r="V116" s="48">
        <f t="shared" si="10"/>
        <v>1216</v>
      </c>
      <c r="W116" s="49">
        <f t="shared" si="11"/>
        <v>0.4442379182</v>
      </c>
      <c r="X116" s="49">
        <f t="shared" si="12"/>
        <v>0.5371747212</v>
      </c>
      <c r="Y116" s="49">
        <f t="shared" si="13"/>
        <v>0.01858736059</v>
      </c>
      <c r="Z116" s="32" t="str">
        <f t="shared" si="14"/>
        <v>Milton</v>
      </c>
      <c r="AA116" s="50" t="s">
        <v>77</v>
      </c>
      <c r="AB116" s="38">
        <v>1414.0</v>
      </c>
      <c r="AC116" s="48">
        <f t="shared" si="17"/>
        <v>198</v>
      </c>
      <c r="AD116" s="51">
        <f t="shared" si="18"/>
        <v>0.8599717115</v>
      </c>
    </row>
    <row r="117">
      <c r="A117" s="110" t="s">
        <v>327</v>
      </c>
      <c r="B117" s="46" t="s">
        <v>2658</v>
      </c>
      <c r="C117" s="47"/>
      <c r="D117" s="38">
        <v>898.0</v>
      </c>
      <c r="E117" s="38">
        <v>562.0</v>
      </c>
      <c r="F117" s="38">
        <v>378.0</v>
      </c>
      <c r="G117" s="38">
        <v>82.0</v>
      </c>
      <c r="H117" s="38">
        <v>98.0</v>
      </c>
      <c r="I117" s="48">
        <f t="shared" si="3"/>
        <v>1838</v>
      </c>
      <c r="J117" s="48">
        <f t="shared" si="4"/>
        <v>2018</v>
      </c>
      <c r="K117" s="49">
        <f t="shared" si="5"/>
        <v>0.4885745375</v>
      </c>
      <c r="L117" s="49">
        <f t="shared" si="6"/>
        <v>0.3057671382</v>
      </c>
      <c r="M117" s="49">
        <f t="shared" si="7"/>
        <v>0.2056583243</v>
      </c>
      <c r="N117" s="32" t="str">
        <f t="shared" si="8"/>
        <v>Jânio</v>
      </c>
      <c r="O117" s="50" t="s">
        <v>77</v>
      </c>
      <c r="P117" s="38">
        <v>498.0</v>
      </c>
      <c r="Q117" s="38">
        <v>831.0</v>
      </c>
      <c r="R117" s="38">
        <v>368.0</v>
      </c>
      <c r="S117" s="38">
        <v>246.0</v>
      </c>
      <c r="T117" s="38">
        <v>75.0</v>
      </c>
      <c r="U117" s="48">
        <f t="shared" si="9"/>
        <v>1697</v>
      </c>
      <c r="V117" s="48">
        <f t="shared" si="10"/>
        <v>2018</v>
      </c>
      <c r="W117" s="49">
        <f t="shared" si="11"/>
        <v>0.2934590454</v>
      </c>
      <c r="X117" s="49">
        <f t="shared" si="12"/>
        <v>0.4896876841</v>
      </c>
      <c r="Y117" s="49">
        <f t="shared" si="13"/>
        <v>0.2168532705</v>
      </c>
      <c r="Z117" s="32" t="str">
        <f t="shared" si="14"/>
        <v>Milton</v>
      </c>
      <c r="AA117" s="50" t="s">
        <v>77</v>
      </c>
      <c r="AB117" s="38">
        <v>2357.0</v>
      </c>
      <c r="AC117" s="48">
        <f t="shared" si="17"/>
        <v>339</v>
      </c>
      <c r="AD117" s="51">
        <f t="shared" si="18"/>
        <v>0.8561731014</v>
      </c>
    </row>
    <row r="118">
      <c r="A118" s="61" t="s">
        <v>501</v>
      </c>
      <c r="B118" s="46" t="s">
        <v>2659</v>
      </c>
      <c r="C118" s="47"/>
      <c r="D118" s="38">
        <v>1171.0</v>
      </c>
      <c r="E118" s="38">
        <v>759.0</v>
      </c>
      <c r="F118" s="38">
        <v>143.0</v>
      </c>
      <c r="G118" s="38">
        <v>72.0</v>
      </c>
      <c r="H118" s="38">
        <v>58.0</v>
      </c>
      <c r="I118" s="48">
        <f t="shared" si="3"/>
        <v>2073</v>
      </c>
      <c r="J118" s="48">
        <f t="shared" si="4"/>
        <v>2203</v>
      </c>
      <c r="K118" s="49">
        <f t="shared" si="5"/>
        <v>0.5648818138</v>
      </c>
      <c r="L118" s="49">
        <f t="shared" si="6"/>
        <v>0.3661360347</v>
      </c>
      <c r="M118" s="49">
        <f t="shared" si="7"/>
        <v>0.06898215147</v>
      </c>
      <c r="N118" s="32" t="str">
        <f t="shared" si="8"/>
        <v>Jânio</v>
      </c>
      <c r="O118" s="50" t="s">
        <v>77</v>
      </c>
      <c r="P118" s="38">
        <v>761.0</v>
      </c>
      <c r="Q118" s="38">
        <v>1121.0</v>
      </c>
      <c r="R118" s="38">
        <v>112.0</v>
      </c>
      <c r="S118" s="38">
        <v>150.0</v>
      </c>
      <c r="T118" s="38">
        <v>59.0</v>
      </c>
      <c r="U118" s="48">
        <f t="shared" si="9"/>
        <v>1994</v>
      </c>
      <c r="V118" s="48">
        <f t="shared" si="10"/>
        <v>2203</v>
      </c>
      <c r="W118" s="49">
        <f t="shared" si="11"/>
        <v>0.3816449348</v>
      </c>
      <c r="X118" s="49">
        <f t="shared" si="12"/>
        <v>0.5621865597</v>
      </c>
      <c r="Y118" s="49">
        <f t="shared" si="13"/>
        <v>0.05616850552</v>
      </c>
      <c r="Z118" s="32" t="str">
        <f t="shared" si="14"/>
        <v>Milton</v>
      </c>
      <c r="AA118" s="50" t="s">
        <v>77</v>
      </c>
      <c r="AB118" s="38">
        <v>2593.0</v>
      </c>
      <c r="AC118" s="48">
        <f t="shared" si="17"/>
        <v>390</v>
      </c>
      <c r="AD118" s="51">
        <f t="shared" si="18"/>
        <v>0.8495950636</v>
      </c>
    </row>
    <row r="119">
      <c r="A119" s="24"/>
      <c r="B119" s="46" t="s">
        <v>2660</v>
      </c>
      <c r="C119" s="47"/>
      <c r="D119" s="38">
        <v>504.0</v>
      </c>
      <c r="E119" s="38">
        <v>335.0</v>
      </c>
      <c r="F119" s="38">
        <v>62.0</v>
      </c>
      <c r="G119" s="38">
        <v>51.0</v>
      </c>
      <c r="H119" s="38">
        <v>67.0</v>
      </c>
      <c r="I119" s="48">
        <f t="shared" si="3"/>
        <v>901</v>
      </c>
      <c r="J119" s="48">
        <f t="shared" si="4"/>
        <v>1019</v>
      </c>
      <c r="K119" s="49">
        <f t="shared" si="5"/>
        <v>0.5593784684</v>
      </c>
      <c r="L119" s="49">
        <f t="shared" si="6"/>
        <v>0.371809101</v>
      </c>
      <c r="M119" s="49">
        <f t="shared" si="7"/>
        <v>0.06881243063</v>
      </c>
      <c r="N119" s="32" t="str">
        <f t="shared" si="8"/>
        <v>Jânio</v>
      </c>
      <c r="O119" s="50" t="s">
        <v>77</v>
      </c>
      <c r="P119" s="38">
        <v>315.0</v>
      </c>
      <c r="Q119" s="38">
        <v>424.0</v>
      </c>
      <c r="R119" s="38">
        <v>63.0</v>
      </c>
      <c r="S119" s="38">
        <v>192.0</v>
      </c>
      <c r="T119" s="38">
        <v>25.0</v>
      </c>
      <c r="U119" s="48">
        <f t="shared" si="9"/>
        <v>802</v>
      </c>
      <c r="V119" s="48">
        <f t="shared" si="10"/>
        <v>1019</v>
      </c>
      <c r="W119" s="49">
        <f t="shared" si="11"/>
        <v>0.3927680798</v>
      </c>
      <c r="X119" s="49">
        <f t="shared" si="12"/>
        <v>0.5286783042</v>
      </c>
      <c r="Y119" s="49">
        <f t="shared" si="13"/>
        <v>0.07855361596</v>
      </c>
      <c r="Z119" s="32" t="str">
        <f t="shared" si="14"/>
        <v>Milton</v>
      </c>
      <c r="AA119" s="50" t="s">
        <v>77</v>
      </c>
      <c r="AB119" s="38">
        <v>1389.0</v>
      </c>
      <c r="AC119" s="48">
        <f t="shared" si="17"/>
        <v>370</v>
      </c>
      <c r="AD119" s="51">
        <f t="shared" si="18"/>
        <v>0.7336213103</v>
      </c>
    </row>
    <row r="120">
      <c r="A120" s="110" t="s">
        <v>504</v>
      </c>
      <c r="B120" s="46" t="s">
        <v>2661</v>
      </c>
      <c r="C120" s="47"/>
      <c r="D120" s="38">
        <v>2068.0</v>
      </c>
      <c r="E120" s="38">
        <v>758.0</v>
      </c>
      <c r="F120" s="38">
        <v>597.0</v>
      </c>
      <c r="G120" s="38">
        <v>146.0</v>
      </c>
      <c r="H120" s="38">
        <v>102.0</v>
      </c>
      <c r="I120" s="48">
        <f t="shared" si="3"/>
        <v>3423</v>
      </c>
      <c r="J120" s="48">
        <f t="shared" si="4"/>
        <v>3671</v>
      </c>
      <c r="K120" s="49">
        <f t="shared" si="5"/>
        <v>0.6041484078</v>
      </c>
      <c r="L120" s="49">
        <f t="shared" si="6"/>
        <v>0.2214431785</v>
      </c>
      <c r="M120" s="49">
        <f t="shared" si="7"/>
        <v>0.1744084137</v>
      </c>
      <c r="N120" s="32" t="str">
        <f t="shared" si="8"/>
        <v>Jânio</v>
      </c>
      <c r="O120" s="50" t="s">
        <v>77</v>
      </c>
      <c r="P120" s="38">
        <v>830.0</v>
      </c>
      <c r="Q120" s="38">
        <v>2220.0</v>
      </c>
      <c r="R120" s="38">
        <v>128.0</v>
      </c>
      <c r="S120" s="38">
        <v>440.0</v>
      </c>
      <c r="T120" s="38">
        <v>53.0</v>
      </c>
      <c r="U120" s="48">
        <f t="shared" si="9"/>
        <v>3178</v>
      </c>
      <c r="V120" s="48">
        <f t="shared" si="10"/>
        <v>3671</v>
      </c>
      <c r="W120" s="49">
        <f t="shared" si="11"/>
        <v>0.2611705475</v>
      </c>
      <c r="X120" s="49">
        <f t="shared" si="12"/>
        <v>0.6985525488</v>
      </c>
      <c r="Y120" s="49">
        <f t="shared" si="13"/>
        <v>0.04027690371</v>
      </c>
      <c r="Z120" s="32" t="str">
        <f t="shared" si="14"/>
        <v>Milton</v>
      </c>
      <c r="AA120" s="50" t="s">
        <v>77</v>
      </c>
      <c r="AB120" s="38">
        <v>4147.0</v>
      </c>
      <c r="AC120" s="48">
        <f t="shared" si="17"/>
        <v>476</v>
      </c>
      <c r="AD120" s="51">
        <f t="shared" si="18"/>
        <v>0.88521823</v>
      </c>
    </row>
    <row r="121">
      <c r="A121" s="61" t="s">
        <v>506</v>
      </c>
      <c r="B121" s="46" t="s">
        <v>2662</v>
      </c>
      <c r="C121" s="47"/>
      <c r="D121" s="38">
        <v>1301.0</v>
      </c>
      <c r="E121" s="38">
        <v>1179.0</v>
      </c>
      <c r="F121" s="38">
        <v>182.0</v>
      </c>
      <c r="G121" s="38">
        <v>158.0</v>
      </c>
      <c r="H121" s="38">
        <v>102.0</v>
      </c>
      <c r="I121" s="48">
        <f t="shared" si="3"/>
        <v>2662</v>
      </c>
      <c r="J121" s="48">
        <f t="shared" si="4"/>
        <v>2922</v>
      </c>
      <c r="K121" s="49">
        <f t="shared" si="5"/>
        <v>0.488730278</v>
      </c>
      <c r="L121" s="49">
        <f t="shared" si="6"/>
        <v>0.4429000751</v>
      </c>
      <c r="M121" s="49">
        <f t="shared" si="7"/>
        <v>0.06836964688</v>
      </c>
      <c r="N121" s="32" t="str">
        <f t="shared" si="8"/>
        <v>Jânio</v>
      </c>
      <c r="O121" s="50" t="s">
        <v>77</v>
      </c>
      <c r="P121" s="38">
        <v>1117.0</v>
      </c>
      <c r="Q121" s="38">
        <v>1130.0</v>
      </c>
      <c r="R121" s="38">
        <v>173.0</v>
      </c>
      <c r="S121" s="38">
        <v>428.0</v>
      </c>
      <c r="T121" s="38">
        <v>74.0</v>
      </c>
      <c r="U121" s="48">
        <f t="shared" si="9"/>
        <v>2420</v>
      </c>
      <c r="V121" s="48">
        <f t="shared" si="10"/>
        <v>2922</v>
      </c>
      <c r="W121" s="49">
        <f t="shared" si="11"/>
        <v>0.4615702479</v>
      </c>
      <c r="X121" s="49">
        <f t="shared" si="12"/>
        <v>0.4669421488</v>
      </c>
      <c r="Y121" s="49">
        <f t="shared" si="13"/>
        <v>0.07148760331</v>
      </c>
      <c r="Z121" s="32" t="str">
        <f t="shared" si="14"/>
        <v>Milton</v>
      </c>
      <c r="AA121" s="50" t="s">
        <v>77</v>
      </c>
      <c r="AB121" s="38">
        <v>3455.0</v>
      </c>
      <c r="AC121" s="48">
        <f t="shared" si="17"/>
        <v>533</v>
      </c>
      <c r="AD121" s="51">
        <f t="shared" si="18"/>
        <v>0.8457308249</v>
      </c>
    </row>
    <row r="122">
      <c r="A122" s="24"/>
      <c r="B122" s="46" t="s">
        <v>2663</v>
      </c>
      <c r="C122" s="47"/>
      <c r="D122" s="38">
        <v>295.0</v>
      </c>
      <c r="E122" s="38">
        <v>971.0</v>
      </c>
      <c r="F122" s="38">
        <v>138.0</v>
      </c>
      <c r="G122" s="38">
        <v>76.0</v>
      </c>
      <c r="H122" s="38">
        <v>64.0</v>
      </c>
      <c r="I122" s="48">
        <f t="shared" si="3"/>
        <v>1404</v>
      </c>
      <c r="J122" s="48">
        <f t="shared" si="4"/>
        <v>1544</v>
      </c>
      <c r="K122" s="49">
        <f t="shared" si="5"/>
        <v>0.2101139601</v>
      </c>
      <c r="L122" s="49">
        <f t="shared" si="6"/>
        <v>0.6915954416</v>
      </c>
      <c r="M122" s="49">
        <f t="shared" si="7"/>
        <v>0.09829059829</v>
      </c>
      <c r="N122" s="32" t="str">
        <f t="shared" si="8"/>
        <v>Mal. Lott</v>
      </c>
      <c r="O122" s="50" t="s">
        <v>77</v>
      </c>
      <c r="P122" s="38">
        <v>978.0</v>
      </c>
      <c r="Q122" s="38">
        <v>219.0</v>
      </c>
      <c r="R122" s="38">
        <v>70.0</v>
      </c>
      <c r="S122" s="38">
        <v>245.0</v>
      </c>
      <c r="T122" s="38">
        <v>32.0</v>
      </c>
      <c r="U122" s="48">
        <f t="shared" si="9"/>
        <v>1267</v>
      </c>
      <c r="V122" s="48">
        <f t="shared" si="10"/>
        <v>1544</v>
      </c>
      <c r="W122" s="49">
        <f t="shared" si="11"/>
        <v>0.771902131</v>
      </c>
      <c r="X122" s="49">
        <f t="shared" si="12"/>
        <v>0.1728492502</v>
      </c>
      <c r="Y122" s="49">
        <f t="shared" si="13"/>
        <v>0.05524861878</v>
      </c>
      <c r="Z122" s="32" t="str">
        <f t="shared" si="14"/>
        <v>Jango</v>
      </c>
      <c r="AA122" s="50" t="s">
        <v>77</v>
      </c>
      <c r="AB122" s="38">
        <v>1954.0</v>
      </c>
      <c r="AC122" s="48">
        <f t="shared" si="17"/>
        <v>410</v>
      </c>
      <c r="AD122" s="51">
        <f t="shared" si="18"/>
        <v>0.790174002</v>
      </c>
    </row>
    <row r="123">
      <c r="A123" s="61" t="s">
        <v>509</v>
      </c>
      <c r="B123" s="46" t="s">
        <v>2664</v>
      </c>
      <c r="C123" s="47"/>
      <c r="D123" s="38">
        <v>3202.0</v>
      </c>
      <c r="E123" s="38">
        <v>1950.0</v>
      </c>
      <c r="F123" s="38">
        <v>519.0</v>
      </c>
      <c r="G123" s="38">
        <v>370.0</v>
      </c>
      <c r="H123" s="38">
        <v>151.0</v>
      </c>
      <c r="I123" s="48">
        <f t="shared" si="3"/>
        <v>5671</v>
      </c>
      <c r="J123" s="48">
        <f t="shared" si="4"/>
        <v>6192</v>
      </c>
      <c r="K123" s="49">
        <f t="shared" si="5"/>
        <v>0.5646270499</v>
      </c>
      <c r="L123" s="49">
        <f t="shared" si="6"/>
        <v>0.3438546993</v>
      </c>
      <c r="M123" s="49">
        <f t="shared" si="7"/>
        <v>0.09151825075</v>
      </c>
      <c r="N123" s="32" t="str">
        <f t="shared" si="8"/>
        <v>Jânio</v>
      </c>
      <c r="O123" s="50" t="s">
        <v>77</v>
      </c>
      <c r="P123" s="38">
        <v>2029.0</v>
      </c>
      <c r="Q123" s="38">
        <v>2986.0</v>
      </c>
      <c r="R123" s="38">
        <v>301.0</v>
      </c>
      <c r="S123" s="38">
        <v>665.0</v>
      </c>
      <c r="T123" s="38">
        <v>211.0</v>
      </c>
      <c r="U123" s="48">
        <f t="shared" si="9"/>
        <v>5316</v>
      </c>
      <c r="V123" s="48">
        <f t="shared" si="10"/>
        <v>6192</v>
      </c>
      <c r="W123" s="49">
        <f t="shared" si="11"/>
        <v>0.3816779533</v>
      </c>
      <c r="X123" s="49">
        <f t="shared" si="12"/>
        <v>0.5617005267</v>
      </c>
      <c r="Y123" s="49">
        <f t="shared" si="13"/>
        <v>0.05662151994</v>
      </c>
      <c r="Z123" s="32" t="str">
        <f t="shared" si="14"/>
        <v>Milton</v>
      </c>
      <c r="AA123" s="50" t="s">
        <v>77</v>
      </c>
      <c r="AB123" s="38">
        <v>7232.0</v>
      </c>
      <c r="AC123" s="48">
        <f t="shared" si="17"/>
        <v>1040</v>
      </c>
      <c r="AD123" s="51">
        <f t="shared" si="18"/>
        <v>0.8561946903</v>
      </c>
    </row>
    <row r="124">
      <c r="A124" s="23"/>
      <c r="B124" s="46" t="s">
        <v>2665</v>
      </c>
      <c r="C124" s="47"/>
      <c r="D124" s="38">
        <v>932.0</v>
      </c>
      <c r="E124" s="38">
        <v>687.0</v>
      </c>
      <c r="F124" s="38">
        <v>126.0</v>
      </c>
      <c r="G124" s="38">
        <v>215.0</v>
      </c>
      <c r="H124" s="38">
        <v>36.0</v>
      </c>
      <c r="I124" s="48">
        <f t="shared" si="3"/>
        <v>1745</v>
      </c>
      <c r="J124" s="48">
        <f t="shared" si="4"/>
        <v>1996</v>
      </c>
      <c r="K124" s="49">
        <f t="shared" si="5"/>
        <v>0.5340974212</v>
      </c>
      <c r="L124" s="49">
        <f t="shared" si="6"/>
        <v>0.3936962751</v>
      </c>
      <c r="M124" s="49">
        <f t="shared" si="7"/>
        <v>0.07220630372</v>
      </c>
      <c r="N124" s="32" t="str">
        <f t="shared" si="8"/>
        <v>Jânio</v>
      </c>
      <c r="O124" s="50" t="s">
        <v>77</v>
      </c>
      <c r="P124" s="38">
        <v>677.0</v>
      </c>
      <c r="Q124" s="38">
        <v>770.0</v>
      </c>
      <c r="R124" s="38">
        <v>66.0</v>
      </c>
      <c r="S124" s="38">
        <v>438.0</v>
      </c>
      <c r="T124" s="38">
        <v>45.0</v>
      </c>
      <c r="U124" s="48">
        <f t="shared" si="9"/>
        <v>1513</v>
      </c>
      <c r="V124" s="48">
        <f t="shared" si="10"/>
        <v>1996</v>
      </c>
      <c r="W124" s="49">
        <f t="shared" si="11"/>
        <v>0.4474553866</v>
      </c>
      <c r="X124" s="49">
        <f t="shared" si="12"/>
        <v>0.5089226702</v>
      </c>
      <c r="Y124" s="49">
        <f t="shared" si="13"/>
        <v>0.04362194316</v>
      </c>
      <c r="Z124" s="32" t="str">
        <f t="shared" si="14"/>
        <v>Milton</v>
      </c>
      <c r="AA124" s="50" t="s">
        <v>77</v>
      </c>
      <c r="AB124" s="38">
        <v>2304.0</v>
      </c>
      <c r="AC124" s="48">
        <f t="shared" si="17"/>
        <v>308</v>
      </c>
      <c r="AD124" s="51">
        <f t="shared" si="18"/>
        <v>0.8663194444</v>
      </c>
    </row>
    <row r="125">
      <c r="A125" s="24"/>
      <c r="B125" s="46" t="s">
        <v>2666</v>
      </c>
      <c r="C125" s="47"/>
      <c r="D125" s="38">
        <v>377.0</v>
      </c>
      <c r="E125" s="38">
        <v>328.0</v>
      </c>
      <c r="F125" s="38">
        <v>51.0</v>
      </c>
      <c r="G125" s="38">
        <v>101.0</v>
      </c>
      <c r="H125" s="38">
        <v>13.0</v>
      </c>
      <c r="I125" s="48">
        <f t="shared" si="3"/>
        <v>756</v>
      </c>
      <c r="J125" s="48">
        <f t="shared" si="4"/>
        <v>870</v>
      </c>
      <c r="K125" s="49">
        <f t="shared" si="5"/>
        <v>0.4986772487</v>
      </c>
      <c r="L125" s="49">
        <f t="shared" si="6"/>
        <v>0.4338624339</v>
      </c>
      <c r="M125" s="49">
        <f t="shared" si="7"/>
        <v>0.06746031746</v>
      </c>
      <c r="N125" s="32" t="str">
        <f t="shared" si="8"/>
        <v>Jânio</v>
      </c>
      <c r="O125" s="50" t="s">
        <v>77</v>
      </c>
      <c r="P125" s="38">
        <v>328.0</v>
      </c>
      <c r="Q125" s="38">
        <v>350.0</v>
      </c>
      <c r="R125" s="38">
        <v>32.0</v>
      </c>
      <c r="S125" s="38">
        <v>142.0</v>
      </c>
      <c r="T125" s="38">
        <v>18.0</v>
      </c>
      <c r="U125" s="48">
        <f t="shared" si="9"/>
        <v>710</v>
      </c>
      <c r="V125" s="48">
        <f t="shared" si="10"/>
        <v>870</v>
      </c>
      <c r="W125" s="49">
        <f t="shared" si="11"/>
        <v>0.461971831</v>
      </c>
      <c r="X125" s="49">
        <f t="shared" si="12"/>
        <v>0.4929577465</v>
      </c>
      <c r="Y125" s="49">
        <f t="shared" si="13"/>
        <v>0.04507042254</v>
      </c>
      <c r="Z125" s="32" t="str">
        <f t="shared" si="14"/>
        <v>Milton</v>
      </c>
      <c r="AA125" s="50" t="s">
        <v>77</v>
      </c>
      <c r="AB125" s="38">
        <v>993.0</v>
      </c>
      <c r="AC125" s="48">
        <f t="shared" si="17"/>
        <v>123</v>
      </c>
      <c r="AD125" s="51">
        <f t="shared" si="18"/>
        <v>0.8761329305</v>
      </c>
    </row>
    <row r="126">
      <c r="A126" s="61" t="s">
        <v>512</v>
      </c>
      <c r="B126" s="46" t="s">
        <v>2667</v>
      </c>
      <c r="C126" s="47"/>
      <c r="D126" s="38">
        <v>1805.0</v>
      </c>
      <c r="E126" s="38">
        <v>1422.0</v>
      </c>
      <c r="F126" s="38">
        <v>241.0</v>
      </c>
      <c r="G126" s="38">
        <v>241.0</v>
      </c>
      <c r="H126" s="38">
        <v>100.0</v>
      </c>
      <c r="I126" s="48">
        <f t="shared" si="3"/>
        <v>3468</v>
      </c>
      <c r="J126" s="48">
        <f t="shared" si="4"/>
        <v>3809</v>
      </c>
      <c r="K126" s="49">
        <f t="shared" si="5"/>
        <v>0.520472895</v>
      </c>
      <c r="L126" s="49">
        <f t="shared" si="6"/>
        <v>0.4100346021</v>
      </c>
      <c r="M126" s="49">
        <f t="shared" si="7"/>
        <v>0.06949250288</v>
      </c>
      <c r="N126" s="32" t="str">
        <f t="shared" si="8"/>
        <v>Jânio</v>
      </c>
      <c r="O126" s="50" t="s">
        <v>77</v>
      </c>
      <c r="P126" s="38">
        <v>1483.0</v>
      </c>
      <c r="Q126" s="38">
        <v>1777.0</v>
      </c>
      <c r="R126" s="38">
        <v>121.0</v>
      </c>
      <c r="S126" s="38">
        <v>304.0</v>
      </c>
      <c r="T126" s="38">
        <v>124.0</v>
      </c>
      <c r="U126" s="48">
        <f t="shared" si="9"/>
        <v>3381</v>
      </c>
      <c r="V126" s="48">
        <f t="shared" si="10"/>
        <v>3809</v>
      </c>
      <c r="W126" s="49">
        <f t="shared" si="11"/>
        <v>0.438627625</v>
      </c>
      <c r="X126" s="49">
        <f t="shared" si="12"/>
        <v>0.5255841467</v>
      </c>
      <c r="Y126" s="49">
        <f t="shared" si="13"/>
        <v>0.03578822833</v>
      </c>
      <c r="Z126" s="32" t="str">
        <f t="shared" si="14"/>
        <v>Milton</v>
      </c>
      <c r="AA126" s="50" t="s">
        <v>77</v>
      </c>
      <c r="AB126" s="38">
        <v>3837.0</v>
      </c>
      <c r="AC126" s="48">
        <f t="shared" si="17"/>
        <v>28</v>
      </c>
      <c r="AD126" s="51">
        <f t="shared" si="18"/>
        <v>0.9927026323</v>
      </c>
    </row>
    <row r="127">
      <c r="A127" s="24"/>
      <c r="B127" s="46" t="s">
        <v>2668</v>
      </c>
      <c r="C127" s="47"/>
      <c r="D127" s="38">
        <v>704.0</v>
      </c>
      <c r="E127" s="38">
        <v>356.0</v>
      </c>
      <c r="F127" s="38">
        <v>52.0</v>
      </c>
      <c r="G127" s="38">
        <v>134.0</v>
      </c>
      <c r="H127" s="38">
        <v>30.0</v>
      </c>
      <c r="I127" s="48">
        <f t="shared" si="3"/>
        <v>1112</v>
      </c>
      <c r="J127" s="48">
        <f t="shared" si="4"/>
        <v>1276</v>
      </c>
      <c r="K127" s="49">
        <f t="shared" si="5"/>
        <v>0.6330935252</v>
      </c>
      <c r="L127" s="49">
        <f t="shared" si="6"/>
        <v>0.3201438849</v>
      </c>
      <c r="M127" s="49">
        <f t="shared" si="7"/>
        <v>0.04676258993</v>
      </c>
      <c r="N127" s="32" t="str">
        <f t="shared" si="8"/>
        <v>Jânio</v>
      </c>
      <c r="O127" s="50" t="s">
        <v>77</v>
      </c>
      <c r="P127" s="38">
        <v>384.0</v>
      </c>
      <c r="Q127" s="38">
        <v>673.0</v>
      </c>
      <c r="R127" s="38">
        <v>43.0</v>
      </c>
      <c r="S127" s="38">
        <v>140.0</v>
      </c>
      <c r="T127" s="38">
        <v>36.0</v>
      </c>
      <c r="U127" s="48">
        <f t="shared" si="9"/>
        <v>1100</v>
      </c>
      <c r="V127" s="48">
        <f t="shared" si="10"/>
        <v>1276</v>
      </c>
      <c r="W127" s="49">
        <f t="shared" si="11"/>
        <v>0.3490909091</v>
      </c>
      <c r="X127" s="49">
        <f t="shared" si="12"/>
        <v>0.6118181818</v>
      </c>
      <c r="Y127" s="49">
        <f t="shared" si="13"/>
        <v>0.03909090909</v>
      </c>
      <c r="Z127" s="32" t="str">
        <f t="shared" si="14"/>
        <v>Milton</v>
      </c>
      <c r="AA127" s="50" t="s">
        <v>77</v>
      </c>
      <c r="AB127" s="38">
        <v>2054.0</v>
      </c>
      <c r="AC127" s="48">
        <f t="shared" si="17"/>
        <v>778</v>
      </c>
      <c r="AD127" s="51">
        <f t="shared" si="18"/>
        <v>0.6212268744</v>
      </c>
    </row>
    <row r="128">
      <c r="A128" s="61" t="s">
        <v>514</v>
      </c>
      <c r="B128" s="46" t="s">
        <v>2669</v>
      </c>
      <c r="C128" s="47"/>
      <c r="D128" s="38">
        <v>447.0</v>
      </c>
      <c r="E128" s="38">
        <v>742.0</v>
      </c>
      <c r="F128" s="38">
        <v>346.0</v>
      </c>
      <c r="G128" s="38">
        <v>138.0</v>
      </c>
      <c r="H128" s="38">
        <v>99.0</v>
      </c>
      <c r="I128" s="48">
        <f t="shared" si="3"/>
        <v>1535</v>
      </c>
      <c r="J128" s="48">
        <f t="shared" si="4"/>
        <v>1772</v>
      </c>
      <c r="K128" s="49">
        <f t="shared" si="5"/>
        <v>0.2912052117</v>
      </c>
      <c r="L128" s="49">
        <f t="shared" si="6"/>
        <v>0.4833876221</v>
      </c>
      <c r="M128" s="49">
        <f t="shared" si="7"/>
        <v>0.2254071661</v>
      </c>
      <c r="N128" s="32" t="str">
        <f t="shared" si="8"/>
        <v>Mal. Lott</v>
      </c>
      <c r="O128" s="50" t="s">
        <v>77</v>
      </c>
      <c r="P128" s="38">
        <v>672.0</v>
      </c>
      <c r="Q128" s="38">
        <v>383.0</v>
      </c>
      <c r="R128" s="38">
        <v>128.0</v>
      </c>
      <c r="S128" s="38">
        <v>538.0</v>
      </c>
      <c r="T128" s="38">
        <v>51.0</v>
      </c>
      <c r="U128" s="48">
        <f t="shared" si="9"/>
        <v>1183</v>
      </c>
      <c r="V128" s="48">
        <f t="shared" si="10"/>
        <v>1772</v>
      </c>
      <c r="W128" s="49">
        <f t="shared" si="11"/>
        <v>0.5680473373</v>
      </c>
      <c r="X128" s="49">
        <f t="shared" si="12"/>
        <v>0.3237531699</v>
      </c>
      <c r="Y128" s="49">
        <f t="shared" si="13"/>
        <v>0.1081994928</v>
      </c>
      <c r="Z128" s="32" t="str">
        <f t="shared" si="14"/>
        <v>Jango</v>
      </c>
      <c r="AA128" s="50" t="s">
        <v>77</v>
      </c>
      <c r="AB128" s="38">
        <v>2498.0</v>
      </c>
      <c r="AC128" s="48">
        <f t="shared" si="17"/>
        <v>726</v>
      </c>
      <c r="AD128" s="51">
        <f t="shared" si="18"/>
        <v>0.709367494</v>
      </c>
    </row>
    <row r="129">
      <c r="A129" s="24"/>
      <c r="B129" s="46" t="s">
        <v>2670</v>
      </c>
      <c r="C129" s="47"/>
      <c r="D129" s="38">
        <v>267.0</v>
      </c>
      <c r="E129" s="38">
        <v>577.0</v>
      </c>
      <c r="F129" s="38">
        <v>142.0</v>
      </c>
      <c r="G129" s="38">
        <v>75.0</v>
      </c>
      <c r="H129" s="38">
        <v>35.0</v>
      </c>
      <c r="I129" s="48">
        <f t="shared" si="3"/>
        <v>986</v>
      </c>
      <c r="J129" s="48">
        <f t="shared" si="4"/>
        <v>1096</v>
      </c>
      <c r="K129" s="49">
        <f t="shared" si="5"/>
        <v>0.2707910751</v>
      </c>
      <c r="L129" s="49">
        <f t="shared" si="6"/>
        <v>0.5851926978</v>
      </c>
      <c r="M129" s="49">
        <f t="shared" si="7"/>
        <v>0.1440162272</v>
      </c>
      <c r="N129" s="32" t="str">
        <f t="shared" si="8"/>
        <v>Mal. Lott</v>
      </c>
      <c r="O129" s="50" t="s">
        <v>77</v>
      </c>
      <c r="P129" s="38">
        <v>584.0</v>
      </c>
      <c r="Q129" s="38">
        <v>220.0</v>
      </c>
      <c r="R129" s="38">
        <v>74.0</v>
      </c>
      <c r="S129" s="38">
        <v>184.0</v>
      </c>
      <c r="T129" s="38">
        <v>34.0</v>
      </c>
      <c r="U129" s="48">
        <f t="shared" si="9"/>
        <v>878</v>
      </c>
      <c r="V129" s="48">
        <f t="shared" si="10"/>
        <v>1096</v>
      </c>
      <c r="W129" s="49">
        <f t="shared" si="11"/>
        <v>0.6651480638</v>
      </c>
      <c r="X129" s="49">
        <f t="shared" si="12"/>
        <v>0.2505694761</v>
      </c>
      <c r="Y129" s="49">
        <f t="shared" si="13"/>
        <v>0.08428246014</v>
      </c>
      <c r="Z129" s="32" t="str">
        <f t="shared" si="14"/>
        <v>Jango</v>
      </c>
      <c r="AA129" s="50" t="s">
        <v>77</v>
      </c>
      <c r="AB129" s="38">
        <v>1574.0</v>
      </c>
      <c r="AC129" s="48">
        <f t="shared" si="17"/>
        <v>478</v>
      </c>
      <c r="AD129" s="51">
        <f t="shared" si="18"/>
        <v>0.6963151207</v>
      </c>
    </row>
    <row r="130">
      <c r="A130" s="110" t="s">
        <v>516</v>
      </c>
      <c r="B130" s="46" t="s">
        <v>1042</v>
      </c>
      <c r="C130" s="47"/>
      <c r="D130" s="38">
        <v>959.0</v>
      </c>
      <c r="E130" s="38">
        <v>595.0</v>
      </c>
      <c r="F130" s="38">
        <v>177.0</v>
      </c>
      <c r="G130" s="38">
        <v>147.0</v>
      </c>
      <c r="H130" s="38">
        <v>132.0</v>
      </c>
      <c r="I130" s="48">
        <f t="shared" si="3"/>
        <v>1731</v>
      </c>
      <c r="J130" s="48">
        <f t="shared" si="4"/>
        <v>2010</v>
      </c>
      <c r="K130" s="49">
        <f t="shared" si="5"/>
        <v>0.5540150202</v>
      </c>
      <c r="L130" s="49">
        <f t="shared" si="6"/>
        <v>0.3437319469</v>
      </c>
      <c r="M130" s="49">
        <f t="shared" si="7"/>
        <v>0.1022530329</v>
      </c>
      <c r="N130" s="32" t="str">
        <f t="shared" si="8"/>
        <v>Jânio</v>
      </c>
      <c r="O130" s="50" t="s">
        <v>77</v>
      </c>
      <c r="P130" s="38">
        <v>678.0</v>
      </c>
      <c r="Q130" s="38">
        <v>888.0</v>
      </c>
      <c r="R130" s="38">
        <v>117.0</v>
      </c>
      <c r="S130" s="38">
        <v>252.0</v>
      </c>
      <c r="T130" s="38">
        <v>75.0</v>
      </c>
      <c r="U130" s="48">
        <f t="shared" si="9"/>
        <v>1683</v>
      </c>
      <c r="V130" s="48">
        <f t="shared" si="10"/>
        <v>2010</v>
      </c>
      <c r="W130" s="49">
        <f t="shared" si="11"/>
        <v>0.4028520499</v>
      </c>
      <c r="X130" s="49">
        <f t="shared" si="12"/>
        <v>0.5276292335</v>
      </c>
      <c r="Y130" s="49">
        <f t="shared" si="13"/>
        <v>0.06951871658</v>
      </c>
      <c r="Z130" s="32" t="str">
        <f t="shared" si="14"/>
        <v>Milton</v>
      </c>
      <c r="AA130" s="50" t="s">
        <v>77</v>
      </c>
      <c r="AB130" s="38">
        <v>2511.0</v>
      </c>
      <c r="AC130" s="48">
        <f t="shared" si="17"/>
        <v>501</v>
      </c>
      <c r="AD130" s="51">
        <f t="shared" si="18"/>
        <v>0.8004778973</v>
      </c>
    </row>
    <row r="131">
      <c r="A131" s="61" t="s">
        <v>518</v>
      </c>
      <c r="B131" s="46" t="s">
        <v>2671</v>
      </c>
      <c r="C131" s="47"/>
      <c r="D131" s="38">
        <v>533.0</v>
      </c>
      <c r="E131" s="38">
        <v>905.0</v>
      </c>
      <c r="F131" s="38">
        <v>146.0</v>
      </c>
      <c r="G131" s="38">
        <v>106.0</v>
      </c>
      <c r="H131" s="38">
        <v>107.0</v>
      </c>
      <c r="I131" s="48">
        <f t="shared" si="3"/>
        <v>1584</v>
      </c>
      <c r="J131" s="48">
        <f t="shared" si="4"/>
        <v>1797</v>
      </c>
      <c r="K131" s="49">
        <f t="shared" si="5"/>
        <v>0.336489899</v>
      </c>
      <c r="L131" s="49">
        <f t="shared" si="6"/>
        <v>0.5713383838</v>
      </c>
      <c r="M131" s="49">
        <f t="shared" si="7"/>
        <v>0.09217171717</v>
      </c>
      <c r="N131" s="32" t="str">
        <f t="shared" si="8"/>
        <v>Mal. Lott</v>
      </c>
      <c r="O131" s="50" t="s">
        <v>77</v>
      </c>
      <c r="P131" s="38">
        <v>554.0</v>
      </c>
      <c r="Q131" s="38">
        <v>445.0</v>
      </c>
      <c r="R131" s="38">
        <v>90.0</v>
      </c>
      <c r="S131" s="38">
        <v>641.0</v>
      </c>
      <c r="T131" s="38">
        <v>67.0</v>
      </c>
      <c r="U131" s="48">
        <f t="shared" si="9"/>
        <v>1089</v>
      </c>
      <c r="V131" s="48">
        <f t="shared" si="10"/>
        <v>1797</v>
      </c>
      <c r="W131" s="49">
        <f t="shared" si="11"/>
        <v>0.5087235996</v>
      </c>
      <c r="X131" s="49">
        <f t="shared" si="12"/>
        <v>0.4086317723</v>
      </c>
      <c r="Y131" s="49">
        <f t="shared" si="13"/>
        <v>0.0826446281</v>
      </c>
      <c r="Z131" s="32" t="str">
        <f t="shared" si="14"/>
        <v>Jango</v>
      </c>
      <c r="AA131" s="50" t="s">
        <v>77</v>
      </c>
      <c r="AB131" s="38">
        <v>2709.0</v>
      </c>
      <c r="AC131" s="48">
        <f t="shared" si="17"/>
        <v>912</v>
      </c>
      <c r="AD131" s="51">
        <f t="shared" si="18"/>
        <v>0.6633444075</v>
      </c>
    </row>
    <row r="132">
      <c r="A132" s="24"/>
      <c r="B132" s="46" t="s">
        <v>2672</v>
      </c>
      <c r="C132" s="47"/>
      <c r="D132" s="38">
        <v>39.0</v>
      </c>
      <c r="E132" s="38">
        <v>1723.0</v>
      </c>
      <c r="F132" s="38">
        <v>3.0</v>
      </c>
      <c r="G132" s="38">
        <v>115.0</v>
      </c>
      <c r="H132" s="38">
        <v>21.0</v>
      </c>
      <c r="I132" s="48">
        <f t="shared" si="3"/>
        <v>1765</v>
      </c>
      <c r="J132" s="48">
        <f t="shared" si="4"/>
        <v>1901</v>
      </c>
      <c r="K132" s="49">
        <f t="shared" si="5"/>
        <v>0.02209631728</v>
      </c>
      <c r="L132" s="49">
        <f t="shared" si="6"/>
        <v>0.976203966</v>
      </c>
      <c r="M132" s="49">
        <f t="shared" si="7"/>
        <v>0.001699716714</v>
      </c>
      <c r="N132" s="32" t="str">
        <f t="shared" si="8"/>
        <v>Mal. Lott</v>
      </c>
      <c r="O132" s="50" t="s">
        <v>77</v>
      </c>
      <c r="P132" s="38">
        <v>1733.0</v>
      </c>
      <c r="Q132" s="38">
        <v>31.0</v>
      </c>
      <c r="R132" s="38">
        <v>7.0</v>
      </c>
      <c r="S132" s="38">
        <v>113.0</v>
      </c>
      <c r="T132" s="38">
        <v>17.0</v>
      </c>
      <c r="U132" s="48">
        <f t="shared" si="9"/>
        <v>1771</v>
      </c>
      <c r="V132" s="48">
        <f t="shared" si="10"/>
        <v>1901</v>
      </c>
      <c r="W132" s="49">
        <f t="shared" si="11"/>
        <v>0.9785431959</v>
      </c>
      <c r="X132" s="49">
        <f t="shared" si="12"/>
        <v>0.0175042349</v>
      </c>
      <c r="Y132" s="49">
        <f t="shared" si="13"/>
        <v>0.00395256917</v>
      </c>
      <c r="Z132" s="32" t="str">
        <f t="shared" si="14"/>
        <v>Jango</v>
      </c>
      <c r="AA132" s="50" t="s">
        <v>77</v>
      </c>
      <c r="AB132" s="38">
        <v>2361.0</v>
      </c>
      <c r="AC132" s="48">
        <f t="shared" si="17"/>
        <v>460</v>
      </c>
      <c r="AD132" s="51">
        <f t="shared" si="18"/>
        <v>0.805167302</v>
      </c>
    </row>
    <row r="133">
      <c r="A133" s="61" t="s">
        <v>522</v>
      </c>
      <c r="B133" s="46" t="s">
        <v>2673</v>
      </c>
      <c r="C133" s="47"/>
      <c r="D133" s="38">
        <v>2016.0</v>
      </c>
      <c r="E133" s="38">
        <v>1704.0</v>
      </c>
      <c r="F133" s="38">
        <v>324.0</v>
      </c>
      <c r="G133" s="38">
        <v>266.0</v>
      </c>
      <c r="H133" s="38">
        <v>198.0</v>
      </c>
      <c r="I133" s="48">
        <f t="shared" si="3"/>
        <v>4044</v>
      </c>
      <c r="J133" s="48">
        <f t="shared" si="4"/>
        <v>4508</v>
      </c>
      <c r="K133" s="49">
        <f t="shared" si="5"/>
        <v>0.4985163205</v>
      </c>
      <c r="L133" s="49">
        <f t="shared" si="6"/>
        <v>0.4213649852</v>
      </c>
      <c r="M133" s="49">
        <f t="shared" si="7"/>
        <v>0.08011869436</v>
      </c>
      <c r="N133" s="32" t="str">
        <f t="shared" si="8"/>
        <v>Jânio</v>
      </c>
      <c r="O133" s="50" t="s">
        <v>77</v>
      </c>
      <c r="P133" s="38">
        <v>1781.0</v>
      </c>
      <c r="Q133" s="38">
        <v>1921.0</v>
      </c>
      <c r="R133" s="38">
        <v>145.0</v>
      </c>
      <c r="S133" s="38">
        <v>568.0</v>
      </c>
      <c r="T133" s="38">
        <v>93.0</v>
      </c>
      <c r="U133" s="48">
        <f t="shared" si="9"/>
        <v>3847</v>
      </c>
      <c r="V133" s="48">
        <f t="shared" si="10"/>
        <v>4508</v>
      </c>
      <c r="W133" s="49">
        <f t="shared" si="11"/>
        <v>0.4629581492</v>
      </c>
      <c r="X133" s="49">
        <f t="shared" si="12"/>
        <v>0.499350143</v>
      </c>
      <c r="Y133" s="49">
        <f t="shared" si="13"/>
        <v>0.03769170782</v>
      </c>
      <c r="Z133" s="32" t="str">
        <f t="shared" si="14"/>
        <v>Milton</v>
      </c>
      <c r="AA133" s="50" t="s">
        <v>77</v>
      </c>
      <c r="AB133" s="38">
        <v>5031.0</v>
      </c>
      <c r="AC133" s="48">
        <f t="shared" si="17"/>
        <v>523</v>
      </c>
      <c r="AD133" s="51">
        <f t="shared" si="18"/>
        <v>0.896044524</v>
      </c>
    </row>
    <row r="134">
      <c r="A134" s="24"/>
      <c r="B134" s="46" t="s">
        <v>2674</v>
      </c>
      <c r="C134" s="47"/>
      <c r="D134" s="38">
        <v>478.0</v>
      </c>
      <c r="E134" s="38">
        <v>530.0</v>
      </c>
      <c r="F134" s="38">
        <v>64.0</v>
      </c>
      <c r="G134" s="38">
        <v>92.0</v>
      </c>
      <c r="H134" s="38">
        <v>58.0</v>
      </c>
      <c r="I134" s="48">
        <f t="shared" si="3"/>
        <v>1072</v>
      </c>
      <c r="J134" s="48">
        <f t="shared" si="4"/>
        <v>1222</v>
      </c>
      <c r="K134" s="49">
        <f t="shared" si="5"/>
        <v>0.4458955224</v>
      </c>
      <c r="L134" s="49">
        <f t="shared" si="6"/>
        <v>0.4944029851</v>
      </c>
      <c r="M134" s="49">
        <f t="shared" si="7"/>
        <v>0.05970149254</v>
      </c>
      <c r="N134" s="32" t="str">
        <f t="shared" si="8"/>
        <v>Mal. Lott</v>
      </c>
      <c r="O134" s="50" t="s">
        <v>77</v>
      </c>
      <c r="P134" s="38">
        <v>508.0</v>
      </c>
      <c r="Q134" s="38">
        <v>377.0</v>
      </c>
      <c r="R134" s="38">
        <v>69.0</v>
      </c>
      <c r="S134" s="38">
        <v>239.0</v>
      </c>
      <c r="T134" s="38">
        <v>29.0</v>
      </c>
      <c r="U134" s="48">
        <f t="shared" si="9"/>
        <v>954</v>
      </c>
      <c r="V134" s="48">
        <f t="shared" si="10"/>
        <v>1222</v>
      </c>
      <c r="W134" s="49">
        <f t="shared" si="11"/>
        <v>0.5324947589</v>
      </c>
      <c r="X134" s="49">
        <f t="shared" si="12"/>
        <v>0.3951781971</v>
      </c>
      <c r="Y134" s="49">
        <f t="shared" si="13"/>
        <v>0.07232704403</v>
      </c>
      <c r="Z134" s="32" t="str">
        <f t="shared" si="14"/>
        <v>Jango</v>
      </c>
      <c r="AA134" s="50" t="s">
        <v>77</v>
      </c>
      <c r="AB134" s="38">
        <v>1493.0</v>
      </c>
      <c r="AC134" s="48">
        <f t="shared" si="17"/>
        <v>271</v>
      </c>
      <c r="AD134" s="51">
        <f t="shared" si="18"/>
        <v>0.8184862693</v>
      </c>
    </row>
    <row r="135">
      <c r="A135" s="61" t="s">
        <v>524</v>
      </c>
      <c r="B135" s="46" t="s">
        <v>2675</v>
      </c>
      <c r="C135" s="47"/>
      <c r="D135" s="38">
        <v>2937.0</v>
      </c>
      <c r="E135" s="38">
        <v>2730.0</v>
      </c>
      <c r="F135" s="38">
        <v>457.0</v>
      </c>
      <c r="G135" s="38">
        <v>321.0</v>
      </c>
      <c r="H135" s="38">
        <v>388.0</v>
      </c>
      <c r="I135" s="48">
        <f t="shared" si="3"/>
        <v>6124</v>
      </c>
      <c r="J135" s="48">
        <f t="shared" si="4"/>
        <v>6833</v>
      </c>
      <c r="K135" s="49">
        <f t="shared" si="5"/>
        <v>0.4795885042</v>
      </c>
      <c r="L135" s="49">
        <f t="shared" si="6"/>
        <v>0.4457870673</v>
      </c>
      <c r="M135" s="49">
        <f t="shared" si="7"/>
        <v>0.07462442848</v>
      </c>
      <c r="N135" s="32" t="str">
        <f t="shared" si="8"/>
        <v>Jânio</v>
      </c>
      <c r="O135" s="50" t="s">
        <v>77</v>
      </c>
      <c r="P135" s="38">
        <v>3031.0</v>
      </c>
      <c r="Q135" s="38">
        <v>1995.0</v>
      </c>
      <c r="R135" s="38">
        <v>810.0</v>
      </c>
      <c r="S135" s="38">
        <v>720.0</v>
      </c>
      <c r="T135" s="38">
        <v>277.0</v>
      </c>
      <c r="U135" s="48">
        <f t="shared" si="9"/>
        <v>5836</v>
      </c>
      <c r="V135" s="48">
        <f t="shared" si="10"/>
        <v>6833</v>
      </c>
      <c r="W135" s="49">
        <f t="shared" si="11"/>
        <v>0.5193625771</v>
      </c>
      <c r="X135" s="49">
        <f t="shared" si="12"/>
        <v>0.3418437286</v>
      </c>
      <c r="Y135" s="49">
        <f t="shared" si="13"/>
        <v>0.1387936943</v>
      </c>
      <c r="Z135" s="32" t="str">
        <f t="shared" si="14"/>
        <v>Jango</v>
      </c>
      <c r="AA135" s="50" t="s">
        <v>77</v>
      </c>
      <c r="AB135" s="38">
        <v>8748.0</v>
      </c>
      <c r="AC135" s="48">
        <f t="shared" si="17"/>
        <v>1915</v>
      </c>
      <c r="AD135" s="51">
        <f t="shared" si="18"/>
        <v>0.7810928212</v>
      </c>
    </row>
    <row r="136">
      <c r="A136" s="23"/>
      <c r="B136" s="46" t="s">
        <v>2676</v>
      </c>
      <c r="C136" s="47"/>
      <c r="D136" s="38">
        <v>642.0</v>
      </c>
      <c r="E136" s="38">
        <v>400.0</v>
      </c>
      <c r="F136" s="38">
        <v>72.0</v>
      </c>
      <c r="G136" s="38">
        <v>48.0</v>
      </c>
      <c r="H136" s="38">
        <v>65.0</v>
      </c>
      <c r="I136" s="48">
        <f t="shared" si="3"/>
        <v>1114</v>
      </c>
      <c r="J136" s="48">
        <f t="shared" si="4"/>
        <v>1227</v>
      </c>
      <c r="K136" s="49">
        <f t="shared" si="5"/>
        <v>0.5763016158</v>
      </c>
      <c r="L136" s="49">
        <f t="shared" si="6"/>
        <v>0.3590664273</v>
      </c>
      <c r="M136" s="49">
        <f t="shared" si="7"/>
        <v>0.06463195691</v>
      </c>
      <c r="N136" s="32" t="str">
        <f t="shared" si="8"/>
        <v>Jânio</v>
      </c>
      <c r="O136" s="50" t="s">
        <v>77</v>
      </c>
      <c r="P136" s="38">
        <v>445.0</v>
      </c>
      <c r="Q136" s="38">
        <v>587.0</v>
      </c>
      <c r="R136" s="38">
        <v>52.0</v>
      </c>
      <c r="S136" s="38">
        <v>106.0</v>
      </c>
      <c r="T136" s="38">
        <v>37.0</v>
      </c>
      <c r="U136" s="48">
        <f t="shared" si="9"/>
        <v>1084</v>
      </c>
      <c r="V136" s="48">
        <f t="shared" si="10"/>
        <v>1227</v>
      </c>
      <c r="W136" s="49">
        <f t="shared" si="11"/>
        <v>0.4105166052</v>
      </c>
      <c r="X136" s="49">
        <f t="shared" si="12"/>
        <v>0.5415129151</v>
      </c>
      <c r="Y136" s="49">
        <f t="shared" si="13"/>
        <v>0.0479704797</v>
      </c>
      <c r="Z136" s="32" t="str">
        <f t="shared" si="14"/>
        <v>Milton</v>
      </c>
      <c r="AA136" s="50" t="s">
        <v>77</v>
      </c>
      <c r="AB136" s="38">
        <v>1640.0</v>
      </c>
      <c r="AC136" s="48">
        <f t="shared" si="17"/>
        <v>413</v>
      </c>
      <c r="AD136" s="51">
        <f t="shared" si="18"/>
        <v>0.7481707317</v>
      </c>
    </row>
    <row r="137">
      <c r="A137" s="23"/>
      <c r="B137" s="46" t="s">
        <v>2677</v>
      </c>
      <c r="C137" s="47"/>
      <c r="D137" s="38">
        <v>1437.0</v>
      </c>
      <c r="E137" s="38">
        <v>1290.0</v>
      </c>
      <c r="F137" s="38">
        <v>196.0</v>
      </c>
      <c r="G137" s="38">
        <v>172.0</v>
      </c>
      <c r="H137" s="38">
        <v>215.0</v>
      </c>
      <c r="I137" s="48">
        <f t="shared" si="3"/>
        <v>2923</v>
      </c>
      <c r="J137" s="48">
        <f t="shared" si="4"/>
        <v>3310</v>
      </c>
      <c r="K137" s="49">
        <f t="shared" si="5"/>
        <v>0.4916182005</v>
      </c>
      <c r="L137" s="49">
        <f t="shared" si="6"/>
        <v>0.4413274034</v>
      </c>
      <c r="M137" s="49">
        <f t="shared" si="7"/>
        <v>0.06705439617</v>
      </c>
      <c r="N137" s="32" t="str">
        <f t="shared" si="8"/>
        <v>Jânio</v>
      </c>
      <c r="O137" s="50" t="s">
        <v>77</v>
      </c>
      <c r="P137" s="38">
        <v>1353.0</v>
      </c>
      <c r="Q137" s="38">
        <v>908.0</v>
      </c>
      <c r="R137" s="38">
        <v>418.0</v>
      </c>
      <c r="S137" s="38">
        <v>511.0</v>
      </c>
      <c r="T137" s="38">
        <v>120.0</v>
      </c>
      <c r="U137" s="48">
        <f t="shared" si="9"/>
        <v>2679</v>
      </c>
      <c r="V137" s="48">
        <f t="shared" si="10"/>
        <v>3310</v>
      </c>
      <c r="W137" s="49">
        <f t="shared" si="11"/>
        <v>0.5050391937</v>
      </c>
      <c r="X137" s="49">
        <f t="shared" si="12"/>
        <v>0.3389324375</v>
      </c>
      <c r="Y137" s="49">
        <f t="shared" si="13"/>
        <v>0.1560283688</v>
      </c>
      <c r="Z137" s="32" t="str">
        <f t="shared" si="14"/>
        <v>Jango</v>
      </c>
      <c r="AA137" s="50" t="s">
        <v>77</v>
      </c>
      <c r="AB137" s="38">
        <v>4261.0</v>
      </c>
      <c r="AC137" s="48">
        <f t="shared" si="17"/>
        <v>951</v>
      </c>
      <c r="AD137" s="51">
        <f t="shared" si="18"/>
        <v>0.7768129547</v>
      </c>
    </row>
    <row r="138">
      <c r="A138" s="24"/>
      <c r="B138" s="46" t="s">
        <v>2678</v>
      </c>
      <c r="C138" s="47"/>
      <c r="D138" s="38">
        <v>282.0</v>
      </c>
      <c r="E138" s="38">
        <v>779.0</v>
      </c>
      <c r="F138" s="38">
        <v>117.0</v>
      </c>
      <c r="G138" s="38">
        <v>71.0</v>
      </c>
      <c r="H138" s="38">
        <v>77.0</v>
      </c>
      <c r="I138" s="48">
        <f t="shared" si="3"/>
        <v>1178</v>
      </c>
      <c r="J138" s="48">
        <f t="shared" si="4"/>
        <v>1326</v>
      </c>
      <c r="K138" s="49">
        <f t="shared" si="5"/>
        <v>0.2393887946</v>
      </c>
      <c r="L138" s="49">
        <f t="shared" si="6"/>
        <v>0.6612903226</v>
      </c>
      <c r="M138" s="49">
        <f t="shared" si="7"/>
        <v>0.09932088285</v>
      </c>
      <c r="N138" s="32" t="str">
        <f t="shared" si="8"/>
        <v>Mal. Lott</v>
      </c>
      <c r="O138" s="50" t="s">
        <v>77</v>
      </c>
      <c r="P138" s="38">
        <v>820.0</v>
      </c>
      <c r="Q138" s="38">
        <v>220.0</v>
      </c>
      <c r="R138" s="38">
        <v>76.0</v>
      </c>
      <c r="S138" s="38">
        <v>170.0</v>
      </c>
      <c r="T138" s="38">
        <v>40.0</v>
      </c>
      <c r="U138" s="48">
        <f t="shared" si="9"/>
        <v>1116</v>
      </c>
      <c r="V138" s="48">
        <f t="shared" si="10"/>
        <v>1326</v>
      </c>
      <c r="W138" s="49">
        <f t="shared" si="11"/>
        <v>0.7347670251</v>
      </c>
      <c r="X138" s="49">
        <f t="shared" si="12"/>
        <v>0.1971326165</v>
      </c>
      <c r="Y138" s="49">
        <f t="shared" si="13"/>
        <v>0.06810035842</v>
      </c>
      <c r="Z138" s="32" t="str">
        <f t="shared" si="14"/>
        <v>Jango</v>
      </c>
      <c r="AA138" s="50" t="s">
        <v>77</v>
      </c>
      <c r="AB138" s="38">
        <v>1683.0</v>
      </c>
      <c r="AC138" s="48">
        <f t="shared" si="17"/>
        <v>357</v>
      </c>
      <c r="AD138" s="51">
        <f t="shared" si="18"/>
        <v>0.7878787879</v>
      </c>
    </row>
    <row r="139">
      <c r="A139" s="61" t="s">
        <v>526</v>
      </c>
      <c r="B139" s="46" t="s">
        <v>2679</v>
      </c>
      <c r="C139" s="47"/>
      <c r="D139" s="38">
        <v>6057.0</v>
      </c>
      <c r="E139" s="38">
        <v>6583.0</v>
      </c>
      <c r="F139" s="38">
        <v>1340.0</v>
      </c>
      <c r="G139" s="38">
        <v>655.0</v>
      </c>
      <c r="H139" s="38">
        <v>949.0</v>
      </c>
      <c r="I139" s="48">
        <f t="shared" si="3"/>
        <v>13980</v>
      </c>
      <c r="J139" s="48">
        <f t="shared" si="4"/>
        <v>15584</v>
      </c>
      <c r="K139" s="49">
        <f t="shared" si="5"/>
        <v>0.4332618026</v>
      </c>
      <c r="L139" s="49">
        <f t="shared" si="6"/>
        <v>0.4708869814</v>
      </c>
      <c r="M139" s="49">
        <f t="shared" si="7"/>
        <v>0.09585121602</v>
      </c>
      <c r="N139" s="32" t="str">
        <f t="shared" si="8"/>
        <v>Mal. Lott</v>
      </c>
      <c r="O139" s="50" t="s">
        <v>77</v>
      </c>
      <c r="P139" s="38">
        <v>6996.0</v>
      </c>
      <c r="Q139" s="38">
        <v>5509.0</v>
      </c>
      <c r="R139" s="38">
        <v>890.0</v>
      </c>
      <c r="S139" s="38">
        <v>1584.0</v>
      </c>
      <c r="T139" s="38">
        <v>605.0</v>
      </c>
      <c r="U139" s="48">
        <f t="shared" si="9"/>
        <v>13395</v>
      </c>
      <c r="V139" s="48">
        <f t="shared" si="10"/>
        <v>15584</v>
      </c>
      <c r="W139" s="49">
        <f t="shared" si="11"/>
        <v>0.5222844345</v>
      </c>
      <c r="X139" s="49">
        <f t="shared" si="12"/>
        <v>0.411272863</v>
      </c>
      <c r="Y139" s="49">
        <f t="shared" si="13"/>
        <v>0.0664427025</v>
      </c>
      <c r="Z139" s="32" t="str">
        <f t="shared" si="14"/>
        <v>Jango</v>
      </c>
      <c r="AA139" s="50" t="s">
        <v>77</v>
      </c>
      <c r="AB139" s="38">
        <v>19744.0</v>
      </c>
      <c r="AC139" s="48">
        <f t="shared" si="17"/>
        <v>4160</v>
      </c>
      <c r="AD139" s="51">
        <f t="shared" si="18"/>
        <v>0.7893030794</v>
      </c>
    </row>
    <row r="140">
      <c r="A140" s="24"/>
      <c r="B140" s="46" t="s">
        <v>2680</v>
      </c>
      <c r="C140" s="47"/>
      <c r="D140" s="38">
        <v>1059.0</v>
      </c>
      <c r="E140" s="38">
        <v>2814.0</v>
      </c>
      <c r="F140" s="38">
        <v>458.0</v>
      </c>
      <c r="G140" s="38">
        <v>316.0</v>
      </c>
      <c r="H140" s="38">
        <v>447.0</v>
      </c>
      <c r="I140" s="48">
        <f t="shared" si="3"/>
        <v>4331</v>
      </c>
      <c r="J140" s="48">
        <f t="shared" si="4"/>
        <v>5094</v>
      </c>
      <c r="K140" s="49">
        <f t="shared" si="5"/>
        <v>0.244516278</v>
      </c>
      <c r="L140" s="49">
        <f t="shared" si="6"/>
        <v>0.6497344724</v>
      </c>
      <c r="M140" s="49">
        <f t="shared" si="7"/>
        <v>0.1057492496</v>
      </c>
      <c r="N140" s="32" t="str">
        <f t="shared" si="8"/>
        <v>Mal. Lott</v>
      </c>
      <c r="O140" s="50" t="s">
        <v>77</v>
      </c>
      <c r="P140" s="38">
        <v>3015.0</v>
      </c>
      <c r="Q140" s="38">
        <v>891.0</v>
      </c>
      <c r="R140" s="38">
        <v>285.0</v>
      </c>
      <c r="S140" s="38">
        <v>647.0</v>
      </c>
      <c r="T140" s="38">
        <v>256.0</v>
      </c>
      <c r="U140" s="48">
        <f t="shared" si="9"/>
        <v>4191</v>
      </c>
      <c r="V140" s="48">
        <f t="shared" si="10"/>
        <v>5094</v>
      </c>
      <c r="W140" s="49">
        <f t="shared" si="11"/>
        <v>0.7193987115</v>
      </c>
      <c r="X140" s="49">
        <f t="shared" si="12"/>
        <v>0.2125984252</v>
      </c>
      <c r="Y140" s="49">
        <f t="shared" si="13"/>
        <v>0.06800286328</v>
      </c>
      <c r="Z140" s="32" t="str">
        <f t="shared" si="14"/>
        <v>Jango</v>
      </c>
      <c r="AA140" s="50" t="s">
        <v>77</v>
      </c>
      <c r="AB140" s="38">
        <v>7775.0</v>
      </c>
      <c r="AC140" s="48">
        <f t="shared" si="17"/>
        <v>2681</v>
      </c>
      <c r="AD140" s="51">
        <f t="shared" si="18"/>
        <v>0.6551768489</v>
      </c>
    </row>
    <row r="141">
      <c r="A141" s="110" t="s">
        <v>529</v>
      </c>
      <c r="B141" s="46" t="s">
        <v>2681</v>
      </c>
      <c r="C141" s="47"/>
      <c r="D141" s="38">
        <v>1541.0</v>
      </c>
      <c r="E141" s="38">
        <v>1006.0</v>
      </c>
      <c r="F141" s="38">
        <v>92.0</v>
      </c>
      <c r="G141" s="38">
        <v>95.0</v>
      </c>
      <c r="H141" s="38">
        <v>114.0</v>
      </c>
      <c r="I141" s="48">
        <f t="shared" si="3"/>
        <v>2639</v>
      </c>
      <c r="J141" s="48">
        <f t="shared" si="4"/>
        <v>2848</v>
      </c>
      <c r="K141" s="49">
        <f t="shared" si="5"/>
        <v>0.5839333081</v>
      </c>
      <c r="L141" s="49">
        <f t="shared" si="6"/>
        <v>0.3812050019</v>
      </c>
      <c r="M141" s="49">
        <f t="shared" si="7"/>
        <v>0.03486169003</v>
      </c>
      <c r="N141" s="32" t="str">
        <f t="shared" si="8"/>
        <v>Jânio</v>
      </c>
      <c r="O141" s="50" t="s">
        <v>77</v>
      </c>
      <c r="P141" s="38">
        <v>970.0</v>
      </c>
      <c r="Q141" s="38">
        <v>1488.0</v>
      </c>
      <c r="R141" s="38">
        <v>69.0</v>
      </c>
      <c r="S141" s="38">
        <v>260.0</v>
      </c>
      <c r="T141" s="38">
        <v>61.0</v>
      </c>
      <c r="U141" s="48">
        <f t="shared" si="9"/>
        <v>2527</v>
      </c>
      <c r="V141" s="48">
        <f t="shared" si="10"/>
        <v>2848</v>
      </c>
      <c r="W141" s="49">
        <f t="shared" si="11"/>
        <v>0.3838543728</v>
      </c>
      <c r="X141" s="49">
        <f t="shared" si="12"/>
        <v>0.5888405224</v>
      </c>
      <c r="Y141" s="49">
        <f t="shared" si="13"/>
        <v>0.02730510487</v>
      </c>
      <c r="Z141" s="32" t="str">
        <f t="shared" si="14"/>
        <v>Milton</v>
      </c>
      <c r="AA141" s="50" t="s">
        <v>77</v>
      </c>
      <c r="AB141" s="38">
        <v>3930.0</v>
      </c>
      <c r="AC141" s="48">
        <f t="shared" si="17"/>
        <v>1082</v>
      </c>
      <c r="AD141" s="51">
        <f t="shared" si="18"/>
        <v>0.7246819338</v>
      </c>
    </row>
    <row r="142">
      <c r="A142" s="110" t="s">
        <v>531</v>
      </c>
      <c r="B142" s="46" t="s">
        <v>2682</v>
      </c>
      <c r="C142" s="47"/>
      <c r="D142" s="38">
        <v>742.0</v>
      </c>
      <c r="E142" s="38">
        <v>612.0</v>
      </c>
      <c r="F142" s="38">
        <v>161.0</v>
      </c>
      <c r="G142" s="38">
        <v>141.0</v>
      </c>
      <c r="H142" s="38">
        <v>146.0</v>
      </c>
      <c r="I142" s="48">
        <f t="shared" si="3"/>
        <v>1515</v>
      </c>
      <c r="J142" s="48">
        <f t="shared" si="4"/>
        <v>1802</v>
      </c>
      <c r="K142" s="49">
        <f t="shared" si="5"/>
        <v>0.4897689769</v>
      </c>
      <c r="L142" s="49">
        <f t="shared" si="6"/>
        <v>0.403960396</v>
      </c>
      <c r="M142" s="49">
        <f t="shared" si="7"/>
        <v>0.1062706271</v>
      </c>
      <c r="N142" s="32" t="str">
        <f t="shared" si="8"/>
        <v>Jânio</v>
      </c>
      <c r="O142" s="50" t="s">
        <v>77</v>
      </c>
      <c r="P142" s="38">
        <v>587.0</v>
      </c>
      <c r="Q142" s="38">
        <v>725.0</v>
      </c>
      <c r="R142" s="38">
        <v>114.0</v>
      </c>
      <c r="S142" s="38">
        <v>282.0</v>
      </c>
      <c r="T142" s="38">
        <v>94.0</v>
      </c>
      <c r="U142" s="48">
        <f t="shared" si="9"/>
        <v>1426</v>
      </c>
      <c r="V142" s="48">
        <f t="shared" si="10"/>
        <v>1802</v>
      </c>
      <c r="W142" s="49">
        <f t="shared" si="11"/>
        <v>0.4116409537</v>
      </c>
      <c r="X142" s="49">
        <f t="shared" si="12"/>
        <v>0.5084151473</v>
      </c>
      <c r="Y142" s="49">
        <f t="shared" si="13"/>
        <v>0.07994389902</v>
      </c>
      <c r="Z142" s="32" t="str">
        <f t="shared" si="14"/>
        <v>Milton</v>
      </c>
      <c r="AA142" s="50" t="s">
        <v>77</v>
      </c>
      <c r="AB142" s="38">
        <v>2101.0</v>
      </c>
      <c r="AC142" s="48">
        <f t="shared" si="17"/>
        <v>299</v>
      </c>
      <c r="AD142" s="51">
        <f t="shared" si="18"/>
        <v>0.8576868158</v>
      </c>
    </row>
    <row r="143">
      <c r="A143" s="61" t="s">
        <v>533</v>
      </c>
      <c r="B143" s="46" t="s">
        <v>2683</v>
      </c>
      <c r="C143" s="47"/>
      <c r="D143" s="38">
        <v>484.0</v>
      </c>
      <c r="E143" s="38">
        <v>584.0</v>
      </c>
      <c r="F143" s="38">
        <v>297.0</v>
      </c>
      <c r="G143" s="38">
        <v>78.0</v>
      </c>
      <c r="H143" s="38">
        <v>55.0</v>
      </c>
      <c r="I143" s="48">
        <f t="shared" si="3"/>
        <v>1365</v>
      </c>
      <c r="J143" s="48">
        <f t="shared" si="4"/>
        <v>1498</v>
      </c>
      <c r="K143" s="49">
        <f t="shared" si="5"/>
        <v>0.3545787546</v>
      </c>
      <c r="L143" s="49">
        <f t="shared" si="6"/>
        <v>0.4278388278</v>
      </c>
      <c r="M143" s="49">
        <f t="shared" si="7"/>
        <v>0.2175824176</v>
      </c>
      <c r="N143" s="32" t="str">
        <f t="shared" si="8"/>
        <v>Mal. Lott</v>
      </c>
      <c r="O143" s="50" t="s">
        <v>77</v>
      </c>
      <c r="P143" s="38">
        <v>424.0</v>
      </c>
      <c r="Q143" s="38">
        <v>737.0</v>
      </c>
      <c r="R143" s="38">
        <v>96.0</v>
      </c>
      <c r="S143" s="38">
        <v>194.0</v>
      </c>
      <c r="T143" s="38">
        <v>47.0</v>
      </c>
      <c r="U143" s="48">
        <f t="shared" si="9"/>
        <v>1257</v>
      </c>
      <c r="V143" s="48">
        <f t="shared" si="10"/>
        <v>1498</v>
      </c>
      <c r="W143" s="49">
        <f t="shared" si="11"/>
        <v>0.3373110581</v>
      </c>
      <c r="X143" s="49">
        <f t="shared" si="12"/>
        <v>0.5863166269</v>
      </c>
      <c r="Y143" s="49">
        <f t="shared" si="13"/>
        <v>0.07637231504</v>
      </c>
      <c r="Z143" s="32" t="str">
        <f t="shared" si="14"/>
        <v>Milton</v>
      </c>
      <c r="AA143" s="50" t="s">
        <v>77</v>
      </c>
      <c r="AB143" s="38">
        <v>1761.0</v>
      </c>
      <c r="AC143" s="48">
        <f t="shared" si="17"/>
        <v>263</v>
      </c>
      <c r="AD143" s="51">
        <f t="shared" si="18"/>
        <v>0.850653038</v>
      </c>
    </row>
    <row r="144">
      <c r="A144" s="23"/>
      <c r="B144" s="46" t="s">
        <v>2684</v>
      </c>
      <c r="C144" s="47"/>
      <c r="D144" s="38">
        <v>314.0</v>
      </c>
      <c r="E144" s="38">
        <v>207.0</v>
      </c>
      <c r="F144" s="38">
        <v>123.0</v>
      </c>
      <c r="G144" s="38">
        <v>28.0</v>
      </c>
      <c r="H144" s="38">
        <v>26.0</v>
      </c>
      <c r="I144" s="48">
        <f t="shared" si="3"/>
        <v>644</v>
      </c>
      <c r="J144" s="48">
        <f t="shared" si="4"/>
        <v>698</v>
      </c>
      <c r="K144" s="49">
        <f t="shared" si="5"/>
        <v>0.4875776398</v>
      </c>
      <c r="L144" s="49">
        <f t="shared" si="6"/>
        <v>0.3214285714</v>
      </c>
      <c r="M144" s="49">
        <f t="shared" si="7"/>
        <v>0.1909937888</v>
      </c>
      <c r="N144" s="32" t="str">
        <f t="shared" si="8"/>
        <v>Jânio</v>
      </c>
      <c r="O144" s="50" t="s">
        <v>77</v>
      </c>
      <c r="P144" s="38">
        <v>186.0</v>
      </c>
      <c r="Q144" s="38">
        <v>288.0</v>
      </c>
      <c r="R144" s="38">
        <v>57.0</v>
      </c>
      <c r="S144" s="38">
        <v>150.0</v>
      </c>
      <c r="T144" s="38">
        <v>17.0</v>
      </c>
      <c r="U144" s="48">
        <f t="shared" si="9"/>
        <v>531</v>
      </c>
      <c r="V144" s="48">
        <f t="shared" si="10"/>
        <v>698</v>
      </c>
      <c r="W144" s="49">
        <f t="shared" si="11"/>
        <v>0.3502824859</v>
      </c>
      <c r="X144" s="49">
        <f t="shared" si="12"/>
        <v>0.5423728814</v>
      </c>
      <c r="Y144" s="49">
        <f t="shared" si="13"/>
        <v>0.1073446328</v>
      </c>
      <c r="Z144" s="32" t="str">
        <f t="shared" si="14"/>
        <v>Milton</v>
      </c>
      <c r="AA144" s="50" t="s">
        <v>77</v>
      </c>
      <c r="AB144" s="38">
        <v>838.0</v>
      </c>
      <c r="AC144" s="48">
        <f t="shared" si="17"/>
        <v>140</v>
      </c>
      <c r="AD144" s="51">
        <f t="shared" si="18"/>
        <v>0.8329355609</v>
      </c>
    </row>
    <row r="145">
      <c r="A145" s="24"/>
      <c r="B145" s="46" t="s">
        <v>2685</v>
      </c>
      <c r="C145" s="47"/>
      <c r="D145" s="38">
        <v>405.0</v>
      </c>
      <c r="E145" s="38">
        <v>358.0</v>
      </c>
      <c r="F145" s="38">
        <v>773.0</v>
      </c>
      <c r="G145" s="38">
        <v>61.0</v>
      </c>
      <c r="H145" s="38">
        <v>88.0</v>
      </c>
      <c r="I145" s="48">
        <f t="shared" si="3"/>
        <v>1536</v>
      </c>
      <c r="J145" s="48">
        <f t="shared" si="4"/>
        <v>1685</v>
      </c>
      <c r="K145" s="49">
        <f t="shared" si="5"/>
        <v>0.263671875</v>
      </c>
      <c r="L145" s="49">
        <f t="shared" si="6"/>
        <v>0.2330729167</v>
      </c>
      <c r="M145" s="49">
        <f t="shared" si="7"/>
        <v>0.5032552083</v>
      </c>
      <c r="N145" s="32" t="str">
        <f t="shared" si="8"/>
        <v>Adhemar</v>
      </c>
      <c r="O145" s="50" t="s">
        <v>77</v>
      </c>
      <c r="P145" s="38">
        <v>492.0</v>
      </c>
      <c r="Q145" s="38">
        <v>475.0</v>
      </c>
      <c r="R145" s="38">
        <v>370.0</v>
      </c>
      <c r="S145" s="38">
        <v>303.0</v>
      </c>
      <c r="T145" s="38">
        <v>45.0</v>
      </c>
      <c r="U145" s="48">
        <f t="shared" si="9"/>
        <v>1337</v>
      </c>
      <c r="V145" s="48">
        <f t="shared" si="10"/>
        <v>1685</v>
      </c>
      <c r="W145" s="49">
        <f t="shared" si="11"/>
        <v>0.3679880329</v>
      </c>
      <c r="X145" s="49">
        <f t="shared" si="12"/>
        <v>0.3552729993</v>
      </c>
      <c r="Y145" s="49">
        <f t="shared" si="13"/>
        <v>0.2767389678</v>
      </c>
      <c r="Z145" s="32" t="str">
        <f t="shared" si="14"/>
        <v>Jango</v>
      </c>
      <c r="AA145" s="50" t="s">
        <v>77</v>
      </c>
      <c r="AB145" s="38">
        <v>2043.0</v>
      </c>
      <c r="AC145" s="48">
        <f t="shared" si="17"/>
        <v>358</v>
      </c>
      <c r="AD145" s="51">
        <f t="shared" si="18"/>
        <v>0.8247674988</v>
      </c>
    </row>
    <row r="146">
      <c r="A146" s="110" t="s">
        <v>537</v>
      </c>
      <c r="B146" s="46" t="s">
        <v>2686</v>
      </c>
      <c r="C146" s="47"/>
      <c r="D146" s="38">
        <v>983.0</v>
      </c>
      <c r="E146" s="38">
        <v>684.0</v>
      </c>
      <c r="F146" s="38">
        <v>163.0</v>
      </c>
      <c r="G146" s="38">
        <v>203.0</v>
      </c>
      <c r="H146" s="38">
        <v>115.0</v>
      </c>
      <c r="I146" s="48">
        <f t="shared" si="3"/>
        <v>1830</v>
      </c>
      <c r="J146" s="48">
        <f t="shared" si="4"/>
        <v>2148</v>
      </c>
      <c r="K146" s="49">
        <f t="shared" si="5"/>
        <v>0.5371584699</v>
      </c>
      <c r="L146" s="49">
        <f t="shared" si="6"/>
        <v>0.3737704918</v>
      </c>
      <c r="M146" s="49">
        <f t="shared" si="7"/>
        <v>0.08907103825</v>
      </c>
      <c r="N146" s="32" t="str">
        <f t="shared" si="8"/>
        <v>Jânio</v>
      </c>
      <c r="O146" s="50" t="s">
        <v>77</v>
      </c>
      <c r="P146" s="38">
        <v>662.0</v>
      </c>
      <c r="Q146" s="38">
        <v>1012.0</v>
      </c>
      <c r="R146" s="38">
        <v>79.0</v>
      </c>
      <c r="S146" s="38">
        <v>306.0</v>
      </c>
      <c r="T146" s="38">
        <v>89.0</v>
      </c>
      <c r="U146" s="48">
        <f t="shared" si="9"/>
        <v>1753</v>
      </c>
      <c r="V146" s="48">
        <f t="shared" si="10"/>
        <v>2148</v>
      </c>
      <c r="W146" s="49">
        <f t="shared" si="11"/>
        <v>0.3776383343</v>
      </c>
      <c r="X146" s="49">
        <f t="shared" si="12"/>
        <v>0.5772960639</v>
      </c>
      <c r="Y146" s="49">
        <f t="shared" si="13"/>
        <v>0.04506560183</v>
      </c>
      <c r="Z146" s="32" t="str">
        <f t="shared" si="14"/>
        <v>Milton</v>
      </c>
      <c r="AA146" s="50" t="s">
        <v>77</v>
      </c>
      <c r="AB146" s="38">
        <v>2459.0</v>
      </c>
      <c r="AC146" s="48">
        <f t="shared" si="17"/>
        <v>311</v>
      </c>
      <c r="AD146" s="51">
        <f t="shared" si="18"/>
        <v>0.8735258235</v>
      </c>
    </row>
    <row r="147">
      <c r="A147" s="110" t="s">
        <v>540</v>
      </c>
      <c r="B147" s="46" t="s">
        <v>2687</v>
      </c>
      <c r="C147" s="47"/>
      <c r="D147" s="38">
        <v>2025.0</v>
      </c>
      <c r="E147" s="38">
        <v>1779.0</v>
      </c>
      <c r="F147" s="38">
        <v>165.0</v>
      </c>
      <c r="G147" s="38">
        <v>323.0</v>
      </c>
      <c r="H147" s="38">
        <v>182.0</v>
      </c>
      <c r="I147" s="48">
        <f t="shared" si="3"/>
        <v>3969</v>
      </c>
      <c r="J147" s="48">
        <f t="shared" si="4"/>
        <v>4474</v>
      </c>
      <c r="K147" s="49">
        <f t="shared" si="5"/>
        <v>0.5102040816</v>
      </c>
      <c r="L147" s="49">
        <f t="shared" si="6"/>
        <v>0.4482237339</v>
      </c>
      <c r="M147" s="49">
        <f t="shared" si="7"/>
        <v>0.04157218443</v>
      </c>
      <c r="N147" s="32" t="str">
        <f t="shared" si="8"/>
        <v>Jânio</v>
      </c>
      <c r="O147" s="50" t="s">
        <v>77</v>
      </c>
      <c r="P147" s="38">
        <v>1760.0</v>
      </c>
      <c r="Q147" s="38">
        <v>1868.0</v>
      </c>
      <c r="R147" s="38">
        <v>119.0</v>
      </c>
      <c r="S147" s="38">
        <v>636.0</v>
      </c>
      <c r="T147" s="38">
        <v>91.0</v>
      </c>
      <c r="U147" s="48">
        <f t="shared" si="9"/>
        <v>3747</v>
      </c>
      <c r="V147" s="48">
        <f t="shared" si="10"/>
        <v>4474</v>
      </c>
      <c r="W147" s="49">
        <f t="shared" si="11"/>
        <v>0.4697091006</v>
      </c>
      <c r="X147" s="49">
        <f t="shared" si="12"/>
        <v>0.4985321591</v>
      </c>
      <c r="Y147" s="49">
        <f t="shared" si="13"/>
        <v>0.03175874033</v>
      </c>
      <c r="Z147" s="32" t="str">
        <f t="shared" si="14"/>
        <v>Milton</v>
      </c>
      <c r="AA147" s="50" t="s">
        <v>77</v>
      </c>
      <c r="AB147" s="38">
        <v>5101.0</v>
      </c>
      <c r="AC147" s="48">
        <f t="shared" si="17"/>
        <v>627</v>
      </c>
      <c r="AD147" s="51">
        <f t="shared" si="18"/>
        <v>0.8770829249</v>
      </c>
    </row>
    <row r="148">
      <c r="A148" s="61" t="s">
        <v>542</v>
      </c>
      <c r="B148" s="46" t="s">
        <v>2688</v>
      </c>
      <c r="C148" s="47"/>
      <c r="D148" s="38">
        <v>1525.0</v>
      </c>
      <c r="E148" s="38">
        <v>603.0</v>
      </c>
      <c r="F148" s="38">
        <v>106.0</v>
      </c>
      <c r="G148" s="38">
        <v>119.0</v>
      </c>
      <c r="H148" s="38">
        <v>64.0</v>
      </c>
      <c r="I148" s="48">
        <f t="shared" si="3"/>
        <v>2234</v>
      </c>
      <c r="J148" s="48">
        <f t="shared" si="4"/>
        <v>2417</v>
      </c>
      <c r="K148" s="49">
        <f t="shared" si="5"/>
        <v>0.6826320501</v>
      </c>
      <c r="L148" s="49">
        <f t="shared" si="6"/>
        <v>0.269919427</v>
      </c>
      <c r="M148" s="49">
        <f t="shared" si="7"/>
        <v>0.04744852283</v>
      </c>
      <c r="N148" s="32" t="str">
        <f t="shared" si="8"/>
        <v>Jânio</v>
      </c>
      <c r="O148" s="50" t="s">
        <v>77</v>
      </c>
      <c r="P148" s="55">
        <v>519.0</v>
      </c>
      <c r="Q148" s="38">
        <v>1461.0</v>
      </c>
      <c r="R148" s="38">
        <v>88.0</v>
      </c>
      <c r="S148" s="38">
        <v>305.0</v>
      </c>
      <c r="T148" s="38">
        <v>44.0</v>
      </c>
      <c r="U148" s="48">
        <f t="shared" si="9"/>
        <v>2068</v>
      </c>
      <c r="V148" s="114">
        <f t="shared" si="10"/>
        <v>2417</v>
      </c>
      <c r="W148" s="49">
        <f t="shared" si="11"/>
        <v>0.250967118</v>
      </c>
      <c r="X148" s="49">
        <f t="shared" si="12"/>
        <v>0.7064796905</v>
      </c>
      <c r="Y148" s="49">
        <f t="shared" si="13"/>
        <v>0.04255319149</v>
      </c>
      <c r="Z148" s="32" t="str">
        <f t="shared" si="14"/>
        <v>Milton</v>
      </c>
      <c r="AA148" s="50" t="s">
        <v>77</v>
      </c>
      <c r="AB148" s="38">
        <v>2811.0</v>
      </c>
      <c r="AC148" s="48">
        <f t="shared" si="17"/>
        <v>394</v>
      </c>
      <c r="AD148" s="51">
        <f t="shared" si="18"/>
        <v>0.8598363572</v>
      </c>
    </row>
    <row r="149">
      <c r="A149" s="24"/>
      <c r="B149" s="46" t="s">
        <v>2689</v>
      </c>
      <c r="C149" s="47"/>
      <c r="D149" s="38">
        <v>295.0</v>
      </c>
      <c r="E149" s="38">
        <v>562.0</v>
      </c>
      <c r="F149" s="38">
        <v>173.0</v>
      </c>
      <c r="G149" s="38">
        <v>91.0</v>
      </c>
      <c r="H149" s="38">
        <v>57.0</v>
      </c>
      <c r="I149" s="48">
        <f t="shared" si="3"/>
        <v>1030</v>
      </c>
      <c r="J149" s="48">
        <f t="shared" si="4"/>
        <v>1178</v>
      </c>
      <c r="K149" s="49">
        <f t="shared" si="5"/>
        <v>0.286407767</v>
      </c>
      <c r="L149" s="49">
        <f t="shared" si="6"/>
        <v>0.545631068</v>
      </c>
      <c r="M149" s="49">
        <f t="shared" si="7"/>
        <v>0.167961165</v>
      </c>
      <c r="N149" s="32" t="str">
        <f t="shared" si="8"/>
        <v>Mal. Lott</v>
      </c>
      <c r="O149" s="50" t="s">
        <v>77</v>
      </c>
      <c r="P149" s="38">
        <v>582.0</v>
      </c>
      <c r="Q149" s="38">
        <v>251.0</v>
      </c>
      <c r="R149" s="38">
        <v>49.0</v>
      </c>
      <c r="S149" s="38">
        <v>265.0</v>
      </c>
      <c r="T149" s="38">
        <v>31.0</v>
      </c>
      <c r="U149" s="48">
        <f t="shared" si="9"/>
        <v>882</v>
      </c>
      <c r="V149" s="48">
        <f t="shared" si="10"/>
        <v>1178</v>
      </c>
      <c r="W149" s="49">
        <f t="shared" si="11"/>
        <v>0.6598639456</v>
      </c>
      <c r="X149" s="49">
        <f t="shared" si="12"/>
        <v>0.2845804989</v>
      </c>
      <c r="Y149" s="49">
        <f t="shared" si="13"/>
        <v>0.05555555556</v>
      </c>
      <c r="Z149" s="32" t="str">
        <f t="shared" si="14"/>
        <v>Jango</v>
      </c>
      <c r="AA149" s="50" t="s">
        <v>77</v>
      </c>
      <c r="AB149" s="38">
        <v>1429.0</v>
      </c>
      <c r="AC149" s="48">
        <f t="shared" si="17"/>
        <v>251</v>
      </c>
      <c r="AD149" s="51">
        <f t="shared" si="18"/>
        <v>0.8243526942</v>
      </c>
    </row>
    <row r="150">
      <c r="A150" s="61" t="s">
        <v>544</v>
      </c>
      <c r="B150" s="46" t="s">
        <v>2690</v>
      </c>
      <c r="C150" s="47"/>
      <c r="D150" s="38">
        <v>1473.0</v>
      </c>
      <c r="E150" s="38">
        <v>883.0</v>
      </c>
      <c r="F150" s="38">
        <v>70.0</v>
      </c>
      <c r="G150" s="38">
        <v>94.0</v>
      </c>
      <c r="H150" s="38">
        <v>63.0</v>
      </c>
      <c r="I150" s="48">
        <f t="shared" si="3"/>
        <v>2426</v>
      </c>
      <c r="J150" s="48">
        <f t="shared" si="4"/>
        <v>2583</v>
      </c>
      <c r="K150" s="49">
        <f t="shared" si="5"/>
        <v>0.6071723001</v>
      </c>
      <c r="L150" s="49">
        <f t="shared" si="6"/>
        <v>0.3639736191</v>
      </c>
      <c r="M150" s="49">
        <f t="shared" si="7"/>
        <v>0.02885408079</v>
      </c>
      <c r="N150" s="32" t="str">
        <f t="shared" si="8"/>
        <v>Jânio</v>
      </c>
      <c r="O150" s="50" t="s">
        <v>77</v>
      </c>
      <c r="P150" s="38">
        <v>791.0</v>
      </c>
      <c r="Q150" s="38">
        <v>1403.0</v>
      </c>
      <c r="R150" s="38">
        <v>111.0</v>
      </c>
      <c r="S150" s="38">
        <v>228.0</v>
      </c>
      <c r="T150" s="38">
        <v>50.0</v>
      </c>
      <c r="U150" s="48">
        <f t="shared" si="9"/>
        <v>2305</v>
      </c>
      <c r="V150" s="48">
        <f t="shared" si="10"/>
        <v>2583</v>
      </c>
      <c r="W150" s="49">
        <f t="shared" si="11"/>
        <v>0.3431670282</v>
      </c>
      <c r="X150" s="49">
        <f t="shared" si="12"/>
        <v>0.6086767896</v>
      </c>
      <c r="Y150" s="49">
        <f t="shared" si="13"/>
        <v>0.04815618221</v>
      </c>
      <c r="Z150" s="32" t="str">
        <f t="shared" si="14"/>
        <v>Milton</v>
      </c>
      <c r="AA150" s="50" t="s">
        <v>77</v>
      </c>
      <c r="AB150" s="38">
        <v>2850.0</v>
      </c>
      <c r="AC150" s="48">
        <f t="shared" si="17"/>
        <v>267</v>
      </c>
      <c r="AD150" s="51">
        <f t="shared" si="18"/>
        <v>0.9063157895</v>
      </c>
    </row>
    <row r="151">
      <c r="A151" s="24"/>
      <c r="B151" s="46" t="s">
        <v>2691</v>
      </c>
      <c r="C151" s="47"/>
      <c r="D151" s="38">
        <v>603.0</v>
      </c>
      <c r="E151" s="38">
        <v>942.0</v>
      </c>
      <c r="F151" s="38">
        <v>74.0</v>
      </c>
      <c r="G151" s="38">
        <v>55.0</v>
      </c>
      <c r="H151" s="38">
        <v>74.0</v>
      </c>
      <c r="I151" s="48">
        <f t="shared" si="3"/>
        <v>1619</v>
      </c>
      <c r="J151" s="48">
        <f t="shared" si="4"/>
        <v>1748</v>
      </c>
      <c r="K151" s="49">
        <f t="shared" si="5"/>
        <v>0.3724521309</v>
      </c>
      <c r="L151" s="49">
        <f t="shared" si="6"/>
        <v>0.5818406424</v>
      </c>
      <c r="M151" s="49">
        <f t="shared" si="7"/>
        <v>0.04570722668</v>
      </c>
      <c r="N151" s="32" t="str">
        <f t="shared" si="8"/>
        <v>Mal. Lott</v>
      </c>
      <c r="O151" s="50" t="s">
        <v>77</v>
      </c>
      <c r="P151" s="38">
        <v>890.0</v>
      </c>
      <c r="Q151" s="38">
        <v>493.0</v>
      </c>
      <c r="R151" s="38">
        <v>136.0</v>
      </c>
      <c r="S151" s="38">
        <v>197.0</v>
      </c>
      <c r="T151" s="38">
        <v>32.0</v>
      </c>
      <c r="U151" s="48">
        <f t="shared" si="9"/>
        <v>1519</v>
      </c>
      <c r="V151" s="48">
        <f t="shared" si="10"/>
        <v>1748</v>
      </c>
      <c r="W151" s="49">
        <f t="shared" si="11"/>
        <v>0.5859117841</v>
      </c>
      <c r="X151" s="49">
        <f t="shared" si="12"/>
        <v>0.3245556287</v>
      </c>
      <c r="Y151" s="49">
        <f t="shared" si="13"/>
        <v>0.08953258723</v>
      </c>
      <c r="Z151" s="32" t="str">
        <f t="shared" si="14"/>
        <v>Jango</v>
      </c>
      <c r="AA151" s="50" t="s">
        <v>77</v>
      </c>
      <c r="AB151" s="38">
        <v>1911.0</v>
      </c>
      <c r="AC151" s="48">
        <f t="shared" si="17"/>
        <v>163</v>
      </c>
      <c r="AD151" s="51">
        <f t="shared" si="18"/>
        <v>0.9147043433</v>
      </c>
    </row>
    <row r="152">
      <c r="A152" s="61" t="s">
        <v>547</v>
      </c>
      <c r="B152" s="46" t="s">
        <v>2692</v>
      </c>
      <c r="C152" s="47"/>
      <c r="D152" s="38">
        <v>4393.0</v>
      </c>
      <c r="E152" s="38">
        <v>4213.0</v>
      </c>
      <c r="F152" s="38">
        <v>406.0</v>
      </c>
      <c r="G152" s="38">
        <v>277.0</v>
      </c>
      <c r="H152" s="38">
        <v>333.0</v>
      </c>
      <c r="I152" s="48">
        <f t="shared" si="3"/>
        <v>9012</v>
      </c>
      <c r="J152" s="48">
        <f t="shared" si="4"/>
        <v>9622</v>
      </c>
      <c r="K152" s="49">
        <f t="shared" si="5"/>
        <v>0.4874611629</v>
      </c>
      <c r="L152" s="49">
        <f t="shared" si="6"/>
        <v>0.4674877941</v>
      </c>
      <c r="M152" s="49">
        <f t="shared" si="7"/>
        <v>0.04505104305</v>
      </c>
      <c r="N152" s="32" t="str">
        <f t="shared" si="8"/>
        <v>Jânio</v>
      </c>
      <c r="O152" s="50" t="s">
        <v>77</v>
      </c>
      <c r="P152" s="38">
        <v>4314.0</v>
      </c>
      <c r="Q152" s="38">
        <v>3516.0</v>
      </c>
      <c r="R152" s="38">
        <v>892.0</v>
      </c>
      <c r="S152" s="38">
        <v>617.0</v>
      </c>
      <c r="T152" s="38">
        <v>283.0</v>
      </c>
      <c r="U152" s="48">
        <f t="shared" si="9"/>
        <v>8722</v>
      </c>
      <c r="V152" s="48">
        <f t="shared" si="10"/>
        <v>9622</v>
      </c>
      <c r="W152" s="49">
        <f t="shared" si="11"/>
        <v>0.4946113277</v>
      </c>
      <c r="X152" s="49">
        <f t="shared" si="12"/>
        <v>0.4031185508</v>
      </c>
      <c r="Y152" s="49">
        <f t="shared" si="13"/>
        <v>0.1022701215</v>
      </c>
      <c r="Z152" s="32" t="str">
        <f t="shared" si="14"/>
        <v>Jango</v>
      </c>
      <c r="AA152" s="50" t="s">
        <v>77</v>
      </c>
      <c r="AB152" s="38">
        <v>11045.0</v>
      </c>
      <c r="AC152" s="48">
        <f t="shared" si="17"/>
        <v>1423</v>
      </c>
      <c r="AD152" s="51">
        <f t="shared" si="18"/>
        <v>0.8711634224</v>
      </c>
    </row>
    <row r="153">
      <c r="A153" s="24"/>
      <c r="B153" s="46" t="s">
        <v>2693</v>
      </c>
      <c r="C153" s="47"/>
      <c r="D153" s="38">
        <v>1122.0</v>
      </c>
      <c r="E153" s="38">
        <v>1284.0</v>
      </c>
      <c r="F153" s="38">
        <v>110.0</v>
      </c>
      <c r="G153" s="38">
        <v>77.0</v>
      </c>
      <c r="H153" s="38">
        <v>148.0</v>
      </c>
      <c r="I153" s="48">
        <f t="shared" si="3"/>
        <v>2516</v>
      </c>
      <c r="J153" s="48">
        <f t="shared" si="4"/>
        <v>2741</v>
      </c>
      <c r="K153" s="49">
        <f t="shared" si="5"/>
        <v>0.4459459459</v>
      </c>
      <c r="L153" s="49">
        <f t="shared" si="6"/>
        <v>0.5103338633</v>
      </c>
      <c r="M153" s="49">
        <f t="shared" si="7"/>
        <v>0.04372019078</v>
      </c>
      <c r="N153" s="32" t="str">
        <f t="shared" si="8"/>
        <v>Mal. Lott</v>
      </c>
      <c r="O153" s="50" t="s">
        <v>77</v>
      </c>
      <c r="P153" s="38">
        <v>1180.0</v>
      </c>
      <c r="Q153" s="38">
        <v>1036.0</v>
      </c>
      <c r="R153" s="38">
        <v>197.0</v>
      </c>
      <c r="S153" s="38">
        <v>220.0</v>
      </c>
      <c r="T153" s="38">
        <v>108.0</v>
      </c>
      <c r="U153" s="48">
        <f t="shared" si="9"/>
        <v>2413</v>
      </c>
      <c r="V153" s="48">
        <f t="shared" si="10"/>
        <v>2741</v>
      </c>
      <c r="W153" s="49">
        <f t="shared" si="11"/>
        <v>0.4890178201</v>
      </c>
      <c r="X153" s="49">
        <f t="shared" si="12"/>
        <v>0.4293410692</v>
      </c>
      <c r="Y153" s="49">
        <f t="shared" si="13"/>
        <v>0.08164111065</v>
      </c>
      <c r="Z153" s="32" t="str">
        <f t="shared" si="14"/>
        <v>Jango</v>
      </c>
      <c r="AA153" s="50" t="s">
        <v>77</v>
      </c>
      <c r="AB153" s="38">
        <v>3327.0</v>
      </c>
      <c r="AC153" s="48">
        <f t="shared" si="17"/>
        <v>586</v>
      </c>
      <c r="AD153" s="51">
        <f t="shared" si="18"/>
        <v>0.8238653442</v>
      </c>
    </row>
    <row r="154">
      <c r="A154" s="110" t="s">
        <v>549</v>
      </c>
      <c r="B154" s="46" t="s">
        <v>2694</v>
      </c>
      <c r="C154" s="47"/>
      <c r="D154" s="38">
        <v>1014.0</v>
      </c>
      <c r="E154" s="38">
        <v>734.0</v>
      </c>
      <c r="F154" s="38">
        <v>747.0</v>
      </c>
      <c r="G154" s="38">
        <v>83.0</v>
      </c>
      <c r="H154" s="38">
        <v>100.0</v>
      </c>
      <c r="I154" s="48">
        <f t="shared" si="3"/>
        <v>2495</v>
      </c>
      <c r="J154" s="48">
        <f t="shared" si="4"/>
        <v>2678</v>
      </c>
      <c r="K154" s="49">
        <f t="shared" si="5"/>
        <v>0.4064128257</v>
      </c>
      <c r="L154" s="49">
        <f t="shared" si="6"/>
        <v>0.2941883768</v>
      </c>
      <c r="M154" s="49">
        <f t="shared" si="7"/>
        <v>0.2993987976</v>
      </c>
      <c r="N154" s="32" t="str">
        <f t="shared" si="8"/>
        <v>Jânio</v>
      </c>
      <c r="O154" s="50" t="s">
        <v>77</v>
      </c>
      <c r="P154" s="38">
        <v>815.0</v>
      </c>
      <c r="Q154" s="38">
        <v>1110.0</v>
      </c>
      <c r="R154" s="38">
        <v>421.0</v>
      </c>
      <c r="S154" s="38">
        <v>245.0</v>
      </c>
      <c r="T154" s="38">
        <v>87.0</v>
      </c>
      <c r="U154" s="48">
        <f t="shared" si="9"/>
        <v>2346</v>
      </c>
      <c r="V154" s="48">
        <f t="shared" si="10"/>
        <v>2678</v>
      </c>
      <c r="W154" s="49">
        <f t="shared" si="11"/>
        <v>0.3473998295</v>
      </c>
      <c r="X154" s="49">
        <f t="shared" si="12"/>
        <v>0.4731457801</v>
      </c>
      <c r="Y154" s="49">
        <f t="shared" si="13"/>
        <v>0.1794543905</v>
      </c>
      <c r="Z154" s="32" t="str">
        <f t="shared" si="14"/>
        <v>Milton</v>
      </c>
      <c r="AA154" s="50" t="s">
        <v>77</v>
      </c>
      <c r="AB154" s="38">
        <v>3148.0</v>
      </c>
      <c r="AC154" s="48">
        <f t="shared" si="17"/>
        <v>470</v>
      </c>
      <c r="AD154" s="51">
        <f t="shared" si="18"/>
        <v>0.8506988564</v>
      </c>
    </row>
    <row r="155">
      <c r="A155" s="110" t="s">
        <v>554</v>
      </c>
      <c r="B155" s="46" t="s">
        <v>2695</v>
      </c>
      <c r="C155" s="47"/>
      <c r="D155" s="38">
        <v>885.0</v>
      </c>
      <c r="E155" s="38">
        <v>1184.0</v>
      </c>
      <c r="F155" s="38">
        <v>312.0</v>
      </c>
      <c r="G155" s="38">
        <v>369.0</v>
      </c>
      <c r="H155" s="38">
        <v>227.0</v>
      </c>
      <c r="I155" s="48">
        <f t="shared" si="3"/>
        <v>2381</v>
      </c>
      <c r="J155" s="48">
        <f t="shared" si="4"/>
        <v>2977</v>
      </c>
      <c r="K155" s="49">
        <f t="shared" si="5"/>
        <v>0.3716925661</v>
      </c>
      <c r="L155" s="49">
        <f t="shared" si="6"/>
        <v>0.4972700546</v>
      </c>
      <c r="M155" s="49">
        <f t="shared" si="7"/>
        <v>0.1310373793</v>
      </c>
      <c r="N155" s="32" t="str">
        <f t="shared" si="8"/>
        <v>Mal. Lott</v>
      </c>
      <c r="O155" s="50" t="s">
        <v>77</v>
      </c>
      <c r="P155" s="38">
        <v>1126.0</v>
      </c>
      <c r="Q155" s="38">
        <v>732.0</v>
      </c>
      <c r="R155" s="38">
        <v>225.0</v>
      </c>
      <c r="S155" s="38">
        <v>690.0</v>
      </c>
      <c r="T155" s="38">
        <v>204.0</v>
      </c>
      <c r="U155" s="48">
        <f t="shared" si="9"/>
        <v>2083</v>
      </c>
      <c r="V155" s="48">
        <f t="shared" si="10"/>
        <v>2977</v>
      </c>
      <c r="W155" s="49">
        <f t="shared" si="11"/>
        <v>0.5405664906</v>
      </c>
      <c r="X155" s="49">
        <f t="shared" si="12"/>
        <v>0.3514162266</v>
      </c>
      <c r="Y155" s="49">
        <f t="shared" si="13"/>
        <v>0.1080172828</v>
      </c>
      <c r="Z155" s="32" t="str">
        <f t="shared" si="14"/>
        <v>Jango</v>
      </c>
      <c r="AA155" s="50" t="s">
        <v>77</v>
      </c>
      <c r="AB155" s="38">
        <v>3360.0</v>
      </c>
      <c r="AC155" s="48">
        <f t="shared" si="17"/>
        <v>383</v>
      </c>
      <c r="AD155" s="51">
        <f t="shared" si="18"/>
        <v>0.8860119048</v>
      </c>
    </row>
    <row r="156">
      <c r="A156" s="61" t="s">
        <v>557</v>
      </c>
      <c r="B156" s="46" t="s">
        <v>2696</v>
      </c>
      <c r="C156" s="47"/>
      <c r="D156" s="38">
        <v>1318.0</v>
      </c>
      <c r="E156" s="38">
        <v>882.0</v>
      </c>
      <c r="F156" s="38">
        <v>241.0</v>
      </c>
      <c r="G156" s="38">
        <v>258.0</v>
      </c>
      <c r="H156" s="38">
        <v>207.0</v>
      </c>
      <c r="I156" s="48">
        <f t="shared" si="3"/>
        <v>2441</v>
      </c>
      <c r="J156" s="48">
        <f t="shared" si="4"/>
        <v>2906</v>
      </c>
      <c r="K156" s="49">
        <f t="shared" si="5"/>
        <v>0.5399426465</v>
      </c>
      <c r="L156" s="49">
        <f t="shared" si="6"/>
        <v>0.3613273249</v>
      </c>
      <c r="M156" s="49">
        <f t="shared" si="7"/>
        <v>0.09873002868</v>
      </c>
      <c r="N156" s="32" t="str">
        <f t="shared" si="8"/>
        <v>Jânio</v>
      </c>
      <c r="O156" s="50" t="s">
        <v>77</v>
      </c>
      <c r="P156" s="38">
        <v>903.0</v>
      </c>
      <c r="Q156" s="38">
        <v>1034.0</v>
      </c>
      <c r="R156" s="38">
        <v>158.0</v>
      </c>
      <c r="S156" s="38">
        <v>680.0</v>
      </c>
      <c r="T156" s="38">
        <v>131.0</v>
      </c>
      <c r="U156" s="48">
        <f t="shared" si="9"/>
        <v>2095</v>
      </c>
      <c r="V156" s="48">
        <f t="shared" si="10"/>
        <v>2906</v>
      </c>
      <c r="W156" s="49">
        <f t="shared" si="11"/>
        <v>0.431026253</v>
      </c>
      <c r="X156" s="49">
        <f t="shared" si="12"/>
        <v>0.4935560859</v>
      </c>
      <c r="Y156" s="49">
        <f t="shared" si="13"/>
        <v>0.0754176611</v>
      </c>
      <c r="Z156" s="32" t="str">
        <f t="shared" si="14"/>
        <v>Milton</v>
      </c>
      <c r="AA156" s="50" t="s">
        <v>77</v>
      </c>
      <c r="AB156" s="38">
        <v>3540.0</v>
      </c>
      <c r="AC156" s="48">
        <f t="shared" si="17"/>
        <v>634</v>
      </c>
      <c r="AD156" s="51">
        <f t="shared" si="18"/>
        <v>0.8209039548</v>
      </c>
    </row>
    <row r="157">
      <c r="A157" s="24"/>
      <c r="B157" s="46" t="s">
        <v>2697</v>
      </c>
      <c r="C157" s="47"/>
      <c r="D157" s="38">
        <v>673.0</v>
      </c>
      <c r="E157" s="38">
        <v>703.0</v>
      </c>
      <c r="F157" s="38">
        <v>88.0</v>
      </c>
      <c r="G157" s="38">
        <v>75.0</v>
      </c>
      <c r="H157" s="38">
        <v>71.0</v>
      </c>
      <c r="I157" s="48">
        <f t="shared" si="3"/>
        <v>1464</v>
      </c>
      <c r="J157" s="48">
        <f t="shared" si="4"/>
        <v>1610</v>
      </c>
      <c r="K157" s="49">
        <f t="shared" si="5"/>
        <v>0.4596994536</v>
      </c>
      <c r="L157" s="49">
        <f t="shared" si="6"/>
        <v>0.4801912568</v>
      </c>
      <c r="M157" s="49">
        <f t="shared" si="7"/>
        <v>0.06010928962</v>
      </c>
      <c r="N157" s="32" t="str">
        <f t="shared" si="8"/>
        <v>Mal. Lott</v>
      </c>
      <c r="O157" s="50" t="s">
        <v>77</v>
      </c>
      <c r="P157" s="38">
        <v>713.0</v>
      </c>
      <c r="Q157" s="38">
        <v>629.0</v>
      </c>
      <c r="R157" s="38">
        <v>54.0</v>
      </c>
      <c r="S157" s="38">
        <v>184.0</v>
      </c>
      <c r="T157" s="38">
        <v>30.0</v>
      </c>
      <c r="U157" s="48">
        <f t="shared" si="9"/>
        <v>1396</v>
      </c>
      <c r="V157" s="48">
        <f t="shared" si="10"/>
        <v>1610</v>
      </c>
      <c r="W157" s="49">
        <f t="shared" si="11"/>
        <v>0.5107449857</v>
      </c>
      <c r="X157" s="49">
        <f t="shared" si="12"/>
        <v>0.4505730659</v>
      </c>
      <c r="Y157" s="49">
        <f t="shared" si="13"/>
        <v>0.03868194842</v>
      </c>
      <c r="Z157" s="32" t="str">
        <f t="shared" si="14"/>
        <v>Jango</v>
      </c>
      <c r="AA157" s="50" t="s">
        <v>77</v>
      </c>
      <c r="AB157" s="38">
        <v>2087.0</v>
      </c>
      <c r="AC157" s="48">
        <f t="shared" si="17"/>
        <v>477</v>
      </c>
      <c r="AD157" s="51">
        <f t="shared" si="18"/>
        <v>0.7714422616</v>
      </c>
    </row>
    <row r="158">
      <c r="A158" s="61" t="s">
        <v>560</v>
      </c>
      <c r="B158" s="46" t="s">
        <v>2698</v>
      </c>
      <c r="C158" s="47"/>
      <c r="D158" s="38">
        <v>2441.0</v>
      </c>
      <c r="E158" s="38">
        <v>1477.0</v>
      </c>
      <c r="F158" s="38">
        <v>243.0</v>
      </c>
      <c r="G158" s="38">
        <v>298.0</v>
      </c>
      <c r="H158" s="38">
        <v>311.0</v>
      </c>
      <c r="I158" s="48">
        <f t="shared" si="3"/>
        <v>4161</v>
      </c>
      <c r="J158" s="48">
        <f t="shared" si="4"/>
        <v>4770</v>
      </c>
      <c r="K158" s="49">
        <f t="shared" si="5"/>
        <v>0.5866378274</v>
      </c>
      <c r="L158" s="49">
        <f t="shared" si="6"/>
        <v>0.3549627493</v>
      </c>
      <c r="M158" s="49">
        <f t="shared" si="7"/>
        <v>0.05839942322</v>
      </c>
      <c r="N158" s="32" t="str">
        <f t="shared" si="8"/>
        <v>Jânio</v>
      </c>
      <c r="O158" s="50" t="s">
        <v>77</v>
      </c>
      <c r="P158" s="38">
        <v>1481.0</v>
      </c>
      <c r="Q158" s="38">
        <v>2330.0</v>
      </c>
      <c r="R158" s="38">
        <v>178.0</v>
      </c>
      <c r="S158" s="38">
        <v>617.0</v>
      </c>
      <c r="T158" s="38">
        <v>164.0</v>
      </c>
      <c r="U158" s="48">
        <f t="shared" si="9"/>
        <v>3989</v>
      </c>
      <c r="V158" s="48">
        <f t="shared" si="10"/>
        <v>4770</v>
      </c>
      <c r="W158" s="49">
        <f t="shared" si="11"/>
        <v>0.3712709952</v>
      </c>
      <c r="X158" s="49">
        <f t="shared" si="12"/>
        <v>0.5841062923</v>
      </c>
      <c r="Y158" s="49">
        <f t="shared" si="13"/>
        <v>0.04462271246</v>
      </c>
      <c r="Z158" s="32" t="str">
        <f t="shared" si="14"/>
        <v>Milton</v>
      </c>
      <c r="AA158" s="50" t="s">
        <v>77</v>
      </c>
      <c r="AB158" s="38">
        <v>6774.0</v>
      </c>
      <c r="AC158" s="48">
        <f t="shared" si="17"/>
        <v>2004</v>
      </c>
      <c r="AD158" s="51">
        <f t="shared" si="18"/>
        <v>0.7041629761</v>
      </c>
    </row>
    <row r="159">
      <c r="A159" s="24"/>
      <c r="B159" s="46" t="s">
        <v>2699</v>
      </c>
      <c r="C159" s="47"/>
      <c r="D159" s="38">
        <v>405.0</v>
      </c>
      <c r="E159" s="38">
        <v>426.0</v>
      </c>
      <c r="F159" s="38">
        <v>44.0</v>
      </c>
      <c r="G159" s="38">
        <v>36.0</v>
      </c>
      <c r="H159" s="38">
        <v>73.0</v>
      </c>
      <c r="I159" s="48">
        <f t="shared" si="3"/>
        <v>875</v>
      </c>
      <c r="J159" s="48">
        <f t="shared" si="4"/>
        <v>984</v>
      </c>
      <c r="K159" s="49">
        <f t="shared" si="5"/>
        <v>0.4628571429</v>
      </c>
      <c r="L159" s="49">
        <f t="shared" si="6"/>
        <v>0.4868571429</v>
      </c>
      <c r="M159" s="49">
        <f t="shared" si="7"/>
        <v>0.05028571429</v>
      </c>
      <c r="N159" s="32" t="str">
        <f t="shared" si="8"/>
        <v>Mal. Lott</v>
      </c>
      <c r="O159" s="50" t="s">
        <v>77</v>
      </c>
      <c r="P159" s="38">
        <v>427.0</v>
      </c>
      <c r="Q159" s="38">
        <v>394.0</v>
      </c>
      <c r="R159" s="38">
        <v>36.0</v>
      </c>
      <c r="S159" s="38">
        <v>90.0</v>
      </c>
      <c r="T159" s="38">
        <v>37.0</v>
      </c>
      <c r="U159" s="48">
        <f t="shared" si="9"/>
        <v>857</v>
      </c>
      <c r="V159" s="48">
        <f t="shared" si="10"/>
        <v>984</v>
      </c>
      <c r="W159" s="49">
        <f t="shared" si="11"/>
        <v>0.4982497083</v>
      </c>
      <c r="X159" s="49">
        <f t="shared" si="12"/>
        <v>0.4597432905</v>
      </c>
      <c r="Y159" s="49">
        <f t="shared" si="13"/>
        <v>0.04200700117</v>
      </c>
      <c r="Z159" s="32" t="str">
        <f t="shared" si="14"/>
        <v>Jango</v>
      </c>
      <c r="AA159" s="50" t="s">
        <v>77</v>
      </c>
      <c r="AB159" s="38">
        <v>1268.0</v>
      </c>
      <c r="AC159" s="48">
        <f t="shared" si="17"/>
        <v>284</v>
      </c>
      <c r="AD159" s="51">
        <f t="shared" si="18"/>
        <v>0.7760252366</v>
      </c>
    </row>
    <row r="160">
      <c r="A160" s="110" t="s">
        <v>563</v>
      </c>
      <c r="B160" s="46" t="s">
        <v>2700</v>
      </c>
      <c r="C160" s="47"/>
      <c r="D160" s="38">
        <v>720.0</v>
      </c>
      <c r="E160" s="38">
        <v>312.0</v>
      </c>
      <c r="F160" s="38">
        <v>340.0</v>
      </c>
      <c r="G160" s="38">
        <v>54.0</v>
      </c>
      <c r="H160" s="38">
        <v>46.0</v>
      </c>
      <c r="I160" s="48">
        <f t="shared" si="3"/>
        <v>1372</v>
      </c>
      <c r="J160" s="48">
        <f t="shared" si="4"/>
        <v>1472</v>
      </c>
      <c r="K160" s="49">
        <f t="shared" si="5"/>
        <v>0.5247813411</v>
      </c>
      <c r="L160" s="49">
        <f t="shared" si="6"/>
        <v>0.2274052478</v>
      </c>
      <c r="M160" s="49">
        <f t="shared" si="7"/>
        <v>0.2478134111</v>
      </c>
      <c r="N160" s="32" t="str">
        <f t="shared" si="8"/>
        <v>Jânio</v>
      </c>
      <c r="O160" s="50" t="s">
        <v>77</v>
      </c>
      <c r="P160" s="38">
        <v>365.0</v>
      </c>
      <c r="Q160" s="38">
        <v>781.0</v>
      </c>
      <c r="R160" s="38">
        <v>116.0</v>
      </c>
      <c r="S160" s="38">
        <v>178.0</v>
      </c>
      <c r="T160" s="38">
        <v>32.0</v>
      </c>
      <c r="U160" s="48">
        <f t="shared" si="9"/>
        <v>1262</v>
      </c>
      <c r="V160" s="48">
        <f t="shared" si="10"/>
        <v>1472</v>
      </c>
      <c r="W160" s="49">
        <f t="shared" si="11"/>
        <v>0.2892234548</v>
      </c>
      <c r="X160" s="49">
        <f t="shared" si="12"/>
        <v>0.618858954</v>
      </c>
      <c r="Y160" s="49">
        <f t="shared" si="13"/>
        <v>0.09191759113</v>
      </c>
      <c r="Z160" s="32" t="str">
        <f t="shared" si="14"/>
        <v>Milton</v>
      </c>
      <c r="AA160" s="50" t="s">
        <v>77</v>
      </c>
      <c r="AB160" s="38">
        <v>1707.0</v>
      </c>
      <c r="AC160" s="48">
        <f t="shared" si="17"/>
        <v>235</v>
      </c>
      <c r="AD160" s="51">
        <f t="shared" si="18"/>
        <v>0.8623315759</v>
      </c>
    </row>
    <row r="161">
      <c r="A161" s="110" t="s">
        <v>565</v>
      </c>
      <c r="B161" s="46" t="s">
        <v>2701</v>
      </c>
      <c r="C161" s="47"/>
      <c r="D161" s="38">
        <v>1183.0</v>
      </c>
      <c r="E161" s="38">
        <v>1352.0</v>
      </c>
      <c r="F161" s="38">
        <v>253.0</v>
      </c>
      <c r="G161" s="38">
        <v>129.0</v>
      </c>
      <c r="H161" s="38">
        <v>208.0</v>
      </c>
      <c r="I161" s="48">
        <f t="shared" si="3"/>
        <v>2788</v>
      </c>
      <c r="J161" s="48">
        <f t="shared" si="4"/>
        <v>3125</v>
      </c>
      <c r="K161" s="49">
        <f t="shared" si="5"/>
        <v>0.4243185079</v>
      </c>
      <c r="L161" s="49">
        <f t="shared" si="6"/>
        <v>0.4849354376</v>
      </c>
      <c r="M161" s="49">
        <f t="shared" si="7"/>
        <v>0.09074605452</v>
      </c>
      <c r="N161" s="32" t="str">
        <f t="shared" si="8"/>
        <v>Mal. Lott</v>
      </c>
      <c r="O161" s="50" t="s">
        <v>77</v>
      </c>
      <c r="P161" s="38">
        <v>1435.0</v>
      </c>
      <c r="Q161" s="38">
        <v>1030.0</v>
      </c>
      <c r="R161" s="38">
        <v>209.0</v>
      </c>
      <c r="S161" s="38">
        <v>285.0</v>
      </c>
      <c r="T161" s="38">
        <v>166.0</v>
      </c>
      <c r="U161" s="48">
        <f t="shared" si="9"/>
        <v>2674</v>
      </c>
      <c r="V161" s="48">
        <f t="shared" si="10"/>
        <v>3125</v>
      </c>
      <c r="W161" s="49">
        <f t="shared" si="11"/>
        <v>0.5366492147</v>
      </c>
      <c r="X161" s="49">
        <f t="shared" si="12"/>
        <v>0.3851907255</v>
      </c>
      <c r="Y161" s="49">
        <f t="shared" si="13"/>
        <v>0.07816005984</v>
      </c>
      <c r="Z161" s="32" t="str">
        <f t="shared" si="14"/>
        <v>Jango</v>
      </c>
      <c r="AA161" s="50" t="s">
        <v>77</v>
      </c>
      <c r="AB161" s="38">
        <v>3420.0</v>
      </c>
      <c r="AC161" s="48">
        <f t="shared" si="17"/>
        <v>295</v>
      </c>
      <c r="AD161" s="51">
        <f t="shared" si="18"/>
        <v>0.9137426901</v>
      </c>
    </row>
    <row r="162">
      <c r="A162" s="110" t="s">
        <v>568</v>
      </c>
      <c r="B162" s="46" t="s">
        <v>2702</v>
      </c>
      <c r="C162" s="47"/>
      <c r="D162" s="38">
        <v>948.0</v>
      </c>
      <c r="E162" s="38">
        <v>828.0</v>
      </c>
      <c r="F162" s="38">
        <v>273.0</v>
      </c>
      <c r="G162" s="38">
        <v>120.0</v>
      </c>
      <c r="H162" s="38">
        <v>120.0</v>
      </c>
      <c r="I162" s="48">
        <f t="shared" si="3"/>
        <v>2049</v>
      </c>
      <c r="J162" s="48">
        <f t="shared" si="4"/>
        <v>2289</v>
      </c>
      <c r="K162" s="49">
        <f t="shared" si="5"/>
        <v>0.4626647145</v>
      </c>
      <c r="L162" s="49">
        <f t="shared" si="6"/>
        <v>0.4040995608</v>
      </c>
      <c r="M162" s="49">
        <f t="shared" si="7"/>
        <v>0.1332357247</v>
      </c>
      <c r="N162" s="32" t="str">
        <f t="shared" si="8"/>
        <v>Jânio</v>
      </c>
      <c r="O162" s="50" t="s">
        <v>77</v>
      </c>
      <c r="P162" s="38">
        <v>848.0</v>
      </c>
      <c r="Q162" s="38">
        <v>755.0</v>
      </c>
      <c r="R162" s="38">
        <v>221.0</v>
      </c>
      <c r="S162" s="38">
        <v>332.0</v>
      </c>
      <c r="T162" s="38">
        <v>133.0</v>
      </c>
      <c r="U162" s="48">
        <f t="shared" si="9"/>
        <v>1824</v>
      </c>
      <c r="V162" s="48">
        <f t="shared" si="10"/>
        <v>2289</v>
      </c>
      <c r="W162" s="49">
        <f t="shared" si="11"/>
        <v>0.4649122807</v>
      </c>
      <c r="X162" s="49">
        <f t="shared" si="12"/>
        <v>0.4139254386</v>
      </c>
      <c r="Y162" s="49">
        <f t="shared" si="13"/>
        <v>0.1211622807</v>
      </c>
      <c r="Z162" s="32" t="str">
        <f t="shared" si="14"/>
        <v>Jango</v>
      </c>
      <c r="AA162" s="50" t="s">
        <v>77</v>
      </c>
      <c r="AB162" s="38">
        <v>2764.0</v>
      </c>
      <c r="AC162" s="48">
        <f t="shared" si="17"/>
        <v>475</v>
      </c>
      <c r="AD162" s="51">
        <f t="shared" si="18"/>
        <v>0.8281476122</v>
      </c>
    </row>
    <row r="163">
      <c r="A163" s="110" t="s">
        <v>570</v>
      </c>
      <c r="B163" s="46" t="s">
        <v>2703</v>
      </c>
      <c r="C163" s="47"/>
      <c r="D163" s="38">
        <v>4171.0</v>
      </c>
      <c r="E163" s="38">
        <v>5400.0</v>
      </c>
      <c r="F163" s="38">
        <v>3119.0</v>
      </c>
      <c r="G163" s="38">
        <v>572.0</v>
      </c>
      <c r="H163" s="38">
        <v>798.0</v>
      </c>
      <c r="I163" s="48">
        <f t="shared" si="3"/>
        <v>12690</v>
      </c>
      <c r="J163" s="48">
        <f t="shared" si="4"/>
        <v>14060</v>
      </c>
      <c r="K163" s="49">
        <f t="shared" si="5"/>
        <v>0.3286840032</v>
      </c>
      <c r="L163" s="49">
        <f t="shared" si="6"/>
        <v>0.4255319149</v>
      </c>
      <c r="M163" s="49">
        <f t="shared" si="7"/>
        <v>0.245784082</v>
      </c>
      <c r="N163" s="32" t="str">
        <f t="shared" si="8"/>
        <v>Mal. Lott</v>
      </c>
      <c r="O163" s="50" t="s">
        <v>77</v>
      </c>
      <c r="P163" s="38">
        <v>5961.0</v>
      </c>
      <c r="Q163" s="38">
        <v>4670.0</v>
      </c>
      <c r="R163" s="38">
        <v>1364.0</v>
      </c>
      <c r="S163" s="38">
        <v>1404.0</v>
      </c>
      <c r="T163" s="38">
        <v>661.0</v>
      </c>
      <c r="U163" s="48">
        <f t="shared" si="9"/>
        <v>11995</v>
      </c>
      <c r="V163" s="48">
        <f t="shared" si="10"/>
        <v>14060</v>
      </c>
      <c r="W163" s="49">
        <f t="shared" si="11"/>
        <v>0.4969570654</v>
      </c>
      <c r="X163" s="49">
        <f t="shared" si="12"/>
        <v>0.389328887</v>
      </c>
      <c r="Y163" s="49">
        <f t="shared" si="13"/>
        <v>0.1137140475</v>
      </c>
      <c r="Z163" s="32" t="str">
        <f t="shared" si="14"/>
        <v>Jango</v>
      </c>
      <c r="AA163" s="50" t="s">
        <v>77</v>
      </c>
      <c r="AB163" s="38">
        <v>17540.0</v>
      </c>
      <c r="AC163" s="48">
        <f t="shared" si="17"/>
        <v>3480</v>
      </c>
      <c r="AD163" s="51">
        <f t="shared" si="18"/>
        <v>0.8015963512</v>
      </c>
    </row>
    <row r="164">
      <c r="A164" s="61" t="s">
        <v>575</v>
      </c>
      <c r="B164" s="46" t="s">
        <v>2704</v>
      </c>
      <c r="C164" s="47"/>
      <c r="D164" s="38">
        <v>4351.0</v>
      </c>
      <c r="E164" s="38">
        <v>4129.0</v>
      </c>
      <c r="F164" s="38">
        <v>418.0</v>
      </c>
      <c r="G164" s="38">
        <v>518.0</v>
      </c>
      <c r="H164" s="38">
        <v>592.0</v>
      </c>
      <c r="I164" s="48">
        <f t="shared" si="3"/>
        <v>8898</v>
      </c>
      <c r="J164" s="48">
        <f t="shared" si="4"/>
        <v>10008</v>
      </c>
      <c r="K164" s="49">
        <f t="shared" si="5"/>
        <v>0.4889862891</v>
      </c>
      <c r="L164" s="49">
        <f t="shared" si="6"/>
        <v>0.4640368622</v>
      </c>
      <c r="M164" s="49">
        <f t="shared" si="7"/>
        <v>0.04697684873</v>
      </c>
      <c r="N164" s="32" t="str">
        <f t="shared" si="8"/>
        <v>Jânio</v>
      </c>
      <c r="O164" s="50" t="s">
        <v>77</v>
      </c>
      <c r="P164" s="38">
        <v>4048.0</v>
      </c>
      <c r="Q164" s="38">
        <v>3848.0</v>
      </c>
      <c r="R164" s="38">
        <v>385.0</v>
      </c>
      <c r="S164" s="38">
        <v>1387.0</v>
      </c>
      <c r="T164" s="38">
        <v>340.0</v>
      </c>
      <c r="U164" s="48">
        <f t="shared" si="9"/>
        <v>8281</v>
      </c>
      <c r="V164" s="48">
        <f t="shared" si="10"/>
        <v>10008</v>
      </c>
      <c r="W164" s="49">
        <f t="shared" si="11"/>
        <v>0.4888298515</v>
      </c>
      <c r="X164" s="49">
        <f t="shared" si="12"/>
        <v>0.464678179</v>
      </c>
      <c r="Y164" s="49">
        <f t="shared" si="13"/>
        <v>0.04649196957</v>
      </c>
      <c r="Z164" s="32" t="str">
        <f t="shared" si="14"/>
        <v>Jango</v>
      </c>
      <c r="AA164" s="50" t="s">
        <v>77</v>
      </c>
      <c r="AB164" s="38">
        <v>12461.0</v>
      </c>
      <c r="AC164" s="48">
        <f t="shared" si="17"/>
        <v>2453</v>
      </c>
      <c r="AD164" s="51">
        <f t="shared" si="18"/>
        <v>0.8031458149</v>
      </c>
    </row>
    <row r="165">
      <c r="A165" s="24"/>
      <c r="B165" s="46" t="s">
        <v>2705</v>
      </c>
      <c r="C165" s="47"/>
      <c r="D165" s="38">
        <v>640.0</v>
      </c>
      <c r="E165" s="38">
        <v>504.0</v>
      </c>
      <c r="F165" s="38">
        <v>101.0</v>
      </c>
      <c r="G165" s="38">
        <v>102.0</v>
      </c>
      <c r="H165" s="38">
        <v>139.0</v>
      </c>
      <c r="I165" s="48">
        <f t="shared" si="3"/>
        <v>1245</v>
      </c>
      <c r="J165" s="48">
        <f t="shared" si="4"/>
        <v>1486</v>
      </c>
      <c r="K165" s="49">
        <f t="shared" si="5"/>
        <v>0.5140562249</v>
      </c>
      <c r="L165" s="49">
        <f t="shared" si="6"/>
        <v>0.4048192771</v>
      </c>
      <c r="M165" s="49">
        <f t="shared" si="7"/>
        <v>0.08112449799</v>
      </c>
      <c r="N165" s="32" t="str">
        <f t="shared" si="8"/>
        <v>Jânio</v>
      </c>
      <c r="O165" s="50" t="s">
        <v>77</v>
      </c>
      <c r="P165" s="38">
        <v>475.0</v>
      </c>
      <c r="Q165" s="38">
        <v>501.0</v>
      </c>
      <c r="R165" s="38">
        <v>147.0</v>
      </c>
      <c r="S165" s="38">
        <v>276.0</v>
      </c>
      <c r="T165" s="38">
        <v>87.0</v>
      </c>
      <c r="U165" s="48">
        <f t="shared" si="9"/>
        <v>1123</v>
      </c>
      <c r="V165" s="48">
        <f t="shared" si="10"/>
        <v>1486</v>
      </c>
      <c r="W165" s="49">
        <f t="shared" si="11"/>
        <v>0.4229741763</v>
      </c>
      <c r="X165" s="49">
        <f t="shared" si="12"/>
        <v>0.446126447</v>
      </c>
      <c r="Y165" s="49">
        <f t="shared" si="13"/>
        <v>0.1308993767</v>
      </c>
      <c r="Z165" s="32" t="str">
        <f t="shared" si="14"/>
        <v>Milton</v>
      </c>
      <c r="AA165" s="50" t="s">
        <v>77</v>
      </c>
      <c r="AB165" s="38">
        <v>2115.0</v>
      </c>
      <c r="AC165" s="48">
        <f t="shared" si="17"/>
        <v>629</v>
      </c>
      <c r="AD165" s="51">
        <f t="shared" si="18"/>
        <v>0.7026004728</v>
      </c>
    </row>
    <row r="166">
      <c r="A166" s="110" t="s">
        <v>578</v>
      </c>
      <c r="B166" s="46" t="s">
        <v>2706</v>
      </c>
      <c r="C166" s="47"/>
      <c r="D166" s="38">
        <v>1019.0</v>
      </c>
      <c r="E166" s="38">
        <v>1639.0</v>
      </c>
      <c r="F166" s="38">
        <v>201.0</v>
      </c>
      <c r="G166" s="38">
        <v>171.0</v>
      </c>
      <c r="H166" s="38">
        <v>161.0</v>
      </c>
      <c r="I166" s="48">
        <f t="shared" si="3"/>
        <v>2859</v>
      </c>
      <c r="J166" s="48">
        <f t="shared" si="4"/>
        <v>3191</v>
      </c>
      <c r="K166" s="49">
        <f t="shared" si="5"/>
        <v>0.3564183281</v>
      </c>
      <c r="L166" s="49">
        <f t="shared" si="6"/>
        <v>0.5732773697</v>
      </c>
      <c r="M166" s="49">
        <f t="shared" si="7"/>
        <v>0.0703043022</v>
      </c>
      <c r="N166" s="32" t="str">
        <f t="shared" si="8"/>
        <v>Mal. Lott</v>
      </c>
      <c r="O166" s="50" t="s">
        <v>77</v>
      </c>
      <c r="P166" s="38">
        <v>947.0</v>
      </c>
      <c r="Q166" s="38">
        <v>944.0</v>
      </c>
      <c r="R166" s="38">
        <v>852.0</v>
      </c>
      <c r="S166" s="38">
        <v>350.0</v>
      </c>
      <c r="T166" s="38">
        <v>98.0</v>
      </c>
      <c r="U166" s="48">
        <f t="shared" si="9"/>
        <v>2743</v>
      </c>
      <c r="V166" s="48">
        <f t="shared" si="10"/>
        <v>3191</v>
      </c>
      <c r="W166" s="49">
        <f t="shared" si="11"/>
        <v>0.3452424353</v>
      </c>
      <c r="X166" s="49">
        <f t="shared" si="12"/>
        <v>0.3441487423</v>
      </c>
      <c r="Y166" s="49">
        <f t="shared" si="13"/>
        <v>0.3106088225</v>
      </c>
      <c r="Z166" s="32" t="str">
        <f t="shared" si="14"/>
        <v>Jango</v>
      </c>
      <c r="AA166" s="50" t="s">
        <v>77</v>
      </c>
      <c r="AB166" s="38">
        <v>4811.0</v>
      </c>
      <c r="AC166" s="48">
        <f t="shared" si="17"/>
        <v>1620</v>
      </c>
      <c r="AD166" s="51">
        <f t="shared" si="18"/>
        <v>0.6632716691</v>
      </c>
    </row>
    <row r="167">
      <c r="A167" s="110" t="s">
        <v>580</v>
      </c>
      <c r="B167" s="46" t="s">
        <v>2707</v>
      </c>
      <c r="C167" s="47"/>
      <c r="D167" s="38">
        <v>1388.0</v>
      </c>
      <c r="E167" s="38">
        <v>2347.0</v>
      </c>
      <c r="F167" s="38">
        <v>770.0</v>
      </c>
      <c r="G167" s="38">
        <v>361.0</v>
      </c>
      <c r="H167" s="38">
        <v>436.0</v>
      </c>
      <c r="I167" s="48">
        <f t="shared" si="3"/>
        <v>4505</v>
      </c>
      <c r="J167" s="48">
        <f t="shared" si="4"/>
        <v>5302</v>
      </c>
      <c r="K167" s="49">
        <f t="shared" si="5"/>
        <v>0.3081021088</v>
      </c>
      <c r="L167" s="49">
        <f t="shared" si="6"/>
        <v>0.5209766926</v>
      </c>
      <c r="M167" s="49">
        <f t="shared" si="7"/>
        <v>0.1709211987</v>
      </c>
      <c r="N167" s="32" t="str">
        <f t="shared" si="8"/>
        <v>Mal. Lott</v>
      </c>
      <c r="O167" s="50" t="s">
        <v>77</v>
      </c>
      <c r="P167" s="38">
        <v>2093.0</v>
      </c>
      <c r="Q167" s="38">
        <v>1684.0</v>
      </c>
      <c r="R167" s="38">
        <v>390.0</v>
      </c>
      <c r="S167" s="38">
        <v>736.0</v>
      </c>
      <c r="T167" s="38">
        <v>399.0</v>
      </c>
      <c r="U167" s="48">
        <f t="shared" si="9"/>
        <v>4167</v>
      </c>
      <c r="V167" s="48">
        <f t="shared" si="10"/>
        <v>5302</v>
      </c>
      <c r="W167" s="49">
        <f t="shared" si="11"/>
        <v>0.5022798176</v>
      </c>
      <c r="X167" s="49">
        <f t="shared" si="12"/>
        <v>0.4041276698</v>
      </c>
      <c r="Y167" s="49">
        <f t="shared" si="13"/>
        <v>0.0935925126</v>
      </c>
      <c r="Z167" s="32" t="str">
        <f t="shared" si="14"/>
        <v>Jango</v>
      </c>
      <c r="AA167" s="50" t="s">
        <v>77</v>
      </c>
      <c r="AB167" s="38">
        <v>7124.0</v>
      </c>
      <c r="AC167" s="48">
        <f t="shared" si="17"/>
        <v>1822</v>
      </c>
      <c r="AD167" s="51">
        <f t="shared" si="18"/>
        <v>0.7442448063</v>
      </c>
    </row>
    <row r="168">
      <c r="A168" s="61" t="s">
        <v>585</v>
      </c>
      <c r="B168" s="46" t="s">
        <v>2708</v>
      </c>
      <c r="C168" s="47"/>
      <c r="D168" s="38">
        <v>1170.0</v>
      </c>
      <c r="E168" s="38">
        <v>1626.0</v>
      </c>
      <c r="F168" s="38">
        <v>246.0</v>
      </c>
      <c r="G168" s="38">
        <v>219.0</v>
      </c>
      <c r="H168" s="38">
        <v>154.0</v>
      </c>
      <c r="I168" s="48">
        <f t="shared" si="3"/>
        <v>3042</v>
      </c>
      <c r="J168" s="48">
        <f t="shared" si="4"/>
        <v>3415</v>
      </c>
      <c r="K168" s="49">
        <f t="shared" si="5"/>
        <v>0.3846153846</v>
      </c>
      <c r="L168" s="49">
        <f t="shared" si="6"/>
        <v>0.5345167653</v>
      </c>
      <c r="M168" s="49">
        <f t="shared" si="7"/>
        <v>0.0808678501</v>
      </c>
      <c r="N168" s="32" t="str">
        <f t="shared" si="8"/>
        <v>Mal. Lott</v>
      </c>
      <c r="O168" s="50" t="s">
        <v>77</v>
      </c>
      <c r="P168" s="38">
        <v>1621.0</v>
      </c>
      <c r="Q168" s="38">
        <v>1013.0</v>
      </c>
      <c r="R168" s="38">
        <v>188.0</v>
      </c>
      <c r="S168" s="38">
        <v>498.0</v>
      </c>
      <c r="T168" s="38">
        <v>95.0</v>
      </c>
      <c r="U168" s="48">
        <f t="shared" si="9"/>
        <v>2822</v>
      </c>
      <c r="V168" s="48">
        <f t="shared" si="10"/>
        <v>3415</v>
      </c>
      <c r="W168" s="49">
        <f t="shared" si="11"/>
        <v>0.5744153083</v>
      </c>
      <c r="X168" s="49">
        <f t="shared" si="12"/>
        <v>0.3589652729</v>
      </c>
      <c r="Y168" s="49">
        <f t="shared" si="13"/>
        <v>0.06661941885</v>
      </c>
      <c r="Z168" s="32" t="str">
        <f t="shared" si="14"/>
        <v>Jango</v>
      </c>
      <c r="AA168" s="50" t="s">
        <v>77</v>
      </c>
      <c r="AB168" s="38">
        <v>4272.0</v>
      </c>
      <c r="AC168" s="48">
        <f t="shared" si="17"/>
        <v>857</v>
      </c>
      <c r="AD168" s="51">
        <f t="shared" si="18"/>
        <v>0.7993913858</v>
      </c>
    </row>
    <row r="169">
      <c r="A169" s="24"/>
      <c r="B169" s="46" t="s">
        <v>2709</v>
      </c>
      <c r="C169" s="47"/>
      <c r="D169" s="38">
        <v>811.0</v>
      </c>
      <c r="E169" s="38">
        <v>381.0</v>
      </c>
      <c r="F169" s="38">
        <v>46.0</v>
      </c>
      <c r="G169" s="38">
        <v>91.0</v>
      </c>
      <c r="H169" s="38">
        <v>76.0</v>
      </c>
      <c r="I169" s="48">
        <f t="shared" si="3"/>
        <v>1238</v>
      </c>
      <c r="J169" s="48">
        <f t="shared" si="4"/>
        <v>1405</v>
      </c>
      <c r="K169" s="49">
        <f t="shared" si="5"/>
        <v>0.655088853</v>
      </c>
      <c r="L169" s="49">
        <f t="shared" si="6"/>
        <v>0.3077544426</v>
      </c>
      <c r="M169" s="49">
        <f t="shared" si="7"/>
        <v>0.03715670436</v>
      </c>
      <c r="N169" s="32" t="str">
        <f t="shared" si="8"/>
        <v>Jânio</v>
      </c>
      <c r="O169" s="50" t="s">
        <v>77</v>
      </c>
      <c r="P169" s="38">
        <v>376.0</v>
      </c>
      <c r="Q169" s="38">
        <v>729.0</v>
      </c>
      <c r="R169" s="38">
        <v>54.0</v>
      </c>
      <c r="S169" s="38">
        <v>212.0</v>
      </c>
      <c r="T169" s="38">
        <v>34.0</v>
      </c>
      <c r="U169" s="48">
        <f t="shared" si="9"/>
        <v>1159</v>
      </c>
      <c r="V169" s="48">
        <f t="shared" si="10"/>
        <v>1405</v>
      </c>
      <c r="W169" s="49">
        <f t="shared" si="11"/>
        <v>0.3244176014</v>
      </c>
      <c r="X169" s="49">
        <f t="shared" si="12"/>
        <v>0.6289905091</v>
      </c>
      <c r="Y169" s="49">
        <f t="shared" si="13"/>
        <v>0.04659188956</v>
      </c>
      <c r="Z169" s="32" t="str">
        <f t="shared" si="14"/>
        <v>Milton</v>
      </c>
      <c r="AA169" s="50" t="s">
        <v>77</v>
      </c>
      <c r="AB169" s="38">
        <v>1926.0</v>
      </c>
      <c r="AC169" s="48">
        <f t="shared" si="17"/>
        <v>521</v>
      </c>
      <c r="AD169" s="51">
        <f t="shared" si="18"/>
        <v>0.7294911734</v>
      </c>
    </row>
    <row r="170">
      <c r="A170" s="110" t="s">
        <v>410</v>
      </c>
      <c r="B170" s="46" t="s">
        <v>2710</v>
      </c>
      <c r="C170" s="47"/>
      <c r="D170" s="38">
        <v>1927.0</v>
      </c>
      <c r="E170" s="38">
        <v>3140.0</v>
      </c>
      <c r="F170" s="38">
        <v>357.0</v>
      </c>
      <c r="G170" s="38">
        <v>382.0</v>
      </c>
      <c r="H170" s="38">
        <v>296.0</v>
      </c>
      <c r="I170" s="48">
        <f t="shared" si="3"/>
        <v>5424</v>
      </c>
      <c r="J170" s="48">
        <f t="shared" si="4"/>
        <v>6102</v>
      </c>
      <c r="K170" s="49">
        <f t="shared" si="5"/>
        <v>0.3552728614</v>
      </c>
      <c r="L170" s="49">
        <f t="shared" si="6"/>
        <v>0.5789085546</v>
      </c>
      <c r="M170" s="49">
        <f t="shared" si="7"/>
        <v>0.06581858407</v>
      </c>
      <c r="N170" s="32" t="str">
        <f t="shared" si="8"/>
        <v>Mal. Lott</v>
      </c>
      <c r="O170" s="50" t="s">
        <v>77</v>
      </c>
      <c r="P170" s="38">
        <v>3235.0</v>
      </c>
      <c r="Q170" s="38">
        <v>1720.0</v>
      </c>
      <c r="R170" s="38">
        <v>279.0</v>
      </c>
      <c r="S170" s="38">
        <v>621.0</v>
      </c>
      <c r="T170" s="38">
        <v>247.0</v>
      </c>
      <c r="U170" s="48">
        <f t="shared" si="9"/>
        <v>5234</v>
      </c>
      <c r="V170" s="48">
        <f t="shared" si="10"/>
        <v>6102</v>
      </c>
      <c r="W170" s="49">
        <f t="shared" si="11"/>
        <v>0.6180741307</v>
      </c>
      <c r="X170" s="49">
        <f t="shared" si="12"/>
        <v>0.3286205579</v>
      </c>
      <c r="Y170" s="49">
        <f t="shared" si="13"/>
        <v>0.05330531143</v>
      </c>
      <c r="Z170" s="32" t="str">
        <f t="shared" si="14"/>
        <v>Jango</v>
      </c>
      <c r="AA170" s="50" t="s">
        <v>77</v>
      </c>
      <c r="AB170" s="38">
        <v>7330.0</v>
      </c>
      <c r="AC170" s="48">
        <f t="shared" si="17"/>
        <v>1228</v>
      </c>
      <c r="AD170" s="51">
        <f t="shared" si="18"/>
        <v>0.8324693042</v>
      </c>
    </row>
    <row r="171">
      <c r="A171" s="61" t="s">
        <v>412</v>
      </c>
      <c r="B171" s="46" t="s">
        <v>2711</v>
      </c>
      <c r="C171" s="47"/>
      <c r="D171" s="38">
        <v>551.0</v>
      </c>
      <c r="E171" s="38">
        <v>551.0</v>
      </c>
      <c r="F171" s="38">
        <v>574.0</v>
      </c>
      <c r="G171" s="38">
        <v>83.0</v>
      </c>
      <c r="H171" s="38">
        <v>86.0</v>
      </c>
      <c r="I171" s="48">
        <f t="shared" si="3"/>
        <v>1676</v>
      </c>
      <c r="J171" s="48">
        <f t="shared" si="4"/>
        <v>1845</v>
      </c>
      <c r="K171" s="49">
        <f t="shared" si="5"/>
        <v>0.3287589499</v>
      </c>
      <c r="L171" s="49">
        <f t="shared" si="6"/>
        <v>0.3287589499</v>
      </c>
      <c r="M171" s="49">
        <f t="shared" si="7"/>
        <v>0.3424821002</v>
      </c>
      <c r="N171" s="32" t="str">
        <f t="shared" si="8"/>
        <v>Adhemar</v>
      </c>
      <c r="O171" s="50" t="s">
        <v>77</v>
      </c>
      <c r="P171" s="38">
        <v>620.0</v>
      </c>
      <c r="Q171" s="38">
        <v>647.0</v>
      </c>
      <c r="R171" s="38">
        <v>166.0</v>
      </c>
      <c r="S171" s="38">
        <v>347.0</v>
      </c>
      <c r="T171" s="38">
        <v>65.0</v>
      </c>
      <c r="U171" s="48">
        <f t="shared" si="9"/>
        <v>1433</v>
      </c>
      <c r="V171" s="48">
        <f t="shared" si="10"/>
        <v>1845</v>
      </c>
      <c r="W171" s="49">
        <f t="shared" si="11"/>
        <v>0.4326587579</v>
      </c>
      <c r="X171" s="49">
        <f t="shared" si="12"/>
        <v>0.4515003489</v>
      </c>
      <c r="Y171" s="49">
        <f t="shared" si="13"/>
        <v>0.1158408932</v>
      </c>
      <c r="Z171" s="32" t="str">
        <f t="shared" si="14"/>
        <v>Milton</v>
      </c>
      <c r="AA171" s="50" t="s">
        <v>77</v>
      </c>
      <c r="AB171" s="38">
        <v>2119.0</v>
      </c>
      <c r="AC171" s="48">
        <f t="shared" si="17"/>
        <v>274</v>
      </c>
      <c r="AD171" s="51">
        <f t="shared" si="18"/>
        <v>0.8706937235</v>
      </c>
    </row>
    <row r="172">
      <c r="A172" s="24"/>
      <c r="B172" s="46" t="s">
        <v>2712</v>
      </c>
      <c r="C172" s="47"/>
      <c r="D172" s="38">
        <v>560.0</v>
      </c>
      <c r="E172" s="38">
        <v>655.0</v>
      </c>
      <c r="F172" s="38">
        <v>334.0</v>
      </c>
      <c r="G172" s="38">
        <v>44.0</v>
      </c>
      <c r="H172" s="38">
        <v>67.0</v>
      </c>
      <c r="I172" s="48">
        <f t="shared" si="3"/>
        <v>1549</v>
      </c>
      <c r="J172" s="48">
        <f t="shared" si="4"/>
        <v>1660</v>
      </c>
      <c r="K172" s="49">
        <f t="shared" si="5"/>
        <v>0.3615235636</v>
      </c>
      <c r="L172" s="49">
        <f t="shared" si="6"/>
        <v>0.4228534538</v>
      </c>
      <c r="M172" s="49">
        <f t="shared" si="7"/>
        <v>0.2156229826</v>
      </c>
      <c r="N172" s="32" t="str">
        <f t="shared" si="8"/>
        <v>Mal. Lott</v>
      </c>
      <c r="O172" s="50" t="s">
        <v>77</v>
      </c>
      <c r="P172" s="38">
        <v>616.0</v>
      </c>
      <c r="Q172" s="38">
        <v>640.0</v>
      </c>
      <c r="R172" s="38">
        <v>150.0</v>
      </c>
      <c r="S172" s="38">
        <v>214.0</v>
      </c>
      <c r="T172" s="38">
        <v>40.0</v>
      </c>
      <c r="U172" s="48">
        <f t="shared" si="9"/>
        <v>1406</v>
      </c>
      <c r="V172" s="48">
        <f t="shared" si="10"/>
        <v>1660</v>
      </c>
      <c r="W172" s="49">
        <f t="shared" si="11"/>
        <v>0.4381223329</v>
      </c>
      <c r="X172" s="49">
        <f t="shared" si="12"/>
        <v>0.4551920341</v>
      </c>
      <c r="Y172" s="49">
        <f t="shared" si="13"/>
        <v>0.106685633</v>
      </c>
      <c r="Z172" s="32" t="str">
        <f t="shared" si="14"/>
        <v>Milton</v>
      </c>
      <c r="AA172" s="50" t="s">
        <v>77</v>
      </c>
      <c r="AB172" s="38">
        <v>1845.0</v>
      </c>
      <c r="AC172" s="48">
        <f t="shared" si="17"/>
        <v>185</v>
      </c>
      <c r="AD172" s="51">
        <f t="shared" si="18"/>
        <v>0.8997289973</v>
      </c>
    </row>
    <row r="173">
      <c r="A173" s="61" t="s">
        <v>846</v>
      </c>
      <c r="B173" s="46" t="s">
        <v>2713</v>
      </c>
      <c r="C173" s="47"/>
      <c r="D173" s="55">
        <v>2666.0</v>
      </c>
      <c r="E173" s="38">
        <v>3864.0</v>
      </c>
      <c r="F173" s="55">
        <v>749.0</v>
      </c>
      <c r="G173" s="38">
        <v>608.0</v>
      </c>
      <c r="H173" s="38">
        <v>496.0</v>
      </c>
      <c r="I173" s="48">
        <f t="shared" si="3"/>
        <v>7279</v>
      </c>
      <c r="J173" s="114">
        <f t="shared" si="4"/>
        <v>8383</v>
      </c>
      <c r="K173" s="49">
        <f t="shared" si="5"/>
        <v>0.3662591015</v>
      </c>
      <c r="L173" s="49">
        <f t="shared" si="6"/>
        <v>0.5308421486</v>
      </c>
      <c r="M173" s="49">
        <f t="shared" si="7"/>
        <v>0.1028987498</v>
      </c>
      <c r="N173" s="32" t="str">
        <f t="shared" si="8"/>
        <v>Mal. Lott</v>
      </c>
      <c r="O173" s="50" t="s">
        <v>77</v>
      </c>
      <c r="P173" s="38">
        <v>3356.0</v>
      </c>
      <c r="Q173" s="38">
        <v>2651.0</v>
      </c>
      <c r="R173" s="38">
        <v>835.0</v>
      </c>
      <c r="S173" s="38">
        <v>1079.0</v>
      </c>
      <c r="T173" s="38">
        <v>462.0</v>
      </c>
      <c r="U173" s="48">
        <f t="shared" si="9"/>
        <v>6842</v>
      </c>
      <c r="V173" s="48">
        <f t="shared" si="10"/>
        <v>8383</v>
      </c>
      <c r="W173" s="49">
        <f t="shared" si="11"/>
        <v>0.4904998538</v>
      </c>
      <c r="X173" s="49">
        <f t="shared" si="12"/>
        <v>0.3874598071</v>
      </c>
      <c r="Y173" s="49">
        <f t="shared" si="13"/>
        <v>0.1220403391</v>
      </c>
      <c r="Z173" s="32" t="str">
        <f t="shared" si="14"/>
        <v>Jango</v>
      </c>
      <c r="AA173" s="50" t="s">
        <v>77</v>
      </c>
      <c r="AB173" s="38">
        <v>10049.0</v>
      </c>
      <c r="AC173" s="48">
        <f t="shared" si="17"/>
        <v>1666</v>
      </c>
      <c r="AD173" s="51">
        <f t="shared" si="18"/>
        <v>0.8342123594</v>
      </c>
    </row>
    <row r="174">
      <c r="A174" s="24"/>
      <c r="B174" s="46" t="s">
        <v>2714</v>
      </c>
      <c r="C174" s="47"/>
      <c r="D174" s="38">
        <v>572.0</v>
      </c>
      <c r="E174" s="38">
        <v>448.0</v>
      </c>
      <c r="F174" s="38">
        <v>73.0</v>
      </c>
      <c r="G174" s="38">
        <v>229.0</v>
      </c>
      <c r="H174" s="38">
        <v>162.0</v>
      </c>
      <c r="I174" s="48">
        <f t="shared" si="3"/>
        <v>1093</v>
      </c>
      <c r="J174" s="48">
        <f t="shared" si="4"/>
        <v>1484</v>
      </c>
      <c r="K174" s="49">
        <f t="shared" si="5"/>
        <v>0.5233302836</v>
      </c>
      <c r="L174" s="49">
        <f t="shared" si="6"/>
        <v>0.4098810613</v>
      </c>
      <c r="M174" s="49">
        <f t="shared" si="7"/>
        <v>0.06678865508</v>
      </c>
      <c r="N174" s="32" t="str">
        <f t="shared" si="8"/>
        <v>Jânio</v>
      </c>
      <c r="O174" s="50" t="s">
        <v>77</v>
      </c>
      <c r="P174" s="38">
        <v>465.0</v>
      </c>
      <c r="Q174" s="38">
        <v>457.0</v>
      </c>
      <c r="R174" s="38">
        <v>83.0</v>
      </c>
      <c r="S174" s="55">
        <v>385.0</v>
      </c>
      <c r="T174" s="38">
        <v>94.0</v>
      </c>
      <c r="U174" s="48">
        <f t="shared" si="9"/>
        <v>1005</v>
      </c>
      <c r="V174" s="114">
        <f t="shared" si="10"/>
        <v>1484</v>
      </c>
      <c r="W174" s="49">
        <f t="shared" si="11"/>
        <v>0.4626865672</v>
      </c>
      <c r="X174" s="49">
        <f t="shared" si="12"/>
        <v>0.4547263682</v>
      </c>
      <c r="Y174" s="49">
        <f t="shared" si="13"/>
        <v>0.08258706468</v>
      </c>
      <c r="Z174" s="32" t="str">
        <f t="shared" si="14"/>
        <v>Jango</v>
      </c>
      <c r="AA174" s="50" t="s">
        <v>77</v>
      </c>
      <c r="AB174" s="38">
        <v>2065.0</v>
      </c>
      <c r="AC174" s="48">
        <f t="shared" si="17"/>
        <v>581</v>
      </c>
      <c r="AD174" s="51">
        <f t="shared" si="18"/>
        <v>0.7186440678</v>
      </c>
    </row>
    <row r="175">
      <c r="A175" s="61" t="s">
        <v>848</v>
      </c>
      <c r="B175" s="46" t="s">
        <v>2715</v>
      </c>
      <c r="C175" s="47"/>
      <c r="D175" s="38">
        <v>2532.0</v>
      </c>
      <c r="E175" s="38">
        <v>4254.0</v>
      </c>
      <c r="F175" s="38">
        <v>573.0</v>
      </c>
      <c r="G175" s="38">
        <v>641.0</v>
      </c>
      <c r="H175" s="38">
        <v>584.0</v>
      </c>
      <c r="I175" s="48">
        <f t="shared" si="3"/>
        <v>7359</v>
      </c>
      <c r="J175" s="48">
        <f t="shared" si="4"/>
        <v>8584</v>
      </c>
      <c r="K175" s="49">
        <f t="shared" si="5"/>
        <v>0.3440684876</v>
      </c>
      <c r="L175" s="49">
        <f t="shared" si="6"/>
        <v>0.5780676722</v>
      </c>
      <c r="M175" s="49">
        <f t="shared" si="7"/>
        <v>0.0778638402</v>
      </c>
      <c r="N175" s="32" t="str">
        <f t="shared" si="8"/>
        <v>Mal. Lott</v>
      </c>
      <c r="O175" s="50" t="s">
        <v>77</v>
      </c>
      <c r="P175" s="38">
        <v>4153.0</v>
      </c>
      <c r="Q175" s="38">
        <v>2444.0</v>
      </c>
      <c r="R175" s="38">
        <v>435.0</v>
      </c>
      <c r="S175" s="38">
        <v>1095.0</v>
      </c>
      <c r="T175" s="38">
        <v>457.0</v>
      </c>
      <c r="U175" s="48">
        <f t="shared" si="9"/>
        <v>7032</v>
      </c>
      <c r="V175" s="48">
        <f t="shared" si="10"/>
        <v>8584</v>
      </c>
      <c r="W175" s="49">
        <f t="shared" si="11"/>
        <v>0.5905858931</v>
      </c>
      <c r="X175" s="49">
        <f t="shared" si="12"/>
        <v>0.3475540387</v>
      </c>
      <c r="Y175" s="49">
        <f t="shared" si="13"/>
        <v>0.06186006826</v>
      </c>
      <c r="Z175" s="32" t="str">
        <f t="shared" si="14"/>
        <v>Jango</v>
      </c>
      <c r="AA175" s="50" t="s">
        <v>77</v>
      </c>
      <c r="AB175" s="38">
        <v>11158.0</v>
      </c>
      <c r="AC175" s="48">
        <f t="shared" si="17"/>
        <v>2574</v>
      </c>
      <c r="AD175" s="51">
        <f t="shared" si="18"/>
        <v>0.769313497</v>
      </c>
    </row>
    <row r="176">
      <c r="A176" s="24"/>
      <c r="B176" s="46" t="s">
        <v>2716</v>
      </c>
      <c r="C176" s="47"/>
      <c r="D176" s="38">
        <v>331.0</v>
      </c>
      <c r="E176" s="38">
        <v>480.0</v>
      </c>
      <c r="F176" s="38">
        <v>77.0</v>
      </c>
      <c r="G176" s="38">
        <v>128.0</v>
      </c>
      <c r="H176" s="38">
        <v>113.0</v>
      </c>
      <c r="I176" s="48">
        <f t="shared" si="3"/>
        <v>888</v>
      </c>
      <c r="J176" s="48">
        <f t="shared" si="4"/>
        <v>1129</v>
      </c>
      <c r="K176" s="49">
        <f t="shared" si="5"/>
        <v>0.3727477477</v>
      </c>
      <c r="L176" s="49">
        <f t="shared" si="6"/>
        <v>0.5405405405</v>
      </c>
      <c r="M176" s="49">
        <f t="shared" si="7"/>
        <v>0.08671171171</v>
      </c>
      <c r="N176" s="32" t="str">
        <f t="shared" si="8"/>
        <v>Mal. Lott</v>
      </c>
      <c r="O176" s="50" t="s">
        <v>77</v>
      </c>
      <c r="P176" s="38">
        <v>404.0</v>
      </c>
      <c r="Q176" s="38">
        <v>318.0</v>
      </c>
      <c r="R176" s="38">
        <v>65.0</v>
      </c>
      <c r="S176" s="38">
        <v>265.0</v>
      </c>
      <c r="T176" s="38">
        <v>77.0</v>
      </c>
      <c r="U176" s="48">
        <f t="shared" si="9"/>
        <v>787</v>
      </c>
      <c r="V176" s="48">
        <f t="shared" si="10"/>
        <v>1129</v>
      </c>
      <c r="W176" s="49">
        <f t="shared" si="11"/>
        <v>0.5133418043</v>
      </c>
      <c r="X176" s="49">
        <f t="shared" si="12"/>
        <v>0.4040660737</v>
      </c>
      <c r="Y176" s="49">
        <f t="shared" si="13"/>
        <v>0.08259212198</v>
      </c>
      <c r="Z176" s="32" t="str">
        <f t="shared" si="14"/>
        <v>Jango</v>
      </c>
      <c r="AA176" s="50" t="s">
        <v>77</v>
      </c>
      <c r="AB176" s="38">
        <v>1497.0</v>
      </c>
      <c r="AC176" s="48">
        <f t="shared" si="17"/>
        <v>368</v>
      </c>
      <c r="AD176" s="51">
        <f t="shared" si="18"/>
        <v>0.7541750167</v>
      </c>
    </row>
    <row r="177">
      <c r="A177" s="110" t="s">
        <v>850</v>
      </c>
      <c r="B177" s="46" t="s">
        <v>2717</v>
      </c>
      <c r="C177" s="47"/>
      <c r="D177" s="38">
        <v>1269.0</v>
      </c>
      <c r="E177" s="38">
        <v>1213.0</v>
      </c>
      <c r="F177" s="38">
        <v>314.0</v>
      </c>
      <c r="G177" s="38">
        <v>281.0</v>
      </c>
      <c r="H177" s="38">
        <v>318.0</v>
      </c>
      <c r="I177" s="48">
        <f t="shared" si="3"/>
        <v>2796</v>
      </c>
      <c r="J177" s="48">
        <f t="shared" si="4"/>
        <v>3395</v>
      </c>
      <c r="K177" s="49">
        <f t="shared" si="5"/>
        <v>0.4538626609</v>
      </c>
      <c r="L177" s="49">
        <f t="shared" si="6"/>
        <v>0.4338340486</v>
      </c>
      <c r="M177" s="49">
        <f t="shared" si="7"/>
        <v>0.1123032904</v>
      </c>
      <c r="N177" s="32" t="str">
        <f t="shared" si="8"/>
        <v>Jânio</v>
      </c>
      <c r="O177" s="50" t="s">
        <v>77</v>
      </c>
      <c r="P177" s="38">
        <v>1340.0</v>
      </c>
      <c r="Q177" s="38">
        <v>953.0</v>
      </c>
      <c r="R177" s="38">
        <v>254.0</v>
      </c>
      <c r="S177" s="38">
        <v>670.0</v>
      </c>
      <c r="T177" s="38">
        <v>178.0</v>
      </c>
      <c r="U177" s="48">
        <f t="shared" si="9"/>
        <v>2547</v>
      </c>
      <c r="V177" s="48">
        <f t="shared" si="10"/>
        <v>3395</v>
      </c>
      <c r="W177" s="49">
        <f t="shared" si="11"/>
        <v>0.526109148</v>
      </c>
      <c r="X177" s="49">
        <f t="shared" si="12"/>
        <v>0.3741656851</v>
      </c>
      <c r="Y177" s="49">
        <f t="shared" si="13"/>
        <v>0.09972516686</v>
      </c>
      <c r="Z177" s="32" t="str">
        <f t="shared" si="14"/>
        <v>Jango</v>
      </c>
      <c r="AA177" s="50" t="s">
        <v>77</v>
      </c>
      <c r="AB177" s="38">
        <v>4511.0</v>
      </c>
      <c r="AC177" s="48">
        <f t="shared" si="17"/>
        <v>1116</v>
      </c>
      <c r="AD177" s="51">
        <f t="shared" si="18"/>
        <v>0.752604744</v>
      </c>
    </row>
    <row r="178">
      <c r="A178" s="110" t="s">
        <v>852</v>
      </c>
      <c r="B178" s="46" t="s">
        <v>2718</v>
      </c>
      <c r="C178" s="47"/>
      <c r="D178" s="38">
        <v>5357.0</v>
      </c>
      <c r="E178" s="38">
        <v>4107.0</v>
      </c>
      <c r="F178" s="38">
        <v>960.0</v>
      </c>
      <c r="G178" s="38">
        <v>559.0</v>
      </c>
      <c r="H178" s="38">
        <v>540.0</v>
      </c>
      <c r="I178" s="48">
        <f t="shared" si="3"/>
        <v>10424</v>
      </c>
      <c r="J178" s="48">
        <f t="shared" si="4"/>
        <v>11523</v>
      </c>
      <c r="K178" s="49">
        <f t="shared" si="5"/>
        <v>0.5139102072</v>
      </c>
      <c r="L178" s="49">
        <f t="shared" si="6"/>
        <v>0.3939946278</v>
      </c>
      <c r="M178" s="49">
        <f t="shared" si="7"/>
        <v>0.092095165</v>
      </c>
      <c r="N178" s="32" t="str">
        <f t="shared" si="8"/>
        <v>Jânio</v>
      </c>
      <c r="O178" s="50" t="s">
        <v>77</v>
      </c>
      <c r="P178" s="38">
        <v>4062.0</v>
      </c>
      <c r="Q178" s="38">
        <v>5271.0</v>
      </c>
      <c r="R178" s="38">
        <v>521.0</v>
      </c>
      <c r="S178" s="38">
        <v>1263.0</v>
      </c>
      <c r="T178" s="38">
        <v>406.0</v>
      </c>
      <c r="U178" s="48">
        <f t="shared" si="9"/>
        <v>9854</v>
      </c>
      <c r="V178" s="48">
        <f t="shared" si="10"/>
        <v>11523</v>
      </c>
      <c r="W178" s="49">
        <f t="shared" si="11"/>
        <v>0.4122183885</v>
      </c>
      <c r="X178" s="49">
        <f t="shared" si="12"/>
        <v>0.5349096813</v>
      </c>
      <c r="Y178" s="49">
        <f t="shared" si="13"/>
        <v>0.05287193018</v>
      </c>
      <c r="Z178" s="32" t="str">
        <f t="shared" si="14"/>
        <v>Milton</v>
      </c>
      <c r="AA178" s="50" t="s">
        <v>77</v>
      </c>
      <c r="AB178" s="38">
        <v>13597.0</v>
      </c>
      <c r="AC178" s="48">
        <f t="shared" si="17"/>
        <v>2074</v>
      </c>
      <c r="AD178" s="51">
        <f t="shared" si="18"/>
        <v>0.8474663529</v>
      </c>
    </row>
    <row r="179">
      <c r="A179" s="61" t="s">
        <v>854</v>
      </c>
      <c r="B179" s="46" t="s">
        <v>2719</v>
      </c>
      <c r="C179" s="47"/>
      <c r="D179" s="38">
        <v>768.0</v>
      </c>
      <c r="E179" s="38">
        <v>632.0</v>
      </c>
      <c r="F179" s="38">
        <v>112.0</v>
      </c>
      <c r="G179" s="38">
        <v>140.0</v>
      </c>
      <c r="H179" s="38">
        <v>103.0</v>
      </c>
      <c r="I179" s="48">
        <f t="shared" si="3"/>
        <v>1512</v>
      </c>
      <c r="J179" s="48">
        <f t="shared" si="4"/>
        <v>1755</v>
      </c>
      <c r="K179" s="49">
        <f t="shared" si="5"/>
        <v>0.5079365079</v>
      </c>
      <c r="L179" s="49">
        <f t="shared" si="6"/>
        <v>0.417989418</v>
      </c>
      <c r="M179" s="49">
        <f t="shared" si="7"/>
        <v>0.07407407407</v>
      </c>
      <c r="N179" s="32" t="str">
        <f t="shared" si="8"/>
        <v>Jânio</v>
      </c>
      <c r="O179" s="50" t="s">
        <v>77</v>
      </c>
      <c r="P179" s="38">
        <v>688.0</v>
      </c>
      <c r="Q179" s="38">
        <v>659.0</v>
      </c>
      <c r="R179" s="38">
        <v>82.0</v>
      </c>
      <c r="S179" s="38">
        <v>255.0</v>
      </c>
      <c r="T179" s="38">
        <v>71.0</v>
      </c>
      <c r="U179" s="48">
        <f t="shared" si="9"/>
        <v>1429</v>
      </c>
      <c r="V179" s="48">
        <f t="shared" si="10"/>
        <v>1755</v>
      </c>
      <c r="W179" s="49">
        <f t="shared" si="11"/>
        <v>0.4814555633</v>
      </c>
      <c r="X179" s="49">
        <f t="shared" si="12"/>
        <v>0.4611616515</v>
      </c>
      <c r="Y179" s="49">
        <f t="shared" si="13"/>
        <v>0.05738278516</v>
      </c>
      <c r="Z179" s="32" t="str">
        <f t="shared" si="14"/>
        <v>Jango</v>
      </c>
      <c r="AA179" s="50" t="s">
        <v>77</v>
      </c>
      <c r="AB179" s="38">
        <v>2371.0</v>
      </c>
      <c r="AC179" s="48">
        <f t="shared" si="17"/>
        <v>616</v>
      </c>
      <c r="AD179" s="51">
        <f t="shared" si="18"/>
        <v>0.740194011</v>
      </c>
    </row>
    <row r="180">
      <c r="A180" s="24"/>
      <c r="B180" s="46" t="s">
        <v>2720</v>
      </c>
      <c r="C180" s="47"/>
      <c r="D180" s="38">
        <v>532.0</v>
      </c>
      <c r="E180" s="38">
        <v>402.0</v>
      </c>
      <c r="F180" s="38">
        <v>38.0</v>
      </c>
      <c r="G180" s="38">
        <v>44.0</v>
      </c>
      <c r="H180" s="38">
        <v>47.0</v>
      </c>
      <c r="I180" s="48">
        <f t="shared" si="3"/>
        <v>972</v>
      </c>
      <c r="J180" s="48">
        <f t="shared" si="4"/>
        <v>1063</v>
      </c>
      <c r="K180" s="49">
        <f t="shared" si="5"/>
        <v>0.5473251029</v>
      </c>
      <c r="L180" s="49">
        <f t="shared" si="6"/>
        <v>0.4135802469</v>
      </c>
      <c r="M180" s="49">
        <f t="shared" si="7"/>
        <v>0.03909465021</v>
      </c>
      <c r="N180" s="32" t="str">
        <f t="shared" si="8"/>
        <v>Jânio</v>
      </c>
      <c r="O180" s="50" t="s">
        <v>77</v>
      </c>
      <c r="P180" s="38">
        <v>419.0</v>
      </c>
      <c r="Q180" s="38">
        <v>529.0</v>
      </c>
      <c r="R180" s="38">
        <v>15.0</v>
      </c>
      <c r="S180" s="38">
        <v>84.0</v>
      </c>
      <c r="T180" s="38">
        <v>16.0</v>
      </c>
      <c r="U180" s="48">
        <f t="shared" si="9"/>
        <v>963</v>
      </c>
      <c r="V180" s="48">
        <f t="shared" si="10"/>
        <v>1063</v>
      </c>
      <c r="W180" s="49">
        <f t="shared" si="11"/>
        <v>0.4350986501</v>
      </c>
      <c r="X180" s="49">
        <f t="shared" si="12"/>
        <v>0.549325026</v>
      </c>
      <c r="Y180" s="49">
        <f t="shared" si="13"/>
        <v>0.01557632399</v>
      </c>
      <c r="Z180" s="32" t="str">
        <f t="shared" si="14"/>
        <v>Milton</v>
      </c>
      <c r="AA180" s="50" t="s">
        <v>77</v>
      </c>
      <c r="AB180" s="38">
        <v>1312.0</v>
      </c>
      <c r="AC180" s="48">
        <f t="shared" si="17"/>
        <v>249</v>
      </c>
      <c r="AD180" s="51">
        <f t="shared" si="18"/>
        <v>0.8102134146</v>
      </c>
    </row>
    <row r="181">
      <c r="A181" s="110" t="s">
        <v>856</v>
      </c>
      <c r="B181" s="46" t="s">
        <v>2721</v>
      </c>
      <c r="C181" s="47"/>
      <c r="D181" s="38">
        <v>1283.0</v>
      </c>
      <c r="E181" s="38">
        <v>778.0</v>
      </c>
      <c r="F181" s="38">
        <v>114.0</v>
      </c>
      <c r="G181" s="38">
        <v>224.0</v>
      </c>
      <c r="H181" s="38">
        <v>164.0</v>
      </c>
      <c r="I181" s="48">
        <f t="shared" si="3"/>
        <v>2175</v>
      </c>
      <c r="J181" s="48">
        <f t="shared" si="4"/>
        <v>2563</v>
      </c>
      <c r="K181" s="49">
        <f t="shared" si="5"/>
        <v>0.5898850575</v>
      </c>
      <c r="L181" s="49">
        <f t="shared" si="6"/>
        <v>0.3577011494</v>
      </c>
      <c r="M181" s="49">
        <f t="shared" si="7"/>
        <v>0.0524137931</v>
      </c>
      <c r="N181" s="32" t="str">
        <f t="shared" si="8"/>
        <v>Jânio</v>
      </c>
      <c r="O181" s="50" t="s">
        <v>77</v>
      </c>
      <c r="P181" s="38">
        <v>841.0</v>
      </c>
      <c r="Q181" s="38">
        <v>1091.0</v>
      </c>
      <c r="R181" s="38">
        <v>115.0</v>
      </c>
      <c r="S181" s="38">
        <v>429.0</v>
      </c>
      <c r="T181" s="38">
        <v>87.0</v>
      </c>
      <c r="U181" s="48">
        <f t="shared" si="9"/>
        <v>2047</v>
      </c>
      <c r="V181" s="48">
        <f t="shared" si="10"/>
        <v>2563</v>
      </c>
      <c r="W181" s="49">
        <f t="shared" si="11"/>
        <v>0.4108451392</v>
      </c>
      <c r="X181" s="49">
        <f t="shared" si="12"/>
        <v>0.5329750855</v>
      </c>
      <c r="Y181" s="49">
        <f t="shared" si="13"/>
        <v>0.05617977528</v>
      </c>
      <c r="Z181" s="32" t="str">
        <f t="shared" si="14"/>
        <v>Milton</v>
      </c>
      <c r="AA181" s="50" t="s">
        <v>77</v>
      </c>
      <c r="AB181" s="38">
        <v>3129.0</v>
      </c>
      <c r="AC181" s="48">
        <f t="shared" si="17"/>
        <v>566</v>
      </c>
      <c r="AD181" s="51">
        <f t="shared" si="18"/>
        <v>0.8191115372</v>
      </c>
    </row>
    <row r="182">
      <c r="A182" s="61" t="s">
        <v>858</v>
      </c>
      <c r="B182" s="46" t="s">
        <v>2722</v>
      </c>
      <c r="C182" s="47"/>
      <c r="D182" s="38">
        <v>532.0</v>
      </c>
      <c r="E182" s="38">
        <v>714.0</v>
      </c>
      <c r="F182" s="38">
        <v>34.0</v>
      </c>
      <c r="G182" s="38">
        <v>65.0</v>
      </c>
      <c r="H182" s="38">
        <v>36.0</v>
      </c>
      <c r="I182" s="48">
        <f t="shared" si="3"/>
        <v>1280</v>
      </c>
      <c r="J182" s="48">
        <f t="shared" si="4"/>
        <v>1381</v>
      </c>
      <c r="K182" s="49">
        <f t="shared" si="5"/>
        <v>0.415625</v>
      </c>
      <c r="L182" s="49">
        <f t="shared" si="6"/>
        <v>0.5578125</v>
      </c>
      <c r="M182" s="49">
        <f t="shared" si="7"/>
        <v>0.0265625</v>
      </c>
      <c r="N182" s="32" t="str">
        <f t="shared" si="8"/>
        <v>Mal. Lott</v>
      </c>
      <c r="O182" s="50" t="s">
        <v>77</v>
      </c>
      <c r="P182" s="38">
        <v>682.0</v>
      </c>
      <c r="Q182" s="38">
        <v>489.0</v>
      </c>
      <c r="R182" s="38">
        <v>47.0</v>
      </c>
      <c r="S182" s="38">
        <v>139.0</v>
      </c>
      <c r="T182" s="38">
        <v>24.0</v>
      </c>
      <c r="U182" s="48">
        <f t="shared" si="9"/>
        <v>1218</v>
      </c>
      <c r="V182" s="48">
        <f t="shared" si="10"/>
        <v>1381</v>
      </c>
      <c r="W182" s="49">
        <f t="shared" si="11"/>
        <v>0.5599343186</v>
      </c>
      <c r="X182" s="49">
        <f t="shared" si="12"/>
        <v>0.4014778325</v>
      </c>
      <c r="Y182" s="49">
        <f t="shared" si="13"/>
        <v>0.03858784893</v>
      </c>
      <c r="Z182" s="32" t="str">
        <f t="shared" si="14"/>
        <v>Jango</v>
      </c>
      <c r="AA182" s="50" t="s">
        <v>77</v>
      </c>
      <c r="AB182" s="38">
        <v>1662.0</v>
      </c>
      <c r="AC182" s="48">
        <f t="shared" si="17"/>
        <v>281</v>
      </c>
      <c r="AD182" s="51">
        <f t="shared" si="18"/>
        <v>0.8309265945</v>
      </c>
    </row>
    <row r="183">
      <c r="A183" s="24"/>
      <c r="B183" s="46" t="s">
        <v>2723</v>
      </c>
      <c r="C183" s="47"/>
      <c r="D183" s="38">
        <v>550.0</v>
      </c>
      <c r="E183" s="38">
        <v>726.0</v>
      </c>
      <c r="F183" s="38">
        <v>196.0</v>
      </c>
      <c r="G183" s="38">
        <v>147.0</v>
      </c>
      <c r="H183" s="38">
        <v>137.0</v>
      </c>
      <c r="I183" s="48">
        <f t="shared" si="3"/>
        <v>1472</v>
      </c>
      <c r="J183" s="48">
        <f t="shared" si="4"/>
        <v>1756</v>
      </c>
      <c r="K183" s="49">
        <f t="shared" si="5"/>
        <v>0.3736413043</v>
      </c>
      <c r="L183" s="49">
        <f t="shared" si="6"/>
        <v>0.4932065217</v>
      </c>
      <c r="M183" s="49">
        <f t="shared" si="7"/>
        <v>0.1331521739</v>
      </c>
      <c r="N183" s="32" t="str">
        <f t="shared" si="8"/>
        <v>Mal. Lott</v>
      </c>
      <c r="O183" s="50" t="s">
        <v>77</v>
      </c>
      <c r="P183" s="38">
        <v>899.0</v>
      </c>
      <c r="Q183" s="38">
        <v>394.0</v>
      </c>
      <c r="R183" s="38">
        <v>117.0</v>
      </c>
      <c r="S183" s="38">
        <v>237.0</v>
      </c>
      <c r="T183" s="38">
        <v>109.0</v>
      </c>
      <c r="U183" s="48">
        <f t="shared" si="9"/>
        <v>1410</v>
      </c>
      <c r="V183" s="48">
        <f t="shared" si="10"/>
        <v>1756</v>
      </c>
      <c r="W183" s="49">
        <f t="shared" si="11"/>
        <v>0.6375886525</v>
      </c>
      <c r="X183" s="49">
        <f t="shared" si="12"/>
        <v>0.2794326241</v>
      </c>
      <c r="Y183" s="49">
        <f t="shared" si="13"/>
        <v>0.0829787234</v>
      </c>
      <c r="Z183" s="32" t="str">
        <f t="shared" si="14"/>
        <v>Jango</v>
      </c>
      <c r="AA183" s="50" t="s">
        <v>77</v>
      </c>
      <c r="AB183" s="38">
        <v>1996.0</v>
      </c>
      <c r="AC183" s="48">
        <f t="shared" si="17"/>
        <v>240</v>
      </c>
      <c r="AD183" s="51">
        <f t="shared" si="18"/>
        <v>0.879759519</v>
      </c>
    </row>
    <row r="184">
      <c r="A184" s="61" t="s">
        <v>860</v>
      </c>
      <c r="B184" s="46" t="s">
        <v>2724</v>
      </c>
      <c r="C184" s="47"/>
      <c r="D184" s="38">
        <v>1530.0</v>
      </c>
      <c r="E184" s="38">
        <v>1567.0</v>
      </c>
      <c r="F184" s="38">
        <v>148.0</v>
      </c>
      <c r="G184" s="38">
        <v>244.0</v>
      </c>
      <c r="H184" s="38">
        <v>151.0</v>
      </c>
      <c r="I184" s="48">
        <f t="shared" si="3"/>
        <v>3245</v>
      </c>
      <c r="J184" s="48">
        <f t="shared" si="4"/>
        <v>3640</v>
      </c>
      <c r="K184" s="49">
        <f t="shared" si="5"/>
        <v>0.4714946071</v>
      </c>
      <c r="L184" s="49">
        <f t="shared" si="6"/>
        <v>0.4828967643</v>
      </c>
      <c r="M184" s="49">
        <f t="shared" si="7"/>
        <v>0.04560862866</v>
      </c>
      <c r="N184" s="32" t="str">
        <f t="shared" si="8"/>
        <v>Mal. Lott</v>
      </c>
      <c r="O184" s="50" t="s">
        <v>77</v>
      </c>
      <c r="P184" s="38">
        <v>1254.0</v>
      </c>
      <c r="Q184" s="38">
        <v>1432.0</v>
      </c>
      <c r="R184" s="38">
        <v>207.0</v>
      </c>
      <c r="S184" s="38">
        <v>672.0</v>
      </c>
      <c r="T184" s="38">
        <v>75.0</v>
      </c>
      <c r="U184" s="48">
        <f t="shared" si="9"/>
        <v>2893</v>
      </c>
      <c r="V184" s="48">
        <f t="shared" si="10"/>
        <v>3640</v>
      </c>
      <c r="W184" s="49">
        <f t="shared" si="11"/>
        <v>0.433460076</v>
      </c>
      <c r="X184" s="49">
        <f t="shared" si="12"/>
        <v>0.4949879018</v>
      </c>
      <c r="Y184" s="49">
        <f t="shared" si="13"/>
        <v>0.07155202212</v>
      </c>
      <c r="Z184" s="32" t="str">
        <f t="shared" si="14"/>
        <v>Milton</v>
      </c>
      <c r="AA184" s="50" t="s">
        <v>77</v>
      </c>
      <c r="AB184" s="38">
        <v>4493.0</v>
      </c>
      <c r="AC184" s="48">
        <f t="shared" si="17"/>
        <v>853</v>
      </c>
      <c r="AD184" s="51">
        <f t="shared" si="18"/>
        <v>0.8101491209</v>
      </c>
    </row>
    <row r="185">
      <c r="A185" s="23"/>
      <c r="B185" s="46" t="s">
        <v>2725</v>
      </c>
      <c r="C185" s="47"/>
      <c r="D185" s="38">
        <v>1074.0</v>
      </c>
      <c r="E185" s="38">
        <v>396.0</v>
      </c>
      <c r="F185" s="38">
        <v>62.0</v>
      </c>
      <c r="G185" s="38">
        <v>119.0</v>
      </c>
      <c r="H185" s="38">
        <v>96.0</v>
      </c>
      <c r="I185" s="48">
        <f t="shared" si="3"/>
        <v>1532</v>
      </c>
      <c r="J185" s="48">
        <f t="shared" si="4"/>
        <v>1747</v>
      </c>
      <c r="K185" s="49">
        <f t="shared" si="5"/>
        <v>0.7010443864</v>
      </c>
      <c r="L185" s="49">
        <f t="shared" si="6"/>
        <v>0.2584856397</v>
      </c>
      <c r="M185" s="49">
        <f t="shared" si="7"/>
        <v>0.04046997389</v>
      </c>
      <c r="N185" s="32" t="str">
        <f t="shared" si="8"/>
        <v>Jânio</v>
      </c>
      <c r="O185" s="50" t="s">
        <v>77</v>
      </c>
      <c r="P185" s="38">
        <v>382.0</v>
      </c>
      <c r="Q185" s="38">
        <v>861.0</v>
      </c>
      <c r="R185" s="38">
        <v>65.0</v>
      </c>
      <c r="S185" s="38">
        <v>399.0</v>
      </c>
      <c r="T185" s="38">
        <v>40.0</v>
      </c>
      <c r="U185" s="48">
        <f t="shared" si="9"/>
        <v>1308</v>
      </c>
      <c r="V185" s="48">
        <f t="shared" si="10"/>
        <v>1747</v>
      </c>
      <c r="W185" s="49">
        <f t="shared" si="11"/>
        <v>0.2920489297</v>
      </c>
      <c r="X185" s="49">
        <f t="shared" si="12"/>
        <v>0.6582568807</v>
      </c>
      <c r="Y185" s="49">
        <f t="shared" si="13"/>
        <v>0.0496941896</v>
      </c>
      <c r="Z185" s="32" t="str">
        <f t="shared" si="14"/>
        <v>Milton</v>
      </c>
      <c r="AA185" s="50" t="s">
        <v>77</v>
      </c>
      <c r="AB185" s="38">
        <v>2171.0</v>
      </c>
      <c r="AC185" s="48">
        <f t="shared" si="17"/>
        <v>424</v>
      </c>
      <c r="AD185" s="51">
        <f t="shared" si="18"/>
        <v>0.8046982957</v>
      </c>
    </row>
    <row r="186">
      <c r="A186" s="24"/>
      <c r="B186" s="46" t="s">
        <v>2726</v>
      </c>
      <c r="C186" s="47"/>
      <c r="D186" s="38">
        <v>125.0</v>
      </c>
      <c r="E186" s="38">
        <v>431.0</v>
      </c>
      <c r="F186" s="38">
        <v>37.0</v>
      </c>
      <c r="G186" s="38">
        <v>44.0</v>
      </c>
      <c r="H186" s="38">
        <v>24.0</v>
      </c>
      <c r="I186" s="48">
        <f t="shared" si="3"/>
        <v>593</v>
      </c>
      <c r="J186" s="48">
        <f t="shared" si="4"/>
        <v>661</v>
      </c>
      <c r="K186" s="49">
        <f t="shared" si="5"/>
        <v>0.2107925801</v>
      </c>
      <c r="L186" s="49">
        <f t="shared" si="6"/>
        <v>0.7268128162</v>
      </c>
      <c r="M186" s="49">
        <f t="shared" si="7"/>
        <v>0.06239460371</v>
      </c>
      <c r="N186" s="32" t="str">
        <f t="shared" si="8"/>
        <v>Mal. Lott</v>
      </c>
      <c r="O186" s="50" t="s">
        <v>77</v>
      </c>
      <c r="P186" s="38">
        <v>426.0</v>
      </c>
      <c r="Q186" s="38">
        <v>96.0</v>
      </c>
      <c r="R186" s="38">
        <v>32.0</v>
      </c>
      <c r="S186" s="55">
        <v>89.0</v>
      </c>
      <c r="T186" s="38">
        <v>18.0</v>
      </c>
      <c r="U186" s="48">
        <f t="shared" si="9"/>
        <v>554</v>
      </c>
      <c r="V186" s="114">
        <f t="shared" si="10"/>
        <v>661</v>
      </c>
      <c r="W186" s="49">
        <f t="shared" si="11"/>
        <v>0.7689530686</v>
      </c>
      <c r="X186" s="49">
        <f t="shared" si="12"/>
        <v>0.1732851986</v>
      </c>
      <c r="Y186" s="49">
        <f t="shared" si="13"/>
        <v>0.05776173285</v>
      </c>
      <c r="Z186" s="32" t="str">
        <f t="shared" si="14"/>
        <v>Jango</v>
      </c>
      <c r="AA186" s="50" t="s">
        <v>77</v>
      </c>
      <c r="AB186" s="38">
        <v>808.0</v>
      </c>
      <c r="AC186" s="48">
        <f t="shared" si="17"/>
        <v>147</v>
      </c>
      <c r="AD186" s="51">
        <f t="shared" si="18"/>
        <v>0.8180693069</v>
      </c>
    </row>
    <row r="187">
      <c r="A187" s="110" t="s">
        <v>862</v>
      </c>
      <c r="B187" s="46" t="s">
        <v>2727</v>
      </c>
      <c r="C187" s="47"/>
      <c r="D187" s="38">
        <v>1026.0</v>
      </c>
      <c r="E187" s="38">
        <v>1007.0</v>
      </c>
      <c r="F187" s="38">
        <v>248.0</v>
      </c>
      <c r="G187" s="38">
        <v>74.0</v>
      </c>
      <c r="H187" s="38">
        <v>77.0</v>
      </c>
      <c r="I187" s="48">
        <f t="shared" si="3"/>
        <v>2281</v>
      </c>
      <c r="J187" s="48">
        <f t="shared" si="4"/>
        <v>2432</v>
      </c>
      <c r="K187" s="49">
        <f t="shared" si="5"/>
        <v>0.4498027181</v>
      </c>
      <c r="L187" s="49">
        <f t="shared" si="6"/>
        <v>0.4414730381</v>
      </c>
      <c r="M187" s="49">
        <f t="shared" si="7"/>
        <v>0.1087242438</v>
      </c>
      <c r="N187" s="32" t="str">
        <f t="shared" si="8"/>
        <v>Jânio</v>
      </c>
      <c r="O187" s="50" t="s">
        <v>77</v>
      </c>
      <c r="P187" s="38">
        <v>1006.0</v>
      </c>
      <c r="Q187" s="38">
        <v>1030.0</v>
      </c>
      <c r="R187" s="38">
        <v>156.0</v>
      </c>
      <c r="S187" s="38">
        <v>192.0</v>
      </c>
      <c r="T187" s="38">
        <v>48.0</v>
      </c>
      <c r="U187" s="48">
        <f t="shared" si="9"/>
        <v>2192</v>
      </c>
      <c r="V187" s="48">
        <f t="shared" si="10"/>
        <v>2432</v>
      </c>
      <c r="W187" s="49">
        <f t="shared" si="11"/>
        <v>0.4589416058</v>
      </c>
      <c r="X187" s="49">
        <f t="shared" si="12"/>
        <v>0.4698905109</v>
      </c>
      <c r="Y187" s="49">
        <f t="shared" si="13"/>
        <v>0.07116788321</v>
      </c>
      <c r="Z187" s="32" t="str">
        <f t="shared" si="14"/>
        <v>Milton</v>
      </c>
      <c r="AA187" s="50" t="s">
        <v>77</v>
      </c>
      <c r="AB187" s="38">
        <v>2615.0</v>
      </c>
      <c r="AC187" s="48">
        <f t="shared" si="17"/>
        <v>183</v>
      </c>
      <c r="AD187" s="51">
        <f t="shared" si="18"/>
        <v>0.9300191205</v>
      </c>
    </row>
    <row r="188">
      <c r="A188" s="61" t="s">
        <v>864</v>
      </c>
      <c r="B188" s="46" t="s">
        <v>2728</v>
      </c>
      <c r="C188" s="47"/>
      <c r="D188" s="38">
        <v>793.0</v>
      </c>
      <c r="E188" s="38">
        <v>869.0</v>
      </c>
      <c r="F188" s="38">
        <v>132.0</v>
      </c>
      <c r="G188" s="38">
        <v>172.0</v>
      </c>
      <c r="H188" s="38">
        <v>76.0</v>
      </c>
      <c r="I188" s="48">
        <f t="shared" si="3"/>
        <v>1794</v>
      </c>
      <c r="J188" s="48">
        <f t="shared" si="4"/>
        <v>2042</v>
      </c>
      <c r="K188" s="49">
        <f t="shared" si="5"/>
        <v>0.4420289855</v>
      </c>
      <c r="L188" s="49">
        <f t="shared" si="6"/>
        <v>0.4843924192</v>
      </c>
      <c r="M188" s="49">
        <f t="shared" si="7"/>
        <v>0.07357859532</v>
      </c>
      <c r="N188" s="32" t="str">
        <f t="shared" si="8"/>
        <v>Mal. Lott</v>
      </c>
      <c r="O188" s="50" t="s">
        <v>77</v>
      </c>
      <c r="P188" s="38">
        <v>745.0</v>
      </c>
      <c r="Q188" s="38">
        <v>785.0</v>
      </c>
      <c r="R188" s="38">
        <v>106.0</v>
      </c>
      <c r="S188" s="38">
        <v>365.0</v>
      </c>
      <c r="T188" s="38">
        <v>41.0</v>
      </c>
      <c r="U188" s="48">
        <f t="shared" si="9"/>
        <v>1636</v>
      </c>
      <c r="V188" s="48">
        <f t="shared" si="10"/>
        <v>2042</v>
      </c>
      <c r="W188" s="49">
        <f t="shared" si="11"/>
        <v>0.4553789731</v>
      </c>
      <c r="X188" s="49">
        <f t="shared" si="12"/>
        <v>0.4798288509</v>
      </c>
      <c r="Y188" s="49">
        <f t="shared" si="13"/>
        <v>0.06479217604</v>
      </c>
      <c r="Z188" s="32" t="str">
        <f t="shared" si="14"/>
        <v>Milton</v>
      </c>
      <c r="AA188" s="50" t="s">
        <v>77</v>
      </c>
      <c r="AB188" s="38">
        <v>2343.0</v>
      </c>
      <c r="AC188" s="48">
        <f t="shared" si="17"/>
        <v>301</v>
      </c>
      <c r="AD188" s="51">
        <f t="shared" si="18"/>
        <v>0.8715322236</v>
      </c>
    </row>
    <row r="189">
      <c r="A189" s="23"/>
      <c r="B189" s="46" t="s">
        <v>2729</v>
      </c>
      <c r="C189" s="47"/>
      <c r="D189" s="38">
        <v>725.0</v>
      </c>
      <c r="E189" s="38">
        <v>539.0</v>
      </c>
      <c r="F189" s="38">
        <v>150.0</v>
      </c>
      <c r="G189" s="38">
        <v>166.0</v>
      </c>
      <c r="H189" s="38">
        <v>120.0</v>
      </c>
      <c r="I189" s="48">
        <f t="shared" si="3"/>
        <v>1414</v>
      </c>
      <c r="J189" s="48">
        <f t="shared" si="4"/>
        <v>1700</v>
      </c>
      <c r="K189" s="49">
        <f t="shared" si="5"/>
        <v>0.5127298444</v>
      </c>
      <c r="L189" s="49">
        <f t="shared" si="6"/>
        <v>0.3811881188</v>
      </c>
      <c r="M189" s="49">
        <f t="shared" si="7"/>
        <v>0.1060820368</v>
      </c>
      <c r="N189" s="32" t="str">
        <f t="shared" si="8"/>
        <v>Jânio</v>
      </c>
      <c r="O189" s="50" t="s">
        <v>77</v>
      </c>
      <c r="P189" s="38">
        <v>501.0</v>
      </c>
      <c r="Q189" s="38">
        <v>543.0</v>
      </c>
      <c r="R189" s="38">
        <v>173.0</v>
      </c>
      <c r="S189" s="38">
        <v>412.0</v>
      </c>
      <c r="T189" s="38">
        <v>71.0</v>
      </c>
      <c r="U189" s="48">
        <f t="shared" si="9"/>
        <v>1217</v>
      </c>
      <c r="V189" s="48">
        <f t="shared" si="10"/>
        <v>1700</v>
      </c>
      <c r="W189" s="49">
        <f t="shared" si="11"/>
        <v>0.4116680362</v>
      </c>
      <c r="X189" s="49">
        <f t="shared" si="12"/>
        <v>0.446179129</v>
      </c>
      <c r="Y189" s="49">
        <f t="shared" si="13"/>
        <v>0.1421528348</v>
      </c>
      <c r="Z189" s="32" t="str">
        <f t="shared" si="14"/>
        <v>Milton</v>
      </c>
      <c r="AA189" s="50" t="s">
        <v>77</v>
      </c>
      <c r="AB189" s="38">
        <v>1843.0</v>
      </c>
      <c r="AC189" s="48">
        <f t="shared" si="17"/>
        <v>143</v>
      </c>
      <c r="AD189" s="51">
        <f t="shared" si="18"/>
        <v>0.9224091156</v>
      </c>
    </row>
    <row r="190">
      <c r="A190" s="23"/>
      <c r="B190" s="46" t="s">
        <v>2730</v>
      </c>
      <c r="C190" s="47"/>
      <c r="D190" s="38">
        <v>501.0</v>
      </c>
      <c r="E190" s="38">
        <v>694.0</v>
      </c>
      <c r="F190" s="38">
        <v>127.0</v>
      </c>
      <c r="G190" s="38">
        <v>118.0</v>
      </c>
      <c r="H190" s="38">
        <v>88.0</v>
      </c>
      <c r="I190" s="48">
        <f t="shared" si="3"/>
        <v>1322</v>
      </c>
      <c r="J190" s="48">
        <f t="shared" si="4"/>
        <v>1528</v>
      </c>
      <c r="K190" s="49">
        <f t="shared" si="5"/>
        <v>0.3789712557</v>
      </c>
      <c r="L190" s="49">
        <f t="shared" si="6"/>
        <v>0.5249621785</v>
      </c>
      <c r="M190" s="49">
        <f t="shared" si="7"/>
        <v>0.09606656581</v>
      </c>
      <c r="N190" s="32" t="str">
        <f t="shared" si="8"/>
        <v>Mal. Lott</v>
      </c>
      <c r="O190" s="50" t="s">
        <v>77</v>
      </c>
      <c r="P190" s="38">
        <v>605.0</v>
      </c>
      <c r="Q190" s="38">
        <v>481.0</v>
      </c>
      <c r="R190" s="38">
        <v>72.0</v>
      </c>
      <c r="S190" s="38">
        <v>294.0</v>
      </c>
      <c r="T190" s="38">
        <v>76.0</v>
      </c>
      <c r="U190" s="48">
        <f t="shared" si="9"/>
        <v>1158</v>
      </c>
      <c r="V190" s="48">
        <f t="shared" si="10"/>
        <v>1528</v>
      </c>
      <c r="W190" s="49">
        <f t="shared" si="11"/>
        <v>0.5224525043</v>
      </c>
      <c r="X190" s="49">
        <f t="shared" si="12"/>
        <v>0.4153713299</v>
      </c>
      <c r="Y190" s="49">
        <f t="shared" si="13"/>
        <v>0.0621761658</v>
      </c>
      <c r="Z190" s="32" t="str">
        <f t="shared" si="14"/>
        <v>Jango</v>
      </c>
      <c r="AA190" s="50" t="s">
        <v>77</v>
      </c>
      <c r="AB190" s="38">
        <v>1712.0</v>
      </c>
      <c r="AC190" s="48">
        <f t="shared" si="17"/>
        <v>184</v>
      </c>
      <c r="AD190" s="51">
        <f t="shared" si="18"/>
        <v>0.8925233645</v>
      </c>
    </row>
    <row r="191">
      <c r="A191" s="24"/>
      <c r="B191" s="46" t="s">
        <v>2731</v>
      </c>
      <c r="C191" s="47"/>
      <c r="D191" s="38">
        <v>364.0</v>
      </c>
      <c r="E191" s="38">
        <v>172.0</v>
      </c>
      <c r="F191" s="38">
        <v>39.0</v>
      </c>
      <c r="G191" s="38">
        <v>88.0</v>
      </c>
      <c r="H191" s="38">
        <v>25.0</v>
      </c>
      <c r="I191" s="48">
        <f t="shared" si="3"/>
        <v>575</v>
      </c>
      <c r="J191" s="48">
        <f t="shared" si="4"/>
        <v>688</v>
      </c>
      <c r="K191" s="49">
        <f t="shared" si="5"/>
        <v>0.6330434783</v>
      </c>
      <c r="L191" s="49">
        <f t="shared" si="6"/>
        <v>0.2991304348</v>
      </c>
      <c r="M191" s="49">
        <f t="shared" si="7"/>
        <v>0.06782608696</v>
      </c>
      <c r="N191" s="32" t="str">
        <f t="shared" si="8"/>
        <v>Jânio</v>
      </c>
      <c r="O191" s="50" t="s">
        <v>77</v>
      </c>
      <c r="P191" s="38">
        <v>151.0</v>
      </c>
      <c r="Q191" s="38">
        <v>356.0</v>
      </c>
      <c r="R191" s="38">
        <v>34.0</v>
      </c>
      <c r="S191" s="38">
        <v>116.0</v>
      </c>
      <c r="T191" s="38">
        <v>31.0</v>
      </c>
      <c r="U191" s="48">
        <f t="shared" si="9"/>
        <v>541</v>
      </c>
      <c r="V191" s="48">
        <f t="shared" si="10"/>
        <v>688</v>
      </c>
      <c r="W191" s="49">
        <f t="shared" si="11"/>
        <v>0.2791127542</v>
      </c>
      <c r="X191" s="49">
        <f t="shared" si="12"/>
        <v>0.6580406654</v>
      </c>
      <c r="Y191" s="49">
        <f t="shared" si="13"/>
        <v>0.06284658041</v>
      </c>
      <c r="Z191" s="32" t="str">
        <f t="shared" si="14"/>
        <v>Milton</v>
      </c>
      <c r="AA191" s="50" t="s">
        <v>77</v>
      </c>
      <c r="AB191" s="38">
        <v>798.0</v>
      </c>
      <c r="AC191" s="48">
        <f t="shared" si="17"/>
        <v>110</v>
      </c>
      <c r="AD191" s="51">
        <f t="shared" si="18"/>
        <v>0.8621553885</v>
      </c>
    </row>
    <row r="192">
      <c r="A192" s="110" t="s">
        <v>866</v>
      </c>
      <c r="B192" s="46" t="s">
        <v>2732</v>
      </c>
      <c r="C192" s="47"/>
      <c r="D192" s="38">
        <v>1446.0</v>
      </c>
      <c r="E192" s="38">
        <v>1366.0</v>
      </c>
      <c r="F192" s="38">
        <v>171.0</v>
      </c>
      <c r="G192" s="38">
        <v>137.0</v>
      </c>
      <c r="H192" s="38">
        <v>218.0</v>
      </c>
      <c r="I192" s="48">
        <f t="shared" si="3"/>
        <v>2983</v>
      </c>
      <c r="J192" s="48">
        <f t="shared" si="4"/>
        <v>3338</v>
      </c>
      <c r="K192" s="49">
        <f t="shared" si="5"/>
        <v>0.4847468991</v>
      </c>
      <c r="L192" s="49">
        <f t="shared" si="6"/>
        <v>0.4579282601</v>
      </c>
      <c r="M192" s="49">
        <f t="shared" si="7"/>
        <v>0.05732484076</v>
      </c>
      <c r="N192" s="32" t="str">
        <f t="shared" si="8"/>
        <v>Jânio</v>
      </c>
      <c r="O192" s="50" t="s">
        <v>77</v>
      </c>
      <c r="P192" s="38">
        <v>1406.0</v>
      </c>
      <c r="Q192" s="38">
        <v>1191.0</v>
      </c>
      <c r="R192" s="38">
        <v>234.0</v>
      </c>
      <c r="S192" s="38">
        <v>285.0</v>
      </c>
      <c r="T192" s="38">
        <v>222.0</v>
      </c>
      <c r="U192" s="48">
        <f t="shared" si="9"/>
        <v>2831</v>
      </c>
      <c r="V192" s="48">
        <f t="shared" si="10"/>
        <v>3338</v>
      </c>
      <c r="W192" s="49">
        <f t="shared" si="11"/>
        <v>0.4966442953</v>
      </c>
      <c r="X192" s="49">
        <f t="shared" si="12"/>
        <v>0.4206993995</v>
      </c>
      <c r="Y192" s="49">
        <f t="shared" si="13"/>
        <v>0.08265630519</v>
      </c>
      <c r="Z192" s="32" t="str">
        <f t="shared" si="14"/>
        <v>Jango</v>
      </c>
      <c r="AA192" s="50" t="s">
        <v>77</v>
      </c>
      <c r="AB192" s="38">
        <v>4158.0</v>
      </c>
      <c r="AC192" s="48">
        <f t="shared" si="17"/>
        <v>820</v>
      </c>
      <c r="AD192" s="51">
        <f t="shared" si="18"/>
        <v>0.8027898028</v>
      </c>
    </row>
    <row r="193">
      <c r="A193" s="110" t="s">
        <v>868</v>
      </c>
      <c r="B193" s="46" t="s">
        <v>2733</v>
      </c>
      <c r="C193" s="47"/>
      <c r="D193" s="38">
        <v>1022.0</v>
      </c>
      <c r="E193" s="38">
        <v>1324.0</v>
      </c>
      <c r="F193" s="38">
        <v>219.0</v>
      </c>
      <c r="G193" s="38">
        <v>358.0</v>
      </c>
      <c r="H193" s="38">
        <v>197.0</v>
      </c>
      <c r="I193" s="48">
        <f t="shared" si="3"/>
        <v>2565</v>
      </c>
      <c r="J193" s="48">
        <f t="shared" si="4"/>
        <v>3120</v>
      </c>
      <c r="K193" s="49">
        <f t="shared" si="5"/>
        <v>0.3984405458</v>
      </c>
      <c r="L193" s="49">
        <f t="shared" si="6"/>
        <v>0.5161793372</v>
      </c>
      <c r="M193" s="49">
        <f t="shared" si="7"/>
        <v>0.08538011696</v>
      </c>
      <c r="N193" s="32" t="str">
        <f t="shared" si="8"/>
        <v>Mal. Lott</v>
      </c>
      <c r="O193" s="50" t="s">
        <v>77</v>
      </c>
      <c r="P193" s="38">
        <v>1137.0</v>
      </c>
      <c r="Q193" s="38">
        <v>1041.0</v>
      </c>
      <c r="R193" s="38">
        <v>198.0</v>
      </c>
      <c r="S193" s="38">
        <v>624.0</v>
      </c>
      <c r="T193" s="38">
        <v>120.0</v>
      </c>
      <c r="U193" s="48">
        <f t="shared" si="9"/>
        <v>2376</v>
      </c>
      <c r="V193" s="48">
        <f t="shared" si="10"/>
        <v>3120</v>
      </c>
      <c r="W193" s="49">
        <f t="shared" si="11"/>
        <v>0.4785353535</v>
      </c>
      <c r="X193" s="49">
        <f t="shared" si="12"/>
        <v>0.4381313131</v>
      </c>
      <c r="Y193" s="49">
        <f t="shared" si="13"/>
        <v>0.08333333333</v>
      </c>
      <c r="Z193" s="32" t="str">
        <f t="shared" si="14"/>
        <v>Jango</v>
      </c>
      <c r="AA193" s="50" t="s">
        <v>77</v>
      </c>
      <c r="AB193" s="38">
        <v>4070.0</v>
      </c>
      <c r="AC193" s="48">
        <f t="shared" si="17"/>
        <v>950</v>
      </c>
      <c r="AD193" s="51">
        <f t="shared" si="18"/>
        <v>0.7665847666</v>
      </c>
    </row>
    <row r="194">
      <c r="A194" s="110" t="s">
        <v>872</v>
      </c>
      <c r="B194" s="46" t="s">
        <v>2734</v>
      </c>
      <c r="C194" s="47"/>
      <c r="D194" s="38">
        <v>989.0</v>
      </c>
      <c r="E194" s="38">
        <v>1079.0</v>
      </c>
      <c r="F194" s="38">
        <v>164.0</v>
      </c>
      <c r="G194" s="38">
        <v>207.0</v>
      </c>
      <c r="H194" s="38">
        <v>173.0</v>
      </c>
      <c r="I194" s="48">
        <f t="shared" si="3"/>
        <v>2232</v>
      </c>
      <c r="J194" s="48">
        <f t="shared" si="4"/>
        <v>2612</v>
      </c>
      <c r="K194" s="49">
        <f t="shared" si="5"/>
        <v>0.4431003584</v>
      </c>
      <c r="L194" s="49">
        <f t="shared" si="6"/>
        <v>0.4834229391</v>
      </c>
      <c r="M194" s="49">
        <f t="shared" si="7"/>
        <v>0.07347670251</v>
      </c>
      <c r="N194" s="32" t="str">
        <f t="shared" si="8"/>
        <v>Mal. Lott</v>
      </c>
      <c r="O194" s="50" t="s">
        <v>77</v>
      </c>
      <c r="P194" s="38">
        <v>1038.0</v>
      </c>
      <c r="Q194" s="38">
        <v>855.0</v>
      </c>
      <c r="R194" s="38">
        <v>97.0</v>
      </c>
      <c r="S194" s="38">
        <v>556.0</v>
      </c>
      <c r="T194" s="38">
        <v>66.0</v>
      </c>
      <c r="U194" s="48">
        <f t="shared" si="9"/>
        <v>1990</v>
      </c>
      <c r="V194" s="48">
        <f t="shared" si="10"/>
        <v>2612</v>
      </c>
      <c r="W194" s="49">
        <f t="shared" si="11"/>
        <v>0.5216080402</v>
      </c>
      <c r="X194" s="49">
        <f t="shared" si="12"/>
        <v>0.4296482412</v>
      </c>
      <c r="Y194" s="49">
        <f t="shared" si="13"/>
        <v>0.04874371859</v>
      </c>
      <c r="Z194" s="32" t="str">
        <f t="shared" si="14"/>
        <v>Jango</v>
      </c>
      <c r="AA194" s="50" t="s">
        <v>77</v>
      </c>
      <c r="AB194" s="55">
        <v>2542.0</v>
      </c>
      <c r="AC194" s="45" t="s">
        <v>1025</v>
      </c>
      <c r="AD194" s="45" t="s">
        <v>1025</v>
      </c>
    </row>
    <row r="195">
      <c r="A195" s="61" t="s">
        <v>874</v>
      </c>
      <c r="B195" s="46" t="s">
        <v>2735</v>
      </c>
      <c r="C195" s="47"/>
      <c r="D195" s="38">
        <v>944.0</v>
      </c>
      <c r="E195" s="38">
        <v>885.0</v>
      </c>
      <c r="F195" s="38">
        <v>121.0</v>
      </c>
      <c r="G195" s="38">
        <v>112.0</v>
      </c>
      <c r="H195" s="38">
        <v>107.0</v>
      </c>
      <c r="I195" s="48">
        <f t="shared" si="3"/>
        <v>1950</v>
      </c>
      <c r="J195" s="48">
        <f t="shared" si="4"/>
        <v>2169</v>
      </c>
      <c r="K195" s="49">
        <f t="shared" si="5"/>
        <v>0.4841025641</v>
      </c>
      <c r="L195" s="49">
        <f t="shared" si="6"/>
        <v>0.4538461538</v>
      </c>
      <c r="M195" s="49">
        <f t="shared" si="7"/>
        <v>0.06205128205</v>
      </c>
      <c r="N195" s="32" t="str">
        <f t="shared" si="8"/>
        <v>Jânio</v>
      </c>
      <c r="O195" s="50" t="s">
        <v>77</v>
      </c>
      <c r="P195" s="38">
        <v>906.0</v>
      </c>
      <c r="Q195" s="38">
        <v>711.0</v>
      </c>
      <c r="R195" s="38">
        <v>152.0</v>
      </c>
      <c r="S195" s="38">
        <v>339.0</v>
      </c>
      <c r="T195" s="38">
        <v>61.0</v>
      </c>
      <c r="U195" s="48">
        <f t="shared" si="9"/>
        <v>1769</v>
      </c>
      <c r="V195" s="48">
        <f t="shared" si="10"/>
        <v>2169</v>
      </c>
      <c r="W195" s="49">
        <f t="shared" si="11"/>
        <v>0.5121537592</v>
      </c>
      <c r="X195" s="49">
        <f t="shared" si="12"/>
        <v>0.4019219898</v>
      </c>
      <c r="Y195" s="49">
        <f t="shared" si="13"/>
        <v>0.08592425099</v>
      </c>
      <c r="Z195" s="32" t="str">
        <f t="shared" si="14"/>
        <v>Jango</v>
      </c>
      <c r="AA195" s="50" t="s">
        <v>77</v>
      </c>
      <c r="AB195" s="38">
        <v>2854.0</v>
      </c>
      <c r="AC195" s="48">
        <f t="shared" ref="AC195:AC260" si="19">AB195-V195</f>
        <v>685</v>
      </c>
      <c r="AD195" s="51">
        <f t="shared" ref="AD195:AD260" si="20">V195/AB195</f>
        <v>0.7599859846</v>
      </c>
    </row>
    <row r="196">
      <c r="A196" s="24"/>
      <c r="B196" s="46" t="s">
        <v>2736</v>
      </c>
      <c r="C196" s="47"/>
      <c r="D196" s="38">
        <v>395.0</v>
      </c>
      <c r="E196" s="38">
        <v>392.0</v>
      </c>
      <c r="F196" s="38">
        <v>133.0</v>
      </c>
      <c r="G196" s="38">
        <v>90.0</v>
      </c>
      <c r="H196" s="38">
        <v>67.0</v>
      </c>
      <c r="I196" s="48">
        <f t="shared" si="3"/>
        <v>920</v>
      </c>
      <c r="J196" s="48">
        <f t="shared" si="4"/>
        <v>1077</v>
      </c>
      <c r="K196" s="49">
        <f t="shared" si="5"/>
        <v>0.4293478261</v>
      </c>
      <c r="L196" s="49">
        <f t="shared" si="6"/>
        <v>0.4260869565</v>
      </c>
      <c r="M196" s="49">
        <f t="shared" si="7"/>
        <v>0.1445652174</v>
      </c>
      <c r="N196" s="32" t="str">
        <f t="shared" si="8"/>
        <v>Jânio</v>
      </c>
      <c r="O196" s="50" t="s">
        <v>77</v>
      </c>
      <c r="P196" s="38">
        <v>417.0</v>
      </c>
      <c r="Q196" s="38">
        <v>324.0</v>
      </c>
      <c r="R196" s="38">
        <v>95.0</v>
      </c>
      <c r="S196" s="38">
        <v>203.0</v>
      </c>
      <c r="T196" s="38">
        <v>38.0</v>
      </c>
      <c r="U196" s="48">
        <f t="shared" si="9"/>
        <v>836</v>
      </c>
      <c r="V196" s="48">
        <f t="shared" si="10"/>
        <v>1077</v>
      </c>
      <c r="W196" s="49">
        <f t="shared" si="11"/>
        <v>0.4988038278</v>
      </c>
      <c r="X196" s="49">
        <f t="shared" si="12"/>
        <v>0.3875598086</v>
      </c>
      <c r="Y196" s="49">
        <f t="shared" si="13"/>
        <v>0.1136363636</v>
      </c>
      <c r="Z196" s="32" t="str">
        <f t="shared" si="14"/>
        <v>Jango</v>
      </c>
      <c r="AA196" s="50" t="s">
        <v>77</v>
      </c>
      <c r="AB196" s="38">
        <v>1642.0</v>
      </c>
      <c r="AC196" s="48">
        <f t="shared" si="19"/>
        <v>565</v>
      </c>
      <c r="AD196" s="51">
        <f t="shared" si="20"/>
        <v>0.65590743</v>
      </c>
    </row>
    <row r="197">
      <c r="A197" s="110" t="s">
        <v>876</v>
      </c>
      <c r="B197" s="46" t="s">
        <v>2737</v>
      </c>
      <c r="C197" s="47"/>
      <c r="D197" s="38">
        <v>1368.0</v>
      </c>
      <c r="E197" s="38">
        <v>1358.0</v>
      </c>
      <c r="F197" s="38">
        <v>97.0</v>
      </c>
      <c r="G197" s="38">
        <v>97.0</v>
      </c>
      <c r="H197" s="38">
        <v>146.0</v>
      </c>
      <c r="I197" s="48">
        <f t="shared" si="3"/>
        <v>2823</v>
      </c>
      <c r="J197" s="48">
        <f t="shared" si="4"/>
        <v>3066</v>
      </c>
      <c r="K197" s="49">
        <f t="shared" si="5"/>
        <v>0.4845908608</v>
      </c>
      <c r="L197" s="49">
        <f t="shared" si="6"/>
        <v>0.4810485299</v>
      </c>
      <c r="M197" s="49">
        <f t="shared" si="7"/>
        <v>0.03436060928</v>
      </c>
      <c r="N197" s="32" t="str">
        <f t="shared" si="8"/>
        <v>Jânio</v>
      </c>
      <c r="O197" s="50" t="s">
        <v>77</v>
      </c>
      <c r="P197" s="38">
        <v>1332.0</v>
      </c>
      <c r="Q197" s="38">
        <v>1261.0</v>
      </c>
      <c r="R197" s="38">
        <v>106.0</v>
      </c>
      <c r="S197" s="38">
        <v>274.0</v>
      </c>
      <c r="T197" s="38">
        <v>93.0</v>
      </c>
      <c r="U197" s="48">
        <f t="shared" si="9"/>
        <v>2699</v>
      </c>
      <c r="V197" s="48">
        <f t="shared" si="10"/>
        <v>3066</v>
      </c>
      <c r="W197" s="49">
        <f t="shared" si="11"/>
        <v>0.4935161171</v>
      </c>
      <c r="X197" s="49">
        <f t="shared" si="12"/>
        <v>0.4672100778</v>
      </c>
      <c r="Y197" s="49">
        <f t="shared" si="13"/>
        <v>0.03927380511</v>
      </c>
      <c r="Z197" s="32" t="str">
        <f t="shared" si="14"/>
        <v>Jango</v>
      </c>
      <c r="AA197" s="50" t="s">
        <v>77</v>
      </c>
      <c r="AB197" s="38">
        <v>3620.0</v>
      </c>
      <c r="AC197" s="48">
        <f t="shared" si="19"/>
        <v>554</v>
      </c>
      <c r="AD197" s="51">
        <f t="shared" si="20"/>
        <v>0.846961326</v>
      </c>
    </row>
    <row r="198">
      <c r="A198" s="61" t="s">
        <v>878</v>
      </c>
      <c r="B198" s="46" t="s">
        <v>2738</v>
      </c>
      <c r="C198" s="47"/>
      <c r="D198" s="38">
        <v>517.0</v>
      </c>
      <c r="E198" s="38">
        <v>457.0</v>
      </c>
      <c r="F198" s="38">
        <v>219.0</v>
      </c>
      <c r="G198" s="38">
        <v>82.0</v>
      </c>
      <c r="H198" s="38">
        <v>64.0</v>
      </c>
      <c r="I198" s="48">
        <f t="shared" si="3"/>
        <v>1193</v>
      </c>
      <c r="J198" s="48">
        <f t="shared" si="4"/>
        <v>1339</v>
      </c>
      <c r="K198" s="49">
        <f t="shared" si="5"/>
        <v>0.4333612741</v>
      </c>
      <c r="L198" s="49">
        <f t="shared" si="6"/>
        <v>0.3830678961</v>
      </c>
      <c r="M198" s="49">
        <f t="shared" si="7"/>
        <v>0.1835708298</v>
      </c>
      <c r="N198" s="32" t="str">
        <f t="shared" si="8"/>
        <v>Jânio</v>
      </c>
      <c r="O198" s="50" t="s">
        <v>77</v>
      </c>
      <c r="P198" s="38">
        <v>529.0</v>
      </c>
      <c r="Q198" s="38">
        <v>440.0</v>
      </c>
      <c r="R198" s="38">
        <v>63.0</v>
      </c>
      <c r="S198" s="38">
        <v>269.0</v>
      </c>
      <c r="T198" s="38">
        <v>38.0</v>
      </c>
      <c r="U198" s="48">
        <f t="shared" si="9"/>
        <v>1032</v>
      </c>
      <c r="V198" s="48">
        <f t="shared" si="10"/>
        <v>1339</v>
      </c>
      <c r="W198" s="49">
        <f t="shared" si="11"/>
        <v>0.5125968992</v>
      </c>
      <c r="X198" s="49">
        <f t="shared" si="12"/>
        <v>0.4263565891</v>
      </c>
      <c r="Y198" s="49">
        <f t="shared" si="13"/>
        <v>0.06104651163</v>
      </c>
      <c r="Z198" s="32" t="str">
        <f t="shared" si="14"/>
        <v>Jango</v>
      </c>
      <c r="AA198" s="50" t="s">
        <v>77</v>
      </c>
      <c r="AB198" s="38">
        <v>1440.0</v>
      </c>
      <c r="AC198" s="48">
        <f t="shared" si="19"/>
        <v>101</v>
      </c>
      <c r="AD198" s="51">
        <f t="shared" si="20"/>
        <v>0.9298611111</v>
      </c>
    </row>
    <row r="199">
      <c r="A199" s="24"/>
      <c r="B199" s="46" t="s">
        <v>1874</v>
      </c>
      <c r="C199" s="47"/>
      <c r="D199" s="38">
        <v>269.0</v>
      </c>
      <c r="E199" s="38">
        <v>312.0</v>
      </c>
      <c r="F199" s="38">
        <v>139.0</v>
      </c>
      <c r="G199" s="38">
        <v>61.0</v>
      </c>
      <c r="H199" s="38">
        <v>43.0</v>
      </c>
      <c r="I199" s="48">
        <f t="shared" si="3"/>
        <v>720</v>
      </c>
      <c r="J199" s="48">
        <f t="shared" si="4"/>
        <v>824</v>
      </c>
      <c r="K199" s="49">
        <f t="shared" si="5"/>
        <v>0.3736111111</v>
      </c>
      <c r="L199" s="49">
        <f t="shared" si="6"/>
        <v>0.4333333333</v>
      </c>
      <c r="M199" s="49">
        <f t="shared" si="7"/>
        <v>0.1930555556</v>
      </c>
      <c r="N199" s="32" t="str">
        <f t="shared" si="8"/>
        <v>Mal. Lott</v>
      </c>
      <c r="O199" s="50" t="s">
        <v>77</v>
      </c>
      <c r="P199" s="38">
        <v>392.0</v>
      </c>
      <c r="Q199" s="38">
        <v>191.0</v>
      </c>
      <c r="R199" s="38">
        <v>60.0</v>
      </c>
      <c r="S199" s="38">
        <v>150.0</v>
      </c>
      <c r="T199" s="38">
        <v>31.0</v>
      </c>
      <c r="U199" s="48">
        <f t="shared" si="9"/>
        <v>643</v>
      </c>
      <c r="V199" s="48">
        <f t="shared" si="10"/>
        <v>824</v>
      </c>
      <c r="W199" s="49">
        <f t="shared" si="11"/>
        <v>0.6096423017</v>
      </c>
      <c r="X199" s="49">
        <f t="shared" si="12"/>
        <v>0.2970451011</v>
      </c>
      <c r="Y199" s="49">
        <f t="shared" si="13"/>
        <v>0.0933125972</v>
      </c>
      <c r="Z199" s="32" t="str">
        <f t="shared" si="14"/>
        <v>Jango</v>
      </c>
      <c r="AA199" s="50" t="s">
        <v>77</v>
      </c>
      <c r="AB199" s="38">
        <v>904.0</v>
      </c>
      <c r="AC199" s="48">
        <f t="shared" si="19"/>
        <v>80</v>
      </c>
      <c r="AD199" s="51">
        <f t="shared" si="20"/>
        <v>0.9115044248</v>
      </c>
    </row>
    <row r="200">
      <c r="A200" s="110" t="s">
        <v>880</v>
      </c>
      <c r="B200" s="46" t="s">
        <v>2739</v>
      </c>
      <c r="C200" s="47"/>
      <c r="D200" s="38">
        <v>1093.0</v>
      </c>
      <c r="E200" s="55">
        <v>720.0</v>
      </c>
      <c r="F200" s="38">
        <v>157.0</v>
      </c>
      <c r="G200" s="38">
        <v>252.0</v>
      </c>
      <c r="H200" s="38">
        <v>174.0</v>
      </c>
      <c r="I200" s="48">
        <f t="shared" si="3"/>
        <v>1970</v>
      </c>
      <c r="J200" s="114">
        <f t="shared" si="4"/>
        <v>2396</v>
      </c>
      <c r="K200" s="49">
        <f t="shared" si="5"/>
        <v>0.554822335</v>
      </c>
      <c r="L200" s="49">
        <f t="shared" si="6"/>
        <v>0.3654822335</v>
      </c>
      <c r="M200" s="49">
        <f t="shared" si="7"/>
        <v>0.07969543147</v>
      </c>
      <c r="N200" s="32" t="str">
        <f t="shared" si="8"/>
        <v>Jânio</v>
      </c>
      <c r="O200" s="50" t="s">
        <v>77</v>
      </c>
      <c r="P200" s="38">
        <v>505.0</v>
      </c>
      <c r="Q200" s="38">
        <v>1306.0</v>
      </c>
      <c r="R200" s="38">
        <v>103.0</v>
      </c>
      <c r="S200" s="38">
        <v>380.0</v>
      </c>
      <c r="T200" s="38">
        <v>102.0</v>
      </c>
      <c r="U200" s="48">
        <f t="shared" si="9"/>
        <v>1914</v>
      </c>
      <c r="V200" s="48">
        <f t="shared" si="10"/>
        <v>2396</v>
      </c>
      <c r="W200" s="49">
        <f t="shared" si="11"/>
        <v>0.2638453501</v>
      </c>
      <c r="X200" s="49">
        <f t="shared" si="12"/>
        <v>0.6823406479</v>
      </c>
      <c r="Y200" s="49">
        <f t="shared" si="13"/>
        <v>0.05381400209</v>
      </c>
      <c r="Z200" s="32" t="str">
        <f t="shared" si="14"/>
        <v>Milton</v>
      </c>
      <c r="AA200" s="50" t="s">
        <v>77</v>
      </c>
      <c r="AB200" s="38">
        <v>3333.0</v>
      </c>
      <c r="AC200" s="48">
        <f t="shared" si="19"/>
        <v>937</v>
      </c>
      <c r="AD200" s="51">
        <f t="shared" si="20"/>
        <v>0.7188718872</v>
      </c>
    </row>
    <row r="201">
      <c r="A201" s="61" t="s">
        <v>882</v>
      </c>
      <c r="B201" s="46" t="s">
        <v>2740</v>
      </c>
      <c r="C201" s="47"/>
      <c r="D201" s="38">
        <v>2915.0</v>
      </c>
      <c r="E201" s="38">
        <v>2644.0</v>
      </c>
      <c r="F201" s="38">
        <v>511.0</v>
      </c>
      <c r="G201" s="38">
        <v>216.0</v>
      </c>
      <c r="H201" s="38">
        <v>264.0</v>
      </c>
      <c r="I201" s="48">
        <f t="shared" si="3"/>
        <v>6070</v>
      </c>
      <c r="J201" s="48">
        <f t="shared" si="4"/>
        <v>6550</v>
      </c>
      <c r="K201" s="49">
        <f t="shared" si="5"/>
        <v>0.4802306425</v>
      </c>
      <c r="L201" s="49">
        <f t="shared" si="6"/>
        <v>0.4355848435</v>
      </c>
      <c r="M201" s="49">
        <f t="shared" si="7"/>
        <v>0.084184514</v>
      </c>
      <c r="N201" s="32" t="str">
        <f t="shared" si="8"/>
        <v>Jânio</v>
      </c>
      <c r="O201" s="50" t="s">
        <v>77</v>
      </c>
      <c r="P201" s="38">
        <v>2451.0</v>
      </c>
      <c r="Q201" s="38">
        <v>3037.0</v>
      </c>
      <c r="R201" s="38">
        <v>319.0</v>
      </c>
      <c r="S201" s="38">
        <v>543.0</v>
      </c>
      <c r="T201" s="38">
        <v>200.0</v>
      </c>
      <c r="U201" s="48">
        <f t="shared" si="9"/>
        <v>5807</v>
      </c>
      <c r="V201" s="48">
        <f t="shared" si="10"/>
        <v>6550</v>
      </c>
      <c r="W201" s="49">
        <f t="shared" si="11"/>
        <v>0.4220768039</v>
      </c>
      <c r="X201" s="49">
        <f t="shared" si="12"/>
        <v>0.5229894954</v>
      </c>
      <c r="Y201" s="49">
        <f t="shared" si="13"/>
        <v>0.05493370071</v>
      </c>
      <c r="Z201" s="32" t="str">
        <f t="shared" si="14"/>
        <v>Milton</v>
      </c>
      <c r="AA201" s="50" t="s">
        <v>77</v>
      </c>
      <c r="AB201" s="38">
        <v>7187.0</v>
      </c>
      <c r="AC201" s="48">
        <f t="shared" si="19"/>
        <v>637</v>
      </c>
      <c r="AD201" s="51">
        <f t="shared" si="20"/>
        <v>0.9113677473</v>
      </c>
    </row>
    <row r="202">
      <c r="A202" s="24"/>
      <c r="B202" s="46" t="s">
        <v>2741</v>
      </c>
      <c r="C202" s="47"/>
      <c r="D202" s="38">
        <v>741.0</v>
      </c>
      <c r="E202" s="38">
        <v>353.0</v>
      </c>
      <c r="F202" s="38">
        <v>62.0</v>
      </c>
      <c r="G202" s="38">
        <v>96.0</v>
      </c>
      <c r="H202" s="38">
        <v>115.0</v>
      </c>
      <c r="I202" s="48">
        <f t="shared" si="3"/>
        <v>1156</v>
      </c>
      <c r="J202" s="48">
        <f t="shared" si="4"/>
        <v>1367</v>
      </c>
      <c r="K202" s="49">
        <f t="shared" si="5"/>
        <v>0.6410034602</v>
      </c>
      <c r="L202" s="49">
        <f t="shared" si="6"/>
        <v>0.3053633218</v>
      </c>
      <c r="M202" s="49">
        <f t="shared" si="7"/>
        <v>0.05363321799</v>
      </c>
      <c r="N202" s="32" t="str">
        <f t="shared" si="8"/>
        <v>Jânio</v>
      </c>
      <c r="O202" s="50" t="s">
        <v>77</v>
      </c>
      <c r="P202" s="38">
        <v>373.0</v>
      </c>
      <c r="Q202" s="38">
        <v>694.0</v>
      </c>
      <c r="R202" s="38">
        <v>48.0</v>
      </c>
      <c r="S202" s="38">
        <v>187.0</v>
      </c>
      <c r="T202" s="38">
        <v>65.0</v>
      </c>
      <c r="U202" s="48">
        <f t="shared" si="9"/>
        <v>1115</v>
      </c>
      <c r="V202" s="48">
        <f t="shared" si="10"/>
        <v>1367</v>
      </c>
      <c r="W202" s="49">
        <f t="shared" si="11"/>
        <v>0.334529148</v>
      </c>
      <c r="X202" s="49">
        <f t="shared" si="12"/>
        <v>0.6224215247</v>
      </c>
      <c r="Y202" s="49">
        <f t="shared" si="13"/>
        <v>0.04304932735</v>
      </c>
      <c r="Z202" s="32" t="str">
        <f t="shared" si="14"/>
        <v>Milton</v>
      </c>
      <c r="AA202" s="50" t="s">
        <v>77</v>
      </c>
      <c r="AB202" s="38">
        <v>1701.0</v>
      </c>
      <c r="AC202" s="48">
        <f t="shared" si="19"/>
        <v>334</v>
      </c>
      <c r="AD202" s="51">
        <f t="shared" si="20"/>
        <v>0.8036449148</v>
      </c>
    </row>
    <row r="203">
      <c r="A203" s="110" t="s">
        <v>884</v>
      </c>
      <c r="B203" s="46" t="s">
        <v>2742</v>
      </c>
      <c r="C203" s="47"/>
      <c r="D203" s="38">
        <v>1171.0</v>
      </c>
      <c r="E203" s="38">
        <v>2430.0</v>
      </c>
      <c r="F203" s="38">
        <v>525.0</v>
      </c>
      <c r="G203" s="38">
        <v>56.0</v>
      </c>
      <c r="H203" s="38">
        <v>29.0</v>
      </c>
      <c r="I203" s="48">
        <f t="shared" si="3"/>
        <v>4126</v>
      </c>
      <c r="J203" s="48">
        <f t="shared" si="4"/>
        <v>4211</v>
      </c>
      <c r="K203" s="49">
        <f t="shared" si="5"/>
        <v>0.2838099855</v>
      </c>
      <c r="L203" s="49">
        <f t="shared" si="6"/>
        <v>0.5889481338</v>
      </c>
      <c r="M203" s="49">
        <f t="shared" si="7"/>
        <v>0.1272418808</v>
      </c>
      <c r="N203" s="32" t="str">
        <f t="shared" si="8"/>
        <v>Mal. Lott</v>
      </c>
      <c r="O203" s="50" t="s">
        <v>77</v>
      </c>
      <c r="P203" s="38">
        <v>2291.0</v>
      </c>
      <c r="Q203" s="38">
        <v>1474.0</v>
      </c>
      <c r="R203" s="38">
        <v>326.0</v>
      </c>
      <c r="S203" s="38">
        <v>78.0</v>
      </c>
      <c r="T203" s="38">
        <v>42.0</v>
      </c>
      <c r="U203" s="48">
        <f t="shared" si="9"/>
        <v>4091</v>
      </c>
      <c r="V203" s="48">
        <f t="shared" si="10"/>
        <v>4211</v>
      </c>
      <c r="W203" s="49">
        <f t="shared" si="11"/>
        <v>0.5600097776</v>
      </c>
      <c r="X203" s="49">
        <f t="shared" si="12"/>
        <v>0.3603031044</v>
      </c>
      <c r="Y203" s="49">
        <f t="shared" si="13"/>
        <v>0.07968711806</v>
      </c>
      <c r="Z203" s="32" t="str">
        <f t="shared" si="14"/>
        <v>Jango</v>
      </c>
      <c r="AA203" s="50" t="s">
        <v>77</v>
      </c>
      <c r="AB203" s="38">
        <v>4895.0</v>
      </c>
      <c r="AC203" s="48">
        <f t="shared" si="19"/>
        <v>684</v>
      </c>
      <c r="AD203" s="51">
        <f t="shared" si="20"/>
        <v>0.8602655771</v>
      </c>
    </row>
    <row r="204">
      <c r="A204" s="61" t="s">
        <v>886</v>
      </c>
      <c r="B204" s="46" t="s">
        <v>2743</v>
      </c>
      <c r="C204" s="47"/>
      <c r="D204" s="38">
        <v>2241.0</v>
      </c>
      <c r="E204" s="38">
        <v>2855.0</v>
      </c>
      <c r="F204" s="38">
        <v>590.0</v>
      </c>
      <c r="G204" s="38">
        <v>378.0</v>
      </c>
      <c r="H204" s="38">
        <v>322.0</v>
      </c>
      <c r="I204" s="48">
        <f t="shared" si="3"/>
        <v>5686</v>
      </c>
      <c r="J204" s="48">
        <f t="shared" si="4"/>
        <v>6386</v>
      </c>
      <c r="K204" s="49">
        <f t="shared" si="5"/>
        <v>0.3941259233</v>
      </c>
      <c r="L204" s="49">
        <f t="shared" si="6"/>
        <v>0.5021104467</v>
      </c>
      <c r="M204" s="49">
        <f t="shared" si="7"/>
        <v>0.10376363</v>
      </c>
      <c r="N204" s="32" t="str">
        <f t="shared" si="8"/>
        <v>Mal. Lott</v>
      </c>
      <c r="O204" s="50" t="s">
        <v>77</v>
      </c>
      <c r="P204" s="38">
        <v>2726.0</v>
      </c>
      <c r="Q204" s="38">
        <v>1775.0</v>
      </c>
      <c r="R204" s="38">
        <v>467.0</v>
      </c>
      <c r="S204" s="38">
        <v>1208.0</v>
      </c>
      <c r="T204" s="38">
        <v>210.0</v>
      </c>
      <c r="U204" s="48">
        <f t="shared" si="9"/>
        <v>4968</v>
      </c>
      <c r="V204" s="48">
        <f t="shared" si="10"/>
        <v>6386</v>
      </c>
      <c r="W204" s="49">
        <f t="shared" si="11"/>
        <v>0.5487117552</v>
      </c>
      <c r="X204" s="49">
        <f t="shared" si="12"/>
        <v>0.3572866345</v>
      </c>
      <c r="Y204" s="49">
        <f t="shared" si="13"/>
        <v>0.09400161031</v>
      </c>
      <c r="Z204" s="32" t="str">
        <f t="shared" si="14"/>
        <v>Jango</v>
      </c>
      <c r="AA204" s="50" t="s">
        <v>77</v>
      </c>
      <c r="AB204" s="38">
        <v>7282.0</v>
      </c>
      <c r="AC204" s="48">
        <f t="shared" si="19"/>
        <v>896</v>
      </c>
      <c r="AD204" s="51">
        <f t="shared" si="20"/>
        <v>0.87695688</v>
      </c>
    </row>
    <row r="205">
      <c r="A205" s="23"/>
      <c r="B205" s="46" t="s">
        <v>2744</v>
      </c>
      <c r="C205" s="47"/>
      <c r="D205" s="38">
        <v>336.0</v>
      </c>
      <c r="E205" s="38">
        <v>213.0</v>
      </c>
      <c r="F205" s="38">
        <v>50.0</v>
      </c>
      <c r="G205" s="38">
        <v>56.0</v>
      </c>
      <c r="H205" s="38">
        <v>42.0</v>
      </c>
      <c r="I205" s="48">
        <f t="shared" si="3"/>
        <v>599</v>
      </c>
      <c r="J205" s="48">
        <f t="shared" si="4"/>
        <v>697</v>
      </c>
      <c r="K205" s="49">
        <f t="shared" si="5"/>
        <v>0.5609348915</v>
      </c>
      <c r="L205" s="49">
        <f t="shared" si="6"/>
        <v>0.3555926544</v>
      </c>
      <c r="M205" s="49">
        <f t="shared" si="7"/>
        <v>0.08347245409</v>
      </c>
      <c r="N205" s="32" t="str">
        <f t="shared" si="8"/>
        <v>Jânio</v>
      </c>
      <c r="O205" s="50" t="s">
        <v>77</v>
      </c>
      <c r="P205" s="38">
        <v>225.0</v>
      </c>
      <c r="Q205" s="38">
        <v>216.0</v>
      </c>
      <c r="R205" s="38">
        <v>42.0</v>
      </c>
      <c r="S205" s="38">
        <v>192.0</v>
      </c>
      <c r="T205" s="38">
        <v>22.0</v>
      </c>
      <c r="U205" s="48">
        <f t="shared" si="9"/>
        <v>483</v>
      </c>
      <c r="V205" s="48">
        <f t="shared" si="10"/>
        <v>697</v>
      </c>
      <c r="W205" s="49">
        <f t="shared" si="11"/>
        <v>0.4658385093</v>
      </c>
      <c r="X205" s="49">
        <f t="shared" si="12"/>
        <v>0.4472049689</v>
      </c>
      <c r="Y205" s="49">
        <f t="shared" si="13"/>
        <v>0.08695652174</v>
      </c>
      <c r="Z205" s="32" t="str">
        <f t="shared" si="14"/>
        <v>Jango</v>
      </c>
      <c r="AA205" s="50" t="s">
        <v>77</v>
      </c>
      <c r="AB205" s="38">
        <v>790.0</v>
      </c>
      <c r="AC205" s="48">
        <f t="shared" si="19"/>
        <v>93</v>
      </c>
      <c r="AD205" s="51">
        <f t="shared" si="20"/>
        <v>0.882278481</v>
      </c>
    </row>
    <row r="206">
      <c r="A206" s="24"/>
      <c r="B206" s="46" t="s">
        <v>2745</v>
      </c>
      <c r="C206" s="47"/>
      <c r="D206" s="38">
        <v>859.0</v>
      </c>
      <c r="E206" s="38">
        <v>357.0</v>
      </c>
      <c r="F206" s="38">
        <v>162.0</v>
      </c>
      <c r="G206" s="38">
        <v>160.0</v>
      </c>
      <c r="H206" s="38">
        <v>114.0</v>
      </c>
      <c r="I206" s="48">
        <f t="shared" si="3"/>
        <v>1378</v>
      </c>
      <c r="J206" s="48">
        <f t="shared" si="4"/>
        <v>1652</v>
      </c>
      <c r="K206" s="49">
        <f t="shared" si="5"/>
        <v>0.6233671988</v>
      </c>
      <c r="L206" s="49">
        <f t="shared" si="6"/>
        <v>0.2590711176</v>
      </c>
      <c r="M206" s="49">
        <f t="shared" si="7"/>
        <v>0.1175616836</v>
      </c>
      <c r="N206" s="32" t="str">
        <f t="shared" si="8"/>
        <v>Jânio</v>
      </c>
      <c r="O206" s="50" t="s">
        <v>77</v>
      </c>
      <c r="P206" s="38">
        <v>396.0</v>
      </c>
      <c r="Q206" s="38">
        <v>665.0</v>
      </c>
      <c r="R206" s="38">
        <v>72.0</v>
      </c>
      <c r="S206" s="38">
        <v>467.0</v>
      </c>
      <c r="T206" s="38">
        <v>52.0</v>
      </c>
      <c r="U206" s="48">
        <f t="shared" si="9"/>
        <v>1133</v>
      </c>
      <c r="V206" s="48">
        <f t="shared" si="10"/>
        <v>1652</v>
      </c>
      <c r="W206" s="49">
        <f t="shared" si="11"/>
        <v>0.3495145631</v>
      </c>
      <c r="X206" s="49">
        <f t="shared" si="12"/>
        <v>0.5869373345</v>
      </c>
      <c r="Y206" s="49">
        <f t="shared" si="13"/>
        <v>0.06354810238</v>
      </c>
      <c r="Z206" s="32" t="str">
        <f t="shared" si="14"/>
        <v>Milton</v>
      </c>
      <c r="AA206" s="50" t="s">
        <v>77</v>
      </c>
      <c r="AB206" s="38">
        <v>1843.0</v>
      </c>
      <c r="AC206" s="48">
        <f t="shared" si="19"/>
        <v>191</v>
      </c>
      <c r="AD206" s="51">
        <f t="shared" si="20"/>
        <v>0.8963646229</v>
      </c>
    </row>
    <row r="207">
      <c r="A207" s="110" t="s">
        <v>888</v>
      </c>
      <c r="B207" s="46" t="s">
        <v>2746</v>
      </c>
      <c r="C207" s="47"/>
      <c r="D207" s="38">
        <v>1330.0</v>
      </c>
      <c r="E207" s="38">
        <v>1075.0</v>
      </c>
      <c r="F207" s="38">
        <v>85.0</v>
      </c>
      <c r="G207" s="38">
        <v>179.0</v>
      </c>
      <c r="H207" s="38">
        <v>144.0</v>
      </c>
      <c r="I207" s="48">
        <f t="shared" si="3"/>
        <v>2490</v>
      </c>
      <c r="J207" s="48">
        <f t="shared" si="4"/>
        <v>2813</v>
      </c>
      <c r="K207" s="49">
        <f t="shared" si="5"/>
        <v>0.5341365462</v>
      </c>
      <c r="L207" s="49">
        <f t="shared" si="6"/>
        <v>0.4317269076</v>
      </c>
      <c r="M207" s="49">
        <f t="shared" si="7"/>
        <v>0.03413654618</v>
      </c>
      <c r="N207" s="32" t="str">
        <f t="shared" si="8"/>
        <v>Jânio</v>
      </c>
      <c r="O207" s="50" t="s">
        <v>77</v>
      </c>
      <c r="P207" s="38">
        <v>1075.0</v>
      </c>
      <c r="Q207" s="38">
        <v>1215.0</v>
      </c>
      <c r="R207" s="38">
        <v>80.0</v>
      </c>
      <c r="S207" s="38">
        <v>316.0</v>
      </c>
      <c r="T207" s="38">
        <v>127.0</v>
      </c>
      <c r="U207" s="48">
        <f t="shared" si="9"/>
        <v>2370</v>
      </c>
      <c r="V207" s="48">
        <f t="shared" si="10"/>
        <v>2813</v>
      </c>
      <c r="W207" s="49">
        <f t="shared" si="11"/>
        <v>0.4535864979</v>
      </c>
      <c r="X207" s="49">
        <f t="shared" si="12"/>
        <v>0.5126582278</v>
      </c>
      <c r="Y207" s="49">
        <f t="shared" si="13"/>
        <v>0.03375527426</v>
      </c>
      <c r="Z207" s="32" t="str">
        <f t="shared" si="14"/>
        <v>Milton</v>
      </c>
      <c r="AA207" s="50" t="s">
        <v>77</v>
      </c>
      <c r="AB207" s="38">
        <v>4026.0</v>
      </c>
      <c r="AC207" s="48">
        <f t="shared" si="19"/>
        <v>1213</v>
      </c>
      <c r="AD207" s="51">
        <f t="shared" si="20"/>
        <v>0.6987083954</v>
      </c>
    </row>
    <row r="208">
      <c r="A208" s="110" t="s">
        <v>890</v>
      </c>
      <c r="B208" s="46" t="s">
        <v>2747</v>
      </c>
      <c r="C208" s="47"/>
      <c r="D208" s="55">
        <v>6924.0</v>
      </c>
      <c r="E208" s="38">
        <v>5565.0</v>
      </c>
      <c r="F208" s="38">
        <v>1639.0</v>
      </c>
      <c r="G208" s="55">
        <v>819.0</v>
      </c>
      <c r="H208" s="38">
        <v>706.0</v>
      </c>
      <c r="I208" s="48">
        <f t="shared" si="3"/>
        <v>14128</v>
      </c>
      <c r="J208" s="114">
        <f t="shared" si="4"/>
        <v>15653</v>
      </c>
      <c r="K208" s="49">
        <f t="shared" si="5"/>
        <v>0.4900906002</v>
      </c>
      <c r="L208" s="49">
        <f t="shared" si="6"/>
        <v>0.393898641</v>
      </c>
      <c r="M208" s="49">
        <f t="shared" si="7"/>
        <v>0.1160107588</v>
      </c>
      <c r="N208" s="32" t="str">
        <f t="shared" si="8"/>
        <v>Jânio</v>
      </c>
      <c r="O208" s="50" t="s">
        <v>77</v>
      </c>
      <c r="P208" s="38">
        <v>6005.0</v>
      </c>
      <c r="Q208" s="38">
        <v>5950.0</v>
      </c>
      <c r="R208" s="38">
        <v>1392.0</v>
      </c>
      <c r="S208" s="38">
        <v>1754.0</v>
      </c>
      <c r="T208" s="38">
        <v>552.0</v>
      </c>
      <c r="U208" s="48">
        <f t="shared" si="9"/>
        <v>13347</v>
      </c>
      <c r="V208" s="48">
        <f t="shared" si="10"/>
        <v>15653</v>
      </c>
      <c r="W208" s="49">
        <f t="shared" si="11"/>
        <v>0.4499138383</v>
      </c>
      <c r="X208" s="49">
        <f t="shared" si="12"/>
        <v>0.4457930621</v>
      </c>
      <c r="Y208" s="49">
        <f t="shared" si="13"/>
        <v>0.1042930996</v>
      </c>
      <c r="Z208" s="32" t="str">
        <f t="shared" si="14"/>
        <v>Jango</v>
      </c>
      <c r="AA208" s="50" t="s">
        <v>77</v>
      </c>
      <c r="AB208" s="38">
        <v>29032.0</v>
      </c>
      <c r="AC208" s="48">
        <f t="shared" si="19"/>
        <v>13379</v>
      </c>
      <c r="AD208" s="51">
        <f t="shared" si="20"/>
        <v>0.5391636815</v>
      </c>
    </row>
    <row r="209">
      <c r="A209" s="110" t="s">
        <v>892</v>
      </c>
      <c r="B209" s="46" t="s">
        <v>2748</v>
      </c>
      <c r="C209" s="47"/>
      <c r="D209" s="38">
        <v>1648.0</v>
      </c>
      <c r="E209" s="38">
        <v>356.0</v>
      </c>
      <c r="F209" s="38">
        <v>155.0</v>
      </c>
      <c r="G209" s="38">
        <v>139.0</v>
      </c>
      <c r="H209" s="38">
        <v>121.0</v>
      </c>
      <c r="I209" s="48">
        <f t="shared" si="3"/>
        <v>2159</v>
      </c>
      <c r="J209" s="48">
        <f t="shared" si="4"/>
        <v>2419</v>
      </c>
      <c r="K209" s="49">
        <f t="shared" si="5"/>
        <v>0.7633163502</v>
      </c>
      <c r="L209" s="49">
        <f t="shared" si="6"/>
        <v>0.1648911533</v>
      </c>
      <c r="M209" s="49">
        <f t="shared" si="7"/>
        <v>0.07179249653</v>
      </c>
      <c r="N209" s="32" t="str">
        <f t="shared" si="8"/>
        <v>Jânio</v>
      </c>
      <c r="O209" s="50" t="s">
        <v>77</v>
      </c>
      <c r="P209" s="38">
        <v>725.0</v>
      </c>
      <c r="Q209" s="38">
        <v>1260.0</v>
      </c>
      <c r="R209" s="38">
        <v>127.0</v>
      </c>
      <c r="S209" s="38">
        <v>238.0</v>
      </c>
      <c r="T209" s="38">
        <v>69.0</v>
      </c>
      <c r="U209" s="48">
        <f t="shared" si="9"/>
        <v>2112</v>
      </c>
      <c r="V209" s="48">
        <f t="shared" si="10"/>
        <v>2419</v>
      </c>
      <c r="W209" s="49">
        <f t="shared" si="11"/>
        <v>0.3432765152</v>
      </c>
      <c r="X209" s="49">
        <f t="shared" si="12"/>
        <v>0.5965909091</v>
      </c>
      <c r="Y209" s="49">
        <f t="shared" si="13"/>
        <v>0.06013257576</v>
      </c>
      <c r="Z209" s="32" t="str">
        <f t="shared" si="14"/>
        <v>Milton</v>
      </c>
      <c r="AA209" s="50" t="s">
        <v>77</v>
      </c>
      <c r="AB209" s="38">
        <v>4131.0</v>
      </c>
      <c r="AC209" s="48">
        <f t="shared" si="19"/>
        <v>1712</v>
      </c>
      <c r="AD209" s="51">
        <f t="shared" si="20"/>
        <v>0.5855725006</v>
      </c>
    </row>
    <row r="210">
      <c r="A210" s="61" t="s">
        <v>894</v>
      </c>
      <c r="B210" s="46" t="s">
        <v>2749</v>
      </c>
      <c r="C210" s="47"/>
      <c r="D210" s="38">
        <v>2083.0</v>
      </c>
      <c r="E210" s="38">
        <v>1572.0</v>
      </c>
      <c r="F210" s="38">
        <v>235.0</v>
      </c>
      <c r="G210" s="38">
        <v>311.0</v>
      </c>
      <c r="H210" s="38">
        <v>223.0</v>
      </c>
      <c r="I210" s="48">
        <f t="shared" si="3"/>
        <v>3890</v>
      </c>
      <c r="J210" s="48">
        <f t="shared" si="4"/>
        <v>4424</v>
      </c>
      <c r="K210" s="49">
        <f t="shared" si="5"/>
        <v>0.5354755784</v>
      </c>
      <c r="L210" s="49">
        <f t="shared" si="6"/>
        <v>0.4041131105</v>
      </c>
      <c r="M210" s="49">
        <f t="shared" si="7"/>
        <v>0.06041131105</v>
      </c>
      <c r="N210" s="32" t="str">
        <f t="shared" si="8"/>
        <v>Jânio</v>
      </c>
      <c r="O210" s="50" t="s">
        <v>77</v>
      </c>
      <c r="P210" s="38">
        <v>1572.0</v>
      </c>
      <c r="Q210" s="55">
        <v>1908.0</v>
      </c>
      <c r="R210" s="38">
        <v>181.0</v>
      </c>
      <c r="S210" s="38">
        <v>649.0</v>
      </c>
      <c r="T210" s="38">
        <v>114.0</v>
      </c>
      <c r="U210" s="48">
        <f t="shared" si="9"/>
        <v>3661</v>
      </c>
      <c r="V210" s="114">
        <f t="shared" si="10"/>
        <v>4424</v>
      </c>
      <c r="W210" s="49">
        <f t="shared" si="11"/>
        <v>0.4293908768</v>
      </c>
      <c r="X210" s="49">
        <f t="shared" si="12"/>
        <v>0.5211690795</v>
      </c>
      <c r="Y210" s="49">
        <f t="shared" si="13"/>
        <v>0.0494400437</v>
      </c>
      <c r="Z210" s="32" t="str">
        <f t="shared" si="14"/>
        <v>Milton</v>
      </c>
      <c r="AA210" s="50" t="s">
        <v>77</v>
      </c>
      <c r="AB210" s="38">
        <v>5812.0</v>
      </c>
      <c r="AC210" s="48">
        <f t="shared" si="19"/>
        <v>1388</v>
      </c>
      <c r="AD210" s="51">
        <f t="shared" si="20"/>
        <v>0.7611837577</v>
      </c>
    </row>
    <row r="211">
      <c r="A211" s="24"/>
      <c r="B211" s="46" t="s">
        <v>2750</v>
      </c>
      <c r="C211" s="47"/>
      <c r="D211" s="38">
        <v>612.0</v>
      </c>
      <c r="E211" s="38">
        <v>745.0</v>
      </c>
      <c r="F211" s="38">
        <v>76.0</v>
      </c>
      <c r="G211" s="38">
        <v>143.0</v>
      </c>
      <c r="H211" s="38">
        <v>93.0</v>
      </c>
      <c r="I211" s="48">
        <f t="shared" si="3"/>
        <v>1433</v>
      </c>
      <c r="J211" s="48">
        <f t="shared" si="4"/>
        <v>1669</v>
      </c>
      <c r="K211" s="49">
        <f t="shared" si="5"/>
        <v>0.4270760642</v>
      </c>
      <c r="L211" s="49">
        <f t="shared" si="6"/>
        <v>0.5198883461</v>
      </c>
      <c r="M211" s="49">
        <f t="shared" si="7"/>
        <v>0.05303558967</v>
      </c>
      <c r="N211" s="32" t="str">
        <f t="shared" si="8"/>
        <v>Mal. Lott</v>
      </c>
      <c r="O211" s="50" t="s">
        <v>77</v>
      </c>
      <c r="P211" s="38">
        <v>741.0</v>
      </c>
      <c r="Q211" s="38">
        <v>509.0</v>
      </c>
      <c r="R211" s="38">
        <v>70.0</v>
      </c>
      <c r="S211" s="38">
        <v>309.0</v>
      </c>
      <c r="T211" s="38">
        <v>40.0</v>
      </c>
      <c r="U211" s="48">
        <f t="shared" si="9"/>
        <v>1320</v>
      </c>
      <c r="V211" s="48">
        <f t="shared" si="10"/>
        <v>1669</v>
      </c>
      <c r="W211" s="49">
        <f t="shared" si="11"/>
        <v>0.5613636364</v>
      </c>
      <c r="X211" s="49">
        <f t="shared" si="12"/>
        <v>0.3856060606</v>
      </c>
      <c r="Y211" s="49">
        <f t="shared" si="13"/>
        <v>0.05303030303</v>
      </c>
      <c r="Z211" s="32" t="str">
        <f t="shared" si="14"/>
        <v>Jango</v>
      </c>
      <c r="AA211" s="50" t="s">
        <v>77</v>
      </c>
      <c r="AB211" s="38">
        <v>2205.0</v>
      </c>
      <c r="AC211" s="48">
        <f t="shared" si="19"/>
        <v>536</v>
      </c>
      <c r="AD211" s="51">
        <f t="shared" si="20"/>
        <v>0.7569160998</v>
      </c>
    </row>
    <row r="212">
      <c r="A212" s="110" t="s">
        <v>896</v>
      </c>
      <c r="B212" s="46" t="s">
        <v>2751</v>
      </c>
      <c r="C212" s="47"/>
      <c r="D212" s="38">
        <v>1420.0</v>
      </c>
      <c r="E212" s="38">
        <v>678.0</v>
      </c>
      <c r="F212" s="38">
        <v>92.0</v>
      </c>
      <c r="G212" s="38">
        <v>195.0</v>
      </c>
      <c r="H212" s="38">
        <v>109.0</v>
      </c>
      <c r="I212" s="48">
        <f t="shared" si="3"/>
        <v>2190</v>
      </c>
      <c r="J212" s="48">
        <f t="shared" si="4"/>
        <v>2494</v>
      </c>
      <c r="K212" s="49">
        <f t="shared" si="5"/>
        <v>0.6484018265</v>
      </c>
      <c r="L212" s="49">
        <f t="shared" si="6"/>
        <v>0.3095890411</v>
      </c>
      <c r="M212" s="49">
        <f t="shared" si="7"/>
        <v>0.04200913242</v>
      </c>
      <c r="N212" s="32" t="str">
        <f t="shared" si="8"/>
        <v>Jânio</v>
      </c>
      <c r="O212" s="50" t="s">
        <v>77</v>
      </c>
      <c r="P212" s="38">
        <v>648.0</v>
      </c>
      <c r="Q212" s="38">
        <v>1365.0</v>
      </c>
      <c r="R212" s="38">
        <v>71.0</v>
      </c>
      <c r="S212" s="38">
        <v>352.0</v>
      </c>
      <c r="T212" s="38">
        <v>58.0</v>
      </c>
      <c r="U212" s="48">
        <f t="shared" si="9"/>
        <v>2084</v>
      </c>
      <c r="V212" s="48">
        <f t="shared" si="10"/>
        <v>2494</v>
      </c>
      <c r="W212" s="49">
        <f t="shared" si="11"/>
        <v>0.310940499</v>
      </c>
      <c r="X212" s="49">
        <f t="shared" si="12"/>
        <v>0.6549904031</v>
      </c>
      <c r="Y212" s="49">
        <f t="shared" si="13"/>
        <v>0.03406909789</v>
      </c>
      <c r="Z212" s="32" t="str">
        <f t="shared" si="14"/>
        <v>Milton</v>
      </c>
      <c r="AA212" s="50" t="s">
        <v>77</v>
      </c>
      <c r="AB212" s="38">
        <v>2775.0</v>
      </c>
      <c r="AC212" s="48">
        <f t="shared" si="19"/>
        <v>281</v>
      </c>
      <c r="AD212" s="51">
        <f t="shared" si="20"/>
        <v>0.8987387387</v>
      </c>
    </row>
    <row r="213">
      <c r="A213" s="110" t="s">
        <v>898</v>
      </c>
      <c r="B213" s="46" t="s">
        <v>2752</v>
      </c>
      <c r="C213" s="47"/>
      <c r="D213" s="38">
        <v>1246.0</v>
      </c>
      <c r="E213" s="38">
        <v>496.0</v>
      </c>
      <c r="F213" s="38">
        <v>181.0</v>
      </c>
      <c r="G213" s="38">
        <v>67.0</v>
      </c>
      <c r="H213" s="38">
        <v>95.0</v>
      </c>
      <c r="I213" s="48">
        <f t="shared" si="3"/>
        <v>1923</v>
      </c>
      <c r="J213" s="48">
        <f t="shared" si="4"/>
        <v>2085</v>
      </c>
      <c r="K213" s="49">
        <f t="shared" si="5"/>
        <v>0.6479459178</v>
      </c>
      <c r="L213" s="49">
        <f t="shared" si="6"/>
        <v>0.2579303172</v>
      </c>
      <c r="M213" s="49">
        <f t="shared" si="7"/>
        <v>0.09412376495</v>
      </c>
      <c r="N213" s="32" t="str">
        <f t="shared" si="8"/>
        <v>Jânio</v>
      </c>
      <c r="O213" s="50" t="s">
        <v>77</v>
      </c>
      <c r="P213" s="38">
        <v>616.0</v>
      </c>
      <c r="Q213" s="38">
        <v>1138.0</v>
      </c>
      <c r="R213" s="38">
        <v>90.0</v>
      </c>
      <c r="S213" s="38">
        <v>176.0</v>
      </c>
      <c r="T213" s="38">
        <v>65.0</v>
      </c>
      <c r="U213" s="48">
        <f t="shared" si="9"/>
        <v>1844</v>
      </c>
      <c r="V213" s="48">
        <f t="shared" si="10"/>
        <v>2085</v>
      </c>
      <c r="W213" s="49">
        <f t="shared" si="11"/>
        <v>0.3340563991</v>
      </c>
      <c r="X213" s="49">
        <f t="shared" si="12"/>
        <v>0.6171366594</v>
      </c>
      <c r="Y213" s="49">
        <f t="shared" si="13"/>
        <v>0.04880694143</v>
      </c>
      <c r="Z213" s="32" t="str">
        <f t="shared" si="14"/>
        <v>Milton</v>
      </c>
      <c r="AA213" s="50" t="s">
        <v>77</v>
      </c>
      <c r="AB213" s="38">
        <v>2620.0</v>
      </c>
      <c r="AC213" s="48">
        <f t="shared" si="19"/>
        <v>535</v>
      </c>
      <c r="AD213" s="51">
        <f t="shared" si="20"/>
        <v>0.7958015267</v>
      </c>
    </row>
    <row r="214">
      <c r="A214" s="110" t="s">
        <v>817</v>
      </c>
      <c r="B214" s="46" t="s">
        <v>2753</v>
      </c>
      <c r="C214" s="47"/>
      <c r="D214" s="38">
        <v>1225.0</v>
      </c>
      <c r="E214" s="38">
        <v>603.0</v>
      </c>
      <c r="F214" s="38">
        <v>88.0</v>
      </c>
      <c r="G214" s="38">
        <v>62.0</v>
      </c>
      <c r="H214" s="38">
        <v>78.0</v>
      </c>
      <c r="I214" s="48">
        <f t="shared" si="3"/>
        <v>1916</v>
      </c>
      <c r="J214" s="48">
        <f t="shared" si="4"/>
        <v>2056</v>
      </c>
      <c r="K214" s="49">
        <f t="shared" si="5"/>
        <v>0.6393528184</v>
      </c>
      <c r="L214" s="49">
        <f t="shared" si="6"/>
        <v>0.3147181628</v>
      </c>
      <c r="M214" s="49">
        <f t="shared" si="7"/>
        <v>0.04592901879</v>
      </c>
      <c r="N214" s="32" t="str">
        <f t="shared" si="8"/>
        <v>Jânio</v>
      </c>
      <c r="O214" s="50" t="s">
        <v>77</v>
      </c>
      <c r="P214" s="38">
        <v>571.0</v>
      </c>
      <c r="Q214" s="38">
        <v>1130.0</v>
      </c>
      <c r="R214" s="38">
        <v>119.0</v>
      </c>
      <c r="S214" s="38">
        <v>192.0</v>
      </c>
      <c r="T214" s="38">
        <v>44.0</v>
      </c>
      <c r="U214" s="48">
        <f t="shared" si="9"/>
        <v>1820</v>
      </c>
      <c r="V214" s="48">
        <f t="shared" si="10"/>
        <v>2056</v>
      </c>
      <c r="W214" s="49">
        <f t="shared" si="11"/>
        <v>0.3137362637</v>
      </c>
      <c r="X214" s="49">
        <f t="shared" si="12"/>
        <v>0.6208791209</v>
      </c>
      <c r="Y214" s="49">
        <f t="shared" si="13"/>
        <v>0.06538461538</v>
      </c>
      <c r="Z214" s="32" t="str">
        <f t="shared" si="14"/>
        <v>Milton</v>
      </c>
      <c r="AA214" s="50" t="s">
        <v>77</v>
      </c>
      <c r="AB214" s="38">
        <v>2292.0</v>
      </c>
      <c r="AC214" s="48">
        <f t="shared" si="19"/>
        <v>236</v>
      </c>
      <c r="AD214" s="51">
        <f t="shared" si="20"/>
        <v>0.8970331588</v>
      </c>
    </row>
    <row r="215">
      <c r="A215" s="110" t="s">
        <v>1229</v>
      </c>
      <c r="B215" s="46" t="s">
        <v>2754</v>
      </c>
      <c r="C215" s="47"/>
      <c r="D215" s="38">
        <v>619.0</v>
      </c>
      <c r="E215" s="38">
        <v>335.0</v>
      </c>
      <c r="F215" s="38">
        <v>92.0</v>
      </c>
      <c r="G215" s="38">
        <v>64.0</v>
      </c>
      <c r="H215" s="38">
        <v>78.0</v>
      </c>
      <c r="I215" s="48">
        <f t="shared" si="3"/>
        <v>1046</v>
      </c>
      <c r="J215" s="48">
        <f t="shared" si="4"/>
        <v>1188</v>
      </c>
      <c r="K215" s="49">
        <f t="shared" si="5"/>
        <v>0.5917782027</v>
      </c>
      <c r="L215" s="49">
        <f t="shared" si="6"/>
        <v>0.3202676864</v>
      </c>
      <c r="M215" s="49">
        <f t="shared" si="7"/>
        <v>0.0879541109</v>
      </c>
      <c r="N215" s="32" t="str">
        <f t="shared" si="8"/>
        <v>Jânio</v>
      </c>
      <c r="O215" s="50" t="s">
        <v>77</v>
      </c>
      <c r="P215" s="38">
        <v>383.0</v>
      </c>
      <c r="Q215" s="38">
        <v>499.0</v>
      </c>
      <c r="R215" s="38">
        <v>90.0</v>
      </c>
      <c r="S215" s="38">
        <v>179.0</v>
      </c>
      <c r="T215" s="38">
        <v>37.0</v>
      </c>
      <c r="U215" s="48">
        <f t="shared" si="9"/>
        <v>972</v>
      </c>
      <c r="V215" s="48">
        <f t="shared" si="10"/>
        <v>1188</v>
      </c>
      <c r="W215" s="49">
        <f t="shared" si="11"/>
        <v>0.3940329218</v>
      </c>
      <c r="X215" s="49">
        <f t="shared" si="12"/>
        <v>0.5133744856</v>
      </c>
      <c r="Y215" s="49">
        <f t="shared" si="13"/>
        <v>0.09259259259</v>
      </c>
      <c r="Z215" s="32" t="str">
        <f t="shared" si="14"/>
        <v>Milton</v>
      </c>
      <c r="AA215" s="50" t="s">
        <v>77</v>
      </c>
      <c r="AB215" s="38">
        <v>1343.0</v>
      </c>
      <c r="AC215" s="48">
        <f t="shared" si="19"/>
        <v>155</v>
      </c>
      <c r="AD215" s="51">
        <f t="shared" si="20"/>
        <v>0.8845867461</v>
      </c>
    </row>
    <row r="216">
      <c r="A216" s="110" t="s">
        <v>1234</v>
      </c>
      <c r="B216" s="46" t="s">
        <v>2755</v>
      </c>
      <c r="C216" s="47"/>
      <c r="D216" s="38">
        <v>2382.0</v>
      </c>
      <c r="E216" s="38">
        <v>1413.0</v>
      </c>
      <c r="F216" s="38">
        <v>857.0</v>
      </c>
      <c r="G216" s="38">
        <v>143.0</v>
      </c>
      <c r="H216" s="38">
        <v>137.0</v>
      </c>
      <c r="I216" s="48">
        <f t="shared" si="3"/>
        <v>4652</v>
      </c>
      <c r="J216" s="48">
        <f t="shared" si="4"/>
        <v>4932</v>
      </c>
      <c r="K216" s="49">
        <f t="shared" si="5"/>
        <v>0.5120378332</v>
      </c>
      <c r="L216" s="49">
        <f t="shared" si="6"/>
        <v>0.3037403267</v>
      </c>
      <c r="M216" s="49">
        <f t="shared" si="7"/>
        <v>0.1842218401</v>
      </c>
      <c r="N216" s="32" t="str">
        <f t="shared" si="8"/>
        <v>Jânio</v>
      </c>
      <c r="O216" s="50" t="s">
        <v>77</v>
      </c>
      <c r="P216" s="38">
        <v>1646.0</v>
      </c>
      <c r="Q216" s="38">
        <v>2299.0</v>
      </c>
      <c r="R216" s="38">
        <v>314.0</v>
      </c>
      <c r="S216" s="38">
        <v>588.0</v>
      </c>
      <c r="T216" s="38">
        <v>85.0</v>
      </c>
      <c r="U216" s="48">
        <f t="shared" si="9"/>
        <v>4259</v>
      </c>
      <c r="V216" s="48">
        <f t="shared" si="10"/>
        <v>4932</v>
      </c>
      <c r="W216" s="49">
        <f t="shared" si="11"/>
        <v>0.3864756985</v>
      </c>
      <c r="X216" s="49">
        <f t="shared" si="12"/>
        <v>0.5397980747</v>
      </c>
      <c r="Y216" s="49">
        <f t="shared" si="13"/>
        <v>0.07372622681</v>
      </c>
      <c r="Z216" s="32" t="str">
        <f t="shared" si="14"/>
        <v>Milton</v>
      </c>
      <c r="AA216" s="50" t="s">
        <v>77</v>
      </c>
      <c r="AB216" s="38">
        <v>5681.0</v>
      </c>
      <c r="AC216" s="48">
        <f t="shared" si="19"/>
        <v>749</v>
      </c>
      <c r="AD216" s="51">
        <f t="shared" si="20"/>
        <v>0.8681570146</v>
      </c>
    </row>
    <row r="217">
      <c r="A217" s="61" t="s">
        <v>1236</v>
      </c>
      <c r="B217" s="46" t="s">
        <v>2756</v>
      </c>
      <c r="C217" s="47"/>
      <c r="D217" s="38">
        <v>616.0</v>
      </c>
      <c r="E217" s="38">
        <v>378.0</v>
      </c>
      <c r="F217" s="38">
        <v>67.0</v>
      </c>
      <c r="G217" s="38">
        <v>68.0</v>
      </c>
      <c r="H217" s="38">
        <v>51.0</v>
      </c>
      <c r="I217" s="48">
        <f t="shared" si="3"/>
        <v>1061</v>
      </c>
      <c r="J217" s="48">
        <f t="shared" si="4"/>
        <v>1180</v>
      </c>
      <c r="K217" s="49">
        <f t="shared" si="5"/>
        <v>0.5805843544</v>
      </c>
      <c r="L217" s="49">
        <f t="shared" si="6"/>
        <v>0.356267672</v>
      </c>
      <c r="M217" s="49">
        <f t="shared" si="7"/>
        <v>0.06314797361</v>
      </c>
      <c r="N217" s="32" t="str">
        <f t="shared" si="8"/>
        <v>Jânio</v>
      </c>
      <c r="O217" s="50" t="s">
        <v>77</v>
      </c>
      <c r="P217" s="38">
        <v>372.0</v>
      </c>
      <c r="Q217" s="38">
        <v>558.0</v>
      </c>
      <c r="R217" s="38">
        <v>44.0</v>
      </c>
      <c r="S217" s="38">
        <v>172.0</v>
      </c>
      <c r="T217" s="38">
        <v>34.0</v>
      </c>
      <c r="U217" s="48">
        <f t="shared" si="9"/>
        <v>974</v>
      </c>
      <c r="V217" s="48">
        <f t="shared" si="10"/>
        <v>1180</v>
      </c>
      <c r="W217" s="49">
        <f t="shared" si="11"/>
        <v>0.3819301848</v>
      </c>
      <c r="X217" s="49">
        <f t="shared" si="12"/>
        <v>0.5728952772</v>
      </c>
      <c r="Y217" s="49">
        <f t="shared" si="13"/>
        <v>0.04517453799</v>
      </c>
      <c r="Z217" s="32" t="str">
        <f t="shared" si="14"/>
        <v>Milton</v>
      </c>
      <c r="AA217" s="50" t="s">
        <v>77</v>
      </c>
      <c r="AB217" s="38">
        <v>1591.0</v>
      </c>
      <c r="AC217" s="48">
        <f t="shared" si="19"/>
        <v>411</v>
      </c>
      <c r="AD217" s="51">
        <f t="shared" si="20"/>
        <v>0.7416719045</v>
      </c>
    </row>
    <row r="218">
      <c r="A218" s="24"/>
      <c r="B218" s="46" t="s">
        <v>2757</v>
      </c>
      <c r="C218" s="47"/>
      <c r="D218" s="38">
        <v>262.0</v>
      </c>
      <c r="E218" s="38">
        <v>339.0</v>
      </c>
      <c r="F218" s="38">
        <v>40.0</v>
      </c>
      <c r="G218" s="38">
        <v>70.0</v>
      </c>
      <c r="H218" s="38">
        <v>49.0</v>
      </c>
      <c r="I218" s="48">
        <f t="shared" si="3"/>
        <v>641</v>
      </c>
      <c r="J218" s="48">
        <f t="shared" si="4"/>
        <v>760</v>
      </c>
      <c r="K218" s="49">
        <f t="shared" si="5"/>
        <v>0.4087363495</v>
      </c>
      <c r="L218" s="49">
        <f t="shared" si="6"/>
        <v>0.5288611544</v>
      </c>
      <c r="M218" s="49">
        <f t="shared" si="7"/>
        <v>0.0624024961</v>
      </c>
      <c r="N218" s="32" t="str">
        <f t="shared" si="8"/>
        <v>Mal. Lott</v>
      </c>
      <c r="O218" s="50" t="s">
        <v>77</v>
      </c>
      <c r="P218" s="38">
        <v>358.0</v>
      </c>
      <c r="Q218" s="38">
        <v>235.0</v>
      </c>
      <c r="R218" s="38">
        <v>22.0</v>
      </c>
      <c r="S218" s="38">
        <v>127.0</v>
      </c>
      <c r="T218" s="38">
        <v>18.0</v>
      </c>
      <c r="U218" s="48">
        <f t="shared" si="9"/>
        <v>615</v>
      </c>
      <c r="V218" s="48">
        <f t="shared" si="10"/>
        <v>760</v>
      </c>
      <c r="W218" s="49">
        <f t="shared" si="11"/>
        <v>0.5821138211</v>
      </c>
      <c r="X218" s="49">
        <f t="shared" si="12"/>
        <v>0.3821138211</v>
      </c>
      <c r="Y218" s="49">
        <f t="shared" si="13"/>
        <v>0.03577235772</v>
      </c>
      <c r="Z218" s="32" t="str">
        <f t="shared" si="14"/>
        <v>Jango</v>
      </c>
      <c r="AA218" s="50" t="s">
        <v>77</v>
      </c>
      <c r="AB218" s="38">
        <v>971.0</v>
      </c>
      <c r="AC218" s="48">
        <f t="shared" si="19"/>
        <v>211</v>
      </c>
      <c r="AD218" s="51">
        <f t="shared" si="20"/>
        <v>0.7826982492</v>
      </c>
    </row>
    <row r="219">
      <c r="A219" s="61" t="s">
        <v>1238</v>
      </c>
      <c r="B219" s="46" t="s">
        <v>2758</v>
      </c>
      <c r="C219" s="47"/>
      <c r="D219" s="38">
        <v>1331.0</v>
      </c>
      <c r="E219" s="38">
        <v>763.0</v>
      </c>
      <c r="F219" s="38">
        <v>288.0</v>
      </c>
      <c r="G219" s="38">
        <v>122.0</v>
      </c>
      <c r="H219" s="38">
        <v>124.0</v>
      </c>
      <c r="I219" s="48">
        <f t="shared" si="3"/>
        <v>2382</v>
      </c>
      <c r="J219" s="48">
        <f t="shared" si="4"/>
        <v>2628</v>
      </c>
      <c r="K219" s="49">
        <f t="shared" si="5"/>
        <v>0.5587741394</v>
      </c>
      <c r="L219" s="49">
        <f t="shared" si="6"/>
        <v>0.3203190596</v>
      </c>
      <c r="M219" s="49">
        <f t="shared" si="7"/>
        <v>0.120906801</v>
      </c>
      <c r="N219" s="32" t="str">
        <f t="shared" si="8"/>
        <v>Jânio</v>
      </c>
      <c r="O219" s="50" t="s">
        <v>77</v>
      </c>
      <c r="P219" s="38">
        <v>773.0</v>
      </c>
      <c r="Q219" s="38">
        <v>1200.0</v>
      </c>
      <c r="R219" s="38">
        <v>214.0</v>
      </c>
      <c r="S219" s="38">
        <v>360.0</v>
      </c>
      <c r="T219" s="38">
        <v>81.0</v>
      </c>
      <c r="U219" s="48">
        <f t="shared" si="9"/>
        <v>2187</v>
      </c>
      <c r="V219" s="48">
        <f t="shared" si="10"/>
        <v>2628</v>
      </c>
      <c r="W219" s="49">
        <f t="shared" si="11"/>
        <v>0.3534522176</v>
      </c>
      <c r="X219" s="49">
        <f t="shared" si="12"/>
        <v>0.548696845</v>
      </c>
      <c r="Y219" s="49">
        <f t="shared" si="13"/>
        <v>0.09785093736</v>
      </c>
      <c r="Z219" s="32" t="str">
        <f t="shared" si="14"/>
        <v>Milton</v>
      </c>
      <c r="AA219" s="50" t="s">
        <v>77</v>
      </c>
      <c r="AB219" s="38">
        <v>3123.0</v>
      </c>
      <c r="AC219" s="48">
        <f t="shared" si="19"/>
        <v>495</v>
      </c>
      <c r="AD219" s="51">
        <f t="shared" si="20"/>
        <v>0.8414985591</v>
      </c>
    </row>
    <row r="220">
      <c r="A220" s="23"/>
      <c r="B220" s="46" t="s">
        <v>2759</v>
      </c>
      <c r="C220" s="47"/>
      <c r="D220" s="38">
        <v>946.0</v>
      </c>
      <c r="E220" s="38">
        <v>617.0</v>
      </c>
      <c r="F220" s="38">
        <v>54.0</v>
      </c>
      <c r="G220" s="38">
        <v>70.0</v>
      </c>
      <c r="H220" s="38">
        <v>49.0</v>
      </c>
      <c r="I220" s="48">
        <f t="shared" si="3"/>
        <v>1617</v>
      </c>
      <c r="J220" s="48">
        <f t="shared" si="4"/>
        <v>1736</v>
      </c>
      <c r="K220" s="49">
        <f t="shared" si="5"/>
        <v>0.5850340136</v>
      </c>
      <c r="L220" s="49">
        <f t="shared" si="6"/>
        <v>0.3815708101</v>
      </c>
      <c r="M220" s="49">
        <f t="shared" si="7"/>
        <v>0.03339517625</v>
      </c>
      <c r="N220" s="32" t="str">
        <f t="shared" si="8"/>
        <v>Jânio</v>
      </c>
      <c r="O220" s="50" t="s">
        <v>77</v>
      </c>
      <c r="P220" s="38">
        <v>576.0</v>
      </c>
      <c r="Q220" s="38">
        <v>841.0</v>
      </c>
      <c r="R220" s="38">
        <v>74.0</v>
      </c>
      <c r="S220" s="38">
        <v>214.0</v>
      </c>
      <c r="T220" s="38">
        <v>31.0</v>
      </c>
      <c r="U220" s="48">
        <f t="shared" si="9"/>
        <v>1491</v>
      </c>
      <c r="V220" s="48">
        <f t="shared" si="10"/>
        <v>1736</v>
      </c>
      <c r="W220" s="49">
        <f t="shared" si="11"/>
        <v>0.3863179074</v>
      </c>
      <c r="X220" s="49">
        <f t="shared" si="12"/>
        <v>0.5640509725</v>
      </c>
      <c r="Y220" s="49">
        <f t="shared" si="13"/>
        <v>0.04963112005</v>
      </c>
      <c r="Z220" s="32" t="str">
        <f t="shared" si="14"/>
        <v>Milton</v>
      </c>
      <c r="AA220" s="50" t="s">
        <v>77</v>
      </c>
      <c r="AB220" s="38">
        <v>2080.0</v>
      </c>
      <c r="AC220" s="48">
        <f t="shared" si="19"/>
        <v>344</v>
      </c>
      <c r="AD220" s="51">
        <f t="shared" si="20"/>
        <v>0.8346153846</v>
      </c>
    </row>
    <row r="221">
      <c r="A221" s="24"/>
      <c r="B221" s="46" t="s">
        <v>2760</v>
      </c>
      <c r="C221" s="47"/>
      <c r="D221" s="38">
        <v>378.0</v>
      </c>
      <c r="E221" s="38">
        <v>81.0</v>
      </c>
      <c r="F221" s="38">
        <v>66.0</v>
      </c>
      <c r="G221" s="38">
        <v>73.0</v>
      </c>
      <c r="H221" s="38">
        <v>49.0</v>
      </c>
      <c r="I221" s="48">
        <f t="shared" si="3"/>
        <v>525</v>
      </c>
      <c r="J221" s="48">
        <f t="shared" si="4"/>
        <v>647</v>
      </c>
      <c r="K221" s="49">
        <f t="shared" si="5"/>
        <v>0.72</v>
      </c>
      <c r="L221" s="49">
        <f t="shared" si="6"/>
        <v>0.1542857143</v>
      </c>
      <c r="M221" s="49">
        <f t="shared" si="7"/>
        <v>0.1257142857</v>
      </c>
      <c r="N221" s="32" t="str">
        <f t="shared" si="8"/>
        <v>Jânio</v>
      </c>
      <c r="O221" s="50" t="s">
        <v>77</v>
      </c>
      <c r="P221" s="38">
        <v>80.0</v>
      </c>
      <c r="Q221" s="38">
        <v>330.0</v>
      </c>
      <c r="R221" s="38">
        <v>33.0</v>
      </c>
      <c r="S221" s="38">
        <v>188.0</v>
      </c>
      <c r="T221" s="38">
        <v>16.0</v>
      </c>
      <c r="U221" s="48">
        <f t="shared" si="9"/>
        <v>443</v>
      </c>
      <c r="V221" s="48">
        <f t="shared" si="10"/>
        <v>647</v>
      </c>
      <c r="W221" s="49">
        <f t="shared" si="11"/>
        <v>0.1805869074</v>
      </c>
      <c r="X221" s="49">
        <f t="shared" si="12"/>
        <v>0.7449209932</v>
      </c>
      <c r="Y221" s="49">
        <f t="shared" si="13"/>
        <v>0.07449209932</v>
      </c>
      <c r="Z221" s="32" t="str">
        <f t="shared" si="14"/>
        <v>Milton</v>
      </c>
      <c r="AA221" s="50" t="s">
        <v>77</v>
      </c>
      <c r="AB221" s="38">
        <v>794.0</v>
      </c>
      <c r="AC221" s="48">
        <f t="shared" si="19"/>
        <v>147</v>
      </c>
      <c r="AD221" s="51">
        <f t="shared" si="20"/>
        <v>0.814861461</v>
      </c>
    </row>
    <row r="222">
      <c r="A222" s="61" t="s">
        <v>1240</v>
      </c>
      <c r="B222" s="46" t="s">
        <v>2761</v>
      </c>
      <c r="C222" s="47"/>
      <c r="D222" s="38">
        <v>724.0</v>
      </c>
      <c r="E222" s="38">
        <v>551.0</v>
      </c>
      <c r="F222" s="38">
        <v>87.0</v>
      </c>
      <c r="G222" s="38">
        <v>111.0</v>
      </c>
      <c r="H222" s="38">
        <v>72.0</v>
      </c>
      <c r="I222" s="48">
        <f t="shared" si="3"/>
        <v>1362</v>
      </c>
      <c r="J222" s="48">
        <f t="shared" si="4"/>
        <v>1545</v>
      </c>
      <c r="K222" s="49">
        <f t="shared" si="5"/>
        <v>0.5315712188</v>
      </c>
      <c r="L222" s="49">
        <f t="shared" si="6"/>
        <v>0.4045521292</v>
      </c>
      <c r="M222" s="49">
        <f t="shared" si="7"/>
        <v>0.06387665198</v>
      </c>
      <c r="N222" s="32" t="str">
        <f t="shared" si="8"/>
        <v>Jânio</v>
      </c>
      <c r="O222" s="50" t="s">
        <v>77</v>
      </c>
      <c r="P222" s="38">
        <v>563.0</v>
      </c>
      <c r="Q222" s="38">
        <v>587.0</v>
      </c>
      <c r="R222" s="38">
        <v>82.0</v>
      </c>
      <c r="S222" s="38">
        <v>275.0</v>
      </c>
      <c r="T222" s="38">
        <v>38.0</v>
      </c>
      <c r="U222" s="48">
        <f t="shared" si="9"/>
        <v>1232</v>
      </c>
      <c r="V222" s="48">
        <f t="shared" si="10"/>
        <v>1545</v>
      </c>
      <c r="W222" s="49">
        <f t="shared" si="11"/>
        <v>0.4569805195</v>
      </c>
      <c r="X222" s="49">
        <f t="shared" si="12"/>
        <v>0.476461039</v>
      </c>
      <c r="Y222" s="49">
        <f t="shared" si="13"/>
        <v>0.06655844156</v>
      </c>
      <c r="Z222" s="32" t="str">
        <f t="shared" si="14"/>
        <v>Milton</v>
      </c>
      <c r="AA222" s="50" t="s">
        <v>77</v>
      </c>
      <c r="AB222" s="38">
        <v>1935.0</v>
      </c>
      <c r="AC222" s="48">
        <f t="shared" si="19"/>
        <v>390</v>
      </c>
      <c r="AD222" s="51">
        <f t="shared" si="20"/>
        <v>0.7984496124</v>
      </c>
    </row>
    <row r="223">
      <c r="A223" s="24"/>
      <c r="B223" s="46" t="s">
        <v>2762</v>
      </c>
      <c r="C223" s="47"/>
      <c r="D223" s="38">
        <v>350.0</v>
      </c>
      <c r="E223" s="38">
        <v>158.0</v>
      </c>
      <c r="F223" s="38">
        <v>95.0</v>
      </c>
      <c r="G223" s="38">
        <v>58.0</v>
      </c>
      <c r="H223" s="38">
        <v>56.0</v>
      </c>
      <c r="I223" s="48">
        <f t="shared" si="3"/>
        <v>603</v>
      </c>
      <c r="J223" s="48">
        <f t="shared" si="4"/>
        <v>717</v>
      </c>
      <c r="K223" s="49">
        <f t="shared" si="5"/>
        <v>0.5804311774</v>
      </c>
      <c r="L223" s="49">
        <f t="shared" si="6"/>
        <v>0.2620232172</v>
      </c>
      <c r="M223" s="49">
        <f t="shared" si="7"/>
        <v>0.1575456053</v>
      </c>
      <c r="N223" s="32" t="str">
        <f t="shared" si="8"/>
        <v>Jânio</v>
      </c>
      <c r="O223" s="50" t="s">
        <v>77</v>
      </c>
      <c r="P223" s="38">
        <v>172.0</v>
      </c>
      <c r="Q223" s="38">
        <v>280.0</v>
      </c>
      <c r="R223" s="38">
        <v>50.0</v>
      </c>
      <c r="S223" s="38">
        <v>192.0</v>
      </c>
      <c r="T223" s="38">
        <v>23.0</v>
      </c>
      <c r="U223" s="48">
        <f t="shared" si="9"/>
        <v>502</v>
      </c>
      <c r="V223" s="48">
        <f t="shared" si="10"/>
        <v>717</v>
      </c>
      <c r="W223" s="49">
        <f t="shared" si="11"/>
        <v>0.3426294821</v>
      </c>
      <c r="X223" s="49">
        <f t="shared" si="12"/>
        <v>0.5577689243</v>
      </c>
      <c r="Y223" s="49">
        <f t="shared" si="13"/>
        <v>0.09960159363</v>
      </c>
      <c r="Z223" s="32" t="str">
        <f t="shared" si="14"/>
        <v>Milton</v>
      </c>
      <c r="AA223" s="50" t="s">
        <v>77</v>
      </c>
      <c r="AB223" s="38">
        <v>921.0</v>
      </c>
      <c r="AC223" s="48">
        <f t="shared" si="19"/>
        <v>204</v>
      </c>
      <c r="AD223" s="51">
        <f t="shared" si="20"/>
        <v>0.7785016287</v>
      </c>
    </row>
    <row r="224">
      <c r="A224" s="110" t="s">
        <v>1242</v>
      </c>
      <c r="B224" s="46" t="s">
        <v>2763</v>
      </c>
      <c r="C224" s="47"/>
      <c r="D224" s="38">
        <v>583.0</v>
      </c>
      <c r="E224" s="38">
        <v>709.0</v>
      </c>
      <c r="F224" s="38">
        <v>122.0</v>
      </c>
      <c r="G224" s="38">
        <v>121.0</v>
      </c>
      <c r="H224" s="38">
        <v>76.0</v>
      </c>
      <c r="I224" s="48">
        <f t="shared" si="3"/>
        <v>1414</v>
      </c>
      <c r="J224" s="48">
        <f t="shared" si="4"/>
        <v>1611</v>
      </c>
      <c r="K224" s="49">
        <f t="shared" si="5"/>
        <v>0.4123055163</v>
      </c>
      <c r="L224" s="49">
        <f t="shared" si="6"/>
        <v>0.5014144272</v>
      </c>
      <c r="M224" s="49">
        <f t="shared" si="7"/>
        <v>0.08628005658</v>
      </c>
      <c r="N224" s="32" t="str">
        <f t="shared" si="8"/>
        <v>Mal. Lott</v>
      </c>
      <c r="O224" s="50" t="s">
        <v>77</v>
      </c>
      <c r="P224" s="38">
        <v>621.0</v>
      </c>
      <c r="Q224" s="38">
        <v>577.0</v>
      </c>
      <c r="R224" s="38">
        <v>70.0</v>
      </c>
      <c r="S224" s="38">
        <v>288.0</v>
      </c>
      <c r="T224" s="38">
        <v>55.0</v>
      </c>
      <c r="U224" s="48">
        <f t="shared" si="9"/>
        <v>1268</v>
      </c>
      <c r="V224" s="48">
        <f t="shared" si="10"/>
        <v>1611</v>
      </c>
      <c r="W224" s="49">
        <f t="shared" si="11"/>
        <v>0.4897476341</v>
      </c>
      <c r="X224" s="49">
        <f t="shared" si="12"/>
        <v>0.4550473186</v>
      </c>
      <c r="Y224" s="49">
        <f t="shared" si="13"/>
        <v>0.05520504732</v>
      </c>
      <c r="Z224" s="32" t="str">
        <f t="shared" si="14"/>
        <v>Jango</v>
      </c>
      <c r="AA224" s="50" t="s">
        <v>77</v>
      </c>
      <c r="AB224" s="38">
        <v>1836.0</v>
      </c>
      <c r="AC224" s="48">
        <f t="shared" si="19"/>
        <v>225</v>
      </c>
      <c r="AD224" s="51">
        <f t="shared" si="20"/>
        <v>0.8774509804</v>
      </c>
    </row>
    <row r="225">
      <c r="A225" s="61" t="s">
        <v>1244</v>
      </c>
      <c r="B225" s="46" t="s">
        <v>2764</v>
      </c>
      <c r="C225" s="47"/>
      <c r="D225" s="38">
        <v>4245.0</v>
      </c>
      <c r="E225" s="38">
        <v>3901.0</v>
      </c>
      <c r="F225" s="55">
        <v>569.0</v>
      </c>
      <c r="G225" s="38">
        <v>432.0</v>
      </c>
      <c r="H225" s="38">
        <v>513.0</v>
      </c>
      <c r="I225" s="48">
        <f t="shared" si="3"/>
        <v>8715</v>
      </c>
      <c r="J225" s="114">
        <f t="shared" si="4"/>
        <v>9660</v>
      </c>
      <c r="K225" s="49">
        <f t="shared" si="5"/>
        <v>0.487091222</v>
      </c>
      <c r="L225" s="49">
        <f t="shared" si="6"/>
        <v>0.4476190476</v>
      </c>
      <c r="M225" s="49">
        <f t="shared" si="7"/>
        <v>0.06528973035</v>
      </c>
      <c r="N225" s="32" t="str">
        <f t="shared" si="8"/>
        <v>Jânio</v>
      </c>
      <c r="O225" s="50" t="s">
        <v>77</v>
      </c>
      <c r="P225" s="38">
        <v>4091.0</v>
      </c>
      <c r="Q225" s="38">
        <v>3908.0</v>
      </c>
      <c r="R225" s="38">
        <v>409.0</v>
      </c>
      <c r="S225" s="38">
        <v>967.0</v>
      </c>
      <c r="T225" s="38">
        <v>285.0</v>
      </c>
      <c r="U225" s="48">
        <f t="shared" si="9"/>
        <v>8408</v>
      </c>
      <c r="V225" s="48">
        <f t="shared" si="10"/>
        <v>9660</v>
      </c>
      <c r="W225" s="49">
        <f t="shared" si="11"/>
        <v>0.4865604186</v>
      </c>
      <c r="X225" s="49">
        <f t="shared" si="12"/>
        <v>0.4647954329</v>
      </c>
      <c r="Y225" s="49">
        <f t="shared" si="13"/>
        <v>0.04864414843</v>
      </c>
      <c r="Z225" s="32" t="str">
        <f t="shared" si="14"/>
        <v>Jango</v>
      </c>
      <c r="AA225" s="50" t="s">
        <v>77</v>
      </c>
      <c r="AB225" s="38">
        <v>12713.0</v>
      </c>
      <c r="AC225" s="48">
        <f t="shared" si="19"/>
        <v>3053</v>
      </c>
      <c r="AD225" s="51">
        <f t="shared" si="20"/>
        <v>0.7598521199</v>
      </c>
    </row>
    <row r="226">
      <c r="A226" s="24"/>
      <c r="B226" s="46" t="s">
        <v>2765</v>
      </c>
      <c r="C226" s="47"/>
      <c r="D226" s="38">
        <v>1910.0</v>
      </c>
      <c r="E226" s="38">
        <v>1528.0</v>
      </c>
      <c r="F226" s="38">
        <v>388.0</v>
      </c>
      <c r="G226" s="38">
        <v>319.0</v>
      </c>
      <c r="H226" s="38">
        <v>331.0</v>
      </c>
      <c r="I226" s="48">
        <f t="shared" si="3"/>
        <v>3826</v>
      </c>
      <c r="J226" s="48">
        <f t="shared" si="4"/>
        <v>4476</v>
      </c>
      <c r="K226" s="49">
        <f t="shared" si="5"/>
        <v>0.4992158913</v>
      </c>
      <c r="L226" s="49">
        <f t="shared" si="6"/>
        <v>0.399372713</v>
      </c>
      <c r="M226" s="49">
        <f t="shared" si="7"/>
        <v>0.1014113957</v>
      </c>
      <c r="N226" s="32" t="str">
        <f t="shared" si="8"/>
        <v>Jânio</v>
      </c>
      <c r="O226" s="50" t="s">
        <v>77</v>
      </c>
      <c r="P226" s="38">
        <v>1703.0</v>
      </c>
      <c r="Q226" s="38">
        <v>1633.0</v>
      </c>
      <c r="R226" s="38">
        <v>215.0</v>
      </c>
      <c r="S226" s="38">
        <v>779.0</v>
      </c>
      <c r="T226" s="38">
        <v>146.0</v>
      </c>
      <c r="U226" s="48">
        <f t="shared" si="9"/>
        <v>3551</v>
      </c>
      <c r="V226" s="48">
        <f t="shared" si="10"/>
        <v>4476</v>
      </c>
      <c r="W226" s="49">
        <f t="shared" si="11"/>
        <v>0.479583216</v>
      </c>
      <c r="X226" s="49">
        <f t="shared" si="12"/>
        <v>0.459870459</v>
      </c>
      <c r="Y226" s="49">
        <f t="shared" si="13"/>
        <v>0.06054632498</v>
      </c>
      <c r="Z226" s="32" t="str">
        <f t="shared" si="14"/>
        <v>Jango</v>
      </c>
      <c r="AA226" s="50" t="s">
        <v>77</v>
      </c>
      <c r="AB226" s="38">
        <v>6242.0</v>
      </c>
      <c r="AC226" s="48">
        <f t="shared" si="19"/>
        <v>1766</v>
      </c>
      <c r="AD226" s="51">
        <f t="shared" si="20"/>
        <v>0.7170778597</v>
      </c>
    </row>
    <row r="227">
      <c r="A227" s="61" t="s">
        <v>2342</v>
      </c>
      <c r="B227" s="46" t="s">
        <v>2766</v>
      </c>
      <c r="C227" s="47"/>
      <c r="D227" s="38">
        <v>1687.0</v>
      </c>
      <c r="E227" s="38">
        <v>1287.0</v>
      </c>
      <c r="F227" s="38">
        <v>240.0</v>
      </c>
      <c r="G227" s="38">
        <v>120.0</v>
      </c>
      <c r="H227" s="38">
        <v>178.0</v>
      </c>
      <c r="I227" s="48">
        <f t="shared" si="3"/>
        <v>3214</v>
      </c>
      <c r="J227" s="48">
        <f t="shared" si="4"/>
        <v>3512</v>
      </c>
      <c r="K227" s="49">
        <f t="shared" si="5"/>
        <v>0.5248911014</v>
      </c>
      <c r="L227" s="49">
        <f t="shared" si="6"/>
        <v>0.4004355943</v>
      </c>
      <c r="M227" s="49">
        <f t="shared" si="7"/>
        <v>0.07467330429</v>
      </c>
      <c r="N227" s="32" t="str">
        <f t="shared" si="8"/>
        <v>Jânio</v>
      </c>
      <c r="O227" s="50" t="s">
        <v>77</v>
      </c>
      <c r="P227" s="38">
        <v>1417.0</v>
      </c>
      <c r="Q227" s="38">
        <v>1543.0</v>
      </c>
      <c r="R227" s="38">
        <v>154.0</v>
      </c>
      <c r="S227" s="38">
        <v>313.0</v>
      </c>
      <c r="T227" s="38">
        <v>85.0</v>
      </c>
      <c r="U227" s="48">
        <f t="shared" si="9"/>
        <v>3114</v>
      </c>
      <c r="V227" s="48">
        <f t="shared" si="10"/>
        <v>3512</v>
      </c>
      <c r="W227" s="49">
        <f t="shared" si="11"/>
        <v>0.4550417469</v>
      </c>
      <c r="X227" s="49">
        <f t="shared" si="12"/>
        <v>0.4955041747</v>
      </c>
      <c r="Y227" s="49">
        <f t="shared" si="13"/>
        <v>0.04945407836</v>
      </c>
      <c r="Z227" s="32" t="str">
        <f t="shared" si="14"/>
        <v>Milton</v>
      </c>
      <c r="AA227" s="50" t="s">
        <v>77</v>
      </c>
      <c r="AB227" s="38">
        <v>4640.0</v>
      </c>
      <c r="AC227" s="48">
        <f t="shared" si="19"/>
        <v>1128</v>
      </c>
      <c r="AD227" s="51">
        <f t="shared" si="20"/>
        <v>0.7568965517</v>
      </c>
    </row>
    <row r="228">
      <c r="A228" s="23"/>
      <c r="B228" s="46" t="s">
        <v>2767</v>
      </c>
      <c r="C228" s="47"/>
      <c r="D228" s="38">
        <v>442.0</v>
      </c>
      <c r="E228" s="38">
        <v>607.0</v>
      </c>
      <c r="F228" s="38">
        <v>56.0</v>
      </c>
      <c r="G228" s="38">
        <v>63.0</v>
      </c>
      <c r="H228" s="38">
        <v>102.0</v>
      </c>
      <c r="I228" s="48">
        <f t="shared" si="3"/>
        <v>1105</v>
      </c>
      <c r="J228" s="48">
        <f t="shared" si="4"/>
        <v>1270</v>
      </c>
      <c r="K228" s="49">
        <f t="shared" si="5"/>
        <v>0.4</v>
      </c>
      <c r="L228" s="49">
        <f t="shared" si="6"/>
        <v>0.549321267</v>
      </c>
      <c r="M228" s="49">
        <f t="shared" si="7"/>
        <v>0.05067873303</v>
      </c>
      <c r="N228" s="32" t="str">
        <f t="shared" si="8"/>
        <v>Mal. Lott</v>
      </c>
      <c r="O228" s="50" t="s">
        <v>77</v>
      </c>
      <c r="P228" s="38">
        <v>585.0</v>
      </c>
      <c r="Q228" s="38">
        <v>363.0</v>
      </c>
      <c r="R228" s="38">
        <v>65.0</v>
      </c>
      <c r="S228" s="38">
        <v>224.0</v>
      </c>
      <c r="T228" s="38">
        <v>33.0</v>
      </c>
      <c r="U228" s="48">
        <f t="shared" si="9"/>
        <v>1013</v>
      </c>
      <c r="V228" s="48">
        <f t="shared" si="10"/>
        <v>1270</v>
      </c>
      <c r="W228" s="49">
        <f t="shared" si="11"/>
        <v>0.5774925962</v>
      </c>
      <c r="X228" s="49">
        <f t="shared" si="12"/>
        <v>0.3583415597</v>
      </c>
      <c r="Y228" s="49">
        <f t="shared" si="13"/>
        <v>0.06416584403</v>
      </c>
      <c r="Z228" s="32" t="str">
        <f t="shared" si="14"/>
        <v>Jango</v>
      </c>
      <c r="AA228" s="50" t="s">
        <v>77</v>
      </c>
      <c r="AB228" s="38">
        <v>1591.0</v>
      </c>
      <c r="AC228" s="48">
        <f t="shared" si="19"/>
        <v>321</v>
      </c>
      <c r="AD228" s="51">
        <f t="shared" si="20"/>
        <v>0.7982401006</v>
      </c>
    </row>
    <row r="229">
      <c r="A229" s="24"/>
      <c r="B229" s="46" t="s">
        <v>2768</v>
      </c>
      <c r="C229" s="47"/>
      <c r="D229" s="38">
        <v>1075.0</v>
      </c>
      <c r="E229" s="38">
        <v>741.0</v>
      </c>
      <c r="F229" s="38">
        <v>95.0</v>
      </c>
      <c r="G229" s="38">
        <v>82.0</v>
      </c>
      <c r="H229" s="38">
        <v>142.0</v>
      </c>
      <c r="I229" s="48">
        <f t="shared" si="3"/>
        <v>1911</v>
      </c>
      <c r="J229" s="48">
        <f t="shared" si="4"/>
        <v>2135</v>
      </c>
      <c r="K229" s="49">
        <f t="shared" si="5"/>
        <v>0.5625327054</v>
      </c>
      <c r="L229" s="49">
        <f t="shared" si="6"/>
        <v>0.387755102</v>
      </c>
      <c r="M229" s="49">
        <f t="shared" si="7"/>
        <v>0.04971219257</v>
      </c>
      <c r="N229" s="32" t="str">
        <f t="shared" si="8"/>
        <v>Jânio</v>
      </c>
      <c r="O229" s="50" t="s">
        <v>77</v>
      </c>
      <c r="P229" s="38">
        <v>755.0</v>
      </c>
      <c r="Q229" s="38">
        <v>988.0</v>
      </c>
      <c r="R229" s="38">
        <v>81.0</v>
      </c>
      <c r="S229" s="38">
        <v>214.0</v>
      </c>
      <c r="T229" s="38">
        <v>97.0</v>
      </c>
      <c r="U229" s="48">
        <f t="shared" si="9"/>
        <v>1824</v>
      </c>
      <c r="V229" s="48">
        <f t="shared" si="10"/>
        <v>2135</v>
      </c>
      <c r="W229" s="49">
        <f t="shared" si="11"/>
        <v>0.4139254386</v>
      </c>
      <c r="X229" s="49">
        <f t="shared" si="12"/>
        <v>0.5416666667</v>
      </c>
      <c r="Y229" s="49">
        <f t="shared" si="13"/>
        <v>0.04440789474</v>
      </c>
      <c r="Z229" s="32" t="str">
        <f t="shared" si="14"/>
        <v>Milton</v>
      </c>
      <c r="AA229" s="50" t="s">
        <v>77</v>
      </c>
      <c r="AB229" s="38">
        <v>2707.0</v>
      </c>
      <c r="AC229" s="48">
        <f t="shared" si="19"/>
        <v>572</v>
      </c>
      <c r="AD229" s="51">
        <f t="shared" si="20"/>
        <v>0.7886959734</v>
      </c>
    </row>
    <row r="230">
      <c r="A230" s="110" t="s">
        <v>2351</v>
      </c>
      <c r="B230" s="46" t="s">
        <v>2769</v>
      </c>
      <c r="C230" s="47"/>
      <c r="D230" s="38">
        <v>2856.0</v>
      </c>
      <c r="E230" s="55">
        <v>3866.0</v>
      </c>
      <c r="F230" s="38">
        <v>337.0</v>
      </c>
      <c r="G230" s="38">
        <v>377.0</v>
      </c>
      <c r="H230" s="38">
        <v>358.0</v>
      </c>
      <c r="I230" s="48">
        <f t="shared" si="3"/>
        <v>7059</v>
      </c>
      <c r="J230" s="114">
        <f t="shared" si="4"/>
        <v>7794</v>
      </c>
      <c r="K230" s="49">
        <f t="shared" si="5"/>
        <v>0.4045898853</v>
      </c>
      <c r="L230" s="49">
        <f t="shared" si="6"/>
        <v>0.5476696416</v>
      </c>
      <c r="M230" s="49">
        <f t="shared" si="7"/>
        <v>0.04774047315</v>
      </c>
      <c r="N230" s="32" t="str">
        <f t="shared" si="8"/>
        <v>Mal. Lott</v>
      </c>
      <c r="O230" s="50" t="s">
        <v>77</v>
      </c>
      <c r="P230" s="38">
        <v>3981.0</v>
      </c>
      <c r="Q230" s="38">
        <v>2664.0</v>
      </c>
      <c r="R230" s="38">
        <v>203.0</v>
      </c>
      <c r="S230" s="38">
        <v>680.0</v>
      </c>
      <c r="T230" s="38">
        <v>266.0</v>
      </c>
      <c r="U230" s="48">
        <f t="shared" si="9"/>
        <v>6848</v>
      </c>
      <c r="V230" s="48">
        <f t="shared" si="10"/>
        <v>7794</v>
      </c>
      <c r="W230" s="49">
        <f t="shared" si="11"/>
        <v>0.5813376168</v>
      </c>
      <c r="X230" s="49">
        <f t="shared" si="12"/>
        <v>0.3890186916</v>
      </c>
      <c r="Y230" s="49">
        <f t="shared" si="13"/>
        <v>0.02964369159</v>
      </c>
      <c r="Z230" s="32" t="str">
        <f t="shared" si="14"/>
        <v>Jango</v>
      </c>
      <c r="AA230" s="50" t="s">
        <v>77</v>
      </c>
      <c r="AB230" s="38">
        <v>8922.0</v>
      </c>
      <c r="AC230" s="48">
        <f t="shared" si="19"/>
        <v>1128</v>
      </c>
      <c r="AD230" s="51">
        <f t="shared" si="20"/>
        <v>0.8735709482</v>
      </c>
    </row>
    <row r="231">
      <c r="A231" s="110" t="s">
        <v>2354</v>
      </c>
      <c r="B231" s="46" t="s">
        <v>2770</v>
      </c>
      <c r="C231" s="47"/>
      <c r="D231" s="38">
        <v>1330.0</v>
      </c>
      <c r="E231" s="38">
        <v>1978.0</v>
      </c>
      <c r="F231" s="38">
        <v>259.0</v>
      </c>
      <c r="G231" s="38">
        <v>247.0</v>
      </c>
      <c r="H231" s="38">
        <v>221.0</v>
      </c>
      <c r="I231" s="48">
        <f t="shared" si="3"/>
        <v>3567</v>
      </c>
      <c r="J231" s="48">
        <f t="shared" si="4"/>
        <v>4035</v>
      </c>
      <c r="K231" s="49">
        <f t="shared" si="5"/>
        <v>0.3728623493</v>
      </c>
      <c r="L231" s="49">
        <f t="shared" si="6"/>
        <v>0.5545276142</v>
      </c>
      <c r="M231" s="49">
        <f t="shared" si="7"/>
        <v>0.07261003645</v>
      </c>
      <c r="N231" s="32" t="str">
        <f t="shared" si="8"/>
        <v>Mal. Lott</v>
      </c>
      <c r="O231" s="50" t="s">
        <v>77</v>
      </c>
      <c r="P231" s="38">
        <v>1951.0</v>
      </c>
      <c r="Q231" s="38">
        <v>1305.0</v>
      </c>
      <c r="R231" s="38">
        <v>196.0</v>
      </c>
      <c r="S231" s="38">
        <v>401.0</v>
      </c>
      <c r="T231" s="38">
        <v>182.0</v>
      </c>
      <c r="U231" s="48">
        <f t="shared" si="9"/>
        <v>3452</v>
      </c>
      <c r="V231" s="48">
        <f t="shared" si="10"/>
        <v>4035</v>
      </c>
      <c r="W231" s="49">
        <f t="shared" si="11"/>
        <v>0.565179606</v>
      </c>
      <c r="X231" s="49">
        <f t="shared" si="12"/>
        <v>0.3780417149</v>
      </c>
      <c r="Y231" s="49">
        <f t="shared" si="13"/>
        <v>0.05677867903</v>
      </c>
      <c r="Z231" s="32" t="str">
        <f t="shared" si="14"/>
        <v>Jango</v>
      </c>
      <c r="AA231" s="50" t="s">
        <v>77</v>
      </c>
      <c r="AB231" s="38">
        <v>4336.0</v>
      </c>
      <c r="AC231" s="48">
        <f t="shared" si="19"/>
        <v>301</v>
      </c>
      <c r="AD231" s="51">
        <f t="shared" si="20"/>
        <v>0.9305811808</v>
      </c>
    </row>
    <row r="232">
      <c r="A232" s="110" t="s">
        <v>2356</v>
      </c>
      <c r="B232" s="46" t="s">
        <v>2771</v>
      </c>
      <c r="C232" s="47"/>
      <c r="D232" s="38">
        <v>714.0</v>
      </c>
      <c r="E232" s="38">
        <v>724.0</v>
      </c>
      <c r="F232" s="38">
        <v>182.0</v>
      </c>
      <c r="G232" s="38">
        <v>122.0</v>
      </c>
      <c r="H232" s="38">
        <v>140.0</v>
      </c>
      <c r="I232" s="48">
        <f t="shared" si="3"/>
        <v>1620</v>
      </c>
      <c r="J232" s="48">
        <f t="shared" si="4"/>
        <v>1882</v>
      </c>
      <c r="K232" s="49">
        <f t="shared" si="5"/>
        <v>0.4407407407</v>
      </c>
      <c r="L232" s="49">
        <f t="shared" si="6"/>
        <v>0.4469135802</v>
      </c>
      <c r="M232" s="49">
        <f t="shared" si="7"/>
        <v>0.112345679</v>
      </c>
      <c r="N232" s="32" t="str">
        <f t="shared" si="8"/>
        <v>Mal. Lott</v>
      </c>
      <c r="O232" s="50" t="s">
        <v>77</v>
      </c>
      <c r="P232" s="38">
        <v>729.0</v>
      </c>
      <c r="Q232" s="38">
        <v>643.0</v>
      </c>
      <c r="R232" s="38">
        <v>136.0</v>
      </c>
      <c r="S232" s="38">
        <v>289.0</v>
      </c>
      <c r="T232" s="38">
        <v>85.0</v>
      </c>
      <c r="U232" s="48">
        <f t="shared" si="9"/>
        <v>1508</v>
      </c>
      <c r="V232" s="48">
        <f t="shared" si="10"/>
        <v>1882</v>
      </c>
      <c r="W232" s="49">
        <f t="shared" si="11"/>
        <v>0.4834217507</v>
      </c>
      <c r="X232" s="49">
        <f t="shared" si="12"/>
        <v>0.4263925729</v>
      </c>
      <c r="Y232" s="49">
        <f t="shared" si="13"/>
        <v>0.09018567639</v>
      </c>
      <c r="Z232" s="32" t="str">
        <f t="shared" si="14"/>
        <v>Jango</v>
      </c>
      <c r="AA232" s="50" t="s">
        <v>77</v>
      </c>
      <c r="AB232" s="38">
        <v>2082.0</v>
      </c>
      <c r="AC232" s="48">
        <f t="shared" si="19"/>
        <v>200</v>
      </c>
      <c r="AD232" s="51">
        <f t="shared" si="20"/>
        <v>0.9039385207</v>
      </c>
    </row>
    <row r="233">
      <c r="A233" s="61" t="s">
        <v>2361</v>
      </c>
      <c r="B233" s="46" t="s">
        <v>2772</v>
      </c>
      <c r="C233" s="47"/>
      <c r="D233" s="38">
        <v>2529.0</v>
      </c>
      <c r="E233" s="38">
        <v>3343.0</v>
      </c>
      <c r="F233" s="38">
        <v>4171.0</v>
      </c>
      <c r="G233" s="38">
        <v>212.0</v>
      </c>
      <c r="H233" s="38">
        <v>188.0</v>
      </c>
      <c r="I233" s="48">
        <f t="shared" si="3"/>
        <v>10043</v>
      </c>
      <c r="J233" s="48">
        <f t="shared" si="4"/>
        <v>10443</v>
      </c>
      <c r="K233" s="49">
        <f t="shared" si="5"/>
        <v>0.2518171861</v>
      </c>
      <c r="L233" s="49">
        <f t="shared" si="6"/>
        <v>0.3328686647</v>
      </c>
      <c r="M233" s="49">
        <f t="shared" si="7"/>
        <v>0.4153141492</v>
      </c>
      <c r="N233" s="32" t="str">
        <f t="shared" si="8"/>
        <v>Adhemar</v>
      </c>
      <c r="O233" s="50" t="s">
        <v>77</v>
      </c>
      <c r="P233" s="38">
        <v>4104.0</v>
      </c>
      <c r="Q233" s="38">
        <v>2681.0</v>
      </c>
      <c r="R233" s="38">
        <v>2551.0</v>
      </c>
      <c r="S233" s="38">
        <v>870.0</v>
      </c>
      <c r="T233" s="38">
        <v>237.0</v>
      </c>
      <c r="U233" s="48">
        <f t="shared" si="9"/>
        <v>9336</v>
      </c>
      <c r="V233" s="48">
        <f t="shared" si="10"/>
        <v>10443</v>
      </c>
      <c r="W233" s="49">
        <f t="shared" si="11"/>
        <v>0.4395886889</v>
      </c>
      <c r="X233" s="49">
        <f t="shared" si="12"/>
        <v>0.287167952</v>
      </c>
      <c r="Y233" s="49">
        <f t="shared" si="13"/>
        <v>0.273243359</v>
      </c>
      <c r="Z233" s="32" t="str">
        <f t="shared" si="14"/>
        <v>Jango</v>
      </c>
      <c r="AA233" s="50" t="s">
        <v>77</v>
      </c>
      <c r="AB233" s="38">
        <v>11910.0</v>
      </c>
      <c r="AC233" s="48">
        <f t="shared" si="19"/>
        <v>1467</v>
      </c>
      <c r="AD233" s="51">
        <f t="shared" si="20"/>
        <v>0.8768261965</v>
      </c>
    </row>
    <row r="234">
      <c r="A234" s="24"/>
      <c r="B234" s="46" t="s">
        <v>2773</v>
      </c>
      <c r="C234" s="47"/>
      <c r="D234" s="38">
        <v>446.0</v>
      </c>
      <c r="E234" s="38">
        <v>392.0</v>
      </c>
      <c r="F234" s="38">
        <v>797.0</v>
      </c>
      <c r="G234" s="38">
        <v>67.0</v>
      </c>
      <c r="H234" s="38">
        <v>51.0</v>
      </c>
      <c r="I234" s="48">
        <f t="shared" si="3"/>
        <v>1635</v>
      </c>
      <c r="J234" s="48">
        <f t="shared" si="4"/>
        <v>1753</v>
      </c>
      <c r="K234" s="49">
        <f t="shared" si="5"/>
        <v>0.2727828746</v>
      </c>
      <c r="L234" s="49">
        <f t="shared" si="6"/>
        <v>0.2397553517</v>
      </c>
      <c r="M234" s="49">
        <f t="shared" si="7"/>
        <v>0.4874617737</v>
      </c>
      <c r="N234" s="32" t="str">
        <f t="shared" si="8"/>
        <v>Adhemar</v>
      </c>
      <c r="O234" s="50" t="s">
        <v>77</v>
      </c>
      <c r="P234" s="38">
        <v>453.0</v>
      </c>
      <c r="Q234" s="38">
        <v>637.0</v>
      </c>
      <c r="R234" s="38">
        <v>167.0</v>
      </c>
      <c r="S234" s="38">
        <v>469.0</v>
      </c>
      <c r="T234" s="38">
        <v>27.0</v>
      </c>
      <c r="U234" s="48">
        <f t="shared" si="9"/>
        <v>1257</v>
      </c>
      <c r="V234" s="48">
        <f t="shared" si="10"/>
        <v>1753</v>
      </c>
      <c r="W234" s="49">
        <f t="shared" si="11"/>
        <v>0.3603818616</v>
      </c>
      <c r="X234" s="49">
        <f t="shared" si="12"/>
        <v>0.5067621321</v>
      </c>
      <c r="Y234" s="49">
        <f t="shared" si="13"/>
        <v>0.1328560064</v>
      </c>
      <c r="Z234" s="32" t="str">
        <f t="shared" si="14"/>
        <v>Milton</v>
      </c>
      <c r="AA234" s="50" t="s">
        <v>77</v>
      </c>
      <c r="AB234" s="38">
        <v>2072.0</v>
      </c>
      <c r="AC234" s="48">
        <f t="shared" si="19"/>
        <v>319</v>
      </c>
      <c r="AD234" s="51">
        <f t="shared" si="20"/>
        <v>0.846042471</v>
      </c>
    </row>
    <row r="235">
      <c r="A235" s="110" t="s">
        <v>2364</v>
      </c>
      <c r="B235" s="46" t="s">
        <v>2774</v>
      </c>
      <c r="C235" s="47"/>
      <c r="D235" s="38">
        <v>582.0</v>
      </c>
      <c r="E235" s="38">
        <v>703.0</v>
      </c>
      <c r="F235" s="38">
        <v>124.0</v>
      </c>
      <c r="G235" s="38">
        <v>124.0</v>
      </c>
      <c r="H235" s="38">
        <v>103.0</v>
      </c>
      <c r="I235" s="48">
        <f t="shared" si="3"/>
        <v>1409</v>
      </c>
      <c r="J235" s="48">
        <f t="shared" si="4"/>
        <v>1636</v>
      </c>
      <c r="K235" s="49">
        <f t="shared" si="5"/>
        <v>0.413058907</v>
      </c>
      <c r="L235" s="49">
        <f t="shared" si="6"/>
        <v>0.4989354152</v>
      </c>
      <c r="M235" s="49">
        <f t="shared" si="7"/>
        <v>0.08800567779</v>
      </c>
      <c r="N235" s="32" t="str">
        <f t="shared" si="8"/>
        <v>Mal. Lott</v>
      </c>
      <c r="O235" s="50" t="s">
        <v>77</v>
      </c>
      <c r="P235" s="38">
        <v>688.0</v>
      </c>
      <c r="Q235" s="38">
        <v>500.0</v>
      </c>
      <c r="R235" s="38">
        <v>87.0</v>
      </c>
      <c r="S235" s="38">
        <v>307.0</v>
      </c>
      <c r="T235" s="38">
        <v>54.0</v>
      </c>
      <c r="U235" s="48">
        <f t="shared" si="9"/>
        <v>1275</v>
      </c>
      <c r="V235" s="48">
        <f t="shared" si="10"/>
        <v>1636</v>
      </c>
      <c r="W235" s="49">
        <f t="shared" si="11"/>
        <v>0.5396078431</v>
      </c>
      <c r="X235" s="49">
        <f t="shared" si="12"/>
        <v>0.3921568627</v>
      </c>
      <c r="Y235" s="49">
        <f t="shared" si="13"/>
        <v>0.06823529412</v>
      </c>
      <c r="Z235" s="32" t="str">
        <f t="shared" si="14"/>
        <v>Jango</v>
      </c>
      <c r="AA235" s="50" t="s">
        <v>77</v>
      </c>
      <c r="AB235" s="38">
        <v>2179.0</v>
      </c>
      <c r="AC235" s="48">
        <f t="shared" si="19"/>
        <v>543</v>
      </c>
      <c r="AD235" s="51">
        <f t="shared" si="20"/>
        <v>0.7508031207</v>
      </c>
    </row>
    <row r="236">
      <c r="A236" s="110" t="s">
        <v>2775</v>
      </c>
      <c r="B236" s="46" t="s">
        <v>2776</v>
      </c>
      <c r="C236" s="47"/>
      <c r="D236" s="38">
        <v>4494.0</v>
      </c>
      <c r="E236" s="38">
        <v>2946.0</v>
      </c>
      <c r="F236" s="38">
        <v>706.0</v>
      </c>
      <c r="G236" s="38">
        <v>467.0</v>
      </c>
      <c r="H236" s="38">
        <v>533.0</v>
      </c>
      <c r="I236" s="48">
        <f t="shared" si="3"/>
        <v>8146</v>
      </c>
      <c r="J236" s="48">
        <f t="shared" si="4"/>
        <v>9146</v>
      </c>
      <c r="K236" s="49">
        <f t="shared" si="5"/>
        <v>0.551681807</v>
      </c>
      <c r="L236" s="49">
        <f t="shared" si="6"/>
        <v>0.3616498895</v>
      </c>
      <c r="M236" s="49">
        <f t="shared" si="7"/>
        <v>0.08666830346</v>
      </c>
      <c r="N236" s="32" t="str">
        <f t="shared" si="8"/>
        <v>Jânio</v>
      </c>
      <c r="O236" s="50" t="s">
        <v>77</v>
      </c>
      <c r="P236" s="38">
        <v>3322.0</v>
      </c>
      <c r="Q236" s="38">
        <v>3998.0</v>
      </c>
      <c r="R236" s="38">
        <v>462.0</v>
      </c>
      <c r="S236" s="38">
        <v>1023.0</v>
      </c>
      <c r="T236" s="38">
        <v>341.0</v>
      </c>
      <c r="U236" s="48">
        <f t="shared" si="9"/>
        <v>7782</v>
      </c>
      <c r="V236" s="48">
        <f t="shared" si="10"/>
        <v>9146</v>
      </c>
      <c r="W236" s="49">
        <f t="shared" si="11"/>
        <v>0.4268825495</v>
      </c>
      <c r="X236" s="49">
        <f t="shared" si="12"/>
        <v>0.5137496787</v>
      </c>
      <c r="Y236" s="49">
        <f t="shared" si="13"/>
        <v>0.05936777178</v>
      </c>
      <c r="Z236" s="32" t="str">
        <f t="shared" si="14"/>
        <v>Milton</v>
      </c>
      <c r="AA236" s="50" t="s">
        <v>77</v>
      </c>
      <c r="AB236" s="38">
        <v>15309.0</v>
      </c>
      <c r="AC236" s="48">
        <f t="shared" si="19"/>
        <v>6163</v>
      </c>
      <c r="AD236" s="51">
        <f t="shared" si="20"/>
        <v>0.5974263505</v>
      </c>
    </row>
    <row r="237">
      <c r="A237" s="110" t="s">
        <v>2370</v>
      </c>
      <c r="B237" s="46" t="s">
        <v>2777</v>
      </c>
      <c r="C237" s="47"/>
      <c r="D237" s="38">
        <v>761.0</v>
      </c>
      <c r="E237" s="38">
        <v>604.0</v>
      </c>
      <c r="F237" s="38">
        <v>53.0</v>
      </c>
      <c r="G237" s="38">
        <v>48.0</v>
      </c>
      <c r="H237" s="38">
        <v>42.0</v>
      </c>
      <c r="I237" s="48">
        <f t="shared" si="3"/>
        <v>1418</v>
      </c>
      <c r="J237" s="48">
        <f t="shared" si="4"/>
        <v>1508</v>
      </c>
      <c r="K237" s="49">
        <f t="shared" si="5"/>
        <v>0.5366713681</v>
      </c>
      <c r="L237" s="49">
        <f t="shared" si="6"/>
        <v>0.4259520451</v>
      </c>
      <c r="M237" s="49">
        <f t="shared" si="7"/>
        <v>0.03737658674</v>
      </c>
      <c r="N237" s="32" t="str">
        <f t="shared" si="8"/>
        <v>Jânio</v>
      </c>
      <c r="O237" s="50" t="s">
        <v>77</v>
      </c>
      <c r="P237" s="38">
        <v>519.0</v>
      </c>
      <c r="Q237" s="38">
        <v>735.0</v>
      </c>
      <c r="R237" s="38">
        <v>66.0</v>
      </c>
      <c r="S237" s="38">
        <v>161.0</v>
      </c>
      <c r="T237" s="38">
        <v>27.0</v>
      </c>
      <c r="U237" s="48">
        <f t="shared" si="9"/>
        <v>1320</v>
      </c>
      <c r="V237" s="48">
        <f t="shared" si="10"/>
        <v>1508</v>
      </c>
      <c r="W237" s="49">
        <f t="shared" si="11"/>
        <v>0.3931818182</v>
      </c>
      <c r="X237" s="49">
        <f t="shared" si="12"/>
        <v>0.5568181818</v>
      </c>
      <c r="Y237" s="49">
        <f t="shared" si="13"/>
        <v>0.05</v>
      </c>
      <c r="Z237" s="32" t="str">
        <f t="shared" si="14"/>
        <v>Milton</v>
      </c>
      <c r="AA237" s="50" t="s">
        <v>77</v>
      </c>
      <c r="AB237" s="38">
        <v>1729.0</v>
      </c>
      <c r="AC237" s="48">
        <f t="shared" si="19"/>
        <v>221</v>
      </c>
      <c r="AD237" s="51">
        <f t="shared" si="20"/>
        <v>0.8721804511</v>
      </c>
    </row>
    <row r="238">
      <c r="A238" s="61" t="s">
        <v>2379</v>
      </c>
      <c r="B238" s="46" t="s">
        <v>2778</v>
      </c>
      <c r="C238" s="47"/>
      <c r="D238" s="38">
        <v>342.0</v>
      </c>
      <c r="E238" s="38">
        <v>586.0</v>
      </c>
      <c r="F238" s="38">
        <v>641.0</v>
      </c>
      <c r="G238" s="38">
        <v>63.0</v>
      </c>
      <c r="H238" s="38">
        <v>57.0</v>
      </c>
      <c r="I238" s="48">
        <f t="shared" si="3"/>
        <v>1569</v>
      </c>
      <c r="J238" s="48">
        <f t="shared" si="4"/>
        <v>1689</v>
      </c>
      <c r="K238" s="49">
        <f t="shared" si="5"/>
        <v>0.2179732314</v>
      </c>
      <c r="L238" s="49">
        <f t="shared" si="6"/>
        <v>0.373486297</v>
      </c>
      <c r="M238" s="49">
        <f t="shared" si="7"/>
        <v>0.4085404716</v>
      </c>
      <c r="N238" s="32" t="str">
        <f t="shared" si="8"/>
        <v>Adhemar</v>
      </c>
      <c r="O238" s="50" t="s">
        <v>77</v>
      </c>
      <c r="P238" s="38">
        <v>575.0</v>
      </c>
      <c r="Q238" s="38">
        <v>649.0</v>
      </c>
      <c r="R238" s="38">
        <v>152.0</v>
      </c>
      <c r="S238" s="38">
        <v>273.0</v>
      </c>
      <c r="T238" s="38">
        <v>40.0</v>
      </c>
      <c r="U238" s="48">
        <f t="shared" si="9"/>
        <v>1376</v>
      </c>
      <c r="V238" s="48">
        <f t="shared" si="10"/>
        <v>1689</v>
      </c>
      <c r="W238" s="49">
        <f t="shared" si="11"/>
        <v>0.417877907</v>
      </c>
      <c r="X238" s="49">
        <f t="shared" si="12"/>
        <v>0.4716569767</v>
      </c>
      <c r="Y238" s="49">
        <f t="shared" si="13"/>
        <v>0.1104651163</v>
      </c>
      <c r="Z238" s="32" t="str">
        <f t="shared" si="14"/>
        <v>Milton</v>
      </c>
      <c r="AA238" s="50" t="s">
        <v>77</v>
      </c>
      <c r="AB238" s="38">
        <v>2044.0</v>
      </c>
      <c r="AC238" s="48">
        <f t="shared" si="19"/>
        <v>355</v>
      </c>
      <c r="AD238" s="51">
        <f t="shared" si="20"/>
        <v>0.8263209393</v>
      </c>
    </row>
    <row r="239">
      <c r="A239" s="24"/>
      <c r="B239" s="46" t="s">
        <v>2779</v>
      </c>
      <c r="C239" s="47"/>
      <c r="D239" s="38">
        <v>198.0</v>
      </c>
      <c r="E239" s="38">
        <v>988.0</v>
      </c>
      <c r="F239" s="38">
        <v>523.0</v>
      </c>
      <c r="G239" s="38">
        <v>96.0</v>
      </c>
      <c r="H239" s="38">
        <v>98.0</v>
      </c>
      <c r="I239" s="48">
        <f t="shared" si="3"/>
        <v>1709</v>
      </c>
      <c r="J239" s="48">
        <f t="shared" si="4"/>
        <v>1903</v>
      </c>
      <c r="K239" s="49">
        <f t="shared" si="5"/>
        <v>0.1158572264</v>
      </c>
      <c r="L239" s="49">
        <f t="shared" si="6"/>
        <v>0.5781158572</v>
      </c>
      <c r="M239" s="49">
        <f t="shared" si="7"/>
        <v>0.3060269163</v>
      </c>
      <c r="N239" s="32" t="str">
        <f t="shared" si="8"/>
        <v>Mal. Lott</v>
      </c>
      <c r="O239" s="50" t="s">
        <v>77</v>
      </c>
      <c r="P239" s="38">
        <v>915.0</v>
      </c>
      <c r="Q239" s="38">
        <v>401.0</v>
      </c>
      <c r="R239" s="38">
        <v>122.0</v>
      </c>
      <c r="S239" s="38">
        <v>398.0</v>
      </c>
      <c r="T239" s="38">
        <v>67.0</v>
      </c>
      <c r="U239" s="48">
        <f t="shared" si="9"/>
        <v>1438</v>
      </c>
      <c r="V239" s="48">
        <f t="shared" si="10"/>
        <v>1903</v>
      </c>
      <c r="W239" s="49">
        <f t="shared" si="11"/>
        <v>0.6363004172</v>
      </c>
      <c r="X239" s="49">
        <f t="shared" si="12"/>
        <v>0.2788595271</v>
      </c>
      <c r="Y239" s="49">
        <f t="shared" si="13"/>
        <v>0.08484005563</v>
      </c>
      <c r="Z239" s="32" t="str">
        <f t="shared" si="14"/>
        <v>Jango</v>
      </c>
      <c r="AA239" s="50" t="s">
        <v>77</v>
      </c>
      <c r="AB239" s="38">
        <v>2426.0</v>
      </c>
      <c r="AC239" s="48">
        <f t="shared" si="19"/>
        <v>523</v>
      </c>
      <c r="AD239" s="51">
        <f t="shared" si="20"/>
        <v>0.7844187964</v>
      </c>
    </row>
    <row r="240">
      <c r="A240" s="110" t="s">
        <v>2382</v>
      </c>
      <c r="B240" s="46" t="s">
        <v>2780</v>
      </c>
      <c r="C240" s="47"/>
      <c r="D240" s="38">
        <v>1324.0</v>
      </c>
      <c r="E240" s="38">
        <v>1528.0</v>
      </c>
      <c r="F240" s="38">
        <v>178.0</v>
      </c>
      <c r="G240" s="38">
        <v>182.0</v>
      </c>
      <c r="H240" s="38">
        <v>189.0</v>
      </c>
      <c r="I240" s="48">
        <f t="shared" si="3"/>
        <v>3030</v>
      </c>
      <c r="J240" s="48">
        <f t="shared" si="4"/>
        <v>3401</v>
      </c>
      <c r="K240" s="49">
        <f t="shared" si="5"/>
        <v>0.4369636964</v>
      </c>
      <c r="L240" s="49">
        <f t="shared" si="6"/>
        <v>0.504290429</v>
      </c>
      <c r="M240" s="49">
        <f t="shared" si="7"/>
        <v>0.05874587459</v>
      </c>
      <c r="N240" s="32" t="str">
        <f t="shared" si="8"/>
        <v>Mal. Lott</v>
      </c>
      <c r="O240" s="50" t="s">
        <v>77</v>
      </c>
      <c r="P240" s="38">
        <v>1529.0</v>
      </c>
      <c r="Q240" s="38">
        <v>1245.0</v>
      </c>
      <c r="R240" s="38">
        <v>91.0</v>
      </c>
      <c r="S240" s="38">
        <v>420.0</v>
      </c>
      <c r="T240" s="38">
        <v>116.0</v>
      </c>
      <c r="U240" s="48">
        <f t="shared" si="9"/>
        <v>2865</v>
      </c>
      <c r="V240" s="48">
        <f t="shared" si="10"/>
        <v>3401</v>
      </c>
      <c r="W240" s="49">
        <f t="shared" si="11"/>
        <v>0.5336823735</v>
      </c>
      <c r="X240" s="49">
        <f t="shared" si="12"/>
        <v>0.4345549738</v>
      </c>
      <c r="Y240" s="49">
        <f t="shared" si="13"/>
        <v>0.03176265271</v>
      </c>
      <c r="Z240" s="32" t="str">
        <f t="shared" si="14"/>
        <v>Jango</v>
      </c>
      <c r="AA240" s="50" t="s">
        <v>77</v>
      </c>
      <c r="AB240" s="38">
        <v>4168.0</v>
      </c>
      <c r="AC240" s="48">
        <f t="shared" si="19"/>
        <v>767</v>
      </c>
      <c r="AD240" s="51">
        <f t="shared" si="20"/>
        <v>0.8159788868</v>
      </c>
    </row>
    <row r="241">
      <c r="A241" s="110" t="s">
        <v>2385</v>
      </c>
      <c r="B241" s="46" t="s">
        <v>2781</v>
      </c>
      <c r="C241" s="47"/>
      <c r="D241" s="38">
        <v>2074.0</v>
      </c>
      <c r="E241" s="38">
        <v>1106.0</v>
      </c>
      <c r="F241" s="38">
        <v>2011.0</v>
      </c>
      <c r="G241" s="38">
        <v>483.0</v>
      </c>
      <c r="H241" s="38">
        <v>235.0</v>
      </c>
      <c r="I241" s="48">
        <f t="shared" si="3"/>
        <v>5191</v>
      </c>
      <c r="J241" s="48">
        <f t="shared" si="4"/>
        <v>5909</v>
      </c>
      <c r="K241" s="49">
        <f t="shared" si="5"/>
        <v>0.3995376613</v>
      </c>
      <c r="L241" s="49">
        <f t="shared" si="6"/>
        <v>0.2130610672</v>
      </c>
      <c r="M241" s="49">
        <f t="shared" si="7"/>
        <v>0.3874012714</v>
      </c>
      <c r="N241" s="32" t="str">
        <f t="shared" si="8"/>
        <v>Jânio</v>
      </c>
      <c r="O241" s="50" t="s">
        <v>77</v>
      </c>
      <c r="P241" s="38">
        <v>1404.0</v>
      </c>
      <c r="Q241" s="38">
        <v>2233.0</v>
      </c>
      <c r="R241" s="38">
        <v>872.0</v>
      </c>
      <c r="S241" s="38">
        <v>1180.0</v>
      </c>
      <c r="T241" s="38">
        <v>220.0</v>
      </c>
      <c r="U241" s="48">
        <f t="shared" si="9"/>
        <v>4509</v>
      </c>
      <c r="V241" s="48">
        <f t="shared" si="10"/>
        <v>5909</v>
      </c>
      <c r="W241" s="49">
        <f t="shared" si="11"/>
        <v>0.3113772455</v>
      </c>
      <c r="X241" s="49">
        <f t="shared" si="12"/>
        <v>0.4952317587</v>
      </c>
      <c r="Y241" s="49">
        <f t="shared" si="13"/>
        <v>0.1933909958</v>
      </c>
      <c r="Z241" s="32" t="str">
        <f t="shared" si="14"/>
        <v>Milton</v>
      </c>
      <c r="AA241" s="50" t="s">
        <v>77</v>
      </c>
      <c r="AB241" s="38">
        <v>7523.0</v>
      </c>
      <c r="AC241" s="48">
        <f t="shared" si="19"/>
        <v>1614</v>
      </c>
      <c r="AD241" s="51">
        <f t="shared" si="20"/>
        <v>0.785457929</v>
      </c>
    </row>
    <row r="242">
      <c r="A242" s="110" t="s">
        <v>2388</v>
      </c>
      <c r="B242" s="46" t="s">
        <v>2782</v>
      </c>
      <c r="C242" s="47"/>
      <c r="D242" s="38">
        <v>3227.0</v>
      </c>
      <c r="E242" s="38">
        <v>3044.0</v>
      </c>
      <c r="F242" s="38">
        <v>628.0</v>
      </c>
      <c r="G242" s="38">
        <v>534.0</v>
      </c>
      <c r="H242" s="38">
        <v>545.0</v>
      </c>
      <c r="I242" s="48">
        <f t="shared" si="3"/>
        <v>6899</v>
      </c>
      <c r="J242" s="48">
        <f t="shared" si="4"/>
        <v>7978</v>
      </c>
      <c r="K242" s="49">
        <f t="shared" si="5"/>
        <v>0.4677489491</v>
      </c>
      <c r="L242" s="49">
        <f t="shared" si="6"/>
        <v>0.4412233657</v>
      </c>
      <c r="M242" s="49">
        <f t="shared" si="7"/>
        <v>0.09102768517</v>
      </c>
      <c r="N242" s="32" t="str">
        <f t="shared" si="8"/>
        <v>Jânio</v>
      </c>
      <c r="O242" s="50" t="s">
        <v>77</v>
      </c>
      <c r="P242" s="38">
        <v>2852.0</v>
      </c>
      <c r="Q242" s="38">
        <v>3198.0</v>
      </c>
      <c r="R242" s="38">
        <v>500.0</v>
      </c>
      <c r="S242" s="38">
        <v>1050.0</v>
      </c>
      <c r="T242" s="38">
        <v>378.0</v>
      </c>
      <c r="U242" s="48">
        <f t="shared" si="9"/>
        <v>6550</v>
      </c>
      <c r="V242" s="48">
        <f t="shared" si="10"/>
        <v>7978</v>
      </c>
      <c r="W242" s="49">
        <f t="shared" si="11"/>
        <v>0.4354198473</v>
      </c>
      <c r="X242" s="49">
        <f t="shared" si="12"/>
        <v>0.4882442748</v>
      </c>
      <c r="Y242" s="49">
        <f t="shared" si="13"/>
        <v>0.07633587786</v>
      </c>
      <c r="Z242" s="32" t="str">
        <f t="shared" si="14"/>
        <v>Milton</v>
      </c>
      <c r="AA242" s="50" t="s">
        <v>77</v>
      </c>
      <c r="AB242" s="38">
        <v>9678.0</v>
      </c>
      <c r="AC242" s="48">
        <f t="shared" si="19"/>
        <v>1700</v>
      </c>
      <c r="AD242" s="51">
        <f t="shared" si="20"/>
        <v>0.8243438727</v>
      </c>
    </row>
    <row r="243">
      <c r="A243" s="61" t="s">
        <v>2392</v>
      </c>
      <c r="B243" s="46" t="s">
        <v>2783</v>
      </c>
      <c r="C243" s="47"/>
      <c r="D243" s="38">
        <v>3756.0</v>
      </c>
      <c r="E243" s="38">
        <v>6668.0</v>
      </c>
      <c r="F243" s="38">
        <v>1583.0</v>
      </c>
      <c r="G243" s="38">
        <v>540.0</v>
      </c>
      <c r="H243" s="38">
        <v>408.0</v>
      </c>
      <c r="I243" s="48">
        <f t="shared" si="3"/>
        <v>12007</v>
      </c>
      <c r="J243" s="48">
        <f t="shared" si="4"/>
        <v>12955</v>
      </c>
      <c r="K243" s="49">
        <f t="shared" si="5"/>
        <v>0.3128175231</v>
      </c>
      <c r="L243" s="49">
        <f t="shared" si="6"/>
        <v>0.5553427167</v>
      </c>
      <c r="M243" s="49">
        <f t="shared" si="7"/>
        <v>0.1318397601</v>
      </c>
      <c r="N243" s="32" t="str">
        <f t="shared" si="8"/>
        <v>Mal. Lott</v>
      </c>
      <c r="O243" s="50" t="s">
        <v>77</v>
      </c>
      <c r="P243" s="38">
        <v>6285.0</v>
      </c>
      <c r="Q243" s="38">
        <v>3536.0</v>
      </c>
      <c r="R243" s="38">
        <v>904.0</v>
      </c>
      <c r="S243" s="38">
        <v>1784.0</v>
      </c>
      <c r="T243" s="38">
        <v>446.0</v>
      </c>
      <c r="U243" s="48">
        <f t="shared" si="9"/>
        <v>10725</v>
      </c>
      <c r="V243" s="48">
        <f t="shared" si="10"/>
        <v>12955</v>
      </c>
      <c r="W243" s="49">
        <f t="shared" si="11"/>
        <v>0.586013986</v>
      </c>
      <c r="X243" s="49">
        <f t="shared" si="12"/>
        <v>0.3296969697</v>
      </c>
      <c r="Y243" s="49">
        <f t="shared" si="13"/>
        <v>0.08428904429</v>
      </c>
      <c r="Z243" s="32" t="str">
        <f t="shared" si="14"/>
        <v>Jango</v>
      </c>
      <c r="AA243" s="50" t="s">
        <v>77</v>
      </c>
      <c r="AB243" s="38">
        <v>15439.0</v>
      </c>
      <c r="AC243" s="48">
        <f t="shared" si="19"/>
        <v>2484</v>
      </c>
      <c r="AD243" s="51">
        <f t="shared" si="20"/>
        <v>0.8391087506</v>
      </c>
    </row>
    <row r="244">
      <c r="A244" s="23"/>
      <c r="B244" s="46" t="s">
        <v>2784</v>
      </c>
      <c r="C244" s="47"/>
      <c r="D244" s="38">
        <v>772.0</v>
      </c>
      <c r="E244" s="38">
        <v>975.0</v>
      </c>
      <c r="F244" s="38">
        <v>280.0</v>
      </c>
      <c r="G244" s="38">
        <v>163.0</v>
      </c>
      <c r="H244" s="38">
        <v>171.0</v>
      </c>
      <c r="I244" s="48">
        <f t="shared" si="3"/>
        <v>2027</v>
      </c>
      <c r="J244" s="48">
        <f t="shared" si="4"/>
        <v>2361</v>
      </c>
      <c r="K244" s="49">
        <f t="shared" si="5"/>
        <v>0.3808584114</v>
      </c>
      <c r="L244" s="49">
        <f t="shared" si="6"/>
        <v>0.4810064134</v>
      </c>
      <c r="M244" s="49">
        <f t="shared" si="7"/>
        <v>0.1381351751</v>
      </c>
      <c r="N244" s="32" t="str">
        <f t="shared" si="8"/>
        <v>Mal. Lott</v>
      </c>
      <c r="O244" s="50" t="s">
        <v>77</v>
      </c>
      <c r="P244" s="38">
        <v>938.0</v>
      </c>
      <c r="Q244" s="38">
        <v>593.0</v>
      </c>
      <c r="R244" s="38">
        <v>182.0</v>
      </c>
      <c r="S244" s="38">
        <v>562.0</v>
      </c>
      <c r="T244" s="38">
        <v>86.0</v>
      </c>
      <c r="U244" s="48">
        <f t="shared" si="9"/>
        <v>1713</v>
      </c>
      <c r="V244" s="48">
        <f t="shared" si="10"/>
        <v>2361</v>
      </c>
      <c r="W244" s="49">
        <f t="shared" si="11"/>
        <v>0.5475773497</v>
      </c>
      <c r="X244" s="49">
        <f t="shared" si="12"/>
        <v>0.3461762989</v>
      </c>
      <c r="Y244" s="49">
        <f t="shared" si="13"/>
        <v>0.1062463514</v>
      </c>
      <c r="Z244" s="32" t="str">
        <f t="shared" si="14"/>
        <v>Jango</v>
      </c>
      <c r="AA244" s="50" t="s">
        <v>77</v>
      </c>
      <c r="AB244" s="38">
        <v>3709.0</v>
      </c>
      <c r="AC244" s="48">
        <f t="shared" si="19"/>
        <v>1348</v>
      </c>
      <c r="AD244" s="51">
        <f t="shared" si="20"/>
        <v>0.6365597196</v>
      </c>
    </row>
    <row r="245">
      <c r="A245" s="24"/>
      <c r="B245" s="46" t="s">
        <v>2785</v>
      </c>
      <c r="C245" s="47"/>
      <c r="D245" s="38">
        <v>527.0</v>
      </c>
      <c r="E245" s="38">
        <v>744.0</v>
      </c>
      <c r="F245" s="38">
        <v>255.0</v>
      </c>
      <c r="G245" s="38">
        <v>126.0</v>
      </c>
      <c r="H245" s="38">
        <v>122.0</v>
      </c>
      <c r="I245" s="48">
        <f t="shared" si="3"/>
        <v>1526</v>
      </c>
      <c r="J245" s="48">
        <f t="shared" si="4"/>
        <v>1774</v>
      </c>
      <c r="K245" s="49">
        <f t="shared" si="5"/>
        <v>0.3453473132</v>
      </c>
      <c r="L245" s="49">
        <f t="shared" si="6"/>
        <v>0.4875491481</v>
      </c>
      <c r="M245" s="49">
        <f t="shared" si="7"/>
        <v>0.1671035387</v>
      </c>
      <c r="N245" s="32" t="str">
        <f t="shared" si="8"/>
        <v>Mal. Lott</v>
      </c>
      <c r="O245" s="50" t="s">
        <v>77</v>
      </c>
      <c r="P245" s="38">
        <v>860.0</v>
      </c>
      <c r="Q245" s="38">
        <v>375.0</v>
      </c>
      <c r="R245" s="38">
        <v>125.0</v>
      </c>
      <c r="S245" s="38">
        <v>336.0</v>
      </c>
      <c r="T245" s="38">
        <v>78.0</v>
      </c>
      <c r="U245" s="48">
        <f t="shared" si="9"/>
        <v>1360</v>
      </c>
      <c r="V245" s="48">
        <f t="shared" si="10"/>
        <v>1774</v>
      </c>
      <c r="W245" s="49">
        <f t="shared" si="11"/>
        <v>0.6323529412</v>
      </c>
      <c r="X245" s="49">
        <f t="shared" si="12"/>
        <v>0.2757352941</v>
      </c>
      <c r="Y245" s="49">
        <f t="shared" si="13"/>
        <v>0.09191176471</v>
      </c>
      <c r="Z245" s="32" t="str">
        <f t="shared" si="14"/>
        <v>Jango</v>
      </c>
      <c r="AA245" s="50" t="s">
        <v>77</v>
      </c>
      <c r="AB245" s="38">
        <v>2201.0</v>
      </c>
      <c r="AC245" s="48">
        <f t="shared" si="19"/>
        <v>427</v>
      </c>
      <c r="AD245" s="51">
        <f t="shared" si="20"/>
        <v>0.805997274</v>
      </c>
    </row>
    <row r="246">
      <c r="A246" s="61" t="s">
        <v>2396</v>
      </c>
      <c r="B246" s="46" t="s">
        <v>2786</v>
      </c>
      <c r="C246" s="47"/>
      <c r="D246" s="38">
        <v>376.0</v>
      </c>
      <c r="E246" s="38">
        <v>596.0</v>
      </c>
      <c r="F246" s="38">
        <v>88.0</v>
      </c>
      <c r="G246" s="38">
        <v>75.0</v>
      </c>
      <c r="H246" s="38">
        <v>38.0</v>
      </c>
      <c r="I246" s="48">
        <f t="shared" si="3"/>
        <v>1060</v>
      </c>
      <c r="J246" s="48">
        <f t="shared" si="4"/>
        <v>1173</v>
      </c>
      <c r="K246" s="49">
        <f t="shared" si="5"/>
        <v>0.3547169811</v>
      </c>
      <c r="L246" s="49">
        <f t="shared" si="6"/>
        <v>0.5622641509</v>
      </c>
      <c r="M246" s="49">
        <f t="shared" si="7"/>
        <v>0.08301886792</v>
      </c>
      <c r="N246" s="32" t="str">
        <f t="shared" si="8"/>
        <v>Mal. Lott</v>
      </c>
      <c r="O246" s="50" t="s">
        <v>77</v>
      </c>
      <c r="P246" s="38">
        <v>570.0</v>
      </c>
      <c r="Q246" s="38">
        <v>361.0</v>
      </c>
      <c r="R246" s="38">
        <v>56.0</v>
      </c>
      <c r="S246" s="38">
        <v>159.0</v>
      </c>
      <c r="T246" s="38">
        <v>27.0</v>
      </c>
      <c r="U246" s="48">
        <f t="shared" si="9"/>
        <v>987</v>
      </c>
      <c r="V246" s="48">
        <f t="shared" si="10"/>
        <v>1173</v>
      </c>
      <c r="W246" s="49">
        <f t="shared" si="11"/>
        <v>0.5775075988</v>
      </c>
      <c r="X246" s="49">
        <f t="shared" si="12"/>
        <v>0.3657548126</v>
      </c>
      <c r="Y246" s="49">
        <f t="shared" si="13"/>
        <v>0.05673758865</v>
      </c>
      <c r="Z246" s="32" t="str">
        <f t="shared" si="14"/>
        <v>Jango</v>
      </c>
      <c r="AA246" s="50" t="s">
        <v>77</v>
      </c>
      <c r="AB246" s="38">
        <v>1335.0</v>
      </c>
      <c r="AC246" s="48">
        <f t="shared" si="19"/>
        <v>162</v>
      </c>
      <c r="AD246" s="51">
        <f t="shared" si="20"/>
        <v>0.8786516854</v>
      </c>
    </row>
    <row r="247">
      <c r="A247" s="24"/>
      <c r="B247" s="46" t="s">
        <v>2787</v>
      </c>
      <c r="C247" s="47"/>
      <c r="D247" s="38">
        <v>234.0</v>
      </c>
      <c r="E247" s="38">
        <v>284.0</v>
      </c>
      <c r="F247" s="38">
        <v>36.0</v>
      </c>
      <c r="G247" s="38">
        <v>40.0</v>
      </c>
      <c r="H247" s="38">
        <v>21.0</v>
      </c>
      <c r="I247" s="48">
        <f t="shared" si="3"/>
        <v>554</v>
      </c>
      <c r="J247" s="48">
        <f t="shared" si="4"/>
        <v>615</v>
      </c>
      <c r="K247" s="49">
        <f t="shared" si="5"/>
        <v>0.4223826715</v>
      </c>
      <c r="L247" s="49">
        <f t="shared" si="6"/>
        <v>0.5126353791</v>
      </c>
      <c r="M247" s="49">
        <f t="shared" si="7"/>
        <v>0.06498194946</v>
      </c>
      <c r="N247" s="32" t="str">
        <f t="shared" si="8"/>
        <v>Mal. Lott</v>
      </c>
      <c r="O247" s="50" t="s">
        <v>77</v>
      </c>
      <c r="P247" s="38">
        <v>267.0</v>
      </c>
      <c r="Q247" s="38">
        <v>223.0</v>
      </c>
      <c r="R247" s="38">
        <v>17.0</v>
      </c>
      <c r="S247" s="38">
        <v>103.0</v>
      </c>
      <c r="T247" s="38">
        <v>5.0</v>
      </c>
      <c r="U247" s="48">
        <f t="shared" si="9"/>
        <v>507</v>
      </c>
      <c r="V247" s="48">
        <f t="shared" si="10"/>
        <v>615</v>
      </c>
      <c r="W247" s="49">
        <f t="shared" si="11"/>
        <v>0.5266272189</v>
      </c>
      <c r="X247" s="49">
        <f t="shared" si="12"/>
        <v>0.4398422091</v>
      </c>
      <c r="Y247" s="49">
        <f t="shared" si="13"/>
        <v>0.03353057199</v>
      </c>
      <c r="Z247" s="32" t="str">
        <f t="shared" si="14"/>
        <v>Jango</v>
      </c>
      <c r="AA247" s="50" t="s">
        <v>77</v>
      </c>
      <c r="AB247" s="38">
        <v>868.0</v>
      </c>
      <c r="AC247" s="48">
        <f t="shared" si="19"/>
        <v>253</v>
      </c>
      <c r="AD247" s="51">
        <f t="shared" si="20"/>
        <v>0.7085253456</v>
      </c>
    </row>
    <row r="248">
      <c r="A248" s="110" t="s">
        <v>2400</v>
      </c>
      <c r="B248" s="46" t="s">
        <v>2788</v>
      </c>
      <c r="C248" s="47"/>
      <c r="D248" s="38">
        <v>1252.0</v>
      </c>
      <c r="E248" s="38">
        <v>1284.0</v>
      </c>
      <c r="F248" s="38">
        <v>243.0</v>
      </c>
      <c r="G248" s="38">
        <v>299.0</v>
      </c>
      <c r="H248" s="38">
        <v>255.0</v>
      </c>
      <c r="I248" s="48">
        <f t="shared" si="3"/>
        <v>2779</v>
      </c>
      <c r="J248" s="48">
        <f t="shared" si="4"/>
        <v>3333</v>
      </c>
      <c r="K248" s="49">
        <f t="shared" si="5"/>
        <v>0.4505217704</v>
      </c>
      <c r="L248" s="49">
        <f t="shared" si="6"/>
        <v>0.4620367039</v>
      </c>
      <c r="M248" s="49">
        <f t="shared" si="7"/>
        <v>0.08744152573</v>
      </c>
      <c r="N248" s="32" t="str">
        <f t="shared" si="8"/>
        <v>Mal. Lott</v>
      </c>
      <c r="O248" s="50" t="s">
        <v>77</v>
      </c>
      <c r="P248" s="38">
        <v>1298.0</v>
      </c>
      <c r="Q248" s="38">
        <v>1076.0</v>
      </c>
      <c r="R248" s="38">
        <v>232.0</v>
      </c>
      <c r="S248" s="38">
        <v>502.0</v>
      </c>
      <c r="T248" s="38">
        <v>225.0</v>
      </c>
      <c r="U248" s="48">
        <f t="shared" si="9"/>
        <v>2606</v>
      </c>
      <c r="V248" s="48">
        <f t="shared" si="10"/>
        <v>3333</v>
      </c>
      <c r="W248" s="49">
        <f t="shared" si="11"/>
        <v>0.4980813507</v>
      </c>
      <c r="X248" s="49">
        <f t="shared" si="12"/>
        <v>0.4128933231</v>
      </c>
      <c r="Y248" s="49">
        <f t="shared" si="13"/>
        <v>0.08902532617</v>
      </c>
      <c r="Z248" s="32" t="str">
        <f t="shared" si="14"/>
        <v>Jango</v>
      </c>
      <c r="AA248" s="50" t="s">
        <v>77</v>
      </c>
      <c r="AB248" s="38">
        <v>4157.0</v>
      </c>
      <c r="AC248" s="48">
        <f t="shared" si="19"/>
        <v>824</v>
      </c>
      <c r="AD248" s="51">
        <f t="shared" si="20"/>
        <v>0.8017801299</v>
      </c>
    </row>
    <row r="249">
      <c r="A249" s="61" t="s">
        <v>2403</v>
      </c>
      <c r="B249" s="46" t="s">
        <v>2789</v>
      </c>
      <c r="C249" s="47"/>
      <c r="D249" s="38">
        <v>622.0</v>
      </c>
      <c r="E249" s="38">
        <v>1340.0</v>
      </c>
      <c r="F249" s="38">
        <v>179.0</v>
      </c>
      <c r="G249" s="38">
        <v>140.0</v>
      </c>
      <c r="H249" s="38">
        <v>106.0</v>
      </c>
      <c r="I249" s="48">
        <f t="shared" si="3"/>
        <v>2141</v>
      </c>
      <c r="J249" s="48">
        <f t="shared" si="4"/>
        <v>2387</v>
      </c>
      <c r="K249" s="49">
        <f t="shared" si="5"/>
        <v>0.2905184493</v>
      </c>
      <c r="L249" s="49">
        <f t="shared" si="6"/>
        <v>0.625875759</v>
      </c>
      <c r="M249" s="49">
        <f t="shared" si="7"/>
        <v>0.08360579169</v>
      </c>
      <c r="N249" s="32" t="str">
        <f t="shared" si="8"/>
        <v>Mal. Lott</v>
      </c>
      <c r="O249" s="50" t="s">
        <v>77</v>
      </c>
      <c r="P249" s="38">
        <v>1177.0</v>
      </c>
      <c r="Q249" s="38">
        <v>733.0</v>
      </c>
      <c r="R249" s="38">
        <v>130.0</v>
      </c>
      <c r="S249" s="38">
        <v>290.0</v>
      </c>
      <c r="T249" s="38">
        <v>57.0</v>
      </c>
      <c r="U249" s="48">
        <f t="shared" si="9"/>
        <v>2040</v>
      </c>
      <c r="V249" s="48">
        <f t="shared" si="10"/>
        <v>2387</v>
      </c>
      <c r="W249" s="49">
        <f t="shared" si="11"/>
        <v>0.5769607843</v>
      </c>
      <c r="X249" s="49">
        <f t="shared" si="12"/>
        <v>0.3593137255</v>
      </c>
      <c r="Y249" s="49">
        <f t="shared" si="13"/>
        <v>0.0637254902</v>
      </c>
      <c r="Z249" s="32" t="str">
        <f t="shared" si="14"/>
        <v>Jango</v>
      </c>
      <c r="AA249" s="50" t="s">
        <v>77</v>
      </c>
      <c r="AB249" s="38">
        <v>4600.0</v>
      </c>
      <c r="AC249" s="48">
        <f t="shared" si="19"/>
        <v>2213</v>
      </c>
      <c r="AD249" s="51">
        <f t="shared" si="20"/>
        <v>0.5189130435</v>
      </c>
    </row>
    <row r="250">
      <c r="A250" s="23"/>
      <c r="B250" s="46" t="s">
        <v>2790</v>
      </c>
      <c r="C250" s="47"/>
      <c r="D250" s="38">
        <v>719.0</v>
      </c>
      <c r="E250" s="38">
        <v>296.0</v>
      </c>
      <c r="F250" s="38">
        <v>86.0</v>
      </c>
      <c r="G250" s="38">
        <v>73.0</v>
      </c>
      <c r="H250" s="38">
        <v>94.0</v>
      </c>
      <c r="I250" s="48">
        <f t="shared" si="3"/>
        <v>1101</v>
      </c>
      <c r="J250" s="48">
        <f t="shared" si="4"/>
        <v>1268</v>
      </c>
      <c r="K250" s="49">
        <f t="shared" si="5"/>
        <v>0.6530426885</v>
      </c>
      <c r="L250" s="49">
        <f t="shared" si="6"/>
        <v>0.2688465032</v>
      </c>
      <c r="M250" s="49">
        <f t="shared" si="7"/>
        <v>0.07811080836</v>
      </c>
      <c r="N250" s="32" t="str">
        <f t="shared" si="8"/>
        <v>Jânio</v>
      </c>
      <c r="O250" s="50" t="s">
        <v>77</v>
      </c>
      <c r="P250" s="38">
        <v>355.0</v>
      </c>
      <c r="Q250" s="38">
        <v>582.0</v>
      </c>
      <c r="R250" s="38">
        <v>71.0</v>
      </c>
      <c r="S250" s="38">
        <v>221.0</v>
      </c>
      <c r="T250" s="38">
        <v>39.0</v>
      </c>
      <c r="U250" s="48">
        <f t="shared" si="9"/>
        <v>1008</v>
      </c>
      <c r="V250" s="48">
        <f t="shared" si="10"/>
        <v>1268</v>
      </c>
      <c r="W250" s="49">
        <f t="shared" si="11"/>
        <v>0.3521825397</v>
      </c>
      <c r="X250" s="49">
        <f t="shared" si="12"/>
        <v>0.5773809524</v>
      </c>
      <c r="Y250" s="49">
        <f t="shared" si="13"/>
        <v>0.07043650794</v>
      </c>
      <c r="Z250" s="32" t="str">
        <f t="shared" si="14"/>
        <v>Milton</v>
      </c>
      <c r="AA250" s="50" t="s">
        <v>77</v>
      </c>
      <c r="AB250" s="38">
        <v>2807.0</v>
      </c>
      <c r="AC250" s="48">
        <f t="shared" si="19"/>
        <v>1539</v>
      </c>
      <c r="AD250" s="51">
        <f t="shared" si="20"/>
        <v>0.4517278233</v>
      </c>
    </row>
    <row r="251">
      <c r="A251" s="24"/>
      <c r="B251" s="46" t="s">
        <v>2791</v>
      </c>
      <c r="C251" s="47"/>
      <c r="D251" s="38">
        <v>243.0</v>
      </c>
      <c r="E251" s="38">
        <v>543.0</v>
      </c>
      <c r="F251" s="38">
        <v>173.0</v>
      </c>
      <c r="G251" s="38">
        <v>66.0</v>
      </c>
      <c r="H251" s="38">
        <v>71.0</v>
      </c>
      <c r="I251" s="48">
        <f t="shared" si="3"/>
        <v>959</v>
      </c>
      <c r="J251" s="48">
        <f t="shared" si="4"/>
        <v>1096</v>
      </c>
      <c r="K251" s="49">
        <f t="shared" si="5"/>
        <v>0.2533889468</v>
      </c>
      <c r="L251" s="49">
        <f t="shared" si="6"/>
        <v>0.5662148071</v>
      </c>
      <c r="M251" s="49">
        <f t="shared" si="7"/>
        <v>0.1803962461</v>
      </c>
      <c r="N251" s="32" t="str">
        <f t="shared" si="8"/>
        <v>Mal. Lott</v>
      </c>
      <c r="O251" s="50" t="s">
        <v>77</v>
      </c>
      <c r="P251" s="38">
        <v>639.0</v>
      </c>
      <c r="Q251" s="38">
        <v>208.0</v>
      </c>
      <c r="R251" s="38">
        <v>57.0</v>
      </c>
      <c r="S251" s="38">
        <v>142.0</v>
      </c>
      <c r="T251" s="38">
        <v>50.0</v>
      </c>
      <c r="U251" s="48">
        <f t="shared" si="9"/>
        <v>904</v>
      </c>
      <c r="V251" s="48">
        <f t="shared" si="10"/>
        <v>1096</v>
      </c>
      <c r="W251" s="49">
        <f t="shared" si="11"/>
        <v>0.7068584071</v>
      </c>
      <c r="X251" s="49">
        <f t="shared" si="12"/>
        <v>0.2300884956</v>
      </c>
      <c r="Y251" s="49">
        <f t="shared" si="13"/>
        <v>0.06305309735</v>
      </c>
      <c r="Z251" s="32" t="str">
        <f t="shared" si="14"/>
        <v>Jango</v>
      </c>
      <c r="AA251" s="50" t="s">
        <v>77</v>
      </c>
      <c r="AB251" s="38">
        <v>2282.0</v>
      </c>
      <c r="AC251" s="48">
        <f t="shared" si="19"/>
        <v>1186</v>
      </c>
      <c r="AD251" s="51">
        <f t="shared" si="20"/>
        <v>0.4802804557</v>
      </c>
    </row>
    <row r="252">
      <c r="A252" s="61" t="s">
        <v>2406</v>
      </c>
      <c r="B252" s="46" t="s">
        <v>2792</v>
      </c>
      <c r="C252" s="47"/>
      <c r="D252" s="38">
        <v>713.0</v>
      </c>
      <c r="E252" s="38">
        <v>703.0</v>
      </c>
      <c r="F252" s="38">
        <v>70.0</v>
      </c>
      <c r="G252" s="38">
        <v>103.0</v>
      </c>
      <c r="H252" s="38">
        <v>111.0</v>
      </c>
      <c r="I252" s="48">
        <f t="shared" si="3"/>
        <v>1486</v>
      </c>
      <c r="J252" s="48">
        <f t="shared" si="4"/>
        <v>1700</v>
      </c>
      <c r="K252" s="49">
        <f t="shared" si="5"/>
        <v>0.4798115747</v>
      </c>
      <c r="L252" s="49">
        <f t="shared" si="6"/>
        <v>0.4730820996</v>
      </c>
      <c r="M252" s="49">
        <f t="shared" si="7"/>
        <v>0.04710632571</v>
      </c>
      <c r="N252" s="32" t="str">
        <f t="shared" si="8"/>
        <v>Jânio</v>
      </c>
      <c r="O252" s="50" t="s">
        <v>77</v>
      </c>
      <c r="P252" s="38">
        <v>672.0</v>
      </c>
      <c r="Q252" s="38">
        <v>595.0</v>
      </c>
      <c r="R252" s="38">
        <v>76.0</v>
      </c>
      <c r="S252" s="38">
        <v>322.0</v>
      </c>
      <c r="T252" s="38">
        <v>35.0</v>
      </c>
      <c r="U252" s="48">
        <f t="shared" si="9"/>
        <v>1343</v>
      </c>
      <c r="V252" s="48">
        <f t="shared" si="10"/>
        <v>1700</v>
      </c>
      <c r="W252" s="49">
        <f t="shared" si="11"/>
        <v>0.5003723008</v>
      </c>
      <c r="X252" s="49">
        <f t="shared" si="12"/>
        <v>0.4430379747</v>
      </c>
      <c r="Y252" s="49">
        <f t="shared" si="13"/>
        <v>0.0565897245</v>
      </c>
      <c r="Z252" s="32" t="str">
        <f t="shared" si="14"/>
        <v>Jango</v>
      </c>
      <c r="AA252" s="50" t="s">
        <v>77</v>
      </c>
      <c r="AB252" s="38">
        <v>1924.0</v>
      </c>
      <c r="AC252" s="48">
        <f t="shared" si="19"/>
        <v>224</v>
      </c>
      <c r="AD252" s="51">
        <f t="shared" si="20"/>
        <v>0.8835758836</v>
      </c>
    </row>
    <row r="253">
      <c r="A253" s="24"/>
      <c r="B253" s="46" t="s">
        <v>2793</v>
      </c>
      <c r="C253" s="47"/>
      <c r="D253" s="38">
        <v>696.0</v>
      </c>
      <c r="E253" s="38">
        <v>394.0</v>
      </c>
      <c r="F253" s="38">
        <v>56.0</v>
      </c>
      <c r="G253" s="38">
        <v>44.0</v>
      </c>
      <c r="H253" s="38">
        <v>30.0</v>
      </c>
      <c r="I253" s="48">
        <f t="shared" si="3"/>
        <v>1146</v>
      </c>
      <c r="J253" s="48">
        <f t="shared" si="4"/>
        <v>1220</v>
      </c>
      <c r="K253" s="49">
        <f t="shared" si="5"/>
        <v>0.6073298429</v>
      </c>
      <c r="L253" s="49">
        <f t="shared" si="6"/>
        <v>0.3438045375</v>
      </c>
      <c r="M253" s="49">
        <f t="shared" si="7"/>
        <v>0.04886561955</v>
      </c>
      <c r="N253" s="32" t="str">
        <f t="shared" si="8"/>
        <v>Jânio</v>
      </c>
      <c r="O253" s="50" t="s">
        <v>77</v>
      </c>
      <c r="P253" s="38">
        <v>370.0</v>
      </c>
      <c r="Q253" s="38">
        <v>668.0</v>
      </c>
      <c r="R253" s="38">
        <v>44.0</v>
      </c>
      <c r="S253" s="38">
        <v>124.0</v>
      </c>
      <c r="T253" s="38">
        <v>14.0</v>
      </c>
      <c r="U253" s="48">
        <f t="shared" si="9"/>
        <v>1082</v>
      </c>
      <c r="V253" s="48">
        <f t="shared" si="10"/>
        <v>1220</v>
      </c>
      <c r="W253" s="49">
        <f t="shared" si="11"/>
        <v>0.3419593346</v>
      </c>
      <c r="X253" s="49">
        <f t="shared" si="12"/>
        <v>0.6173752311</v>
      </c>
      <c r="Y253" s="49">
        <f t="shared" si="13"/>
        <v>0.04066543438</v>
      </c>
      <c r="Z253" s="32" t="str">
        <f t="shared" si="14"/>
        <v>Milton</v>
      </c>
      <c r="AA253" s="50" t="s">
        <v>77</v>
      </c>
      <c r="AB253" s="38">
        <v>1400.0</v>
      </c>
      <c r="AC253" s="48">
        <f t="shared" si="19"/>
        <v>180</v>
      </c>
      <c r="AD253" s="51">
        <f t="shared" si="20"/>
        <v>0.8714285714</v>
      </c>
    </row>
    <row r="254">
      <c r="A254" s="110" t="s">
        <v>2410</v>
      </c>
      <c r="B254" s="46" t="s">
        <v>2794</v>
      </c>
      <c r="C254" s="47"/>
      <c r="D254" s="38">
        <v>1303.0</v>
      </c>
      <c r="E254" s="38">
        <v>858.0</v>
      </c>
      <c r="F254" s="38">
        <v>140.0</v>
      </c>
      <c r="G254" s="38">
        <v>119.0</v>
      </c>
      <c r="H254" s="38">
        <v>63.0</v>
      </c>
      <c r="I254" s="48">
        <f t="shared" si="3"/>
        <v>2301</v>
      </c>
      <c r="J254" s="48">
        <f t="shared" si="4"/>
        <v>2483</v>
      </c>
      <c r="K254" s="49">
        <f t="shared" si="5"/>
        <v>0.5662755324</v>
      </c>
      <c r="L254" s="49">
        <f t="shared" si="6"/>
        <v>0.3728813559</v>
      </c>
      <c r="M254" s="49">
        <f t="shared" si="7"/>
        <v>0.06084311169</v>
      </c>
      <c r="N254" s="32" t="str">
        <f t="shared" si="8"/>
        <v>Jânio</v>
      </c>
      <c r="O254" s="50" t="s">
        <v>77</v>
      </c>
      <c r="P254" s="38">
        <v>849.0</v>
      </c>
      <c r="Q254" s="38">
        <v>1115.0</v>
      </c>
      <c r="R254" s="38">
        <v>132.0</v>
      </c>
      <c r="S254" s="38">
        <v>350.0</v>
      </c>
      <c r="T254" s="38">
        <v>37.0</v>
      </c>
      <c r="U254" s="48">
        <f t="shared" si="9"/>
        <v>2096</v>
      </c>
      <c r="V254" s="48">
        <f t="shared" si="10"/>
        <v>2483</v>
      </c>
      <c r="W254" s="49">
        <f t="shared" si="11"/>
        <v>0.4050572519</v>
      </c>
      <c r="X254" s="49">
        <f t="shared" si="12"/>
        <v>0.5319656489</v>
      </c>
      <c r="Y254" s="49">
        <f t="shared" si="13"/>
        <v>0.06297709924</v>
      </c>
      <c r="Z254" s="32" t="str">
        <f t="shared" si="14"/>
        <v>Milton</v>
      </c>
      <c r="AA254" s="50" t="s">
        <v>77</v>
      </c>
      <c r="AB254" s="38">
        <v>2951.0</v>
      </c>
      <c r="AC254" s="48">
        <f t="shared" si="19"/>
        <v>468</v>
      </c>
      <c r="AD254" s="51">
        <f t="shared" si="20"/>
        <v>0.8414096916</v>
      </c>
    </row>
    <row r="255">
      <c r="A255" s="110" t="s">
        <v>2416</v>
      </c>
      <c r="B255" s="46" t="s">
        <v>2795</v>
      </c>
      <c r="C255" s="47"/>
      <c r="D255" s="38">
        <v>2135.0</v>
      </c>
      <c r="E255" s="38">
        <v>1944.0</v>
      </c>
      <c r="F255" s="55">
        <v>454.0</v>
      </c>
      <c r="G255" s="38">
        <v>216.0</v>
      </c>
      <c r="H255" s="38">
        <v>340.0</v>
      </c>
      <c r="I255" s="48">
        <f t="shared" si="3"/>
        <v>4533</v>
      </c>
      <c r="J255" s="114">
        <f t="shared" si="4"/>
        <v>5089</v>
      </c>
      <c r="K255" s="49">
        <f t="shared" si="5"/>
        <v>0.470990514</v>
      </c>
      <c r="L255" s="49">
        <f t="shared" si="6"/>
        <v>0.4288550629</v>
      </c>
      <c r="M255" s="49">
        <f t="shared" si="7"/>
        <v>0.1001544231</v>
      </c>
      <c r="N255" s="32" t="str">
        <f t="shared" si="8"/>
        <v>Jânio</v>
      </c>
      <c r="O255" s="50" t="s">
        <v>77</v>
      </c>
      <c r="P255" s="38">
        <v>2161.0</v>
      </c>
      <c r="Q255" s="38">
        <v>1750.0</v>
      </c>
      <c r="R255" s="38">
        <v>423.0</v>
      </c>
      <c r="S255" s="38">
        <v>540.0</v>
      </c>
      <c r="T255" s="38">
        <v>215.0</v>
      </c>
      <c r="U255" s="48">
        <f t="shared" si="9"/>
        <v>4334</v>
      </c>
      <c r="V255" s="48">
        <f t="shared" si="10"/>
        <v>5089</v>
      </c>
      <c r="W255" s="49">
        <f t="shared" si="11"/>
        <v>0.4986155976</v>
      </c>
      <c r="X255" s="49">
        <f t="shared" si="12"/>
        <v>0.4037840332</v>
      </c>
      <c r="Y255" s="49">
        <f t="shared" si="13"/>
        <v>0.09760036917</v>
      </c>
      <c r="Z255" s="32" t="str">
        <f t="shared" si="14"/>
        <v>Jango</v>
      </c>
      <c r="AA255" s="50" t="s">
        <v>77</v>
      </c>
      <c r="AB255" s="38">
        <v>8441.0</v>
      </c>
      <c r="AC255" s="48">
        <f t="shared" si="19"/>
        <v>3352</v>
      </c>
      <c r="AD255" s="51">
        <f t="shared" si="20"/>
        <v>0.6028906528</v>
      </c>
    </row>
    <row r="256">
      <c r="A256" s="110" t="s">
        <v>2420</v>
      </c>
      <c r="B256" s="46" t="s">
        <v>2796</v>
      </c>
      <c r="C256" s="47"/>
      <c r="D256" s="38">
        <v>770.0</v>
      </c>
      <c r="E256" s="38">
        <v>1267.0</v>
      </c>
      <c r="F256" s="38">
        <v>343.0</v>
      </c>
      <c r="G256" s="38">
        <v>264.0</v>
      </c>
      <c r="H256" s="38">
        <v>236.0</v>
      </c>
      <c r="I256" s="48">
        <f t="shared" si="3"/>
        <v>2380</v>
      </c>
      <c r="J256" s="48">
        <f t="shared" si="4"/>
        <v>2880</v>
      </c>
      <c r="K256" s="49">
        <f t="shared" si="5"/>
        <v>0.3235294118</v>
      </c>
      <c r="L256" s="49">
        <f t="shared" si="6"/>
        <v>0.5323529412</v>
      </c>
      <c r="M256" s="49">
        <f t="shared" si="7"/>
        <v>0.1441176471</v>
      </c>
      <c r="N256" s="32" t="str">
        <f t="shared" si="8"/>
        <v>Mal. Lott</v>
      </c>
      <c r="O256" s="50" t="s">
        <v>77</v>
      </c>
      <c r="P256" s="38">
        <v>1136.0</v>
      </c>
      <c r="Q256" s="38">
        <v>979.0</v>
      </c>
      <c r="R256" s="38">
        <v>185.0</v>
      </c>
      <c r="S256" s="38">
        <v>428.0</v>
      </c>
      <c r="T256" s="38">
        <v>152.0</v>
      </c>
      <c r="U256" s="48">
        <f t="shared" si="9"/>
        <v>2300</v>
      </c>
      <c r="V256" s="48">
        <f t="shared" si="10"/>
        <v>2880</v>
      </c>
      <c r="W256" s="49">
        <f t="shared" si="11"/>
        <v>0.4939130435</v>
      </c>
      <c r="X256" s="49">
        <f t="shared" si="12"/>
        <v>0.4256521739</v>
      </c>
      <c r="Y256" s="49">
        <f t="shared" si="13"/>
        <v>0.08043478261</v>
      </c>
      <c r="Z256" s="32" t="str">
        <f t="shared" si="14"/>
        <v>Jango</v>
      </c>
      <c r="AA256" s="50" t="s">
        <v>77</v>
      </c>
      <c r="AB256" s="38">
        <v>3891.0</v>
      </c>
      <c r="AC256" s="48">
        <f t="shared" si="19"/>
        <v>1011</v>
      </c>
      <c r="AD256" s="51">
        <f t="shared" si="20"/>
        <v>0.7401696222</v>
      </c>
    </row>
    <row r="257">
      <c r="A257" s="61" t="s">
        <v>2424</v>
      </c>
      <c r="B257" s="46" t="s">
        <v>2797</v>
      </c>
      <c r="C257" s="47"/>
      <c r="D257" s="38">
        <v>1237.0</v>
      </c>
      <c r="E257" s="38">
        <v>833.0</v>
      </c>
      <c r="F257" s="38">
        <v>93.0</v>
      </c>
      <c r="G257" s="38">
        <v>73.0</v>
      </c>
      <c r="H257" s="38">
        <v>102.0</v>
      </c>
      <c r="I257" s="48">
        <f t="shared" si="3"/>
        <v>2163</v>
      </c>
      <c r="J257" s="48">
        <f t="shared" si="4"/>
        <v>2338</v>
      </c>
      <c r="K257" s="49">
        <f t="shared" si="5"/>
        <v>0.5718908923</v>
      </c>
      <c r="L257" s="49">
        <f t="shared" si="6"/>
        <v>0.3851132686</v>
      </c>
      <c r="M257" s="49">
        <f t="shared" si="7"/>
        <v>0.04299583911</v>
      </c>
      <c r="N257" s="32" t="str">
        <f t="shared" si="8"/>
        <v>Jânio</v>
      </c>
      <c r="O257" s="50" t="s">
        <v>77</v>
      </c>
      <c r="P257" s="38">
        <v>874.0</v>
      </c>
      <c r="Q257" s="38">
        <v>1169.0</v>
      </c>
      <c r="R257" s="38">
        <v>98.0</v>
      </c>
      <c r="S257" s="38">
        <v>155.0</v>
      </c>
      <c r="T257" s="38">
        <v>42.0</v>
      </c>
      <c r="U257" s="48">
        <f t="shared" si="9"/>
        <v>2141</v>
      </c>
      <c r="V257" s="48">
        <f t="shared" si="10"/>
        <v>2338</v>
      </c>
      <c r="W257" s="49">
        <f t="shared" si="11"/>
        <v>0.4082204577</v>
      </c>
      <c r="X257" s="49">
        <f t="shared" si="12"/>
        <v>0.546006539</v>
      </c>
      <c r="Y257" s="49">
        <f t="shared" si="13"/>
        <v>0.04577300327</v>
      </c>
      <c r="Z257" s="32" t="str">
        <f t="shared" si="14"/>
        <v>Milton</v>
      </c>
      <c r="AA257" s="50" t="s">
        <v>77</v>
      </c>
      <c r="AB257" s="38">
        <v>3533.0</v>
      </c>
      <c r="AC257" s="48">
        <f t="shared" si="19"/>
        <v>1195</v>
      </c>
      <c r="AD257" s="51">
        <f t="shared" si="20"/>
        <v>0.6617605434</v>
      </c>
    </row>
    <row r="258">
      <c r="A258" s="24"/>
      <c r="B258" s="46" t="s">
        <v>2798</v>
      </c>
      <c r="C258" s="47"/>
      <c r="D258" s="38">
        <v>523.0</v>
      </c>
      <c r="E258" s="38">
        <v>488.0</v>
      </c>
      <c r="F258" s="38">
        <v>98.0</v>
      </c>
      <c r="G258" s="38">
        <v>84.0</v>
      </c>
      <c r="H258" s="38">
        <v>71.0</v>
      </c>
      <c r="I258" s="48">
        <f t="shared" si="3"/>
        <v>1109</v>
      </c>
      <c r="J258" s="48">
        <f t="shared" si="4"/>
        <v>1264</v>
      </c>
      <c r="K258" s="49">
        <f t="shared" si="5"/>
        <v>0.4715960325</v>
      </c>
      <c r="L258" s="49">
        <f t="shared" si="6"/>
        <v>0.4400360685</v>
      </c>
      <c r="M258" s="49">
        <f t="shared" si="7"/>
        <v>0.08836789901</v>
      </c>
      <c r="N258" s="32" t="str">
        <f t="shared" si="8"/>
        <v>Jânio</v>
      </c>
      <c r="O258" s="50" t="s">
        <v>77</v>
      </c>
      <c r="P258" s="38">
        <v>551.0</v>
      </c>
      <c r="Q258" s="38">
        <v>454.0</v>
      </c>
      <c r="R258" s="38">
        <v>48.0</v>
      </c>
      <c r="S258" s="38">
        <v>175.0</v>
      </c>
      <c r="T258" s="38">
        <v>36.0</v>
      </c>
      <c r="U258" s="48">
        <f t="shared" si="9"/>
        <v>1053</v>
      </c>
      <c r="V258" s="48">
        <f t="shared" si="10"/>
        <v>1264</v>
      </c>
      <c r="W258" s="49">
        <f t="shared" si="11"/>
        <v>0.5232668566</v>
      </c>
      <c r="X258" s="49">
        <f t="shared" si="12"/>
        <v>0.4311490978</v>
      </c>
      <c r="Y258" s="49">
        <f t="shared" si="13"/>
        <v>0.04558404558</v>
      </c>
      <c r="Z258" s="32" t="str">
        <f t="shared" si="14"/>
        <v>Jango</v>
      </c>
      <c r="AA258" s="50" t="s">
        <v>77</v>
      </c>
      <c r="AB258" s="38">
        <v>1712.0</v>
      </c>
      <c r="AC258" s="48">
        <f t="shared" si="19"/>
        <v>448</v>
      </c>
      <c r="AD258" s="51">
        <f t="shared" si="20"/>
        <v>0.738317757</v>
      </c>
    </row>
    <row r="259">
      <c r="A259" s="110" t="s">
        <v>2429</v>
      </c>
      <c r="B259" s="46" t="s">
        <v>2799</v>
      </c>
      <c r="C259" s="47"/>
      <c r="D259" s="38">
        <v>1260.0</v>
      </c>
      <c r="E259" s="38">
        <v>1083.0</v>
      </c>
      <c r="F259" s="38">
        <v>185.0</v>
      </c>
      <c r="G259" s="38">
        <v>196.0</v>
      </c>
      <c r="H259" s="38">
        <v>158.0</v>
      </c>
      <c r="I259" s="48">
        <f t="shared" si="3"/>
        <v>2528</v>
      </c>
      <c r="J259" s="48">
        <f t="shared" si="4"/>
        <v>2882</v>
      </c>
      <c r="K259" s="49">
        <f t="shared" si="5"/>
        <v>0.4984177215</v>
      </c>
      <c r="L259" s="49">
        <f t="shared" si="6"/>
        <v>0.4284018987</v>
      </c>
      <c r="M259" s="49">
        <f t="shared" si="7"/>
        <v>0.07318037975</v>
      </c>
      <c r="N259" s="32" t="str">
        <f t="shared" si="8"/>
        <v>Jânio</v>
      </c>
      <c r="O259" s="50" t="s">
        <v>77</v>
      </c>
      <c r="P259" s="38">
        <v>1156.0</v>
      </c>
      <c r="Q259" s="38">
        <v>1147.0</v>
      </c>
      <c r="R259" s="38">
        <v>120.0</v>
      </c>
      <c r="S259" s="38">
        <v>379.0</v>
      </c>
      <c r="T259" s="38">
        <v>80.0</v>
      </c>
      <c r="U259" s="48">
        <f t="shared" si="9"/>
        <v>2423</v>
      </c>
      <c r="V259" s="48">
        <f t="shared" si="10"/>
        <v>2882</v>
      </c>
      <c r="W259" s="49">
        <f t="shared" si="11"/>
        <v>0.4770945109</v>
      </c>
      <c r="X259" s="49">
        <f t="shared" si="12"/>
        <v>0.4733801073</v>
      </c>
      <c r="Y259" s="49">
        <f t="shared" si="13"/>
        <v>0.04952538176</v>
      </c>
      <c r="Z259" s="32" t="str">
        <f t="shared" si="14"/>
        <v>Jango</v>
      </c>
      <c r="AA259" s="50" t="s">
        <v>77</v>
      </c>
      <c r="AB259" s="38">
        <v>3827.0</v>
      </c>
      <c r="AC259" s="48">
        <f t="shared" si="19"/>
        <v>945</v>
      </c>
      <c r="AD259" s="51">
        <f t="shared" si="20"/>
        <v>0.75307029</v>
      </c>
    </row>
    <row r="260">
      <c r="A260" s="86" t="s">
        <v>2800</v>
      </c>
      <c r="B260" s="123" t="s">
        <v>2801</v>
      </c>
      <c r="C260" s="124"/>
      <c r="D260" s="88">
        <v>20377.0</v>
      </c>
      <c r="E260" s="88">
        <v>22884.0</v>
      </c>
      <c r="F260" s="88">
        <v>8813.0</v>
      </c>
      <c r="G260" s="88">
        <v>1169.0</v>
      </c>
      <c r="H260" s="88">
        <v>1279.0</v>
      </c>
      <c r="I260" s="89">
        <f t="shared" si="3"/>
        <v>52074</v>
      </c>
      <c r="J260" s="89">
        <f t="shared" si="4"/>
        <v>54522</v>
      </c>
      <c r="K260" s="90">
        <f t="shared" si="5"/>
        <v>0.3913085225</v>
      </c>
      <c r="L260" s="90">
        <f t="shared" si="6"/>
        <v>0.4394515497</v>
      </c>
      <c r="M260" s="90">
        <f t="shared" si="7"/>
        <v>0.1692399278</v>
      </c>
      <c r="N260" s="91" t="str">
        <f>IF(LARGE(D260:F260,1)=0,#REF!,IF(LARGE(D260:F260,1)=LARGE(D260:F260,2),$D$6,IF(LARGE(D260:F260,1)=D260,$D$3,IF(LARGE(D260:F260,1)=E260,$D$4,IF(LARGE(D260:F260,1)=F260,$D$5)))))</f>
        <v>Mal. Lott</v>
      </c>
      <c r="O260" s="92" t="s">
        <v>77</v>
      </c>
      <c r="P260" s="88">
        <v>20255.0</v>
      </c>
      <c r="Q260" s="88">
        <v>16671.0</v>
      </c>
      <c r="R260" s="88">
        <v>12968.0</v>
      </c>
      <c r="S260" s="88">
        <v>3211.0</v>
      </c>
      <c r="T260" s="88">
        <v>1417.0</v>
      </c>
      <c r="U260" s="89">
        <f t="shared" si="9"/>
        <v>49894</v>
      </c>
      <c r="V260" s="89">
        <f t="shared" si="10"/>
        <v>54522</v>
      </c>
      <c r="W260" s="90">
        <f t="shared" si="11"/>
        <v>0.4059606365</v>
      </c>
      <c r="X260" s="90">
        <f t="shared" si="12"/>
        <v>0.3341283521</v>
      </c>
      <c r="Y260" s="90">
        <f t="shared" si="13"/>
        <v>0.2599110113</v>
      </c>
      <c r="Z260" s="91" t="str">
        <f>IF(LARGE(P260:R260,1)=0,#REF!,IF(LARGE(P260:R260,1)=LARGE(P260:R260,2),$F$6,IF(LARGE(P260:R260,1)=P260,$F$3,IF(LARGE(P260:R260,1)=Q260,$F$4,IF(LARGE(P260:R260,1)=R260,$F$5)))))</f>
        <v>Jango</v>
      </c>
      <c r="AA260" s="92" t="s">
        <v>77</v>
      </c>
      <c r="AB260" s="88">
        <v>59683.0</v>
      </c>
      <c r="AC260" s="89">
        <f t="shared" si="19"/>
        <v>5161</v>
      </c>
      <c r="AD260" s="94">
        <f t="shared" si="20"/>
        <v>0.9135264648</v>
      </c>
    </row>
    <row r="261">
      <c r="A261" s="95" t="s">
        <v>2437</v>
      </c>
      <c r="B261" s="24"/>
      <c r="C261" s="124"/>
      <c r="D261" s="24"/>
      <c r="E261" s="24"/>
      <c r="F261" s="24"/>
      <c r="G261" s="24"/>
      <c r="H261" s="24"/>
      <c r="I261" s="24"/>
      <c r="J261" s="24"/>
      <c r="K261" s="24"/>
      <c r="L261" s="24"/>
      <c r="M261" s="24"/>
      <c r="N261" s="24"/>
      <c r="P261" s="24"/>
      <c r="Q261" s="24"/>
      <c r="R261" s="24"/>
      <c r="S261" s="24"/>
      <c r="T261" s="24"/>
      <c r="U261" s="24"/>
      <c r="V261" s="24"/>
      <c r="W261" s="24"/>
      <c r="X261" s="24"/>
      <c r="Y261" s="24"/>
      <c r="Z261" s="24"/>
      <c r="AB261" s="24"/>
      <c r="AC261" s="24"/>
      <c r="AD261" s="24"/>
    </row>
    <row r="262">
      <c r="A262" s="110" t="s">
        <v>2443</v>
      </c>
      <c r="B262" s="46" t="s">
        <v>2802</v>
      </c>
      <c r="C262" s="47"/>
      <c r="D262" s="38">
        <v>879.0</v>
      </c>
      <c r="E262" s="38">
        <v>1060.0</v>
      </c>
      <c r="F262" s="38">
        <v>49.0</v>
      </c>
      <c r="G262" s="38">
        <v>81.0</v>
      </c>
      <c r="H262" s="38">
        <v>65.0</v>
      </c>
      <c r="I262" s="48">
        <f t="shared" ref="I262:I503" si="21">SUM(D262:F262)</f>
        <v>1988</v>
      </c>
      <c r="J262" s="48">
        <f t="shared" ref="J262:J503" si="22">SUM(G262:I262)</f>
        <v>2134</v>
      </c>
      <c r="K262" s="49">
        <f t="shared" ref="K262:K503" si="23">D262/I262</f>
        <v>0.4421529175</v>
      </c>
      <c r="L262" s="49">
        <f t="shared" ref="L262:L503" si="24">E262/I262</f>
        <v>0.5331991952</v>
      </c>
      <c r="M262" s="49">
        <f t="shared" ref="M262:M503" si="25">F262/I262</f>
        <v>0.02464788732</v>
      </c>
      <c r="N262" s="32" t="str">
        <f t="shared" ref="N262:N503" si="26">IF(LARGE(D262:F262,1)=0,$D$7,IF(LARGE(D262:F262,1)=LARGE(D262:F262,2),$D$6,IF(LARGE(D262:F262,1)=D262,$D$3,IF(LARGE(D262:F262,1)=E262,$D$4,IF(LARGE(D262:F262,1)=F262,$D$5)))))</f>
        <v>Mal. Lott</v>
      </c>
      <c r="O262" s="50" t="s">
        <v>77</v>
      </c>
      <c r="P262" s="38">
        <v>1034.0</v>
      </c>
      <c r="Q262" s="38">
        <v>831.0</v>
      </c>
      <c r="R262" s="38">
        <v>49.0</v>
      </c>
      <c r="S262" s="38">
        <v>183.0</v>
      </c>
      <c r="T262" s="38">
        <v>37.0</v>
      </c>
      <c r="U262" s="48">
        <f t="shared" ref="U262:U503" si="27">SUM(P262:R262)</f>
        <v>1914</v>
      </c>
      <c r="V262" s="48">
        <f t="shared" ref="V262:V503" si="28">SUM(S262:U262)</f>
        <v>2134</v>
      </c>
      <c r="W262" s="49">
        <f t="shared" ref="W262:W503" si="29">P262/U262</f>
        <v>0.5402298851</v>
      </c>
      <c r="X262" s="49">
        <f t="shared" ref="X262:X503" si="30">Q262/U262</f>
        <v>0.434169279</v>
      </c>
      <c r="Y262" s="49">
        <f t="shared" ref="Y262:Y503" si="31">R262/U262</f>
        <v>0.02560083595</v>
      </c>
      <c r="Z262" s="32" t="str">
        <f t="shared" ref="Z262:Z503" si="32">IF(LARGE(P262:R262,1)=0,$F$7,IF(LARGE(P262:R262,1)=LARGE(P262:R262,2),$F$6,IF(LARGE(P262:R262,1)=P262,$F$3,IF(LARGE(P262:R262,1)=Q262,$F$4,IF(LARGE(P262:R262,1)=R262,$F$5)))))</f>
        <v>Jango</v>
      </c>
      <c r="AA262" s="50" t="s">
        <v>77</v>
      </c>
      <c r="AB262" s="38">
        <v>2469.0</v>
      </c>
      <c r="AC262" s="48">
        <f t="shared" ref="AC262:AC369" si="33">AB262-V262</f>
        <v>335</v>
      </c>
      <c r="AD262" s="51">
        <f t="shared" ref="AD262:AD369" si="34">V262/AB262</f>
        <v>0.8643175375</v>
      </c>
    </row>
    <row r="263">
      <c r="A263" s="61" t="s">
        <v>2445</v>
      </c>
      <c r="B263" s="46" t="s">
        <v>2803</v>
      </c>
      <c r="C263" s="47"/>
      <c r="D263" s="38">
        <v>1416.0</v>
      </c>
      <c r="E263" s="38">
        <v>1105.0</v>
      </c>
      <c r="F263" s="38">
        <v>290.0</v>
      </c>
      <c r="G263" s="38">
        <v>101.0</v>
      </c>
      <c r="H263" s="38">
        <v>109.0</v>
      </c>
      <c r="I263" s="48">
        <f t="shared" si="21"/>
        <v>2811</v>
      </c>
      <c r="J263" s="48">
        <f t="shared" si="22"/>
        <v>3021</v>
      </c>
      <c r="K263" s="49">
        <f t="shared" si="23"/>
        <v>0.5037353255</v>
      </c>
      <c r="L263" s="49">
        <f t="shared" si="24"/>
        <v>0.3930985414</v>
      </c>
      <c r="M263" s="49">
        <f t="shared" si="25"/>
        <v>0.103166133</v>
      </c>
      <c r="N263" s="32" t="str">
        <f t="shared" si="26"/>
        <v>Jânio</v>
      </c>
      <c r="O263" s="50" t="s">
        <v>77</v>
      </c>
      <c r="P263" s="38">
        <v>1074.0</v>
      </c>
      <c r="Q263" s="38">
        <v>1299.0</v>
      </c>
      <c r="R263" s="38">
        <v>234.0</v>
      </c>
      <c r="S263" s="38">
        <v>339.0</v>
      </c>
      <c r="T263" s="38">
        <v>75.0</v>
      </c>
      <c r="U263" s="48">
        <f t="shared" si="27"/>
        <v>2607</v>
      </c>
      <c r="V263" s="48">
        <f t="shared" si="28"/>
        <v>3021</v>
      </c>
      <c r="W263" s="49">
        <f t="shared" si="29"/>
        <v>0.4119677791</v>
      </c>
      <c r="X263" s="49">
        <f t="shared" si="30"/>
        <v>0.498273878</v>
      </c>
      <c r="Y263" s="49">
        <f t="shared" si="31"/>
        <v>0.08975834292</v>
      </c>
      <c r="Z263" s="32" t="str">
        <f t="shared" si="32"/>
        <v>Milton</v>
      </c>
      <c r="AA263" s="50" t="s">
        <v>77</v>
      </c>
      <c r="AB263" s="38">
        <v>3546.0</v>
      </c>
      <c r="AC263" s="48">
        <f t="shared" si="33"/>
        <v>525</v>
      </c>
      <c r="AD263" s="51">
        <f t="shared" si="34"/>
        <v>0.8519458545</v>
      </c>
    </row>
    <row r="264">
      <c r="A264" s="24"/>
      <c r="B264" s="46" t="s">
        <v>2804</v>
      </c>
      <c r="C264" s="47"/>
      <c r="D264" s="38">
        <v>258.0</v>
      </c>
      <c r="E264" s="38">
        <v>317.0</v>
      </c>
      <c r="F264" s="38">
        <v>173.0</v>
      </c>
      <c r="G264" s="38">
        <v>75.0</v>
      </c>
      <c r="H264" s="38">
        <v>49.0</v>
      </c>
      <c r="I264" s="48">
        <f t="shared" si="21"/>
        <v>748</v>
      </c>
      <c r="J264" s="48">
        <f t="shared" si="22"/>
        <v>872</v>
      </c>
      <c r="K264" s="49">
        <f t="shared" si="23"/>
        <v>0.3449197861</v>
      </c>
      <c r="L264" s="49">
        <f t="shared" si="24"/>
        <v>0.4237967914</v>
      </c>
      <c r="M264" s="49">
        <f t="shared" si="25"/>
        <v>0.2312834225</v>
      </c>
      <c r="N264" s="32" t="str">
        <f t="shared" si="26"/>
        <v>Mal. Lott</v>
      </c>
      <c r="O264" s="50" t="s">
        <v>77</v>
      </c>
      <c r="P264" s="38">
        <v>360.0</v>
      </c>
      <c r="Q264" s="38">
        <v>241.0</v>
      </c>
      <c r="R264" s="38">
        <v>64.0</v>
      </c>
      <c r="S264" s="38">
        <v>177.0</v>
      </c>
      <c r="T264" s="38">
        <v>30.0</v>
      </c>
      <c r="U264" s="48">
        <f t="shared" si="27"/>
        <v>665</v>
      </c>
      <c r="V264" s="48">
        <f t="shared" si="28"/>
        <v>872</v>
      </c>
      <c r="W264" s="49">
        <f t="shared" si="29"/>
        <v>0.5413533835</v>
      </c>
      <c r="X264" s="49">
        <f t="shared" si="30"/>
        <v>0.362406015</v>
      </c>
      <c r="Y264" s="49">
        <f t="shared" si="31"/>
        <v>0.0962406015</v>
      </c>
      <c r="Z264" s="32" t="str">
        <f t="shared" si="32"/>
        <v>Jango</v>
      </c>
      <c r="AA264" s="50" t="s">
        <v>77</v>
      </c>
      <c r="AB264" s="38">
        <v>1089.0</v>
      </c>
      <c r="AC264" s="48">
        <f t="shared" si="33"/>
        <v>217</v>
      </c>
      <c r="AD264" s="51">
        <f t="shared" si="34"/>
        <v>0.8007346189</v>
      </c>
    </row>
    <row r="265">
      <c r="A265" s="110" t="s">
        <v>2448</v>
      </c>
      <c r="B265" s="46" t="s">
        <v>2805</v>
      </c>
      <c r="C265" s="47"/>
      <c r="D265" s="38">
        <v>2767.0</v>
      </c>
      <c r="E265" s="38">
        <v>1745.0</v>
      </c>
      <c r="F265" s="38">
        <v>207.0</v>
      </c>
      <c r="G265" s="38">
        <v>264.0</v>
      </c>
      <c r="H265" s="38">
        <v>308.0</v>
      </c>
      <c r="I265" s="48">
        <f t="shared" si="21"/>
        <v>4719</v>
      </c>
      <c r="J265" s="48">
        <f t="shared" si="22"/>
        <v>5291</v>
      </c>
      <c r="K265" s="49">
        <f t="shared" si="23"/>
        <v>0.5863530409</v>
      </c>
      <c r="L265" s="49">
        <f t="shared" si="24"/>
        <v>0.3697817334</v>
      </c>
      <c r="M265" s="49">
        <f t="shared" si="25"/>
        <v>0.04386522568</v>
      </c>
      <c r="N265" s="32" t="str">
        <f t="shared" si="26"/>
        <v>Jânio</v>
      </c>
      <c r="O265" s="50" t="s">
        <v>77</v>
      </c>
      <c r="P265" s="38">
        <v>1753.0</v>
      </c>
      <c r="Q265" s="38">
        <v>2639.0</v>
      </c>
      <c r="R265" s="38">
        <v>162.0</v>
      </c>
      <c r="S265" s="38">
        <v>587.0</v>
      </c>
      <c r="T265" s="38">
        <v>150.0</v>
      </c>
      <c r="U265" s="48">
        <f t="shared" si="27"/>
        <v>4554</v>
      </c>
      <c r="V265" s="48">
        <f t="shared" si="28"/>
        <v>5291</v>
      </c>
      <c r="W265" s="49">
        <f t="shared" si="29"/>
        <v>0.3849363197</v>
      </c>
      <c r="X265" s="49">
        <f t="shared" si="30"/>
        <v>0.5794905578</v>
      </c>
      <c r="Y265" s="49">
        <f t="shared" si="31"/>
        <v>0.03557312253</v>
      </c>
      <c r="Z265" s="32" t="str">
        <f t="shared" si="32"/>
        <v>Milton</v>
      </c>
      <c r="AA265" s="50" t="s">
        <v>77</v>
      </c>
      <c r="AB265" s="38">
        <v>6610.0</v>
      </c>
      <c r="AC265" s="48">
        <f t="shared" si="33"/>
        <v>1319</v>
      </c>
      <c r="AD265" s="51">
        <f t="shared" si="34"/>
        <v>0.8004538578</v>
      </c>
    </row>
    <row r="266">
      <c r="A266" s="61" t="s">
        <v>2451</v>
      </c>
      <c r="B266" s="46" t="s">
        <v>2806</v>
      </c>
      <c r="C266" s="47"/>
      <c r="D266" s="38">
        <v>3634.0</v>
      </c>
      <c r="E266" s="38">
        <v>3198.0</v>
      </c>
      <c r="F266" s="38">
        <v>1299.0</v>
      </c>
      <c r="G266" s="38">
        <v>273.0</v>
      </c>
      <c r="H266" s="38">
        <v>332.0</v>
      </c>
      <c r="I266" s="48">
        <f t="shared" si="21"/>
        <v>8131</v>
      </c>
      <c r="J266" s="48">
        <f t="shared" si="22"/>
        <v>8736</v>
      </c>
      <c r="K266" s="49">
        <f t="shared" si="23"/>
        <v>0.4469314967</v>
      </c>
      <c r="L266" s="49">
        <f t="shared" si="24"/>
        <v>0.393309556</v>
      </c>
      <c r="M266" s="49">
        <f t="shared" si="25"/>
        <v>0.1597589472</v>
      </c>
      <c r="N266" s="32" t="str">
        <f t="shared" si="26"/>
        <v>Jânio</v>
      </c>
      <c r="O266" s="50" t="s">
        <v>77</v>
      </c>
      <c r="P266" s="38">
        <v>3199.0</v>
      </c>
      <c r="Q266" s="38">
        <v>3402.0</v>
      </c>
      <c r="R266" s="38">
        <v>1009.0</v>
      </c>
      <c r="S266" s="38">
        <v>848.0</v>
      </c>
      <c r="T266" s="38">
        <v>278.0</v>
      </c>
      <c r="U266" s="48">
        <f t="shared" si="27"/>
        <v>7610</v>
      </c>
      <c r="V266" s="48">
        <f t="shared" si="28"/>
        <v>8736</v>
      </c>
      <c r="W266" s="49">
        <f t="shared" si="29"/>
        <v>0.4203679369</v>
      </c>
      <c r="X266" s="49">
        <f t="shared" si="30"/>
        <v>0.447043364</v>
      </c>
      <c r="Y266" s="49">
        <f t="shared" si="31"/>
        <v>0.1325886991</v>
      </c>
      <c r="Z266" s="32" t="str">
        <f t="shared" si="32"/>
        <v>Milton</v>
      </c>
      <c r="AA266" s="50" t="s">
        <v>77</v>
      </c>
      <c r="AB266" s="38">
        <v>10053.0</v>
      </c>
      <c r="AC266" s="48">
        <f t="shared" si="33"/>
        <v>1317</v>
      </c>
      <c r="AD266" s="51">
        <f t="shared" si="34"/>
        <v>0.8689943301</v>
      </c>
    </row>
    <row r="267">
      <c r="A267" s="23"/>
      <c r="B267" s="46" t="s">
        <v>2807</v>
      </c>
      <c r="C267" s="47"/>
      <c r="D267" s="38">
        <v>411.0</v>
      </c>
      <c r="E267" s="38">
        <v>232.0</v>
      </c>
      <c r="F267" s="38">
        <v>57.0</v>
      </c>
      <c r="G267" s="38">
        <v>58.0</v>
      </c>
      <c r="H267" s="38">
        <v>38.0</v>
      </c>
      <c r="I267" s="48">
        <f t="shared" si="21"/>
        <v>700</v>
      </c>
      <c r="J267" s="48">
        <f t="shared" si="22"/>
        <v>796</v>
      </c>
      <c r="K267" s="49">
        <f t="shared" si="23"/>
        <v>0.5871428571</v>
      </c>
      <c r="L267" s="49">
        <f t="shared" si="24"/>
        <v>0.3314285714</v>
      </c>
      <c r="M267" s="49">
        <f t="shared" si="25"/>
        <v>0.08142857143</v>
      </c>
      <c r="N267" s="32" t="str">
        <f t="shared" si="26"/>
        <v>Jânio</v>
      </c>
      <c r="O267" s="50" t="s">
        <v>77</v>
      </c>
      <c r="P267" s="38">
        <v>219.0</v>
      </c>
      <c r="Q267" s="38">
        <v>439.0</v>
      </c>
      <c r="R267" s="38">
        <v>26.0</v>
      </c>
      <c r="S267" s="38">
        <v>92.0</v>
      </c>
      <c r="T267" s="38">
        <v>20.0</v>
      </c>
      <c r="U267" s="48">
        <f t="shared" si="27"/>
        <v>684</v>
      </c>
      <c r="V267" s="48">
        <f t="shared" si="28"/>
        <v>796</v>
      </c>
      <c r="W267" s="49">
        <f t="shared" si="29"/>
        <v>0.3201754386</v>
      </c>
      <c r="X267" s="49">
        <f t="shared" si="30"/>
        <v>0.6418128655</v>
      </c>
      <c r="Y267" s="49">
        <f t="shared" si="31"/>
        <v>0.03801169591</v>
      </c>
      <c r="Z267" s="32" t="str">
        <f t="shared" si="32"/>
        <v>Milton</v>
      </c>
      <c r="AA267" s="50" t="s">
        <v>77</v>
      </c>
      <c r="AB267" s="38">
        <v>973.0</v>
      </c>
      <c r="AC267" s="48">
        <f t="shared" si="33"/>
        <v>177</v>
      </c>
      <c r="AD267" s="51">
        <f t="shared" si="34"/>
        <v>0.8180883864</v>
      </c>
    </row>
    <row r="268">
      <c r="A268" s="24"/>
      <c r="B268" s="46" t="s">
        <v>2808</v>
      </c>
      <c r="C268" s="47"/>
      <c r="D268" s="38">
        <v>454.0</v>
      </c>
      <c r="E268" s="38">
        <v>349.0</v>
      </c>
      <c r="F268" s="38">
        <v>237.0</v>
      </c>
      <c r="G268" s="38">
        <v>57.0</v>
      </c>
      <c r="H268" s="38">
        <v>88.0</v>
      </c>
      <c r="I268" s="48">
        <f t="shared" si="21"/>
        <v>1040</v>
      </c>
      <c r="J268" s="48">
        <f t="shared" si="22"/>
        <v>1185</v>
      </c>
      <c r="K268" s="49">
        <f t="shared" si="23"/>
        <v>0.4365384615</v>
      </c>
      <c r="L268" s="49">
        <f t="shared" si="24"/>
        <v>0.3355769231</v>
      </c>
      <c r="M268" s="49">
        <f t="shared" si="25"/>
        <v>0.2278846154</v>
      </c>
      <c r="N268" s="32" t="str">
        <f t="shared" si="26"/>
        <v>Jânio</v>
      </c>
      <c r="O268" s="50" t="s">
        <v>77</v>
      </c>
      <c r="P268" s="38">
        <v>421.0</v>
      </c>
      <c r="Q268" s="38">
        <v>478.0</v>
      </c>
      <c r="R268" s="38">
        <v>77.0</v>
      </c>
      <c r="S268" s="38">
        <v>147.0</v>
      </c>
      <c r="T268" s="38">
        <v>62.0</v>
      </c>
      <c r="U268" s="48">
        <f t="shared" si="27"/>
        <v>976</v>
      </c>
      <c r="V268" s="48">
        <f t="shared" si="28"/>
        <v>1185</v>
      </c>
      <c r="W268" s="49">
        <f t="shared" si="29"/>
        <v>0.431352459</v>
      </c>
      <c r="X268" s="49">
        <f t="shared" si="30"/>
        <v>0.4897540984</v>
      </c>
      <c r="Y268" s="49">
        <f t="shared" si="31"/>
        <v>0.07889344262</v>
      </c>
      <c r="Z268" s="32" t="str">
        <f t="shared" si="32"/>
        <v>Milton</v>
      </c>
      <c r="AA268" s="50" t="s">
        <v>77</v>
      </c>
      <c r="AB268" s="38">
        <v>1325.0</v>
      </c>
      <c r="AC268" s="48">
        <f t="shared" si="33"/>
        <v>140</v>
      </c>
      <c r="AD268" s="51">
        <f t="shared" si="34"/>
        <v>0.8943396226</v>
      </c>
    </row>
    <row r="269">
      <c r="A269" s="61" t="s">
        <v>2456</v>
      </c>
      <c r="B269" s="46" t="s">
        <v>2809</v>
      </c>
      <c r="C269" s="47"/>
      <c r="D269" s="38">
        <v>4633.0</v>
      </c>
      <c r="E269" s="38">
        <v>3653.0</v>
      </c>
      <c r="F269" s="38">
        <v>694.0</v>
      </c>
      <c r="G269" s="38">
        <v>217.0</v>
      </c>
      <c r="H269" s="38">
        <v>276.0</v>
      </c>
      <c r="I269" s="48">
        <f t="shared" si="21"/>
        <v>8980</v>
      </c>
      <c r="J269" s="48">
        <f t="shared" si="22"/>
        <v>9473</v>
      </c>
      <c r="K269" s="49">
        <f t="shared" si="23"/>
        <v>0.5159242762</v>
      </c>
      <c r="L269" s="49">
        <f t="shared" si="24"/>
        <v>0.4067928731</v>
      </c>
      <c r="M269" s="49">
        <f t="shared" si="25"/>
        <v>0.07728285078</v>
      </c>
      <c r="N269" s="32" t="str">
        <f t="shared" si="26"/>
        <v>Jânio</v>
      </c>
      <c r="O269" s="50" t="s">
        <v>77</v>
      </c>
      <c r="P269" s="38">
        <v>3671.0</v>
      </c>
      <c r="Q269" s="38">
        <v>4422.0</v>
      </c>
      <c r="R269" s="38">
        <v>530.0</v>
      </c>
      <c r="S269" s="38">
        <v>636.0</v>
      </c>
      <c r="T269" s="38">
        <v>214.0</v>
      </c>
      <c r="U269" s="48">
        <f t="shared" si="27"/>
        <v>8623</v>
      </c>
      <c r="V269" s="48">
        <f t="shared" si="28"/>
        <v>9473</v>
      </c>
      <c r="W269" s="49">
        <f t="shared" si="29"/>
        <v>0.4257219065</v>
      </c>
      <c r="X269" s="49">
        <f t="shared" si="30"/>
        <v>0.5128145657</v>
      </c>
      <c r="Y269" s="49">
        <f t="shared" si="31"/>
        <v>0.06146352777</v>
      </c>
      <c r="Z269" s="32" t="str">
        <f t="shared" si="32"/>
        <v>Milton</v>
      </c>
      <c r="AA269" s="50" t="s">
        <v>77</v>
      </c>
      <c r="AB269" s="38">
        <v>10666.0</v>
      </c>
      <c r="AC269" s="48">
        <f t="shared" si="33"/>
        <v>1193</v>
      </c>
      <c r="AD269" s="51">
        <f t="shared" si="34"/>
        <v>0.8881492593</v>
      </c>
    </row>
    <row r="270">
      <c r="A270" s="24"/>
      <c r="B270" s="46" t="s">
        <v>2810</v>
      </c>
      <c r="C270" s="47"/>
      <c r="D270" s="38">
        <v>930.0</v>
      </c>
      <c r="E270" s="38">
        <v>714.0</v>
      </c>
      <c r="F270" s="38">
        <v>94.0</v>
      </c>
      <c r="G270" s="38">
        <v>72.0</v>
      </c>
      <c r="H270" s="38">
        <v>81.0</v>
      </c>
      <c r="I270" s="48">
        <f t="shared" si="21"/>
        <v>1738</v>
      </c>
      <c r="J270" s="48">
        <f t="shared" si="22"/>
        <v>1891</v>
      </c>
      <c r="K270" s="49">
        <f t="shared" si="23"/>
        <v>0.5350978136</v>
      </c>
      <c r="L270" s="49">
        <f t="shared" si="24"/>
        <v>0.4108170311</v>
      </c>
      <c r="M270" s="49">
        <f t="shared" si="25"/>
        <v>0.05408515535</v>
      </c>
      <c r="N270" s="32" t="str">
        <f t="shared" si="26"/>
        <v>Jânio</v>
      </c>
      <c r="O270" s="50" t="s">
        <v>77</v>
      </c>
      <c r="P270" s="38">
        <v>684.0</v>
      </c>
      <c r="Q270" s="38">
        <v>811.0</v>
      </c>
      <c r="R270" s="38">
        <v>132.0</v>
      </c>
      <c r="S270" s="38">
        <v>213.0</v>
      </c>
      <c r="T270" s="38">
        <v>51.0</v>
      </c>
      <c r="U270" s="48">
        <f t="shared" si="27"/>
        <v>1627</v>
      </c>
      <c r="V270" s="48">
        <f t="shared" si="28"/>
        <v>1891</v>
      </c>
      <c r="W270" s="49">
        <f t="shared" si="29"/>
        <v>0.4204056546</v>
      </c>
      <c r="X270" s="49">
        <f t="shared" si="30"/>
        <v>0.4984634296</v>
      </c>
      <c r="Y270" s="49">
        <f t="shared" si="31"/>
        <v>0.0811309158</v>
      </c>
      <c r="Z270" s="32" t="str">
        <f t="shared" si="32"/>
        <v>Milton</v>
      </c>
      <c r="AA270" s="50" t="s">
        <v>77</v>
      </c>
      <c r="AB270" s="38">
        <v>2156.0</v>
      </c>
      <c r="AC270" s="48">
        <f t="shared" si="33"/>
        <v>265</v>
      </c>
      <c r="AD270" s="51">
        <f t="shared" si="34"/>
        <v>0.8770871985</v>
      </c>
    </row>
    <row r="271">
      <c r="A271" s="110" t="s">
        <v>2458</v>
      </c>
      <c r="B271" s="46" t="s">
        <v>2811</v>
      </c>
      <c r="C271" s="47"/>
      <c r="D271" s="38">
        <v>2001.0</v>
      </c>
      <c r="E271" s="38">
        <v>1923.0</v>
      </c>
      <c r="F271" s="38">
        <v>288.0</v>
      </c>
      <c r="G271" s="38">
        <v>243.0</v>
      </c>
      <c r="H271" s="38">
        <v>243.0</v>
      </c>
      <c r="I271" s="48">
        <f t="shared" si="21"/>
        <v>4212</v>
      </c>
      <c r="J271" s="48">
        <f t="shared" si="22"/>
        <v>4698</v>
      </c>
      <c r="K271" s="49">
        <f t="shared" si="23"/>
        <v>0.4750712251</v>
      </c>
      <c r="L271" s="49">
        <f t="shared" si="24"/>
        <v>0.4565527066</v>
      </c>
      <c r="M271" s="49">
        <f t="shared" si="25"/>
        <v>0.06837606838</v>
      </c>
      <c r="N271" s="32" t="str">
        <f t="shared" si="26"/>
        <v>Jânio</v>
      </c>
      <c r="O271" s="50" t="s">
        <v>77</v>
      </c>
      <c r="P271" s="38">
        <v>1943.0</v>
      </c>
      <c r="Q271" s="38">
        <v>1932.0</v>
      </c>
      <c r="R271" s="38">
        <v>188.0</v>
      </c>
      <c r="S271" s="38">
        <v>489.0</v>
      </c>
      <c r="T271" s="38">
        <v>146.0</v>
      </c>
      <c r="U271" s="48">
        <f t="shared" si="27"/>
        <v>4063</v>
      </c>
      <c r="V271" s="48">
        <f t="shared" si="28"/>
        <v>4698</v>
      </c>
      <c r="W271" s="49">
        <f t="shared" si="29"/>
        <v>0.4782180655</v>
      </c>
      <c r="X271" s="49">
        <f t="shared" si="30"/>
        <v>0.4755107064</v>
      </c>
      <c r="Y271" s="49">
        <f t="shared" si="31"/>
        <v>0.04627122816</v>
      </c>
      <c r="Z271" s="32" t="str">
        <f t="shared" si="32"/>
        <v>Jango</v>
      </c>
      <c r="AA271" s="50" t="s">
        <v>77</v>
      </c>
      <c r="AB271" s="38">
        <v>5357.0</v>
      </c>
      <c r="AC271" s="48">
        <f t="shared" si="33"/>
        <v>659</v>
      </c>
      <c r="AD271" s="51">
        <f t="shared" si="34"/>
        <v>0.8769833862</v>
      </c>
    </row>
    <row r="272">
      <c r="A272" s="61" t="s">
        <v>2464</v>
      </c>
      <c r="B272" s="46" t="s">
        <v>2812</v>
      </c>
      <c r="C272" s="47"/>
      <c r="D272" s="38">
        <v>1350.0</v>
      </c>
      <c r="E272" s="38">
        <v>740.0</v>
      </c>
      <c r="F272" s="38">
        <v>201.0</v>
      </c>
      <c r="G272" s="38">
        <v>171.0</v>
      </c>
      <c r="H272" s="38">
        <v>144.0</v>
      </c>
      <c r="I272" s="48">
        <f t="shared" si="21"/>
        <v>2291</v>
      </c>
      <c r="J272" s="48">
        <f t="shared" si="22"/>
        <v>2606</v>
      </c>
      <c r="K272" s="49">
        <f t="shared" si="23"/>
        <v>0.5892623309</v>
      </c>
      <c r="L272" s="49">
        <f t="shared" si="24"/>
        <v>0.3230030554</v>
      </c>
      <c r="M272" s="49">
        <f t="shared" si="25"/>
        <v>0.08773461371</v>
      </c>
      <c r="N272" s="32" t="str">
        <f t="shared" si="26"/>
        <v>Jânio</v>
      </c>
      <c r="O272" s="50" t="s">
        <v>77</v>
      </c>
      <c r="P272" s="38">
        <v>610.0</v>
      </c>
      <c r="Q272" s="38">
        <v>1439.0</v>
      </c>
      <c r="R272" s="38">
        <v>99.0</v>
      </c>
      <c r="S272" s="38">
        <v>387.0</v>
      </c>
      <c r="T272" s="38">
        <v>71.0</v>
      </c>
      <c r="U272" s="48">
        <f t="shared" si="27"/>
        <v>2148</v>
      </c>
      <c r="V272" s="48">
        <f t="shared" si="28"/>
        <v>2606</v>
      </c>
      <c r="W272" s="49">
        <f t="shared" si="29"/>
        <v>0.2839851024</v>
      </c>
      <c r="X272" s="49">
        <f t="shared" si="30"/>
        <v>0.6699255121</v>
      </c>
      <c r="Y272" s="49">
        <f t="shared" si="31"/>
        <v>0.04608938547</v>
      </c>
      <c r="Z272" s="32" t="str">
        <f t="shared" si="32"/>
        <v>Milton</v>
      </c>
      <c r="AA272" s="50" t="s">
        <v>77</v>
      </c>
      <c r="AB272" s="38">
        <v>3234.0</v>
      </c>
      <c r="AC272" s="48">
        <f t="shared" si="33"/>
        <v>628</v>
      </c>
      <c r="AD272" s="51">
        <f t="shared" si="34"/>
        <v>0.8058132344</v>
      </c>
    </row>
    <row r="273">
      <c r="A273" s="24"/>
      <c r="B273" s="46" t="s">
        <v>2813</v>
      </c>
      <c r="C273" s="47"/>
      <c r="D273" s="38">
        <v>653.0</v>
      </c>
      <c r="E273" s="38">
        <v>491.0</v>
      </c>
      <c r="F273" s="38">
        <v>59.0</v>
      </c>
      <c r="G273" s="38">
        <v>64.0</v>
      </c>
      <c r="H273" s="38">
        <v>55.0</v>
      </c>
      <c r="I273" s="48">
        <f t="shared" si="21"/>
        <v>1203</v>
      </c>
      <c r="J273" s="48">
        <f t="shared" si="22"/>
        <v>1322</v>
      </c>
      <c r="K273" s="49">
        <f t="shared" si="23"/>
        <v>0.5428096426</v>
      </c>
      <c r="L273" s="49">
        <f t="shared" si="24"/>
        <v>0.4081463009</v>
      </c>
      <c r="M273" s="49">
        <f t="shared" si="25"/>
        <v>0.04904405653</v>
      </c>
      <c r="N273" s="32" t="str">
        <f t="shared" si="26"/>
        <v>Jânio</v>
      </c>
      <c r="O273" s="50" t="s">
        <v>77</v>
      </c>
      <c r="P273" s="55">
        <v>508.0</v>
      </c>
      <c r="Q273" s="38">
        <v>595.0</v>
      </c>
      <c r="R273" s="38">
        <v>52.0</v>
      </c>
      <c r="S273" s="38">
        <v>146.0</v>
      </c>
      <c r="T273" s="38">
        <v>21.0</v>
      </c>
      <c r="U273" s="48">
        <f t="shared" si="27"/>
        <v>1155</v>
      </c>
      <c r="V273" s="114">
        <f t="shared" si="28"/>
        <v>1322</v>
      </c>
      <c r="W273" s="49">
        <f t="shared" si="29"/>
        <v>0.4398268398</v>
      </c>
      <c r="X273" s="49">
        <f t="shared" si="30"/>
        <v>0.5151515152</v>
      </c>
      <c r="Y273" s="49">
        <f t="shared" si="31"/>
        <v>0.04502164502</v>
      </c>
      <c r="Z273" s="32" t="str">
        <f t="shared" si="32"/>
        <v>Milton</v>
      </c>
      <c r="AA273" s="50" t="s">
        <v>77</v>
      </c>
      <c r="AB273" s="38">
        <v>1603.0</v>
      </c>
      <c r="AC273" s="48">
        <f t="shared" si="33"/>
        <v>281</v>
      </c>
      <c r="AD273" s="51">
        <f t="shared" si="34"/>
        <v>0.8247036806</v>
      </c>
    </row>
    <row r="274">
      <c r="A274" s="61" t="s">
        <v>2471</v>
      </c>
      <c r="B274" s="46" t="s">
        <v>2814</v>
      </c>
      <c r="C274" s="47"/>
      <c r="D274" s="38">
        <v>1018.0</v>
      </c>
      <c r="E274" s="38">
        <v>887.0</v>
      </c>
      <c r="F274" s="38">
        <v>767.0</v>
      </c>
      <c r="G274" s="38">
        <v>134.0</v>
      </c>
      <c r="H274" s="38">
        <v>141.0</v>
      </c>
      <c r="I274" s="48">
        <f t="shared" si="21"/>
        <v>2672</v>
      </c>
      <c r="J274" s="48">
        <f t="shared" si="22"/>
        <v>2947</v>
      </c>
      <c r="K274" s="49">
        <f t="shared" si="23"/>
        <v>0.380988024</v>
      </c>
      <c r="L274" s="49">
        <f t="shared" si="24"/>
        <v>0.3319610778</v>
      </c>
      <c r="M274" s="49">
        <f t="shared" si="25"/>
        <v>0.2870508982</v>
      </c>
      <c r="N274" s="32" t="str">
        <f t="shared" si="26"/>
        <v>Jânio</v>
      </c>
      <c r="O274" s="50" t="s">
        <v>77</v>
      </c>
      <c r="P274" s="38">
        <v>893.0</v>
      </c>
      <c r="Q274" s="38">
        <v>1321.0</v>
      </c>
      <c r="R274" s="38">
        <v>262.0</v>
      </c>
      <c r="S274" s="38">
        <v>379.0</v>
      </c>
      <c r="T274" s="38">
        <v>92.0</v>
      </c>
      <c r="U274" s="48">
        <f t="shared" si="27"/>
        <v>2476</v>
      </c>
      <c r="V274" s="48">
        <f t="shared" si="28"/>
        <v>2947</v>
      </c>
      <c r="W274" s="49">
        <f t="shared" si="29"/>
        <v>0.3606623586</v>
      </c>
      <c r="X274" s="49">
        <f t="shared" si="30"/>
        <v>0.5335218094</v>
      </c>
      <c r="Y274" s="49">
        <f t="shared" si="31"/>
        <v>0.105815832</v>
      </c>
      <c r="Z274" s="32" t="str">
        <f t="shared" si="32"/>
        <v>Milton</v>
      </c>
      <c r="AA274" s="50" t="s">
        <v>77</v>
      </c>
      <c r="AB274" s="38">
        <v>3668.0</v>
      </c>
      <c r="AC274" s="48">
        <f t="shared" si="33"/>
        <v>721</v>
      </c>
      <c r="AD274" s="51">
        <f t="shared" si="34"/>
        <v>0.8034351145</v>
      </c>
    </row>
    <row r="275">
      <c r="A275" s="24"/>
      <c r="B275" s="46" t="s">
        <v>2815</v>
      </c>
      <c r="C275" s="47"/>
      <c r="D275" s="38">
        <v>83.0</v>
      </c>
      <c r="E275" s="38">
        <v>317.0</v>
      </c>
      <c r="F275" s="38">
        <v>83.0</v>
      </c>
      <c r="G275" s="38">
        <v>29.0</v>
      </c>
      <c r="H275" s="38">
        <v>31.0</v>
      </c>
      <c r="I275" s="48">
        <f t="shared" si="21"/>
        <v>483</v>
      </c>
      <c r="J275" s="48">
        <f t="shared" si="22"/>
        <v>543</v>
      </c>
      <c r="K275" s="49">
        <f t="shared" si="23"/>
        <v>0.1718426501</v>
      </c>
      <c r="L275" s="49">
        <f t="shared" si="24"/>
        <v>0.6563146998</v>
      </c>
      <c r="M275" s="49">
        <f t="shared" si="25"/>
        <v>0.1718426501</v>
      </c>
      <c r="N275" s="32" t="str">
        <f t="shared" si="26"/>
        <v>Mal. Lott</v>
      </c>
      <c r="O275" s="50" t="s">
        <v>77</v>
      </c>
      <c r="P275" s="38">
        <v>356.0</v>
      </c>
      <c r="Q275" s="38">
        <v>78.0</v>
      </c>
      <c r="R275" s="38">
        <v>36.0</v>
      </c>
      <c r="S275" s="38">
        <v>58.0</v>
      </c>
      <c r="T275" s="38">
        <v>15.0</v>
      </c>
      <c r="U275" s="48">
        <f t="shared" si="27"/>
        <v>470</v>
      </c>
      <c r="V275" s="48">
        <f t="shared" si="28"/>
        <v>543</v>
      </c>
      <c r="W275" s="49">
        <f t="shared" si="29"/>
        <v>0.7574468085</v>
      </c>
      <c r="X275" s="49">
        <f t="shared" si="30"/>
        <v>0.1659574468</v>
      </c>
      <c r="Y275" s="49">
        <f t="shared" si="31"/>
        <v>0.07659574468</v>
      </c>
      <c r="Z275" s="32" t="str">
        <f t="shared" si="32"/>
        <v>Jango</v>
      </c>
      <c r="AA275" s="50" t="s">
        <v>77</v>
      </c>
      <c r="AB275" s="38">
        <v>645.0</v>
      </c>
      <c r="AC275" s="48">
        <f t="shared" si="33"/>
        <v>102</v>
      </c>
      <c r="AD275" s="51">
        <f t="shared" si="34"/>
        <v>0.8418604651</v>
      </c>
    </row>
    <row r="276">
      <c r="A276" s="110" t="s">
        <v>2474</v>
      </c>
      <c r="B276" s="46" t="s">
        <v>2816</v>
      </c>
      <c r="C276" s="47"/>
      <c r="D276" s="38">
        <v>656.0</v>
      </c>
      <c r="E276" s="38">
        <v>782.0</v>
      </c>
      <c r="F276" s="38">
        <v>171.0</v>
      </c>
      <c r="G276" s="38">
        <v>143.0</v>
      </c>
      <c r="H276" s="38">
        <v>118.0</v>
      </c>
      <c r="I276" s="48">
        <f t="shared" si="21"/>
        <v>1609</v>
      </c>
      <c r="J276" s="48">
        <f t="shared" si="22"/>
        <v>1870</v>
      </c>
      <c r="K276" s="49">
        <f t="shared" si="23"/>
        <v>0.4077066501</v>
      </c>
      <c r="L276" s="49">
        <f t="shared" si="24"/>
        <v>0.4860161591</v>
      </c>
      <c r="M276" s="49">
        <f t="shared" si="25"/>
        <v>0.1062771908</v>
      </c>
      <c r="N276" s="32" t="str">
        <f t="shared" si="26"/>
        <v>Mal. Lott</v>
      </c>
      <c r="O276" s="50" t="s">
        <v>77</v>
      </c>
      <c r="P276" s="38">
        <v>871.0</v>
      </c>
      <c r="Q276" s="38">
        <v>558.0</v>
      </c>
      <c r="R276" s="38">
        <v>95.0</v>
      </c>
      <c r="S276" s="38">
        <v>284.0</v>
      </c>
      <c r="T276" s="38">
        <v>62.0</v>
      </c>
      <c r="U276" s="48">
        <f t="shared" si="27"/>
        <v>1524</v>
      </c>
      <c r="V276" s="48">
        <f t="shared" si="28"/>
        <v>1870</v>
      </c>
      <c r="W276" s="49">
        <f t="shared" si="29"/>
        <v>0.5715223097</v>
      </c>
      <c r="X276" s="49">
        <f t="shared" si="30"/>
        <v>0.3661417323</v>
      </c>
      <c r="Y276" s="49">
        <f t="shared" si="31"/>
        <v>0.06233595801</v>
      </c>
      <c r="Z276" s="32" t="str">
        <f t="shared" si="32"/>
        <v>Jango</v>
      </c>
      <c r="AA276" s="50" t="s">
        <v>77</v>
      </c>
      <c r="AB276" s="38">
        <v>2840.0</v>
      </c>
      <c r="AC276" s="48">
        <f t="shared" si="33"/>
        <v>970</v>
      </c>
      <c r="AD276" s="51">
        <f t="shared" si="34"/>
        <v>0.6584507042</v>
      </c>
    </row>
    <row r="277">
      <c r="A277" s="110" t="s">
        <v>2482</v>
      </c>
      <c r="B277" s="46" t="s">
        <v>2817</v>
      </c>
      <c r="C277" s="47"/>
      <c r="D277" s="38">
        <v>848.0</v>
      </c>
      <c r="E277" s="38">
        <v>1228.0</v>
      </c>
      <c r="F277" s="38">
        <v>246.0</v>
      </c>
      <c r="G277" s="38">
        <v>140.0</v>
      </c>
      <c r="H277" s="38">
        <v>214.0</v>
      </c>
      <c r="I277" s="48">
        <f t="shared" si="21"/>
        <v>2322</v>
      </c>
      <c r="J277" s="48">
        <f t="shared" si="22"/>
        <v>2676</v>
      </c>
      <c r="K277" s="49">
        <f t="shared" si="23"/>
        <v>0.3652024117</v>
      </c>
      <c r="L277" s="49">
        <f t="shared" si="24"/>
        <v>0.5288544358</v>
      </c>
      <c r="M277" s="49">
        <f t="shared" si="25"/>
        <v>0.1059431525</v>
      </c>
      <c r="N277" s="32" t="str">
        <f t="shared" si="26"/>
        <v>Mal. Lott</v>
      </c>
      <c r="O277" s="50" t="s">
        <v>77</v>
      </c>
      <c r="P277" s="38">
        <v>1228.0</v>
      </c>
      <c r="Q277" s="38">
        <v>840.0</v>
      </c>
      <c r="R277" s="38">
        <v>183.0</v>
      </c>
      <c r="S277" s="38">
        <v>301.0</v>
      </c>
      <c r="T277" s="38">
        <v>124.0</v>
      </c>
      <c r="U277" s="48">
        <f t="shared" si="27"/>
        <v>2251</v>
      </c>
      <c r="V277" s="48">
        <f t="shared" si="28"/>
        <v>2676</v>
      </c>
      <c r="W277" s="49">
        <f t="shared" si="29"/>
        <v>0.5455353176</v>
      </c>
      <c r="X277" s="49">
        <f t="shared" si="30"/>
        <v>0.3731674811</v>
      </c>
      <c r="Y277" s="49">
        <f t="shared" si="31"/>
        <v>0.08129720124</v>
      </c>
      <c r="Z277" s="32" t="str">
        <f t="shared" si="32"/>
        <v>Jango</v>
      </c>
      <c r="AA277" s="50" t="s">
        <v>77</v>
      </c>
      <c r="AB277" s="38">
        <v>3594.0</v>
      </c>
      <c r="AC277" s="48">
        <f t="shared" si="33"/>
        <v>918</v>
      </c>
      <c r="AD277" s="51">
        <f t="shared" si="34"/>
        <v>0.7445742905</v>
      </c>
    </row>
    <row r="278">
      <c r="A278" s="61" t="s">
        <v>2485</v>
      </c>
      <c r="B278" s="46" t="s">
        <v>2818</v>
      </c>
      <c r="C278" s="47"/>
      <c r="D278" s="38">
        <v>3171.0</v>
      </c>
      <c r="E278" s="38">
        <v>2890.0</v>
      </c>
      <c r="F278" s="38">
        <v>1048.0</v>
      </c>
      <c r="G278" s="38">
        <v>326.0</v>
      </c>
      <c r="H278" s="38">
        <v>316.0</v>
      </c>
      <c r="I278" s="48">
        <f t="shared" si="21"/>
        <v>7109</v>
      </c>
      <c r="J278" s="48">
        <f t="shared" si="22"/>
        <v>7751</v>
      </c>
      <c r="K278" s="49">
        <f t="shared" si="23"/>
        <v>0.4460542974</v>
      </c>
      <c r="L278" s="49">
        <f t="shared" si="24"/>
        <v>0.4065269377</v>
      </c>
      <c r="M278" s="49">
        <f t="shared" si="25"/>
        <v>0.1474187649</v>
      </c>
      <c r="N278" s="32" t="str">
        <f t="shared" si="26"/>
        <v>Jânio</v>
      </c>
      <c r="O278" s="50" t="s">
        <v>77</v>
      </c>
      <c r="P278" s="38">
        <v>3096.0</v>
      </c>
      <c r="Q278" s="38">
        <v>2732.0</v>
      </c>
      <c r="R278" s="38">
        <v>781.0</v>
      </c>
      <c r="S278" s="38">
        <v>946.0</v>
      </c>
      <c r="T278" s="38">
        <v>196.0</v>
      </c>
      <c r="U278" s="48">
        <f t="shared" si="27"/>
        <v>6609</v>
      </c>
      <c r="V278" s="48">
        <f t="shared" si="28"/>
        <v>7751</v>
      </c>
      <c r="W278" s="49">
        <f t="shared" si="29"/>
        <v>0.4684521108</v>
      </c>
      <c r="X278" s="49">
        <f t="shared" si="30"/>
        <v>0.4133756998</v>
      </c>
      <c r="Y278" s="49">
        <f t="shared" si="31"/>
        <v>0.1181721894</v>
      </c>
      <c r="Z278" s="32" t="str">
        <f t="shared" si="32"/>
        <v>Jango</v>
      </c>
      <c r="AA278" s="50" t="s">
        <v>77</v>
      </c>
      <c r="AB278" s="38">
        <v>10414.0</v>
      </c>
      <c r="AC278" s="48">
        <f t="shared" si="33"/>
        <v>2663</v>
      </c>
      <c r="AD278" s="51">
        <f t="shared" si="34"/>
        <v>0.7442865374</v>
      </c>
    </row>
    <row r="279">
      <c r="A279" s="24"/>
      <c r="B279" s="46" t="s">
        <v>2819</v>
      </c>
      <c r="C279" s="47"/>
      <c r="D279" s="38">
        <v>1155.0</v>
      </c>
      <c r="E279" s="38">
        <v>2144.0</v>
      </c>
      <c r="F279" s="38">
        <v>388.0</v>
      </c>
      <c r="G279" s="38">
        <v>294.0</v>
      </c>
      <c r="H279" s="38">
        <v>327.0</v>
      </c>
      <c r="I279" s="48">
        <f t="shared" si="21"/>
        <v>3687</v>
      </c>
      <c r="J279" s="48">
        <f t="shared" si="22"/>
        <v>4308</v>
      </c>
      <c r="K279" s="49">
        <f t="shared" si="23"/>
        <v>0.3132628153</v>
      </c>
      <c r="L279" s="49">
        <f t="shared" si="24"/>
        <v>0.5815025766</v>
      </c>
      <c r="M279" s="49">
        <f t="shared" si="25"/>
        <v>0.1052346081</v>
      </c>
      <c r="N279" s="32" t="str">
        <f t="shared" si="26"/>
        <v>Mal. Lott</v>
      </c>
      <c r="O279" s="50" t="s">
        <v>77</v>
      </c>
      <c r="P279" s="38">
        <v>2018.0</v>
      </c>
      <c r="Q279" s="38">
        <v>1020.0</v>
      </c>
      <c r="R279" s="38">
        <v>313.0</v>
      </c>
      <c r="S279" s="38">
        <v>772.0</v>
      </c>
      <c r="T279" s="38">
        <v>185.0</v>
      </c>
      <c r="U279" s="48">
        <f t="shared" si="27"/>
        <v>3351</v>
      </c>
      <c r="V279" s="48">
        <f t="shared" si="28"/>
        <v>4308</v>
      </c>
      <c r="W279" s="49">
        <f t="shared" si="29"/>
        <v>0.602208296</v>
      </c>
      <c r="X279" s="49">
        <f t="shared" si="30"/>
        <v>0.3043867502</v>
      </c>
      <c r="Y279" s="49">
        <f t="shared" si="31"/>
        <v>0.09340495375</v>
      </c>
      <c r="Z279" s="32" t="str">
        <f t="shared" si="32"/>
        <v>Jango</v>
      </c>
      <c r="AA279" s="50" t="s">
        <v>77</v>
      </c>
      <c r="AB279" s="38">
        <v>6982.0</v>
      </c>
      <c r="AC279" s="48">
        <f t="shared" si="33"/>
        <v>2674</v>
      </c>
      <c r="AD279" s="51">
        <f t="shared" si="34"/>
        <v>0.6170151819</v>
      </c>
    </row>
    <row r="280">
      <c r="A280" s="61" t="s">
        <v>2491</v>
      </c>
      <c r="B280" s="46" t="s">
        <v>2820</v>
      </c>
      <c r="C280" s="47"/>
      <c r="D280" s="38">
        <v>2969.0</v>
      </c>
      <c r="E280" s="38">
        <v>2557.0</v>
      </c>
      <c r="F280" s="38">
        <v>298.0</v>
      </c>
      <c r="G280" s="38">
        <v>305.0</v>
      </c>
      <c r="H280" s="38">
        <v>328.0</v>
      </c>
      <c r="I280" s="48">
        <f t="shared" si="21"/>
        <v>5824</v>
      </c>
      <c r="J280" s="48">
        <f t="shared" si="22"/>
        <v>6457</v>
      </c>
      <c r="K280" s="49">
        <f t="shared" si="23"/>
        <v>0.5097870879</v>
      </c>
      <c r="L280" s="49">
        <f t="shared" si="24"/>
        <v>0.4390453297</v>
      </c>
      <c r="M280" s="49">
        <f t="shared" si="25"/>
        <v>0.05116758242</v>
      </c>
      <c r="N280" s="32" t="str">
        <f t="shared" si="26"/>
        <v>Jânio</v>
      </c>
      <c r="O280" s="50" t="s">
        <v>77</v>
      </c>
      <c r="P280" s="38">
        <v>2562.0</v>
      </c>
      <c r="Q280" s="38">
        <v>2671.0</v>
      </c>
      <c r="R280" s="38">
        <v>284.0</v>
      </c>
      <c r="S280" s="38">
        <v>725.0</v>
      </c>
      <c r="T280" s="38">
        <v>215.0</v>
      </c>
      <c r="U280" s="48">
        <f t="shared" si="27"/>
        <v>5517</v>
      </c>
      <c r="V280" s="48">
        <f t="shared" si="28"/>
        <v>6457</v>
      </c>
      <c r="W280" s="49">
        <f t="shared" si="29"/>
        <v>0.4643828167</v>
      </c>
      <c r="X280" s="49">
        <f t="shared" si="30"/>
        <v>0.4841399311</v>
      </c>
      <c r="Y280" s="49">
        <f t="shared" si="31"/>
        <v>0.05147725213</v>
      </c>
      <c r="Z280" s="32" t="str">
        <f t="shared" si="32"/>
        <v>Milton</v>
      </c>
      <c r="AA280" s="50" t="s">
        <v>77</v>
      </c>
      <c r="AB280" s="38">
        <v>8254.0</v>
      </c>
      <c r="AC280" s="48">
        <f t="shared" si="33"/>
        <v>1797</v>
      </c>
      <c r="AD280" s="51">
        <f t="shared" si="34"/>
        <v>0.7822873758</v>
      </c>
    </row>
    <row r="281">
      <c r="A281" s="24"/>
      <c r="B281" s="46" t="s">
        <v>2821</v>
      </c>
      <c r="C281" s="47"/>
      <c r="D281" s="38">
        <v>799.0</v>
      </c>
      <c r="E281" s="38">
        <v>684.0</v>
      </c>
      <c r="F281" s="38">
        <v>194.0</v>
      </c>
      <c r="G281" s="38">
        <v>64.0</v>
      </c>
      <c r="H281" s="38">
        <v>79.0</v>
      </c>
      <c r="I281" s="48">
        <f t="shared" si="21"/>
        <v>1677</v>
      </c>
      <c r="J281" s="48">
        <f t="shared" si="22"/>
        <v>1820</v>
      </c>
      <c r="K281" s="49">
        <f t="shared" si="23"/>
        <v>0.4764460346</v>
      </c>
      <c r="L281" s="49">
        <f t="shared" si="24"/>
        <v>0.4078711986</v>
      </c>
      <c r="M281" s="49">
        <f t="shared" si="25"/>
        <v>0.1156827668</v>
      </c>
      <c r="N281" s="32" t="str">
        <f t="shared" si="26"/>
        <v>Jânio</v>
      </c>
      <c r="O281" s="50" t="s">
        <v>77</v>
      </c>
      <c r="P281" s="38">
        <v>733.0</v>
      </c>
      <c r="Q281" s="38">
        <v>695.0</v>
      </c>
      <c r="R281" s="38">
        <v>134.0</v>
      </c>
      <c r="S281" s="38">
        <v>185.0</v>
      </c>
      <c r="T281" s="38">
        <v>73.0</v>
      </c>
      <c r="U281" s="48">
        <f t="shared" si="27"/>
        <v>1562</v>
      </c>
      <c r="V281" s="48">
        <f t="shared" si="28"/>
        <v>1820</v>
      </c>
      <c r="W281" s="49">
        <f t="shared" si="29"/>
        <v>0.4692701665</v>
      </c>
      <c r="X281" s="49">
        <f t="shared" si="30"/>
        <v>0.4449423816</v>
      </c>
      <c r="Y281" s="49">
        <f t="shared" si="31"/>
        <v>0.08578745198</v>
      </c>
      <c r="Z281" s="32" t="str">
        <f t="shared" si="32"/>
        <v>Jango</v>
      </c>
      <c r="AA281" s="50" t="s">
        <v>77</v>
      </c>
      <c r="AB281" s="38">
        <v>2357.0</v>
      </c>
      <c r="AC281" s="48">
        <f t="shared" si="33"/>
        <v>537</v>
      </c>
      <c r="AD281" s="51">
        <f t="shared" si="34"/>
        <v>0.7721680102</v>
      </c>
    </row>
    <row r="282">
      <c r="A282" s="61" t="s">
        <v>2494</v>
      </c>
      <c r="B282" s="46" t="s">
        <v>2822</v>
      </c>
      <c r="C282" s="47"/>
      <c r="D282" s="38">
        <v>3698.0</v>
      </c>
      <c r="E282" s="38">
        <v>1988.0</v>
      </c>
      <c r="F282" s="38">
        <v>334.0</v>
      </c>
      <c r="G282" s="38">
        <v>269.0</v>
      </c>
      <c r="H282" s="38">
        <v>362.0</v>
      </c>
      <c r="I282" s="48">
        <f t="shared" si="21"/>
        <v>6020</v>
      </c>
      <c r="J282" s="48">
        <f t="shared" si="22"/>
        <v>6651</v>
      </c>
      <c r="K282" s="49">
        <f t="shared" si="23"/>
        <v>0.6142857143</v>
      </c>
      <c r="L282" s="49">
        <f t="shared" si="24"/>
        <v>0.3302325581</v>
      </c>
      <c r="M282" s="49">
        <f t="shared" si="25"/>
        <v>0.05548172757</v>
      </c>
      <c r="N282" s="32" t="str">
        <f t="shared" si="26"/>
        <v>Jânio</v>
      </c>
      <c r="O282" s="50" t="s">
        <v>77</v>
      </c>
      <c r="P282" s="38">
        <v>1989.0</v>
      </c>
      <c r="Q282" s="38">
        <v>3208.0</v>
      </c>
      <c r="R282" s="38">
        <v>452.0</v>
      </c>
      <c r="S282" s="38">
        <v>790.0</v>
      </c>
      <c r="T282" s="38">
        <v>212.0</v>
      </c>
      <c r="U282" s="48">
        <f t="shared" si="27"/>
        <v>5649</v>
      </c>
      <c r="V282" s="48">
        <f t="shared" si="28"/>
        <v>6651</v>
      </c>
      <c r="W282" s="49">
        <f t="shared" si="29"/>
        <v>0.3520977164</v>
      </c>
      <c r="X282" s="49">
        <f t="shared" si="30"/>
        <v>0.5678881218</v>
      </c>
      <c r="Y282" s="49">
        <f t="shared" si="31"/>
        <v>0.0800141618</v>
      </c>
      <c r="Z282" s="32" t="str">
        <f t="shared" si="32"/>
        <v>Milton</v>
      </c>
      <c r="AA282" s="50" t="s">
        <v>77</v>
      </c>
      <c r="AB282" s="38">
        <v>9202.0</v>
      </c>
      <c r="AC282" s="48">
        <f t="shared" si="33"/>
        <v>2551</v>
      </c>
      <c r="AD282" s="51">
        <f t="shared" si="34"/>
        <v>0.722777657</v>
      </c>
    </row>
    <row r="283">
      <c r="A283" s="24"/>
      <c r="B283" s="46" t="s">
        <v>2823</v>
      </c>
      <c r="C283" s="47"/>
      <c r="D283" s="38">
        <v>1731.0</v>
      </c>
      <c r="E283" s="38">
        <v>1039.0</v>
      </c>
      <c r="F283" s="55">
        <v>104.0</v>
      </c>
      <c r="G283" s="38">
        <v>151.0</v>
      </c>
      <c r="H283" s="38">
        <v>188.0</v>
      </c>
      <c r="I283" s="48">
        <f t="shared" si="21"/>
        <v>2874</v>
      </c>
      <c r="J283" s="114">
        <f t="shared" si="22"/>
        <v>3213</v>
      </c>
      <c r="K283" s="49">
        <f t="shared" si="23"/>
        <v>0.6022964509</v>
      </c>
      <c r="L283" s="49">
        <f t="shared" si="24"/>
        <v>0.3615170494</v>
      </c>
      <c r="M283" s="49">
        <f t="shared" si="25"/>
        <v>0.03618649965</v>
      </c>
      <c r="N283" s="32" t="str">
        <f t="shared" si="26"/>
        <v>Jânio</v>
      </c>
      <c r="O283" s="50" t="s">
        <v>77</v>
      </c>
      <c r="P283" s="38">
        <v>1078.0</v>
      </c>
      <c r="Q283" s="38">
        <v>1471.0</v>
      </c>
      <c r="R283" s="38">
        <v>100.0</v>
      </c>
      <c r="S283" s="38">
        <v>487.0</v>
      </c>
      <c r="T283" s="38">
        <v>77.0</v>
      </c>
      <c r="U283" s="48">
        <f t="shared" si="27"/>
        <v>2649</v>
      </c>
      <c r="V283" s="48">
        <f t="shared" si="28"/>
        <v>3213</v>
      </c>
      <c r="W283" s="49">
        <f t="shared" si="29"/>
        <v>0.4069460174</v>
      </c>
      <c r="X283" s="49">
        <f t="shared" si="30"/>
        <v>0.5553038883</v>
      </c>
      <c r="Y283" s="49">
        <f t="shared" si="31"/>
        <v>0.03775009438</v>
      </c>
      <c r="Z283" s="32" t="str">
        <f t="shared" si="32"/>
        <v>Milton</v>
      </c>
      <c r="AA283" s="50" t="s">
        <v>77</v>
      </c>
      <c r="AB283" s="38">
        <v>4250.0</v>
      </c>
      <c r="AC283" s="48">
        <f t="shared" si="33"/>
        <v>1037</v>
      </c>
      <c r="AD283" s="51">
        <f t="shared" si="34"/>
        <v>0.756</v>
      </c>
    </row>
    <row r="284">
      <c r="A284" s="61" t="s">
        <v>2498</v>
      </c>
      <c r="B284" s="46" t="s">
        <v>2824</v>
      </c>
      <c r="C284" s="47"/>
      <c r="D284" s="38">
        <v>1261.0</v>
      </c>
      <c r="E284" s="38">
        <v>1372.0</v>
      </c>
      <c r="F284" s="38">
        <v>208.0</v>
      </c>
      <c r="G284" s="38">
        <v>143.0</v>
      </c>
      <c r="H284" s="38">
        <v>144.0</v>
      </c>
      <c r="I284" s="48">
        <f t="shared" si="21"/>
        <v>2841</v>
      </c>
      <c r="J284" s="48">
        <f t="shared" si="22"/>
        <v>3128</v>
      </c>
      <c r="K284" s="49">
        <f t="shared" si="23"/>
        <v>0.4438577966</v>
      </c>
      <c r="L284" s="49">
        <f t="shared" si="24"/>
        <v>0.4829285463</v>
      </c>
      <c r="M284" s="49">
        <f t="shared" si="25"/>
        <v>0.07321365716</v>
      </c>
      <c r="N284" s="32" t="str">
        <f t="shared" si="26"/>
        <v>Mal. Lott</v>
      </c>
      <c r="O284" s="50" t="s">
        <v>77</v>
      </c>
      <c r="P284" s="38">
        <v>1366.0</v>
      </c>
      <c r="Q284" s="38">
        <v>1196.0</v>
      </c>
      <c r="R284" s="38">
        <v>174.0</v>
      </c>
      <c r="S284" s="38">
        <v>307.0</v>
      </c>
      <c r="T284" s="38">
        <v>85.0</v>
      </c>
      <c r="U284" s="48">
        <f t="shared" si="27"/>
        <v>2736</v>
      </c>
      <c r="V284" s="48">
        <f t="shared" si="28"/>
        <v>3128</v>
      </c>
      <c r="W284" s="49">
        <f t="shared" si="29"/>
        <v>0.4992690058</v>
      </c>
      <c r="X284" s="49">
        <f t="shared" si="30"/>
        <v>0.4371345029</v>
      </c>
      <c r="Y284" s="49">
        <f t="shared" si="31"/>
        <v>0.06359649123</v>
      </c>
      <c r="Z284" s="32" t="str">
        <f t="shared" si="32"/>
        <v>Jango</v>
      </c>
      <c r="AA284" s="50" t="s">
        <v>77</v>
      </c>
      <c r="AB284" s="38">
        <v>3501.0</v>
      </c>
      <c r="AC284" s="48">
        <f t="shared" si="33"/>
        <v>373</v>
      </c>
      <c r="AD284" s="51">
        <f t="shared" si="34"/>
        <v>0.8934590117</v>
      </c>
    </row>
    <row r="285">
      <c r="A285" s="24"/>
      <c r="B285" s="46" t="s">
        <v>2825</v>
      </c>
      <c r="C285" s="47"/>
      <c r="D285" s="38">
        <v>366.0</v>
      </c>
      <c r="E285" s="38">
        <v>404.0</v>
      </c>
      <c r="F285" s="38">
        <v>203.0</v>
      </c>
      <c r="G285" s="38">
        <v>59.0</v>
      </c>
      <c r="H285" s="38">
        <v>59.0</v>
      </c>
      <c r="I285" s="48">
        <f t="shared" si="21"/>
        <v>973</v>
      </c>
      <c r="J285" s="48">
        <f t="shared" si="22"/>
        <v>1091</v>
      </c>
      <c r="K285" s="49">
        <f t="shared" si="23"/>
        <v>0.3761562179</v>
      </c>
      <c r="L285" s="49">
        <f t="shared" si="24"/>
        <v>0.4152106886</v>
      </c>
      <c r="M285" s="49">
        <f t="shared" si="25"/>
        <v>0.2086330935</v>
      </c>
      <c r="N285" s="32" t="str">
        <f t="shared" si="26"/>
        <v>Mal. Lott</v>
      </c>
      <c r="O285" s="50" t="s">
        <v>77</v>
      </c>
      <c r="P285" s="38">
        <v>470.0</v>
      </c>
      <c r="Q285" s="38">
        <v>317.0</v>
      </c>
      <c r="R285" s="38">
        <v>105.0</v>
      </c>
      <c r="S285" s="38">
        <v>155.0</v>
      </c>
      <c r="T285" s="38">
        <v>44.0</v>
      </c>
      <c r="U285" s="48">
        <f t="shared" si="27"/>
        <v>892</v>
      </c>
      <c r="V285" s="48">
        <f t="shared" si="28"/>
        <v>1091</v>
      </c>
      <c r="W285" s="49">
        <f t="shared" si="29"/>
        <v>0.5269058296</v>
      </c>
      <c r="X285" s="49">
        <f t="shared" si="30"/>
        <v>0.3553811659</v>
      </c>
      <c r="Y285" s="49">
        <f t="shared" si="31"/>
        <v>0.1177130045</v>
      </c>
      <c r="Z285" s="32" t="str">
        <f t="shared" si="32"/>
        <v>Jango</v>
      </c>
      <c r="AA285" s="50" t="s">
        <v>77</v>
      </c>
      <c r="AB285" s="38">
        <v>1251.0</v>
      </c>
      <c r="AC285" s="48">
        <f t="shared" si="33"/>
        <v>160</v>
      </c>
      <c r="AD285" s="51">
        <f t="shared" si="34"/>
        <v>0.8721023181</v>
      </c>
    </row>
    <row r="286">
      <c r="A286" s="110" t="s">
        <v>2501</v>
      </c>
      <c r="B286" s="46" t="s">
        <v>2826</v>
      </c>
      <c r="C286" s="47"/>
      <c r="D286" s="38">
        <v>2770.0</v>
      </c>
      <c r="E286" s="38">
        <v>2988.0</v>
      </c>
      <c r="F286" s="38">
        <v>807.0</v>
      </c>
      <c r="G286" s="38">
        <v>416.0</v>
      </c>
      <c r="H286" s="38">
        <v>481.0</v>
      </c>
      <c r="I286" s="48">
        <f t="shared" si="21"/>
        <v>6565</v>
      </c>
      <c r="J286" s="48">
        <f t="shared" si="22"/>
        <v>7462</v>
      </c>
      <c r="K286" s="49">
        <f t="shared" si="23"/>
        <v>0.4219345011</v>
      </c>
      <c r="L286" s="49">
        <f t="shared" si="24"/>
        <v>0.4551408987</v>
      </c>
      <c r="M286" s="49">
        <f t="shared" si="25"/>
        <v>0.1229246002</v>
      </c>
      <c r="N286" s="32" t="str">
        <f t="shared" si="26"/>
        <v>Mal. Lott</v>
      </c>
      <c r="O286" s="50" t="s">
        <v>77</v>
      </c>
      <c r="P286" s="38">
        <v>3339.0</v>
      </c>
      <c r="Q286" s="38">
        <v>2761.0</v>
      </c>
      <c r="R286" s="38">
        <v>284.0</v>
      </c>
      <c r="S286" s="38">
        <v>771.0</v>
      </c>
      <c r="T286" s="38">
        <v>307.0</v>
      </c>
      <c r="U286" s="48">
        <f t="shared" si="27"/>
        <v>6384</v>
      </c>
      <c r="V286" s="48">
        <f t="shared" si="28"/>
        <v>7462</v>
      </c>
      <c r="W286" s="49">
        <f t="shared" si="29"/>
        <v>0.5230263158</v>
      </c>
      <c r="X286" s="49">
        <f t="shared" si="30"/>
        <v>0.4324874687</v>
      </c>
      <c r="Y286" s="49">
        <f t="shared" si="31"/>
        <v>0.04448621554</v>
      </c>
      <c r="Z286" s="32" t="str">
        <f t="shared" si="32"/>
        <v>Jango</v>
      </c>
      <c r="AA286" s="50" t="s">
        <v>77</v>
      </c>
      <c r="AB286" s="38">
        <v>9921.0</v>
      </c>
      <c r="AC286" s="48">
        <f t="shared" si="33"/>
        <v>2459</v>
      </c>
      <c r="AD286" s="51">
        <f t="shared" si="34"/>
        <v>0.7521419212</v>
      </c>
    </row>
    <row r="287">
      <c r="A287" s="110" t="s">
        <v>2504</v>
      </c>
      <c r="B287" s="46" t="s">
        <v>2827</v>
      </c>
      <c r="C287" s="47"/>
      <c r="D287" s="38">
        <v>1248.0</v>
      </c>
      <c r="E287" s="38">
        <v>813.0</v>
      </c>
      <c r="F287" s="38">
        <v>308.0</v>
      </c>
      <c r="G287" s="38">
        <v>393.0</v>
      </c>
      <c r="H287" s="38">
        <v>386.0</v>
      </c>
      <c r="I287" s="48">
        <f t="shared" si="21"/>
        <v>2369</v>
      </c>
      <c r="J287" s="48">
        <f t="shared" si="22"/>
        <v>3148</v>
      </c>
      <c r="K287" s="49">
        <f t="shared" si="23"/>
        <v>0.5268045589</v>
      </c>
      <c r="L287" s="49">
        <f t="shared" si="24"/>
        <v>0.3431827775</v>
      </c>
      <c r="M287" s="49">
        <f t="shared" si="25"/>
        <v>0.1300126636</v>
      </c>
      <c r="N287" s="32" t="str">
        <f t="shared" si="26"/>
        <v>Jânio</v>
      </c>
      <c r="O287" s="50" t="s">
        <v>77</v>
      </c>
      <c r="P287" s="38">
        <v>781.0</v>
      </c>
      <c r="Q287" s="38">
        <v>1142.0</v>
      </c>
      <c r="R287" s="38">
        <v>155.0</v>
      </c>
      <c r="S287" s="38">
        <v>839.0</v>
      </c>
      <c r="T287" s="38">
        <v>231.0</v>
      </c>
      <c r="U287" s="48">
        <f t="shared" si="27"/>
        <v>2078</v>
      </c>
      <c r="V287" s="48">
        <f t="shared" si="28"/>
        <v>3148</v>
      </c>
      <c r="W287" s="49">
        <f t="shared" si="29"/>
        <v>0.3758421559</v>
      </c>
      <c r="X287" s="49">
        <f t="shared" si="30"/>
        <v>0.5495668912</v>
      </c>
      <c r="Y287" s="49">
        <f t="shared" si="31"/>
        <v>0.07459095284</v>
      </c>
      <c r="Z287" s="32" t="str">
        <f t="shared" si="32"/>
        <v>Milton</v>
      </c>
      <c r="AA287" s="50" t="s">
        <v>77</v>
      </c>
      <c r="AB287" s="38">
        <v>3831.0</v>
      </c>
      <c r="AC287" s="48">
        <f t="shared" si="33"/>
        <v>683</v>
      </c>
      <c r="AD287" s="51">
        <f t="shared" si="34"/>
        <v>0.8217175672</v>
      </c>
    </row>
    <row r="288">
      <c r="A288" s="61" t="s">
        <v>2507</v>
      </c>
      <c r="B288" s="46" t="s">
        <v>2828</v>
      </c>
      <c r="C288" s="47"/>
      <c r="D288" s="38">
        <v>765.0</v>
      </c>
      <c r="E288" s="38">
        <v>826.0</v>
      </c>
      <c r="F288" s="38">
        <v>291.0</v>
      </c>
      <c r="G288" s="38">
        <v>67.0</v>
      </c>
      <c r="H288" s="38">
        <v>84.0</v>
      </c>
      <c r="I288" s="48">
        <f t="shared" si="21"/>
        <v>1882</v>
      </c>
      <c r="J288" s="48">
        <f t="shared" si="22"/>
        <v>2033</v>
      </c>
      <c r="K288" s="49">
        <f t="shared" si="23"/>
        <v>0.4064824655</v>
      </c>
      <c r="L288" s="49">
        <f t="shared" si="24"/>
        <v>0.4388947928</v>
      </c>
      <c r="M288" s="49">
        <f t="shared" si="25"/>
        <v>0.1546227418</v>
      </c>
      <c r="N288" s="32" t="str">
        <f t="shared" si="26"/>
        <v>Mal. Lott</v>
      </c>
      <c r="O288" s="50" t="s">
        <v>77</v>
      </c>
      <c r="P288" s="38">
        <v>784.0</v>
      </c>
      <c r="Q288" s="38">
        <v>764.0</v>
      </c>
      <c r="R288" s="38">
        <v>235.0</v>
      </c>
      <c r="S288" s="38">
        <v>175.0</v>
      </c>
      <c r="T288" s="38">
        <v>75.0</v>
      </c>
      <c r="U288" s="48">
        <f t="shared" si="27"/>
        <v>1783</v>
      </c>
      <c r="V288" s="48">
        <f t="shared" si="28"/>
        <v>2033</v>
      </c>
      <c r="W288" s="49">
        <f t="shared" si="29"/>
        <v>0.4397083567</v>
      </c>
      <c r="X288" s="49">
        <f t="shared" si="30"/>
        <v>0.4284913068</v>
      </c>
      <c r="Y288" s="49">
        <f t="shared" si="31"/>
        <v>0.1318003365</v>
      </c>
      <c r="Z288" s="32" t="str">
        <f t="shared" si="32"/>
        <v>Jango</v>
      </c>
      <c r="AA288" s="50" t="s">
        <v>77</v>
      </c>
      <c r="AB288" s="38">
        <v>2249.0</v>
      </c>
      <c r="AC288" s="48">
        <f t="shared" si="33"/>
        <v>216</v>
      </c>
      <c r="AD288" s="51">
        <f t="shared" si="34"/>
        <v>0.9039573144</v>
      </c>
    </row>
    <row r="289">
      <c r="A289" s="24"/>
      <c r="B289" s="46" t="s">
        <v>2829</v>
      </c>
      <c r="C289" s="47"/>
      <c r="D289" s="38">
        <v>236.0</v>
      </c>
      <c r="E289" s="38">
        <v>227.0</v>
      </c>
      <c r="F289" s="38">
        <v>51.0</v>
      </c>
      <c r="G289" s="38">
        <v>26.0</v>
      </c>
      <c r="H289" s="38">
        <v>56.0</v>
      </c>
      <c r="I289" s="48">
        <f t="shared" si="21"/>
        <v>514</v>
      </c>
      <c r="J289" s="48">
        <f t="shared" si="22"/>
        <v>596</v>
      </c>
      <c r="K289" s="49">
        <f t="shared" si="23"/>
        <v>0.4591439689</v>
      </c>
      <c r="L289" s="49">
        <f t="shared" si="24"/>
        <v>0.4416342412</v>
      </c>
      <c r="M289" s="49">
        <f t="shared" si="25"/>
        <v>0.09922178988</v>
      </c>
      <c r="N289" s="32" t="str">
        <f t="shared" si="26"/>
        <v>Jânio</v>
      </c>
      <c r="O289" s="50" t="s">
        <v>77</v>
      </c>
      <c r="P289" s="55">
        <v>219.0</v>
      </c>
      <c r="Q289" s="38">
        <v>217.0</v>
      </c>
      <c r="R289" s="38">
        <v>56.0</v>
      </c>
      <c r="S289" s="38">
        <v>66.0</v>
      </c>
      <c r="T289" s="38">
        <v>38.0</v>
      </c>
      <c r="U289" s="48">
        <f t="shared" si="27"/>
        <v>492</v>
      </c>
      <c r="V289" s="114">
        <f t="shared" si="28"/>
        <v>596</v>
      </c>
      <c r="W289" s="49">
        <f t="shared" si="29"/>
        <v>0.4451219512</v>
      </c>
      <c r="X289" s="49">
        <f t="shared" si="30"/>
        <v>0.4410569106</v>
      </c>
      <c r="Y289" s="49">
        <f t="shared" si="31"/>
        <v>0.1138211382</v>
      </c>
      <c r="Z289" s="32" t="str">
        <f t="shared" si="32"/>
        <v>Jango</v>
      </c>
      <c r="AA289" s="50" t="s">
        <v>77</v>
      </c>
      <c r="AB289" s="38">
        <v>678.0</v>
      </c>
      <c r="AC289" s="48">
        <f t="shared" si="33"/>
        <v>82</v>
      </c>
      <c r="AD289" s="51">
        <f t="shared" si="34"/>
        <v>0.8790560472</v>
      </c>
    </row>
    <row r="290">
      <c r="A290" s="61" t="s">
        <v>2510</v>
      </c>
      <c r="B290" s="46" t="s">
        <v>2830</v>
      </c>
      <c r="C290" s="47"/>
      <c r="D290" s="38">
        <v>723.0</v>
      </c>
      <c r="E290" s="38">
        <v>1034.0</v>
      </c>
      <c r="F290" s="38">
        <v>260.0</v>
      </c>
      <c r="G290" s="38">
        <v>192.0</v>
      </c>
      <c r="H290" s="38">
        <v>187.0</v>
      </c>
      <c r="I290" s="48">
        <f t="shared" si="21"/>
        <v>2017</v>
      </c>
      <c r="J290" s="48">
        <f t="shared" si="22"/>
        <v>2396</v>
      </c>
      <c r="K290" s="49">
        <f t="shared" si="23"/>
        <v>0.3584531482</v>
      </c>
      <c r="L290" s="49">
        <f t="shared" si="24"/>
        <v>0.5126425384</v>
      </c>
      <c r="M290" s="49">
        <f t="shared" si="25"/>
        <v>0.1289043133</v>
      </c>
      <c r="N290" s="32" t="str">
        <f t="shared" si="26"/>
        <v>Mal. Lott</v>
      </c>
      <c r="O290" s="50" t="s">
        <v>77</v>
      </c>
      <c r="P290" s="38">
        <v>953.0</v>
      </c>
      <c r="Q290" s="38">
        <v>766.0</v>
      </c>
      <c r="R290" s="38">
        <v>166.0</v>
      </c>
      <c r="S290" s="38">
        <v>377.0</v>
      </c>
      <c r="T290" s="38">
        <v>134.0</v>
      </c>
      <c r="U290" s="48">
        <f t="shared" si="27"/>
        <v>1885</v>
      </c>
      <c r="V290" s="48">
        <f t="shared" si="28"/>
        <v>2396</v>
      </c>
      <c r="W290" s="49">
        <f t="shared" si="29"/>
        <v>0.5055702918</v>
      </c>
      <c r="X290" s="49">
        <f t="shared" si="30"/>
        <v>0.4063660477</v>
      </c>
      <c r="Y290" s="49">
        <f t="shared" si="31"/>
        <v>0.08806366048</v>
      </c>
      <c r="Z290" s="32" t="str">
        <f t="shared" si="32"/>
        <v>Jango</v>
      </c>
      <c r="AA290" s="50" t="s">
        <v>77</v>
      </c>
      <c r="AB290" s="38">
        <v>3055.0</v>
      </c>
      <c r="AC290" s="48">
        <f t="shared" si="33"/>
        <v>659</v>
      </c>
      <c r="AD290" s="51">
        <f t="shared" si="34"/>
        <v>0.7842880524</v>
      </c>
    </row>
    <row r="291">
      <c r="A291" s="24"/>
      <c r="B291" s="46" t="s">
        <v>2831</v>
      </c>
      <c r="C291" s="47"/>
      <c r="D291" s="38">
        <v>383.0</v>
      </c>
      <c r="E291" s="38">
        <v>655.0</v>
      </c>
      <c r="F291" s="38">
        <v>65.0</v>
      </c>
      <c r="G291" s="38">
        <v>116.0</v>
      </c>
      <c r="H291" s="38">
        <v>82.0</v>
      </c>
      <c r="I291" s="48">
        <f t="shared" si="21"/>
        <v>1103</v>
      </c>
      <c r="J291" s="48">
        <f t="shared" si="22"/>
        <v>1301</v>
      </c>
      <c r="K291" s="49">
        <f t="shared" si="23"/>
        <v>0.3472348141</v>
      </c>
      <c r="L291" s="49">
        <f t="shared" si="24"/>
        <v>0.5938349955</v>
      </c>
      <c r="M291" s="49">
        <f t="shared" si="25"/>
        <v>0.05893019039</v>
      </c>
      <c r="N291" s="32" t="str">
        <f t="shared" si="26"/>
        <v>Mal. Lott</v>
      </c>
      <c r="O291" s="50" t="s">
        <v>77</v>
      </c>
      <c r="P291" s="38">
        <v>584.0</v>
      </c>
      <c r="Q291" s="38">
        <v>435.0</v>
      </c>
      <c r="R291" s="38">
        <v>49.0</v>
      </c>
      <c r="S291" s="38">
        <v>167.0</v>
      </c>
      <c r="T291" s="38">
        <v>66.0</v>
      </c>
      <c r="U291" s="48">
        <f t="shared" si="27"/>
        <v>1068</v>
      </c>
      <c r="V291" s="48">
        <f t="shared" si="28"/>
        <v>1301</v>
      </c>
      <c r="W291" s="49">
        <f t="shared" si="29"/>
        <v>0.5468164794</v>
      </c>
      <c r="X291" s="49">
        <f t="shared" si="30"/>
        <v>0.4073033708</v>
      </c>
      <c r="Y291" s="49">
        <f t="shared" si="31"/>
        <v>0.04588014981</v>
      </c>
      <c r="Z291" s="32" t="str">
        <f t="shared" si="32"/>
        <v>Jango</v>
      </c>
      <c r="AA291" s="50" t="s">
        <v>77</v>
      </c>
      <c r="AB291" s="38">
        <v>1581.0</v>
      </c>
      <c r="AC291" s="48">
        <f t="shared" si="33"/>
        <v>280</v>
      </c>
      <c r="AD291" s="51">
        <f t="shared" si="34"/>
        <v>0.8228969007</v>
      </c>
    </row>
    <row r="292">
      <c r="A292" s="61" t="s">
        <v>2512</v>
      </c>
      <c r="B292" s="46" t="s">
        <v>2832</v>
      </c>
      <c r="C292" s="47"/>
      <c r="D292" s="38">
        <v>935.0</v>
      </c>
      <c r="E292" s="38">
        <v>1092.0</v>
      </c>
      <c r="F292" s="38">
        <v>182.0</v>
      </c>
      <c r="G292" s="38">
        <v>125.0</v>
      </c>
      <c r="H292" s="38">
        <v>141.0</v>
      </c>
      <c r="I292" s="48">
        <f t="shared" si="21"/>
        <v>2209</v>
      </c>
      <c r="J292" s="48">
        <f t="shared" si="22"/>
        <v>2475</v>
      </c>
      <c r="K292" s="49">
        <f t="shared" si="23"/>
        <v>0.4232684473</v>
      </c>
      <c r="L292" s="49">
        <f t="shared" si="24"/>
        <v>0.4943413309</v>
      </c>
      <c r="M292" s="49">
        <f t="shared" si="25"/>
        <v>0.08239022182</v>
      </c>
      <c r="N292" s="32" t="str">
        <f t="shared" si="26"/>
        <v>Mal. Lott</v>
      </c>
      <c r="O292" s="50" t="s">
        <v>77</v>
      </c>
      <c r="P292" s="38">
        <v>989.0</v>
      </c>
      <c r="Q292" s="38">
        <v>1047.0</v>
      </c>
      <c r="R292" s="38">
        <v>116.0</v>
      </c>
      <c r="S292" s="38">
        <v>245.0</v>
      </c>
      <c r="T292" s="38">
        <v>78.0</v>
      </c>
      <c r="U292" s="48">
        <f t="shared" si="27"/>
        <v>2152</v>
      </c>
      <c r="V292" s="48">
        <f t="shared" si="28"/>
        <v>2475</v>
      </c>
      <c r="W292" s="49">
        <f t="shared" si="29"/>
        <v>0.4595724907</v>
      </c>
      <c r="X292" s="49">
        <f t="shared" si="30"/>
        <v>0.4865241636</v>
      </c>
      <c r="Y292" s="49">
        <f t="shared" si="31"/>
        <v>0.05390334572</v>
      </c>
      <c r="Z292" s="32" t="str">
        <f t="shared" si="32"/>
        <v>Milton</v>
      </c>
      <c r="AA292" s="50" t="s">
        <v>77</v>
      </c>
      <c r="AB292" s="38">
        <v>4142.0</v>
      </c>
      <c r="AC292" s="48">
        <f t="shared" si="33"/>
        <v>1667</v>
      </c>
      <c r="AD292" s="51">
        <f t="shared" si="34"/>
        <v>0.5975374215</v>
      </c>
    </row>
    <row r="293">
      <c r="A293" s="24"/>
      <c r="B293" s="46" t="s">
        <v>2833</v>
      </c>
      <c r="C293" s="47"/>
      <c r="D293" s="38">
        <v>335.0</v>
      </c>
      <c r="E293" s="38">
        <v>244.0</v>
      </c>
      <c r="F293" s="38">
        <v>46.0</v>
      </c>
      <c r="G293" s="38">
        <v>39.0</v>
      </c>
      <c r="H293" s="38">
        <v>58.0</v>
      </c>
      <c r="I293" s="48">
        <f t="shared" si="21"/>
        <v>625</v>
      </c>
      <c r="J293" s="48">
        <f t="shared" si="22"/>
        <v>722</v>
      </c>
      <c r="K293" s="49">
        <f t="shared" si="23"/>
        <v>0.536</v>
      </c>
      <c r="L293" s="49">
        <f t="shared" si="24"/>
        <v>0.3904</v>
      </c>
      <c r="M293" s="49">
        <f t="shared" si="25"/>
        <v>0.0736</v>
      </c>
      <c r="N293" s="32" t="str">
        <f t="shared" si="26"/>
        <v>Jânio</v>
      </c>
      <c r="O293" s="50" t="s">
        <v>77</v>
      </c>
      <c r="P293" s="38">
        <v>264.0</v>
      </c>
      <c r="Q293" s="38">
        <v>276.0</v>
      </c>
      <c r="R293" s="38">
        <v>47.0</v>
      </c>
      <c r="S293" s="38">
        <v>101.0</v>
      </c>
      <c r="T293" s="38">
        <v>34.0</v>
      </c>
      <c r="U293" s="48">
        <f t="shared" si="27"/>
        <v>587</v>
      </c>
      <c r="V293" s="48">
        <f t="shared" si="28"/>
        <v>722</v>
      </c>
      <c r="W293" s="49">
        <f t="shared" si="29"/>
        <v>0.4497444634</v>
      </c>
      <c r="X293" s="49">
        <f t="shared" si="30"/>
        <v>0.4701873935</v>
      </c>
      <c r="Y293" s="49">
        <f t="shared" si="31"/>
        <v>0.0800681431</v>
      </c>
      <c r="Z293" s="32" t="str">
        <f t="shared" si="32"/>
        <v>Milton</v>
      </c>
      <c r="AA293" s="50" t="s">
        <v>77</v>
      </c>
      <c r="AB293" s="38">
        <v>952.0</v>
      </c>
      <c r="AC293" s="48">
        <f t="shared" si="33"/>
        <v>230</v>
      </c>
      <c r="AD293" s="51">
        <f t="shared" si="34"/>
        <v>0.7584033613</v>
      </c>
    </row>
    <row r="294">
      <c r="A294" s="110" t="s">
        <v>2517</v>
      </c>
      <c r="B294" s="46" t="s">
        <v>2834</v>
      </c>
      <c r="C294" s="47"/>
      <c r="D294" s="38">
        <v>849.0</v>
      </c>
      <c r="E294" s="38">
        <v>1068.0</v>
      </c>
      <c r="F294" s="38">
        <v>223.0</v>
      </c>
      <c r="G294" s="38">
        <v>161.0</v>
      </c>
      <c r="H294" s="38">
        <v>169.0</v>
      </c>
      <c r="I294" s="48">
        <f t="shared" si="21"/>
        <v>2140</v>
      </c>
      <c r="J294" s="48">
        <f t="shared" si="22"/>
        <v>2470</v>
      </c>
      <c r="K294" s="49">
        <f t="shared" si="23"/>
        <v>0.396728972</v>
      </c>
      <c r="L294" s="49">
        <f t="shared" si="24"/>
        <v>0.4990654206</v>
      </c>
      <c r="M294" s="49">
        <f t="shared" si="25"/>
        <v>0.1042056075</v>
      </c>
      <c r="N294" s="32" t="str">
        <f t="shared" si="26"/>
        <v>Mal. Lott</v>
      </c>
      <c r="O294" s="50" t="s">
        <v>77</v>
      </c>
      <c r="P294" s="38">
        <v>945.0</v>
      </c>
      <c r="Q294" s="38">
        <v>738.0</v>
      </c>
      <c r="R294" s="38">
        <v>212.0</v>
      </c>
      <c r="S294" s="38">
        <v>438.0</v>
      </c>
      <c r="T294" s="38">
        <v>137.0</v>
      </c>
      <c r="U294" s="48">
        <f t="shared" si="27"/>
        <v>1895</v>
      </c>
      <c r="V294" s="48">
        <f t="shared" si="28"/>
        <v>2470</v>
      </c>
      <c r="W294" s="49">
        <f t="shared" si="29"/>
        <v>0.4986807388</v>
      </c>
      <c r="X294" s="49">
        <f t="shared" si="30"/>
        <v>0.3894459103</v>
      </c>
      <c r="Y294" s="49">
        <f t="shared" si="31"/>
        <v>0.1118733509</v>
      </c>
      <c r="Z294" s="32" t="str">
        <f t="shared" si="32"/>
        <v>Jango</v>
      </c>
      <c r="AA294" s="50" t="s">
        <v>77</v>
      </c>
      <c r="AB294" s="38">
        <v>3451.0</v>
      </c>
      <c r="AC294" s="48">
        <f t="shared" si="33"/>
        <v>981</v>
      </c>
      <c r="AD294" s="51">
        <f t="shared" si="34"/>
        <v>0.7157345697</v>
      </c>
    </row>
    <row r="295">
      <c r="A295" s="61" t="s">
        <v>2521</v>
      </c>
      <c r="B295" s="46" t="s">
        <v>2835</v>
      </c>
      <c r="C295" s="47"/>
      <c r="D295" s="38">
        <v>726.0</v>
      </c>
      <c r="E295" s="38">
        <v>980.0</v>
      </c>
      <c r="F295" s="38">
        <v>147.0</v>
      </c>
      <c r="G295" s="38">
        <v>168.0</v>
      </c>
      <c r="H295" s="38">
        <v>149.0</v>
      </c>
      <c r="I295" s="48">
        <f t="shared" si="21"/>
        <v>1853</v>
      </c>
      <c r="J295" s="48">
        <f t="shared" si="22"/>
        <v>2170</v>
      </c>
      <c r="K295" s="49">
        <f t="shared" si="23"/>
        <v>0.3917970858</v>
      </c>
      <c r="L295" s="49">
        <f t="shared" si="24"/>
        <v>0.5288720993</v>
      </c>
      <c r="M295" s="49">
        <f t="shared" si="25"/>
        <v>0.07933081489</v>
      </c>
      <c r="N295" s="32" t="str">
        <f t="shared" si="26"/>
        <v>Mal. Lott</v>
      </c>
      <c r="O295" s="50" t="s">
        <v>77</v>
      </c>
      <c r="P295" s="38">
        <v>1008.0</v>
      </c>
      <c r="Q295" s="38">
        <v>671.0</v>
      </c>
      <c r="R295" s="38">
        <v>92.0</v>
      </c>
      <c r="S295" s="38">
        <v>312.0</v>
      </c>
      <c r="T295" s="38">
        <v>87.0</v>
      </c>
      <c r="U295" s="48">
        <f t="shared" si="27"/>
        <v>1771</v>
      </c>
      <c r="V295" s="48">
        <f t="shared" si="28"/>
        <v>2170</v>
      </c>
      <c r="W295" s="49">
        <f t="shared" si="29"/>
        <v>0.5691699605</v>
      </c>
      <c r="X295" s="49">
        <f t="shared" si="30"/>
        <v>0.3788819876</v>
      </c>
      <c r="Y295" s="49">
        <f t="shared" si="31"/>
        <v>0.05194805195</v>
      </c>
      <c r="Z295" s="32" t="str">
        <f t="shared" si="32"/>
        <v>Jango</v>
      </c>
      <c r="AA295" s="50" t="s">
        <v>77</v>
      </c>
      <c r="AB295" s="38">
        <v>2760.0</v>
      </c>
      <c r="AC295" s="48">
        <f t="shared" si="33"/>
        <v>590</v>
      </c>
      <c r="AD295" s="51">
        <f t="shared" si="34"/>
        <v>0.7862318841</v>
      </c>
    </row>
    <row r="296">
      <c r="A296" s="24"/>
      <c r="B296" s="46" t="s">
        <v>2836</v>
      </c>
      <c r="C296" s="47"/>
      <c r="D296" s="38">
        <v>361.0</v>
      </c>
      <c r="E296" s="38">
        <v>323.0</v>
      </c>
      <c r="F296" s="38">
        <v>50.0</v>
      </c>
      <c r="G296" s="38">
        <v>76.0</v>
      </c>
      <c r="H296" s="38">
        <v>79.0</v>
      </c>
      <c r="I296" s="48">
        <f t="shared" si="21"/>
        <v>734</v>
      </c>
      <c r="J296" s="48">
        <f t="shared" si="22"/>
        <v>889</v>
      </c>
      <c r="K296" s="49">
        <f t="shared" si="23"/>
        <v>0.4918256131</v>
      </c>
      <c r="L296" s="49">
        <f t="shared" si="24"/>
        <v>0.4400544959</v>
      </c>
      <c r="M296" s="49">
        <f t="shared" si="25"/>
        <v>0.06811989101</v>
      </c>
      <c r="N296" s="32" t="str">
        <f t="shared" si="26"/>
        <v>Jânio</v>
      </c>
      <c r="O296" s="50" t="s">
        <v>77</v>
      </c>
      <c r="P296" s="38">
        <v>329.0</v>
      </c>
      <c r="Q296" s="38">
        <v>316.0</v>
      </c>
      <c r="R296" s="38">
        <v>45.0</v>
      </c>
      <c r="S296" s="38">
        <v>151.0</v>
      </c>
      <c r="T296" s="38">
        <v>48.0</v>
      </c>
      <c r="U296" s="48">
        <f t="shared" si="27"/>
        <v>690</v>
      </c>
      <c r="V296" s="48">
        <f t="shared" si="28"/>
        <v>889</v>
      </c>
      <c r="W296" s="49">
        <f t="shared" si="29"/>
        <v>0.4768115942</v>
      </c>
      <c r="X296" s="49">
        <f t="shared" si="30"/>
        <v>0.4579710145</v>
      </c>
      <c r="Y296" s="49">
        <f t="shared" si="31"/>
        <v>0.0652173913</v>
      </c>
      <c r="Z296" s="32" t="str">
        <f t="shared" si="32"/>
        <v>Jango</v>
      </c>
      <c r="AA296" s="50" t="s">
        <v>77</v>
      </c>
      <c r="AB296" s="38">
        <v>1246.0</v>
      </c>
      <c r="AC296" s="48">
        <f t="shared" si="33"/>
        <v>357</v>
      </c>
      <c r="AD296" s="51">
        <f t="shared" si="34"/>
        <v>0.7134831461</v>
      </c>
    </row>
    <row r="297">
      <c r="A297" s="61" t="s">
        <v>2524</v>
      </c>
      <c r="B297" s="46" t="s">
        <v>2837</v>
      </c>
      <c r="C297" s="47"/>
      <c r="D297" s="38">
        <v>814.0</v>
      </c>
      <c r="E297" s="38">
        <v>2150.0</v>
      </c>
      <c r="F297" s="38">
        <v>194.0</v>
      </c>
      <c r="G297" s="38">
        <v>176.0</v>
      </c>
      <c r="H297" s="38">
        <v>201.0</v>
      </c>
      <c r="I297" s="48">
        <f t="shared" si="21"/>
        <v>3158</v>
      </c>
      <c r="J297" s="48">
        <f t="shared" si="22"/>
        <v>3535</v>
      </c>
      <c r="K297" s="49">
        <f t="shared" si="23"/>
        <v>0.2577580747</v>
      </c>
      <c r="L297" s="49">
        <f t="shared" si="24"/>
        <v>0.6808106396</v>
      </c>
      <c r="M297" s="49">
        <f t="shared" si="25"/>
        <v>0.06143128562</v>
      </c>
      <c r="N297" s="32" t="str">
        <f t="shared" si="26"/>
        <v>Mal. Lott</v>
      </c>
      <c r="O297" s="50" t="s">
        <v>77</v>
      </c>
      <c r="P297" s="38">
        <v>2034.0</v>
      </c>
      <c r="Q297" s="38">
        <v>650.0</v>
      </c>
      <c r="R297" s="38">
        <v>164.0</v>
      </c>
      <c r="S297" s="38">
        <v>561.0</v>
      </c>
      <c r="T297" s="38">
        <v>126.0</v>
      </c>
      <c r="U297" s="48">
        <f t="shared" si="27"/>
        <v>2848</v>
      </c>
      <c r="V297" s="48">
        <f t="shared" si="28"/>
        <v>3535</v>
      </c>
      <c r="W297" s="49">
        <f t="shared" si="29"/>
        <v>0.7141853933</v>
      </c>
      <c r="X297" s="49">
        <f t="shared" si="30"/>
        <v>0.2282303371</v>
      </c>
      <c r="Y297" s="49">
        <f t="shared" si="31"/>
        <v>0.05758426966</v>
      </c>
      <c r="Z297" s="32" t="str">
        <f t="shared" si="32"/>
        <v>Jango</v>
      </c>
      <c r="AA297" s="50" t="s">
        <v>77</v>
      </c>
      <c r="AB297" s="38">
        <v>5177.0</v>
      </c>
      <c r="AC297" s="48">
        <f t="shared" si="33"/>
        <v>1642</v>
      </c>
      <c r="AD297" s="51">
        <f t="shared" si="34"/>
        <v>0.6828278926</v>
      </c>
    </row>
    <row r="298">
      <c r="A298" s="24"/>
      <c r="B298" s="46" t="s">
        <v>2838</v>
      </c>
      <c r="C298" s="47"/>
      <c r="D298" s="38">
        <v>128.0</v>
      </c>
      <c r="E298" s="38">
        <v>586.0</v>
      </c>
      <c r="F298" s="38">
        <v>13.0</v>
      </c>
      <c r="G298" s="38">
        <v>30.0</v>
      </c>
      <c r="H298" s="38">
        <v>39.0</v>
      </c>
      <c r="I298" s="48">
        <f t="shared" si="21"/>
        <v>727</v>
      </c>
      <c r="J298" s="48">
        <f t="shared" si="22"/>
        <v>796</v>
      </c>
      <c r="K298" s="49">
        <f t="shared" si="23"/>
        <v>0.1760660248</v>
      </c>
      <c r="L298" s="49">
        <f t="shared" si="24"/>
        <v>0.8060522696</v>
      </c>
      <c r="M298" s="49">
        <f t="shared" si="25"/>
        <v>0.01788170564</v>
      </c>
      <c r="N298" s="32" t="str">
        <f t="shared" si="26"/>
        <v>Mal. Lott</v>
      </c>
      <c r="O298" s="50" t="s">
        <v>77</v>
      </c>
      <c r="P298" s="38">
        <v>244.0</v>
      </c>
      <c r="Q298" s="38">
        <v>471.0</v>
      </c>
      <c r="R298" s="38">
        <v>17.0</v>
      </c>
      <c r="S298" s="38">
        <v>42.0</v>
      </c>
      <c r="T298" s="38">
        <v>22.0</v>
      </c>
      <c r="U298" s="48">
        <f t="shared" si="27"/>
        <v>732</v>
      </c>
      <c r="V298" s="48">
        <f t="shared" si="28"/>
        <v>796</v>
      </c>
      <c r="W298" s="49">
        <f t="shared" si="29"/>
        <v>0.3333333333</v>
      </c>
      <c r="X298" s="49">
        <f t="shared" si="30"/>
        <v>0.643442623</v>
      </c>
      <c r="Y298" s="49">
        <f t="shared" si="31"/>
        <v>0.02322404372</v>
      </c>
      <c r="Z298" s="32" t="str">
        <f t="shared" si="32"/>
        <v>Milton</v>
      </c>
      <c r="AA298" s="50" t="s">
        <v>77</v>
      </c>
      <c r="AB298" s="38">
        <v>1130.0</v>
      </c>
      <c r="AC298" s="48">
        <f t="shared" si="33"/>
        <v>334</v>
      </c>
      <c r="AD298" s="51">
        <f t="shared" si="34"/>
        <v>0.7044247788</v>
      </c>
    </row>
    <row r="299">
      <c r="A299" s="61" t="s">
        <v>2527</v>
      </c>
      <c r="B299" s="46" t="s">
        <v>2839</v>
      </c>
      <c r="C299" s="47"/>
      <c r="D299" s="38">
        <v>1244.0</v>
      </c>
      <c r="E299" s="38">
        <v>1304.0</v>
      </c>
      <c r="F299" s="38">
        <v>142.0</v>
      </c>
      <c r="G299" s="38">
        <v>68.0</v>
      </c>
      <c r="H299" s="38">
        <v>106.0</v>
      </c>
      <c r="I299" s="48">
        <f t="shared" si="21"/>
        <v>2690</v>
      </c>
      <c r="J299" s="48">
        <f t="shared" si="22"/>
        <v>2864</v>
      </c>
      <c r="K299" s="49">
        <f t="shared" si="23"/>
        <v>0.4624535316</v>
      </c>
      <c r="L299" s="49">
        <f t="shared" si="24"/>
        <v>0.4847583643</v>
      </c>
      <c r="M299" s="49">
        <f t="shared" si="25"/>
        <v>0.05278810409</v>
      </c>
      <c r="N299" s="32" t="str">
        <f t="shared" si="26"/>
        <v>Mal. Lott</v>
      </c>
      <c r="O299" s="50" t="s">
        <v>77</v>
      </c>
      <c r="P299" s="38">
        <v>1323.0</v>
      </c>
      <c r="Q299" s="38">
        <v>1168.0</v>
      </c>
      <c r="R299" s="38">
        <v>93.0</v>
      </c>
      <c r="S299" s="38">
        <v>241.0</v>
      </c>
      <c r="T299" s="38">
        <v>39.0</v>
      </c>
      <c r="U299" s="48">
        <f t="shared" si="27"/>
        <v>2584</v>
      </c>
      <c r="V299" s="48">
        <f t="shared" si="28"/>
        <v>2864</v>
      </c>
      <c r="W299" s="49">
        <f t="shared" si="29"/>
        <v>0.511996904</v>
      </c>
      <c r="X299" s="49">
        <f t="shared" si="30"/>
        <v>0.4520123839</v>
      </c>
      <c r="Y299" s="49">
        <f t="shared" si="31"/>
        <v>0.03599071207</v>
      </c>
      <c r="Z299" s="32" t="str">
        <f t="shared" si="32"/>
        <v>Jango</v>
      </c>
      <c r="AA299" s="50" t="s">
        <v>77</v>
      </c>
      <c r="AB299" s="38">
        <v>3451.0</v>
      </c>
      <c r="AC299" s="48">
        <f t="shared" si="33"/>
        <v>587</v>
      </c>
      <c r="AD299" s="51">
        <f t="shared" si="34"/>
        <v>0.8299043755</v>
      </c>
    </row>
    <row r="300">
      <c r="A300" s="24"/>
      <c r="B300" s="46" t="s">
        <v>2840</v>
      </c>
      <c r="C300" s="47"/>
      <c r="D300" s="38">
        <v>587.0</v>
      </c>
      <c r="E300" s="38">
        <v>334.0</v>
      </c>
      <c r="F300" s="38">
        <v>46.0</v>
      </c>
      <c r="G300" s="38">
        <v>50.0</v>
      </c>
      <c r="H300" s="38">
        <v>47.0</v>
      </c>
      <c r="I300" s="48">
        <f t="shared" si="21"/>
        <v>967</v>
      </c>
      <c r="J300" s="48">
        <f t="shared" si="22"/>
        <v>1064</v>
      </c>
      <c r="K300" s="49">
        <f t="shared" si="23"/>
        <v>0.6070320579</v>
      </c>
      <c r="L300" s="49">
        <f t="shared" si="24"/>
        <v>0.3453981386</v>
      </c>
      <c r="M300" s="49">
        <f t="shared" si="25"/>
        <v>0.04756980352</v>
      </c>
      <c r="N300" s="32" t="str">
        <f t="shared" si="26"/>
        <v>Jânio</v>
      </c>
      <c r="O300" s="50" t="s">
        <v>77</v>
      </c>
      <c r="P300" s="38">
        <v>340.0</v>
      </c>
      <c r="Q300" s="38">
        <v>549.0</v>
      </c>
      <c r="R300" s="38">
        <v>40.0</v>
      </c>
      <c r="S300" s="38">
        <v>120.0</v>
      </c>
      <c r="T300" s="38">
        <v>15.0</v>
      </c>
      <c r="U300" s="48">
        <f t="shared" si="27"/>
        <v>929</v>
      </c>
      <c r="V300" s="48">
        <f t="shared" si="28"/>
        <v>1064</v>
      </c>
      <c r="W300" s="49">
        <f t="shared" si="29"/>
        <v>0.36598493</v>
      </c>
      <c r="X300" s="49">
        <f t="shared" si="30"/>
        <v>0.5909580194</v>
      </c>
      <c r="Y300" s="49">
        <f t="shared" si="31"/>
        <v>0.04305705059</v>
      </c>
      <c r="Z300" s="32" t="str">
        <f t="shared" si="32"/>
        <v>Milton</v>
      </c>
      <c r="AA300" s="50" t="s">
        <v>77</v>
      </c>
      <c r="AB300" s="38">
        <v>1229.0</v>
      </c>
      <c r="AC300" s="48">
        <f t="shared" si="33"/>
        <v>165</v>
      </c>
      <c r="AD300" s="51">
        <f t="shared" si="34"/>
        <v>0.8657445077</v>
      </c>
    </row>
    <row r="301">
      <c r="A301" s="110" t="s">
        <v>2529</v>
      </c>
      <c r="B301" s="46" t="s">
        <v>2841</v>
      </c>
      <c r="C301" s="47"/>
      <c r="D301" s="38">
        <v>1626.0</v>
      </c>
      <c r="E301" s="38">
        <v>423.0</v>
      </c>
      <c r="F301" s="38">
        <v>230.0</v>
      </c>
      <c r="G301" s="38">
        <v>113.0</v>
      </c>
      <c r="H301" s="38">
        <v>184.0</v>
      </c>
      <c r="I301" s="48">
        <f t="shared" si="21"/>
        <v>2279</v>
      </c>
      <c r="J301" s="48">
        <f t="shared" si="22"/>
        <v>2576</v>
      </c>
      <c r="K301" s="49">
        <f t="shared" si="23"/>
        <v>0.7134708205</v>
      </c>
      <c r="L301" s="49">
        <f t="shared" si="24"/>
        <v>0.1856077227</v>
      </c>
      <c r="M301" s="49">
        <f t="shared" si="25"/>
        <v>0.1009214568</v>
      </c>
      <c r="N301" s="32" t="str">
        <f t="shared" si="26"/>
        <v>Jânio</v>
      </c>
      <c r="O301" s="50" t="s">
        <v>77</v>
      </c>
      <c r="P301" s="38">
        <v>555.0</v>
      </c>
      <c r="Q301" s="38">
        <v>1374.0</v>
      </c>
      <c r="R301" s="38">
        <v>164.0</v>
      </c>
      <c r="S301" s="38">
        <v>373.0</v>
      </c>
      <c r="T301" s="38">
        <v>110.0</v>
      </c>
      <c r="U301" s="48">
        <f t="shared" si="27"/>
        <v>2093</v>
      </c>
      <c r="V301" s="48">
        <f t="shared" si="28"/>
        <v>2576</v>
      </c>
      <c r="W301" s="49">
        <f t="shared" si="29"/>
        <v>0.265169613</v>
      </c>
      <c r="X301" s="49">
        <f t="shared" si="30"/>
        <v>0.6564739608</v>
      </c>
      <c r="Y301" s="49">
        <f t="shared" si="31"/>
        <v>0.07835642618</v>
      </c>
      <c r="Z301" s="32" t="str">
        <f t="shared" si="32"/>
        <v>Milton</v>
      </c>
      <c r="AA301" s="50" t="s">
        <v>77</v>
      </c>
      <c r="AB301" s="38">
        <v>3240.0</v>
      </c>
      <c r="AC301" s="48">
        <f t="shared" si="33"/>
        <v>664</v>
      </c>
      <c r="AD301" s="51">
        <f t="shared" si="34"/>
        <v>0.7950617284</v>
      </c>
    </row>
    <row r="302">
      <c r="A302" s="110" t="s">
        <v>2533</v>
      </c>
      <c r="B302" s="46" t="s">
        <v>2842</v>
      </c>
      <c r="C302" s="47"/>
      <c r="D302" s="38">
        <v>694.0</v>
      </c>
      <c r="E302" s="38">
        <v>1101.0</v>
      </c>
      <c r="F302" s="38">
        <v>157.0</v>
      </c>
      <c r="G302" s="38">
        <v>122.0</v>
      </c>
      <c r="H302" s="38">
        <v>92.0</v>
      </c>
      <c r="I302" s="48">
        <f t="shared" si="21"/>
        <v>1952</v>
      </c>
      <c r="J302" s="48">
        <f t="shared" si="22"/>
        <v>2166</v>
      </c>
      <c r="K302" s="49">
        <f t="shared" si="23"/>
        <v>0.3555327869</v>
      </c>
      <c r="L302" s="49">
        <f t="shared" si="24"/>
        <v>0.5640368852</v>
      </c>
      <c r="M302" s="49">
        <f t="shared" si="25"/>
        <v>0.08043032787</v>
      </c>
      <c r="N302" s="32" t="str">
        <f t="shared" si="26"/>
        <v>Mal. Lott</v>
      </c>
      <c r="O302" s="50" t="s">
        <v>77</v>
      </c>
      <c r="P302" s="38">
        <v>1036.0</v>
      </c>
      <c r="Q302" s="38">
        <v>623.0</v>
      </c>
      <c r="R302" s="38">
        <v>99.0</v>
      </c>
      <c r="S302" s="38">
        <v>334.0</v>
      </c>
      <c r="T302" s="38">
        <v>74.0</v>
      </c>
      <c r="U302" s="48">
        <f t="shared" si="27"/>
        <v>1758</v>
      </c>
      <c r="V302" s="48">
        <f t="shared" si="28"/>
        <v>2166</v>
      </c>
      <c r="W302" s="49">
        <f t="shared" si="29"/>
        <v>0.5893060296</v>
      </c>
      <c r="X302" s="49">
        <f t="shared" si="30"/>
        <v>0.3543799772</v>
      </c>
      <c r="Y302" s="49">
        <f t="shared" si="31"/>
        <v>0.05631399317</v>
      </c>
      <c r="Z302" s="32" t="str">
        <f t="shared" si="32"/>
        <v>Jango</v>
      </c>
      <c r="AA302" s="50" t="s">
        <v>77</v>
      </c>
      <c r="AB302" s="38">
        <v>2563.0</v>
      </c>
      <c r="AC302" s="48">
        <f t="shared" si="33"/>
        <v>397</v>
      </c>
      <c r="AD302" s="51">
        <f t="shared" si="34"/>
        <v>0.8451033945</v>
      </c>
    </row>
    <row r="303">
      <c r="A303" s="61" t="s">
        <v>2536</v>
      </c>
      <c r="B303" s="46" t="s">
        <v>2843</v>
      </c>
      <c r="C303" s="47"/>
      <c r="D303" s="38">
        <v>237.0</v>
      </c>
      <c r="E303" s="38">
        <v>889.0</v>
      </c>
      <c r="F303" s="38">
        <v>86.0</v>
      </c>
      <c r="G303" s="38">
        <v>44.0</v>
      </c>
      <c r="H303" s="38">
        <v>50.0</v>
      </c>
      <c r="I303" s="48">
        <f t="shared" si="21"/>
        <v>1212</v>
      </c>
      <c r="J303" s="48">
        <f t="shared" si="22"/>
        <v>1306</v>
      </c>
      <c r="K303" s="49">
        <f t="shared" si="23"/>
        <v>0.1955445545</v>
      </c>
      <c r="L303" s="49">
        <f t="shared" si="24"/>
        <v>0.7334983498</v>
      </c>
      <c r="M303" s="49">
        <f t="shared" si="25"/>
        <v>0.07095709571</v>
      </c>
      <c r="N303" s="32" t="str">
        <f t="shared" si="26"/>
        <v>Mal. Lott</v>
      </c>
      <c r="O303" s="50" t="s">
        <v>77</v>
      </c>
      <c r="P303" s="38">
        <v>920.0</v>
      </c>
      <c r="Q303" s="38">
        <v>197.0</v>
      </c>
      <c r="R303" s="38">
        <v>73.0</v>
      </c>
      <c r="S303" s="38">
        <v>80.0</v>
      </c>
      <c r="T303" s="38">
        <v>36.0</v>
      </c>
      <c r="U303" s="48">
        <f t="shared" si="27"/>
        <v>1190</v>
      </c>
      <c r="V303" s="48">
        <f t="shared" si="28"/>
        <v>1306</v>
      </c>
      <c r="W303" s="49">
        <f t="shared" si="29"/>
        <v>0.7731092437</v>
      </c>
      <c r="X303" s="49">
        <f t="shared" si="30"/>
        <v>0.1655462185</v>
      </c>
      <c r="Y303" s="49">
        <f t="shared" si="31"/>
        <v>0.06134453782</v>
      </c>
      <c r="Z303" s="32" t="str">
        <f t="shared" si="32"/>
        <v>Jango</v>
      </c>
      <c r="AA303" s="50" t="s">
        <v>77</v>
      </c>
      <c r="AB303" s="38">
        <v>1479.0</v>
      </c>
      <c r="AC303" s="48">
        <f t="shared" si="33"/>
        <v>173</v>
      </c>
      <c r="AD303" s="51">
        <f t="shared" si="34"/>
        <v>0.8830290737</v>
      </c>
    </row>
    <row r="304">
      <c r="A304" s="24"/>
      <c r="B304" s="46" t="s">
        <v>2844</v>
      </c>
      <c r="C304" s="47"/>
      <c r="D304" s="38">
        <v>394.0</v>
      </c>
      <c r="E304" s="38">
        <v>447.0</v>
      </c>
      <c r="F304" s="38">
        <v>50.0</v>
      </c>
      <c r="G304" s="38">
        <v>20.0</v>
      </c>
      <c r="H304" s="38">
        <v>33.0</v>
      </c>
      <c r="I304" s="48">
        <f t="shared" si="21"/>
        <v>891</v>
      </c>
      <c r="J304" s="48">
        <f t="shared" si="22"/>
        <v>944</v>
      </c>
      <c r="K304" s="49">
        <f t="shared" si="23"/>
        <v>0.4421997755</v>
      </c>
      <c r="L304" s="49">
        <f t="shared" si="24"/>
        <v>0.5016835017</v>
      </c>
      <c r="M304" s="49">
        <f t="shared" si="25"/>
        <v>0.05611672278</v>
      </c>
      <c r="N304" s="32" t="str">
        <f t="shared" si="26"/>
        <v>Mal. Lott</v>
      </c>
      <c r="O304" s="50" t="s">
        <v>77</v>
      </c>
      <c r="P304" s="38">
        <v>440.0</v>
      </c>
      <c r="Q304" s="38">
        <v>373.0</v>
      </c>
      <c r="R304" s="38">
        <v>42.0</v>
      </c>
      <c r="S304" s="38">
        <v>55.0</v>
      </c>
      <c r="T304" s="38">
        <v>34.0</v>
      </c>
      <c r="U304" s="48">
        <f t="shared" si="27"/>
        <v>855</v>
      </c>
      <c r="V304" s="48">
        <f t="shared" si="28"/>
        <v>944</v>
      </c>
      <c r="W304" s="49">
        <f t="shared" si="29"/>
        <v>0.514619883</v>
      </c>
      <c r="X304" s="49">
        <f t="shared" si="30"/>
        <v>0.4362573099</v>
      </c>
      <c r="Y304" s="49">
        <f t="shared" si="31"/>
        <v>0.04912280702</v>
      </c>
      <c r="Z304" s="32" t="str">
        <f t="shared" si="32"/>
        <v>Jango</v>
      </c>
      <c r="AA304" s="50" t="s">
        <v>77</v>
      </c>
      <c r="AB304" s="38">
        <v>1132.0</v>
      </c>
      <c r="AC304" s="48">
        <f t="shared" si="33"/>
        <v>188</v>
      </c>
      <c r="AD304" s="51">
        <f t="shared" si="34"/>
        <v>0.8339222615</v>
      </c>
    </row>
    <row r="305">
      <c r="A305" s="110" t="s">
        <v>2537</v>
      </c>
      <c r="B305" s="46" t="s">
        <v>2845</v>
      </c>
      <c r="C305" s="47"/>
      <c r="D305" s="38">
        <v>1088.0</v>
      </c>
      <c r="E305" s="38">
        <v>510.0</v>
      </c>
      <c r="F305" s="38">
        <v>101.0</v>
      </c>
      <c r="G305" s="38">
        <v>89.0</v>
      </c>
      <c r="H305" s="38">
        <v>84.0</v>
      </c>
      <c r="I305" s="48">
        <f t="shared" si="21"/>
        <v>1699</v>
      </c>
      <c r="J305" s="48">
        <f t="shared" si="22"/>
        <v>1872</v>
      </c>
      <c r="K305" s="49">
        <f t="shared" si="23"/>
        <v>0.6403766922</v>
      </c>
      <c r="L305" s="49">
        <f t="shared" si="24"/>
        <v>0.3001765745</v>
      </c>
      <c r="M305" s="49">
        <f t="shared" si="25"/>
        <v>0.05944673337</v>
      </c>
      <c r="N305" s="32" t="str">
        <f t="shared" si="26"/>
        <v>Jânio</v>
      </c>
      <c r="O305" s="50" t="s">
        <v>77</v>
      </c>
      <c r="P305" s="38">
        <v>534.0</v>
      </c>
      <c r="Q305" s="38">
        <v>957.0</v>
      </c>
      <c r="R305" s="38">
        <v>71.0</v>
      </c>
      <c r="S305" s="38">
        <v>264.0</v>
      </c>
      <c r="T305" s="38">
        <v>46.0</v>
      </c>
      <c r="U305" s="48">
        <f t="shared" si="27"/>
        <v>1562</v>
      </c>
      <c r="V305" s="48">
        <f t="shared" si="28"/>
        <v>1872</v>
      </c>
      <c r="W305" s="49">
        <f t="shared" si="29"/>
        <v>0.3418693982</v>
      </c>
      <c r="X305" s="49">
        <f t="shared" si="30"/>
        <v>0.6126760563</v>
      </c>
      <c r="Y305" s="49">
        <f t="shared" si="31"/>
        <v>0.04545454545</v>
      </c>
      <c r="Z305" s="32" t="str">
        <f t="shared" si="32"/>
        <v>Milton</v>
      </c>
      <c r="AA305" s="50" t="s">
        <v>77</v>
      </c>
      <c r="AB305" s="38">
        <v>2355.0</v>
      </c>
      <c r="AC305" s="48">
        <f t="shared" si="33"/>
        <v>483</v>
      </c>
      <c r="AD305" s="51">
        <f t="shared" si="34"/>
        <v>0.7949044586</v>
      </c>
    </row>
    <row r="306">
      <c r="A306" s="110" t="s">
        <v>2539</v>
      </c>
      <c r="B306" s="46" t="s">
        <v>2846</v>
      </c>
      <c r="C306" s="47"/>
      <c r="D306" s="38">
        <v>2730.0</v>
      </c>
      <c r="E306" s="38">
        <v>1781.0</v>
      </c>
      <c r="F306" s="38">
        <v>287.0</v>
      </c>
      <c r="G306" s="38">
        <v>455.0</v>
      </c>
      <c r="H306" s="38">
        <v>374.0</v>
      </c>
      <c r="I306" s="48">
        <f t="shared" si="21"/>
        <v>4798</v>
      </c>
      <c r="J306" s="48">
        <f t="shared" si="22"/>
        <v>5627</v>
      </c>
      <c r="K306" s="49">
        <f t="shared" si="23"/>
        <v>0.5689870779</v>
      </c>
      <c r="L306" s="49">
        <f t="shared" si="24"/>
        <v>0.3711963318</v>
      </c>
      <c r="M306" s="49">
        <f t="shared" si="25"/>
        <v>0.05981659025</v>
      </c>
      <c r="N306" s="32" t="str">
        <f t="shared" si="26"/>
        <v>Jânio</v>
      </c>
      <c r="O306" s="50" t="s">
        <v>77</v>
      </c>
      <c r="P306" s="38">
        <v>1617.0</v>
      </c>
      <c r="Q306" s="38">
        <v>2337.0</v>
      </c>
      <c r="R306" s="38">
        <v>281.0</v>
      </c>
      <c r="S306" s="38">
        <v>1209.0</v>
      </c>
      <c r="T306" s="38">
        <v>183.0</v>
      </c>
      <c r="U306" s="48">
        <f t="shared" si="27"/>
        <v>4235</v>
      </c>
      <c r="V306" s="48">
        <f t="shared" si="28"/>
        <v>5627</v>
      </c>
      <c r="W306" s="49">
        <f t="shared" si="29"/>
        <v>0.3818181818</v>
      </c>
      <c r="X306" s="49">
        <f t="shared" si="30"/>
        <v>0.5518299882</v>
      </c>
      <c r="Y306" s="49">
        <f t="shared" si="31"/>
        <v>0.06635182999</v>
      </c>
      <c r="Z306" s="32" t="str">
        <f t="shared" si="32"/>
        <v>Milton</v>
      </c>
      <c r="AA306" s="50" t="s">
        <v>77</v>
      </c>
      <c r="AB306" s="38">
        <v>7463.0</v>
      </c>
      <c r="AC306" s="48">
        <f t="shared" si="33"/>
        <v>1836</v>
      </c>
      <c r="AD306" s="51">
        <f t="shared" si="34"/>
        <v>0.7539863326</v>
      </c>
    </row>
    <row r="307">
      <c r="A307" s="61" t="s">
        <v>2541</v>
      </c>
      <c r="B307" s="46" t="s">
        <v>2847</v>
      </c>
      <c r="C307" s="47"/>
      <c r="D307" s="38">
        <v>1521.0</v>
      </c>
      <c r="E307" s="38">
        <v>1127.0</v>
      </c>
      <c r="F307" s="38">
        <v>134.0</v>
      </c>
      <c r="G307" s="38">
        <v>192.0</v>
      </c>
      <c r="H307" s="38">
        <v>144.0</v>
      </c>
      <c r="I307" s="48">
        <f t="shared" si="21"/>
        <v>2782</v>
      </c>
      <c r="J307" s="48">
        <f t="shared" si="22"/>
        <v>3118</v>
      </c>
      <c r="K307" s="49">
        <f t="shared" si="23"/>
        <v>0.546728972</v>
      </c>
      <c r="L307" s="49">
        <f t="shared" si="24"/>
        <v>0.4051042416</v>
      </c>
      <c r="M307" s="49">
        <f t="shared" si="25"/>
        <v>0.04816678648</v>
      </c>
      <c r="N307" s="32" t="str">
        <f t="shared" si="26"/>
        <v>Jânio</v>
      </c>
      <c r="O307" s="50" t="s">
        <v>77</v>
      </c>
      <c r="P307" s="38">
        <v>982.0</v>
      </c>
      <c r="Q307" s="38">
        <v>1296.0</v>
      </c>
      <c r="R307" s="38">
        <v>128.0</v>
      </c>
      <c r="S307" s="38">
        <v>665.0</v>
      </c>
      <c r="T307" s="38">
        <v>47.0</v>
      </c>
      <c r="U307" s="48">
        <f t="shared" si="27"/>
        <v>2406</v>
      </c>
      <c r="V307" s="48">
        <f t="shared" si="28"/>
        <v>3118</v>
      </c>
      <c r="W307" s="49">
        <f t="shared" si="29"/>
        <v>0.4081463009</v>
      </c>
      <c r="X307" s="49">
        <f t="shared" si="30"/>
        <v>0.5386533666</v>
      </c>
      <c r="Y307" s="49">
        <f t="shared" si="31"/>
        <v>0.0532003325</v>
      </c>
      <c r="Z307" s="32" t="str">
        <f t="shared" si="32"/>
        <v>Milton</v>
      </c>
      <c r="AA307" s="50" t="s">
        <v>77</v>
      </c>
      <c r="AB307" s="38">
        <v>3590.0</v>
      </c>
      <c r="AC307" s="48">
        <f t="shared" si="33"/>
        <v>472</v>
      </c>
      <c r="AD307" s="51">
        <f t="shared" si="34"/>
        <v>0.8685236769</v>
      </c>
    </row>
    <row r="308">
      <c r="A308" s="24"/>
      <c r="B308" s="46" t="s">
        <v>2848</v>
      </c>
      <c r="C308" s="47"/>
      <c r="D308" s="38">
        <v>598.0</v>
      </c>
      <c r="E308" s="38">
        <v>252.0</v>
      </c>
      <c r="F308" s="38">
        <v>117.0</v>
      </c>
      <c r="G308" s="38">
        <v>53.0</v>
      </c>
      <c r="H308" s="38">
        <v>50.0</v>
      </c>
      <c r="I308" s="48">
        <f t="shared" si="21"/>
        <v>967</v>
      </c>
      <c r="J308" s="48">
        <f t="shared" si="22"/>
        <v>1070</v>
      </c>
      <c r="K308" s="49">
        <f t="shared" si="23"/>
        <v>0.6184074457</v>
      </c>
      <c r="L308" s="49">
        <f t="shared" si="24"/>
        <v>0.2605997932</v>
      </c>
      <c r="M308" s="49">
        <f t="shared" si="25"/>
        <v>0.1209927611</v>
      </c>
      <c r="N308" s="32" t="str">
        <f t="shared" si="26"/>
        <v>Jânio</v>
      </c>
      <c r="O308" s="50" t="s">
        <v>77</v>
      </c>
      <c r="P308" s="38">
        <v>285.0</v>
      </c>
      <c r="Q308" s="38">
        <v>546.0</v>
      </c>
      <c r="R308" s="38">
        <v>49.0</v>
      </c>
      <c r="S308" s="38">
        <v>158.0</v>
      </c>
      <c r="T308" s="38">
        <v>32.0</v>
      </c>
      <c r="U308" s="48">
        <f t="shared" si="27"/>
        <v>880</v>
      </c>
      <c r="V308" s="48">
        <f t="shared" si="28"/>
        <v>1070</v>
      </c>
      <c r="W308" s="49">
        <f t="shared" si="29"/>
        <v>0.3238636364</v>
      </c>
      <c r="X308" s="49">
        <f t="shared" si="30"/>
        <v>0.6204545455</v>
      </c>
      <c r="Y308" s="49">
        <f t="shared" si="31"/>
        <v>0.05568181818</v>
      </c>
      <c r="Z308" s="32" t="str">
        <f t="shared" si="32"/>
        <v>Milton</v>
      </c>
      <c r="AA308" s="50" t="s">
        <v>77</v>
      </c>
      <c r="AB308" s="38">
        <v>1290.0</v>
      </c>
      <c r="AC308" s="48">
        <f t="shared" si="33"/>
        <v>220</v>
      </c>
      <c r="AD308" s="51">
        <f t="shared" si="34"/>
        <v>0.8294573643</v>
      </c>
    </row>
    <row r="309">
      <c r="A309" s="61" t="s">
        <v>2544</v>
      </c>
      <c r="B309" s="46" t="s">
        <v>2849</v>
      </c>
      <c r="C309" s="47"/>
      <c r="D309" s="38">
        <v>3687.0</v>
      </c>
      <c r="E309" s="38">
        <v>4627.0</v>
      </c>
      <c r="F309" s="38">
        <v>1653.0</v>
      </c>
      <c r="G309" s="38">
        <v>507.0</v>
      </c>
      <c r="H309" s="38">
        <v>695.0</v>
      </c>
      <c r="I309" s="48">
        <f t="shared" si="21"/>
        <v>9967</v>
      </c>
      <c r="J309" s="48">
        <f t="shared" si="22"/>
        <v>11169</v>
      </c>
      <c r="K309" s="49">
        <f t="shared" si="23"/>
        <v>0.3699207384</v>
      </c>
      <c r="L309" s="49">
        <f t="shared" si="24"/>
        <v>0.4642319655</v>
      </c>
      <c r="M309" s="49">
        <f t="shared" si="25"/>
        <v>0.1658472961</v>
      </c>
      <c r="N309" s="32" t="str">
        <f t="shared" si="26"/>
        <v>Mal. Lott</v>
      </c>
      <c r="O309" s="50" t="s">
        <v>77</v>
      </c>
      <c r="P309" s="38">
        <v>4587.0</v>
      </c>
      <c r="Q309" s="38">
        <v>4001.0</v>
      </c>
      <c r="R309" s="38">
        <v>940.0</v>
      </c>
      <c r="S309" s="38">
        <v>1119.0</v>
      </c>
      <c r="T309" s="38">
        <v>522.0</v>
      </c>
      <c r="U309" s="48">
        <f t="shared" si="27"/>
        <v>9528</v>
      </c>
      <c r="V309" s="48">
        <f t="shared" si="28"/>
        <v>11169</v>
      </c>
      <c r="W309" s="49">
        <f t="shared" si="29"/>
        <v>0.4814231738</v>
      </c>
      <c r="X309" s="49">
        <f t="shared" si="30"/>
        <v>0.4199202351</v>
      </c>
      <c r="Y309" s="49">
        <f t="shared" si="31"/>
        <v>0.0986565911</v>
      </c>
      <c r="Z309" s="32" t="str">
        <f t="shared" si="32"/>
        <v>Jango</v>
      </c>
      <c r="AA309" s="50" t="s">
        <v>77</v>
      </c>
      <c r="AB309" s="38">
        <v>16396.0</v>
      </c>
      <c r="AC309" s="48">
        <f t="shared" si="33"/>
        <v>5227</v>
      </c>
      <c r="AD309" s="51">
        <f t="shared" si="34"/>
        <v>0.6812027324</v>
      </c>
    </row>
    <row r="310">
      <c r="A310" s="23"/>
      <c r="B310" s="46" t="s">
        <v>2850</v>
      </c>
      <c r="C310" s="47"/>
      <c r="D310" s="38">
        <v>216.0</v>
      </c>
      <c r="E310" s="38">
        <v>433.0</v>
      </c>
      <c r="F310" s="38">
        <v>160.0</v>
      </c>
      <c r="G310" s="38">
        <v>72.0</v>
      </c>
      <c r="H310" s="38">
        <v>101.0</v>
      </c>
      <c r="I310" s="48">
        <f t="shared" si="21"/>
        <v>809</v>
      </c>
      <c r="J310" s="48">
        <f t="shared" si="22"/>
        <v>982</v>
      </c>
      <c r="K310" s="49">
        <f t="shared" si="23"/>
        <v>0.2669962917</v>
      </c>
      <c r="L310" s="49">
        <f t="shared" si="24"/>
        <v>0.5352286774</v>
      </c>
      <c r="M310" s="49">
        <f t="shared" si="25"/>
        <v>0.1977750309</v>
      </c>
      <c r="N310" s="32" t="str">
        <f t="shared" si="26"/>
        <v>Mal. Lott</v>
      </c>
      <c r="O310" s="50" t="s">
        <v>77</v>
      </c>
      <c r="P310" s="38">
        <v>530.0</v>
      </c>
      <c r="Q310" s="38">
        <v>181.0</v>
      </c>
      <c r="R310" s="38">
        <v>69.0</v>
      </c>
      <c r="S310" s="38">
        <v>130.0</v>
      </c>
      <c r="T310" s="38">
        <v>72.0</v>
      </c>
      <c r="U310" s="48">
        <f t="shared" si="27"/>
        <v>780</v>
      </c>
      <c r="V310" s="48">
        <f t="shared" si="28"/>
        <v>982</v>
      </c>
      <c r="W310" s="49">
        <f t="shared" si="29"/>
        <v>0.6794871795</v>
      </c>
      <c r="X310" s="49">
        <f t="shared" si="30"/>
        <v>0.2320512821</v>
      </c>
      <c r="Y310" s="49">
        <f t="shared" si="31"/>
        <v>0.08846153846</v>
      </c>
      <c r="Z310" s="32" t="str">
        <f t="shared" si="32"/>
        <v>Jango</v>
      </c>
      <c r="AA310" s="50" t="s">
        <v>77</v>
      </c>
      <c r="AB310" s="38">
        <v>1607.0</v>
      </c>
      <c r="AC310" s="48">
        <f t="shared" si="33"/>
        <v>625</v>
      </c>
      <c r="AD310" s="51">
        <f t="shared" si="34"/>
        <v>0.6110765401</v>
      </c>
    </row>
    <row r="311">
      <c r="A311" s="24"/>
      <c r="B311" s="46" t="s">
        <v>2851</v>
      </c>
      <c r="C311" s="47"/>
      <c r="D311" s="38">
        <v>173.0</v>
      </c>
      <c r="E311" s="38">
        <v>535.0</v>
      </c>
      <c r="F311" s="38">
        <v>87.0</v>
      </c>
      <c r="G311" s="38">
        <v>48.0</v>
      </c>
      <c r="H311" s="38">
        <v>84.0</v>
      </c>
      <c r="I311" s="48">
        <f t="shared" si="21"/>
        <v>795</v>
      </c>
      <c r="J311" s="48">
        <f t="shared" si="22"/>
        <v>927</v>
      </c>
      <c r="K311" s="49">
        <f t="shared" si="23"/>
        <v>0.2176100629</v>
      </c>
      <c r="L311" s="49">
        <f t="shared" si="24"/>
        <v>0.6729559748</v>
      </c>
      <c r="M311" s="49">
        <f t="shared" si="25"/>
        <v>0.1094339623</v>
      </c>
      <c r="N311" s="32" t="str">
        <f t="shared" si="26"/>
        <v>Mal. Lott</v>
      </c>
      <c r="O311" s="50" t="s">
        <v>77</v>
      </c>
      <c r="P311" s="38">
        <v>561.0</v>
      </c>
      <c r="Q311" s="38">
        <v>155.0</v>
      </c>
      <c r="R311" s="38">
        <v>34.0</v>
      </c>
      <c r="S311" s="38">
        <v>98.0</v>
      </c>
      <c r="T311" s="38">
        <v>79.0</v>
      </c>
      <c r="U311" s="48">
        <f t="shared" si="27"/>
        <v>750</v>
      </c>
      <c r="V311" s="48">
        <f t="shared" si="28"/>
        <v>927</v>
      </c>
      <c r="W311" s="49">
        <f t="shared" si="29"/>
        <v>0.748</v>
      </c>
      <c r="X311" s="49">
        <f t="shared" si="30"/>
        <v>0.2066666667</v>
      </c>
      <c r="Y311" s="49">
        <f t="shared" si="31"/>
        <v>0.04533333333</v>
      </c>
      <c r="Z311" s="32" t="str">
        <f t="shared" si="32"/>
        <v>Jango</v>
      </c>
      <c r="AA311" s="50" t="s">
        <v>77</v>
      </c>
      <c r="AB311" s="38">
        <v>1325.0</v>
      </c>
      <c r="AC311" s="48">
        <f t="shared" si="33"/>
        <v>398</v>
      </c>
      <c r="AD311" s="51">
        <f t="shared" si="34"/>
        <v>0.6996226415</v>
      </c>
    </row>
    <row r="312">
      <c r="A312" s="110" t="s">
        <v>2546</v>
      </c>
      <c r="B312" s="46" t="s">
        <v>2852</v>
      </c>
      <c r="C312" s="47"/>
      <c r="D312" s="38">
        <v>741.0</v>
      </c>
      <c r="E312" s="38">
        <v>681.0</v>
      </c>
      <c r="F312" s="38">
        <v>49.0</v>
      </c>
      <c r="G312" s="38">
        <v>55.0</v>
      </c>
      <c r="H312" s="38">
        <v>43.0</v>
      </c>
      <c r="I312" s="48">
        <f t="shared" si="21"/>
        <v>1471</v>
      </c>
      <c r="J312" s="48">
        <f t="shared" si="22"/>
        <v>1569</v>
      </c>
      <c r="K312" s="49">
        <f t="shared" si="23"/>
        <v>0.5037389531</v>
      </c>
      <c r="L312" s="49">
        <f t="shared" si="24"/>
        <v>0.4629503739</v>
      </c>
      <c r="M312" s="49">
        <f t="shared" si="25"/>
        <v>0.03331067301</v>
      </c>
      <c r="N312" s="32" t="str">
        <f t="shared" si="26"/>
        <v>Jânio</v>
      </c>
      <c r="O312" s="50" t="s">
        <v>77</v>
      </c>
      <c r="P312" s="38">
        <v>633.0</v>
      </c>
      <c r="Q312" s="38">
        <v>643.0</v>
      </c>
      <c r="R312" s="38">
        <v>45.0</v>
      </c>
      <c r="S312" s="38">
        <v>227.0</v>
      </c>
      <c r="T312" s="38">
        <v>21.0</v>
      </c>
      <c r="U312" s="48">
        <f t="shared" si="27"/>
        <v>1321</v>
      </c>
      <c r="V312" s="48">
        <f t="shared" si="28"/>
        <v>1569</v>
      </c>
      <c r="W312" s="49">
        <f t="shared" si="29"/>
        <v>0.4791824375</v>
      </c>
      <c r="X312" s="49">
        <f t="shared" si="30"/>
        <v>0.4867524603</v>
      </c>
      <c r="Y312" s="49">
        <f t="shared" si="31"/>
        <v>0.0340651022</v>
      </c>
      <c r="Z312" s="32" t="str">
        <f t="shared" si="32"/>
        <v>Milton</v>
      </c>
      <c r="AA312" s="50" t="s">
        <v>77</v>
      </c>
      <c r="AB312" s="38">
        <v>1812.0</v>
      </c>
      <c r="AC312" s="48">
        <f t="shared" si="33"/>
        <v>243</v>
      </c>
      <c r="AD312" s="51">
        <f t="shared" si="34"/>
        <v>0.8658940397</v>
      </c>
    </row>
    <row r="313">
      <c r="A313" s="110" t="s">
        <v>2549</v>
      </c>
      <c r="B313" s="46" t="s">
        <v>2853</v>
      </c>
      <c r="C313" s="47"/>
      <c r="D313" s="38">
        <v>763.0</v>
      </c>
      <c r="E313" s="38">
        <v>1124.0</v>
      </c>
      <c r="F313" s="38">
        <v>132.0</v>
      </c>
      <c r="G313" s="38">
        <v>222.0</v>
      </c>
      <c r="H313" s="38">
        <v>123.0</v>
      </c>
      <c r="I313" s="48">
        <f t="shared" si="21"/>
        <v>2019</v>
      </c>
      <c r="J313" s="48">
        <f t="shared" si="22"/>
        <v>2364</v>
      </c>
      <c r="K313" s="49">
        <f t="shared" si="23"/>
        <v>0.3779098564</v>
      </c>
      <c r="L313" s="49">
        <f t="shared" si="24"/>
        <v>0.5567112432</v>
      </c>
      <c r="M313" s="49">
        <f t="shared" si="25"/>
        <v>0.06537890045</v>
      </c>
      <c r="N313" s="32" t="str">
        <f t="shared" si="26"/>
        <v>Mal. Lott</v>
      </c>
      <c r="O313" s="50" t="s">
        <v>77</v>
      </c>
      <c r="P313" s="38">
        <v>1113.0</v>
      </c>
      <c r="Q313" s="38">
        <v>699.0</v>
      </c>
      <c r="R313" s="38">
        <v>107.0</v>
      </c>
      <c r="S313" s="38">
        <v>390.0</v>
      </c>
      <c r="T313" s="38">
        <v>55.0</v>
      </c>
      <c r="U313" s="48">
        <f t="shared" si="27"/>
        <v>1919</v>
      </c>
      <c r="V313" s="48">
        <f t="shared" si="28"/>
        <v>2364</v>
      </c>
      <c r="W313" s="49">
        <f t="shared" si="29"/>
        <v>0.5799895779</v>
      </c>
      <c r="X313" s="49">
        <f t="shared" si="30"/>
        <v>0.3642522147</v>
      </c>
      <c r="Y313" s="49">
        <f t="shared" si="31"/>
        <v>0.0557582074</v>
      </c>
      <c r="Z313" s="32" t="str">
        <f t="shared" si="32"/>
        <v>Jango</v>
      </c>
      <c r="AA313" s="50" t="s">
        <v>77</v>
      </c>
      <c r="AB313" s="38">
        <v>3088.0</v>
      </c>
      <c r="AC313" s="48">
        <f t="shared" si="33"/>
        <v>724</v>
      </c>
      <c r="AD313" s="51">
        <f t="shared" si="34"/>
        <v>0.7655440415</v>
      </c>
    </row>
    <row r="314">
      <c r="A314" s="61" t="s">
        <v>2554</v>
      </c>
      <c r="B314" s="46" t="s">
        <v>2854</v>
      </c>
      <c r="C314" s="47"/>
      <c r="D314" s="38">
        <v>5151.0</v>
      </c>
      <c r="E314" s="38">
        <v>4774.0</v>
      </c>
      <c r="F314" s="38">
        <v>818.0</v>
      </c>
      <c r="G314" s="38">
        <v>371.0</v>
      </c>
      <c r="H314" s="38">
        <v>405.0</v>
      </c>
      <c r="I314" s="48">
        <f t="shared" si="21"/>
        <v>10743</v>
      </c>
      <c r="J314" s="48">
        <f t="shared" si="22"/>
        <v>11519</v>
      </c>
      <c r="K314" s="49">
        <f t="shared" si="23"/>
        <v>0.479475007</v>
      </c>
      <c r="L314" s="49">
        <f t="shared" si="24"/>
        <v>0.4443823885</v>
      </c>
      <c r="M314" s="49">
        <f t="shared" si="25"/>
        <v>0.07614260449</v>
      </c>
      <c r="N314" s="32" t="str">
        <f t="shared" si="26"/>
        <v>Jânio</v>
      </c>
      <c r="O314" s="50" t="s">
        <v>77</v>
      </c>
      <c r="P314" s="38">
        <v>4810.0</v>
      </c>
      <c r="Q314" s="38">
        <v>4854.0</v>
      </c>
      <c r="R314" s="38">
        <v>567.0</v>
      </c>
      <c r="S314" s="38">
        <v>972.0</v>
      </c>
      <c r="T314" s="38">
        <v>316.0</v>
      </c>
      <c r="U314" s="48">
        <f t="shared" si="27"/>
        <v>10231</v>
      </c>
      <c r="V314" s="48">
        <f t="shared" si="28"/>
        <v>11519</v>
      </c>
      <c r="W314" s="49">
        <f t="shared" si="29"/>
        <v>0.4701397713</v>
      </c>
      <c r="X314" s="49">
        <f t="shared" si="30"/>
        <v>0.4744404262</v>
      </c>
      <c r="Y314" s="49">
        <f t="shared" si="31"/>
        <v>0.05541980256</v>
      </c>
      <c r="Z314" s="32" t="str">
        <f t="shared" si="32"/>
        <v>Milton</v>
      </c>
      <c r="AA314" s="50" t="s">
        <v>77</v>
      </c>
      <c r="AB314" s="38">
        <v>13773.0</v>
      </c>
      <c r="AC314" s="48">
        <f t="shared" si="33"/>
        <v>2254</v>
      </c>
      <c r="AD314" s="51">
        <f t="shared" si="34"/>
        <v>0.836346475</v>
      </c>
    </row>
    <row r="315">
      <c r="A315" s="23"/>
      <c r="B315" s="46" t="s">
        <v>2855</v>
      </c>
      <c r="C315" s="47"/>
      <c r="D315" s="38">
        <v>521.0</v>
      </c>
      <c r="E315" s="38">
        <v>658.0</v>
      </c>
      <c r="F315" s="38">
        <v>65.0</v>
      </c>
      <c r="G315" s="38">
        <v>65.0</v>
      </c>
      <c r="H315" s="38">
        <v>39.0</v>
      </c>
      <c r="I315" s="48">
        <f t="shared" si="21"/>
        <v>1244</v>
      </c>
      <c r="J315" s="48">
        <f t="shared" si="22"/>
        <v>1348</v>
      </c>
      <c r="K315" s="49">
        <f t="shared" si="23"/>
        <v>0.4188102894</v>
      </c>
      <c r="L315" s="49">
        <f t="shared" si="24"/>
        <v>0.5289389068</v>
      </c>
      <c r="M315" s="49">
        <f t="shared" si="25"/>
        <v>0.05225080386</v>
      </c>
      <c r="N315" s="32" t="str">
        <f t="shared" si="26"/>
        <v>Mal. Lott</v>
      </c>
      <c r="O315" s="50" t="s">
        <v>77</v>
      </c>
      <c r="P315" s="38">
        <v>642.0</v>
      </c>
      <c r="Q315" s="38">
        <v>463.0</v>
      </c>
      <c r="R315" s="38">
        <v>52.0</v>
      </c>
      <c r="S315" s="38">
        <v>147.0</v>
      </c>
      <c r="T315" s="38">
        <v>44.0</v>
      </c>
      <c r="U315" s="48">
        <f t="shared" si="27"/>
        <v>1157</v>
      </c>
      <c r="V315" s="48">
        <f t="shared" si="28"/>
        <v>1348</v>
      </c>
      <c r="W315" s="49">
        <f t="shared" si="29"/>
        <v>0.5548833189</v>
      </c>
      <c r="X315" s="49">
        <f t="shared" si="30"/>
        <v>0.4001728608</v>
      </c>
      <c r="Y315" s="49">
        <f t="shared" si="31"/>
        <v>0.04494382022</v>
      </c>
      <c r="Z315" s="32" t="str">
        <f t="shared" si="32"/>
        <v>Jango</v>
      </c>
      <c r="AA315" s="50" t="s">
        <v>77</v>
      </c>
      <c r="AB315" s="38">
        <v>1583.0</v>
      </c>
      <c r="AC315" s="48">
        <f t="shared" si="33"/>
        <v>235</v>
      </c>
      <c r="AD315" s="51">
        <f t="shared" si="34"/>
        <v>0.8515476943</v>
      </c>
    </row>
    <row r="316">
      <c r="A316" s="24"/>
      <c r="B316" s="46" t="s">
        <v>2856</v>
      </c>
      <c r="C316" s="47"/>
      <c r="D316" s="38">
        <v>722.0</v>
      </c>
      <c r="E316" s="38">
        <v>604.0</v>
      </c>
      <c r="F316" s="38">
        <v>63.0</v>
      </c>
      <c r="G316" s="38">
        <v>56.0</v>
      </c>
      <c r="H316" s="38">
        <v>74.0</v>
      </c>
      <c r="I316" s="48">
        <f t="shared" si="21"/>
        <v>1389</v>
      </c>
      <c r="J316" s="48">
        <f t="shared" si="22"/>
        <v>1519</v>
      </c>
      <c r="K316" s="49">
        <f t="shared" si="23"/>
        <v>0.5197984161</v>
      </c>
      <c r="L316" s="49">
        <f t="shared" si="24"/>
        <v>0.4348452124</v>
      </c>
      <c r="M316" s="49">
        <f t="shared" si="25"/>
        <v>0.04535637149</v>
      </c>
      <c r="N316" s="32" t="str">
        <f t="shared" si="26"/>
        <v>Jânio</v>
      </c>
      <c r="O316" s="50" t="s">
        <v>77</v>
      </c>
      <c r="P316" s="38">
        <v>521.0</v>
      </c>
      <c r="Q316" s="38">
        <v>689.0</v>
      </c>
      <c r="R316" s="38">
        <v>92.0</v>
      </c>
      <c r="S316" s="38">
        <v>151.0</v>
      </c>
      <c r="T316" s="38">
        <v>66.0</v>
      </c>
      <c r="U316" s="48">
        <f t="shared" si="27"/>
        <v>1302</v>
      </c>
      <c r="V316" s="48">
        <f t="shared" si="28"/>
        <v>1519</v>
      </c>
      <c r="W316" s="49">
        <f t="shared" si="29"/>
        <v>0.4001536098</v>
      </c>
      <c r="X316" s="49">
        <f t="shared" si="30"/>
        <v>0.5291858679</v>
      </c>
      <c r="Y316" s="49">
        <f t="shared" si="31"/>
        <v>0.07066052227</v>
      </c>
      <c r="Z316" s="32" t="str">
        <f t="shared" si="32"/>
        <v>Milton</v>
      </c>
      <c r="AA316" s="50" t="s">
        <v>77</v>
      </c>
      <c r="AB316" s="38">
        <v>1826.0</v>
      </c>
      <c r="AC316" s="48">
        <f t="shared" si="33"/>
        <v>307</v>
      </c>
      <c r="AD316" s="51">
        <f t="shared" si="34"/>
        <v>0.8318729463</v>
      </c>
    </row>
    <row r="317">
      <c r="A317" s="110" t="s">
        <v>2857</v>
      </c>
      <c r="B317" s="46" t="s">
        <v>1260</v>
      </c>
      <c r="C317" s="47"/>
      <c r="D317" s="38">
        <v>2818.0</v>
      </c>
      <c r="E317" s="38">
        <v>2680.0</v>
      </c>
      <c r="F317" s="38">
        <v>387.0</v>
      </c>
      <c r="G317" s="38">
        <v>247.0</v>
      </c>
      <c r="H317" s="38">
        <v>266.0</v>
      </c>
      <c r="I317" s="48">
        <f t="shared" si="21"/>
        <v>5885</v>
      </c>
      <c r="J317" s="48">
        <f t="shared" si="22"/>
        <v>6398</v>
      </c>
      <c r="K317" s="49">
        <f t="shared" si="23"/>
        <v>0.47884452</v>
      </c>
      <c r="L317" s="49">
        <f t="shared" si="24"/>
        <v>0.4553950722</v>
      </c>
      <c r="M317" s="49">
        <f t="shared" si="25"/>
        <v>0.06576040782</v>
      </c>
      <c r="N317" s="32" t="str">
        <f t="shared" si="26"/>
        <v>Jânio</v>
      </c>
      <c r="O317" s="50" t="s">
        <v>77</v>
      </c>
      <c r="P317" s="38">
        <v>2840.0</v>
      </c>
      <c r="Q317" s="38">
        <v>2579.0</v>
      </c>
      <c r="R317" s="38">
        <v>280.0</v>
      </c>
      <c r="S317" s="38">
        <v>554.0</v>
      </c>
      <c r="T317" s="38">
        <v>145.0</v>
      </c>
      <c r="U317" s="48">
        <f t="shared" si="27"/>
        <v>5699</v>
      </c>
      <c r="V317" s="48">
        <f t="shared" si="28"/>
        <v>6398</v>
      </c>
      <c r="W317" s="49">
        <f t="shared" si="29"/>
        <v>0.4983330409</v>
      </c>
      <c r="X317" s="49">
        <f t="shared" si="30"/>
        <v>0.4525355325</v>
      </c>
      <c r="Y317" s="49">
        <f t="shared" si="31"/>
        <v>0.04913142657</v>
      </c>
      <c r="Z317" s="32" t="str">
        <f t="shared" si="32"/>
        <v>Jango</v>
      </c>
      <c r="AA317" s="50" t="s">
        <v>77</v>
      </c>
      <c r="AB317" s="38">
        <v>7657.0</v>
      </c>
      <c r="AC317" s="48">
        <f t="shared" si="33"/>
        <v>1259</v>
      </c>
      <c r="AD317" s="51">
        <f t="shared" si="34"/>
        <v>0.8355752906</v>
      </c>
    </row>
    <row r="318">
      <c r="A318" s="61" t="s">
        <v>2858</v>
      </c>
      <c r="B318" s="46" t="s">
        <v>2859</v>
      </c>
      <c r="C318" s="47"/>
      <c r="D318" s="38">
        <v>2222.0</v>
      </c>
      <c r="E318" s="38">
        <v>1239.0</v>
      </c>
      <c r="F318" s="38">
        <v>186.0</v>
      </c>
      <c r="G318" s="38">
        <v>93.0</v>
      </c>
      <c r="H318" s="38">
        <v>92.0</v>
      </c>
      <c r="I318" s="48">
        <f t="shared" si="21"/>
        <v>3647</v>
      </c>
      <c r="J318" s="48">
        <f t="shared" si="22"/>
        <v>3832</v>
      </c>
      <c r="K318" s="49">
        <f t="shared" si="23"/>
        <v>0.6092678914</v>
      </c>
      <c r="L318" s="49">
        <f t="shared" si="24"/>
        <v>0.339731286</v>
      </c>
      <c r="M318" s="49">
        <f t="shared" si="25"/>
        <v>0.05100082259</v>
      </c>
      <c r="N318" s="32" t="str">
        <f t="shared" si="26"/>
        <v>Jânio</v>
      </c>
      <c r="O318" s="50" t="s">
        <v>77</v>
      </c>
      <c r="P318" s="38">
        <v>1270.0</v>
      </c>
      <c r="Q318" s="38">
        <v>2145.0</v>
      </c>
      <c r="R318" s="38">
        <v>105.0</v>
      </c>
      <c r="S318" s="38">
        <v>239.0</v>
      </c>
      <c r="T318" s="38">
        <v>73.0</v>
      </c>
      <c r="U318" s="48">
        <f t="shared" si="27"/>
        <v>3520</v>
      </c>
      <c r="V318" s="48">
        <f t="shared" si="28"/>
        <v>3832</v>
      </c>
      <c r="W318" s="49">
        <f t="shared" si="29"/>
        <v>0.3607954545</v>
      </c>
      <c r="X318" s="49">
        <f t="shared" si="30"/>
        <v>0.609375</v>
      </c>
      <c r="Y318" s="49">
        <f t="shared" si="31"/>
        <v>0.02982954545</v>
      </c>
      <c r="Z318" s="32" t="str">
        <f t="shared" si="32"/>
        <v>Milton</v>
      </c>
      <c r="AA318" s="50" t="s">
        <v>77</v>
      </c>
      <c r="AB318" s="38">
        <v>4353.0</v>
      </c>
      <c r="AC318" s="48">
        <f t="shared" si="33"/>
        <v>521</v>
      </c>
      <c r="AD318" s="51">
        <f t="shared" si="34"/>
        <v>0.8803124282</v>
      </c>
    </row>
    <row r="319">
      <c r="A319" s="24"/>
      <c r="B319" s="46" t="s">
        <v>2860</v>
      </c>
      <c r="C319" s="47"/>
      <c r="D319" s="38">
        <v>408.0</v>
      </c>
      <c r="E319" s="38">
        <v>331.0</v>
      </c>
      <c r="F319" s="38">
        <v>91.0</v>
      </c>
      <c r="G319" s="38">
        <v>60.0</v>
      </c>
      <c r="H319" s="38">
        <v>35.0</v>
      </c>
      <c r="I319" s="48">
        <f t="shared" si="21"/>
        <v>830</v>
      </c>
      <c r="J319" s="48">
        <f t="shared" si="22"/>
        <v>925</v>
      </c>
      <c r="K319" s="49">
        <f t="shared" si="23"/>
        <v>0.4915662651</v>
      </c>
      <c r="L319" s="49">
        <f t="shared" si="24"/>
        <v>0.3987951807</v>
      </c>
      <c r="M319" s="49">
        <f t="shared" si="25"/>
        <v>0.1096385542</v>
      </c>
      <c r="N319" s="32" t="str">
        <f t="shared" si="26"/>
        <v>Jânio</v>
      </c>
      <c r="O319" s="50" t="s">
        <v>77</v>
      </c>
      <c r="P319" s="38">
        <v>350.0</v>
      </c>
      <c r="Q319" s="38">
        <v>363.0</v>
      </c>
      <c r="R319" s="38">
        <v>41.0</v>
      </c>
      <c r="S319" s="38">
        <v>152.0</v>
      </c>
      <c r="T319" s="38">
        <v>19.0</v>
      </c>
      <c r="U319" s="48">
        <f t="shared" si="27"/>
        <v>754</v>
      </c>
      <c r="V319" s="48">
        <f t="shared" si="28"/>
        <v>925</v>
      </c>
      <c r="W319" s="49">
        <f t="shared" si="29"/>
        <v>0.4641909814</v>
      </c>
      <c r="X319" s="49">
        <f t="shared" si="30"/>
        <v>0.4814323607</v>
      </c>
      <c r="Y319" s="49">
        <f t="shared" si="31"/>
        <v>0.05437665782</v>
      </c>
      <c r="Z319" s="32" t="str">
        <f t="shared" si="32"/>
        <v>Milton</v>
      </c>
      <c r="AA319" s="50" t="s">
        <v>77</v>
      </c>
      <c r="AB319" s="38">
        <v>1079.0</v>
      </c>
      <c r="AC319" s="48">
        <f t="shared" si="33"/>
        <v>154</v>
      </c>
      <c r="AD319" s="51">
        <f t="shared" si="34"/>
        <v>0.8572752549</v>
      </c>
    </row>
    <row r="320">
      <c r="A320" s="110" t="s">
        <v>2861</v>
      </c>
      <c r="B320" s="46" t="s">
        <v>2862</v>
      </c>
      <c r="C320" s="47"/>
      <c r="D320" s="38">
        <v>2375.0</v>
      </c>
      <c r="E320" s="38">
        <v>2154.0</v>
      </c>
      <c r="F320" s="38">
        <v>617.0</v>
      </c>
      <c r="G320" s="38">
        <v>246.0</v>
      </c>
      <c r="H320" s="38">
        <v>402.0</v>
      </c>
      <c r="I320" s="48">
        <f t="shared" si="21"/>
        <v>5146</v>
      </c>
      <c r="J320" s="48">
        <f t="shared" si="22"/>
        <v>5794</v>
      </c>
      <c r="K320" s="49">
        <f t="shared" si="23"/>
        <v>0.4615235134</v>
      </c>
      <c r="L320" s="49">
        <f t="shared" si="24"/>
        <v>0.418577536</v>
      </c>
      <c r="M320" s="49">
        <f t="shared" si="25"/>
        <v>0.1198989506</v>
      </c>
      <c r="N320" s="32" t="str">
        <f t="shared" si="26"/>
        <v>Jânio</v>
      </c>
      <c r="O320" s="50" t="s">
        <v>77</v>
      </c>
      <c r="P320" s="38">
        <v>2173.0</v>
      </c>
      <c r="Q320" s="38">
        <v>1982.0</v>
      </c>
      <c r="R320" s="38">
        <v>565.0</v>
      </c>
      <c r="S320" s="38">
        <v>811.0</v>
      </c>
      <c r="T320" s="38">
        <v>263.0</v>
      </c>
      <c r="U320" s="48">
        <f t="shared" si="27"/>
        <v>4720</v>
      </c>
      <c r="V320" s="48">
        <f t="shared" si="28"/>
        <v>5794</v>
      </c>
      <c r="W320" s="49">
        <f t="shared" si="29"/>
        <v>0.4603813559</v>
      </c>
      <c r="X320" s="49">
        <f t="shared" si="30"/>
        <v>0.4199152542</v>
      </c>
      <c r="Y320" s="49">
        <f t="shared" si="31"/>
        <v>0.1197033898</v>
      </c>
      <c r="Z320" s="32" t="str">
        <f t="shared" si="32"/>
        <v>Jango</v>
      </c>
      <c r="AA320" s="50" t="s">
        <v>77</v>
      </c>
      <c r="AB320" s="38">
        <v>8479.0</v>
      </c>
      <c r="AC320" s="48">
        <f t="shared" si="33"/>
        <v>2685</v>
      </c>
      <c r="AD320" s="51">
        <f t="shared" si="34"/>
        <v>0.683335299</v>
      </c>
    </row>
    <row r="321">
      <c r="A321" s="110" t="s">
        <v>2863</v>
      </c>
      <c r="B321" s="46" t="s">
        <v>2864</v>
      </c>
      <c r="C321" s="47"/>
      <c r="D321" s="38">
        <v>596.0</v>
      </c>
      <c r="E321" s="38">
        <v>641.0</v>
      </c>
      <c r="F321" s="38">
        <v>106.0</v>
      </c>
      <c r="G321" s="38">
        <v>88.0</v>
      </c>
      <c r="H321" s="38">
        <v>58.0</v>
      </c>
      <c r="I321" s="48">
        <f t="shared" si="21"/>
        <v>1343</v>
      </c>
      <c r="J321" s="48">
        <f t="shared" si="22"/>
        <v>1489</v>
      </c>
      <c r="K321" s="49">
        <f t="shared" si="23"/>
        <v>0.4437825763</v>
      </c>
      <c r="L321" s="49">
        <f t="shared" si="24"/>
        <v>0.47728965</v>
      </c>
      <c r="M321" s="49">
        <f t="shared" si="25"/>
        <v>0.07892777364</v>
      </c>
      <c r="N321" s="32" t="str">
        <f t="shared" si="26"/>
        <v>Mal. Lott</v>
      </c>
      <c r="O321" s="50" t="s">
        <v>77</v>
      </c>
      <c r="P321" s="38">
        <v>664.0</v>
      </c>
      <c r="Q321" s="38">
        <v>564.0</v>
      </c>
      <c r="R321" s="38">
        <v>58.0</v>
      </c>
      <c r="S321" s="38">
        <v>174.0</v>
      </c>
      <c r="T321" s="38">
        <v>29.0</v>
      </c>
      <c r="U321" s="48">
        <f t="shared" si="27"/>
        <v>1286</v>
      </c>
      <c r="V321" s="48">
        <f t="shared" si="28"/>
        <v>1489</v>
      </c>
      <c r="W321" s="49">
        <f t="shared" si="29"/>
        <v>0.5163297045</v>
      </c>
      <c r="X321" s="49">
        <f t="shared" si="30"/>
        <v>0.4385692068</v>
      </c>
      <c r="Y321" s="49">
        <f t="shared" si="31"/>
        <v>0.04510108865</v>
      </c>
      <c r="Z321" s="32" t="str">
        <f t="shared" si="32"/>
        <v>Jango</v>
      </c>
      <c r="AA321" s="50" t="s">
        <v>77</v>
      </c>
      <c r="AB321" s="38">
        <v>1684.0</v>
      </c>
      <c r="AC321" s="48">
        <f t="shared" si="33"/>
        <v>195</v>
      </c>
      <c r="AD321" s="51">
        <f t="shared" si="34"/>
        <v>0.8842042755</v>
      </c>
    </row>
    <row r="322">
      <c r="A322" s="110" t="s">
        <v>2865</v>
      </c>
      <c r="B322" s="46" t="s">
        <v>2866</v>
      </c>
      <c r="C322" s="47"/>
      <c r="D322" s="38">
        <v>1858.0</v>
      </c>
      <c r="E322" s="38">
        <v>814.0</v>
      </c>
      <c r="F322" s="38">
        <v>349.0</v>
      </c>
      <c r="G322" s="38">
        <v>260.0</v>
      </c>
      <c r="H322" s="38">
        <v>219.0</v>
      </c>
      <c r="I322" s="48">
        <f t="shared" si="21"/>
        <v>3021</v>
      </c>
      <c r="J322" s="48">
        <f t="shared" si="22"/>
        <v>3500</v>
      </c>
      <c r="K322" s="49">
        <f t="shared" si="23"/>
        <v>0.6150281364</v>
      </c>
      <c r="L322" s="49">
        <f t="shared" si="24"/>
        <v>0.2694472029</v>
      </c>
      <c r="M322" s="49">
        <f t="shared" si="25"/>
        <v>0.1155246607</v>
      </c>
      <c r="N322" s="32" t="str">
        <f t="shared" si="26"/>
        <v>Jânio</v>
      </c>
      <c r="O322" s="50" t="s">
        <v>77</v>
      </c>
      <c r="P322" s="38">
        <v>858.0</v>
      </c>
      <c r="Q322" s="38">
        <v>1477.0</v>
      </c>
      <c r="R322" s="38">
        <v>197.0</v>
      </c>
      <c r="S322" s="38">
        <v>843.0</v>
      </c>
      <c r="T322" s="38">
        <v>125.0</v>
      </c>
      <c r="U322" s="48">
        <f t="shared" si="27"/>
        <v>2532</v>
      </c>
      <c r="V322" s="48">
        <f t="shared" si="28"/>
        <v>3500</v>
      </c>
      <c r="W322" s="49">
        <f t="shared" si="29"/>
        <v>0.3388625592</v>
      </c>
      <c r="X322" s="49">
        <f t="shared" si="30"/>
        <v>0.5833333333</v>
      </c>
      <c r="Y322" s="49">
        <f t="shared" si="31"/>
        <v>0.07780410742</v>
      </c>
      <c r="Z322" s="32" t="str">
        <f t="shared" si="32"/>
        <v>Milton</v>
      </c>
      <c r="AA322" s="50" t="s">
        <v>77</v>
      </c>
      <c r="AB322" s="38">
        <v>4200.0</v>
      </c>
      <c r="AC322" s="48">
        <f t="shared" si="33"/>
        <v>700</v>
      </c>
      <c r="AD322" s="51">
        <f t="shared" si="34"/>
        <v>0.8333333333</v>
      </c>
    </row>
    <row r="323">
      <c r="A323" s="110" t="s">
        <v>2867</v>
      </c>
      <c r="B323" s="46" t="s">
        <v>2868</v>
      </c>
      <c r="C323" s="47"/>
      <c r="D323" s="38">
        <v>1130.0</v>
      </c>
      <c r="E323" s="38">
        <v>1643.0</v>
      </c>
      <c r="F323" s="38">
        <v>376.0</v>
      </c>
      <c r="G323" s="38">
        <v>211.0</v>
      </c>
      <c r="H323" s="38">
        <v>260.0</v>
      </c>
      <c r="I323" s="48">
        <f t="shared" si="21"/>
        <v>3149</v>
      </c>
      <c r="J323" s="48">
        <f t="shared" si="22"/>
        <v>3620</v>
      </c>
      <c r="K323" s="49">
        <f t="shared" si="23"/>
        <v>0.3588440775</v>
      </c>
      <c r="L323" s="49">
        <f t="shared" si="24"/>
        <v>0.5217529374</v>
      </c>
      <c r="M323" s="49">
        <f t="shared" si="25"/>
        <v>0.1194029851</v>
      </c>
      <c r="N323" s="32" t="str">
        <f t="shared" si="26"/>
        <v>Mal. Lott</v>
      </c>
      <c r="O323" s="50" t="s">
        <v>77</v>
      </c>
      <c r="P323" s="38">
        <v>1781.0</v>
      </c>
      <c r="Q323" s="38">
        <v>1062.0</v>
      </c>
      <c r="R323" s="38">
        <v>219.0</v>
      </c>
      <c r="S323" s="38">
        <v>415.0</v>
      </c>
      <c r="T323" s="38">
        <v>143.0</v>
      </c>
      <c r="U323" s="48">
        <f t="shared" si="27"/>
        <v>3062</v>
      </c>
      <c r="V323" s="48">
        <f t="shared" si="28"/>
        <v>3620</v>
      </c>
      <c r="W323" s="49">
        <f t="shared" si="29"/>
        <v>0.581645983</v>
      </c>
      <c r="X323" s="49">
        <f t="shared" si="30"/>
        <v>0.3468321359</v>
      </c>
      <c r="Y323" s="49">
        <f t="shared" si="31"/>
        <v>0.07152188112</v>
      </c>
      <c r="Z323" s="32" t="str">
        <f t="shared" si="32"/>
        <v>Jango</v>
      </c>
      <c r="AA323" s="50" t="s">
        <v>77</v>
      </c>
      <c r="AB323" s="38">
        <v>4257.0</v>
      </c>
      <c r="AC323" s="48">
        <f t="shared" si="33"/>
        <v>637</v>
      </c>
      <c r="AD323" s="51">
        <f t="shared" si="34"/>
        <v>0.8503641062</v>
      </c>
    </row>
    <row r="324">
      <c r="A324" s="61" t="s">
        <v>2869</v>
      </c>
      <c r="B324" s="46" t="s">
        <v>2870</v>
      </c>
      <c r="C324" s="47"/>
      <c r="D324" s="38">
        <v>2221.0</v>
      </c>
      <c r="E324" s="38">
        <v>2966.0</v>
      </c>
      <c r="F324" s="38">
        <v>476.0</v>
      </c>
      <c r="G324" s="38">
        <v>315.0</v>
      </c>
      <c r="H324" s="38">
        <v>357.0</v>
      </c>
      <c r="I324" s="48">
        <f t="shared" si="21"/>
        <v>5663</v>
      </c>
      <c r="J324" s="48">
        <f t="shared" si="22"/>
        <v>6335</v>
      </c>
      <c r="K324" s="49">
        <f t="shared" si="23"/>
        <v>0.3921949497</v>
      </c>
      <c r="L324" s="49">
        <f t="shared" si="24"/>
        <v>0.5237506622</v>
      </c>
      <c r="M324" s="49">
        <f t="shared" si="25"/>
        <v>0.08405438813</v>
      </c>
      <c r="N324" s="32" t="str">
        <f t="shared" si="26"/>
        <v>Mal. Lott</v>
      </c>
      <c r="O324" s="50" t="s">
        <v>77</v>
      </c>
      <c r="P324" s="38">
        <v>3617.0</v>
      </c>
      <c r="Q324" s="38">
        <v>1484.0</v>
      </c>
      <c r="R324" s="38">
        <v>473.0</v>
      </c>
      <c r="S324" s="38">
        <v>433.0</v>
      </c>
      <c r="T324" s="38">
        <v>328.0</v>
      </c>
      <c r="U324" s="48">
        <f t="shared" si="27"/>
        <v>5574</v>
      </c>
      <c r="V324" s="48">
        <f t="shared" si="28"/>
        <v>6335</v>
      </c>
      <c r="W324" s="49">
        <f t="shared" si="29"/>
        <v>0.6489056333</v>
      </c>
      <c r="X324" s="49">
        <f t="shared" si="30"/>
        <v>0.2662360962</v>
      </c>
      <c r="Y324" s="49">
        <f t="shared" si="31"/>
        <v>0.08485827054</v>
      </c>
      <c r="Z324" s="32" t="str">
        <f t="shared" si="32"/>
        <v>Jango</v>
      </c>
      <c r="AA324" s="50" t="s">
        <v>77</v>
      </c>
      <c r="AB324" s="38">
        <v>6387.0</v>
      </c>
      <c r="AC324" s="48">
        <f t="shared" si="33"/>
        <v>52</v>
      </c>
      <c r="AD324" s="51">
        <f t="shared" si="34"/>
        <v>0.9918584625</v>
      </c>
    </row>
    <row r="325">
      <c r="A325" s="23"/>
      <c r="B325" s="46" t="s">
        <v>2871</v>
      </c>
      <c r="C325" s="47"/>
      <c r="D325" s="38">
        <v>773.0</v>
      </c>
      <c r="E325" s="38">
        <v>862.0</v>
      </c>
      <c r="F325" s="38">
        <v>176.0</v>
      </c>
      <c r="G325" s="38">
        <v>102.0</v>
      </c>
      <c r="H325" s="38">
        <v>166.0</v>
      </c>
      <c r="I325" s="48">
        <f t="shared" si="21"/>
        <v>1811</v>
      </c>
      <c r="J325" s="48">
        <f t="shared" si="22"/>
        <v>2079</v>
      </c>
      <c r="K325" s="49">
        <f t="shared" si="23"/>
        <v>0.4268360022</v>
      </c>
      <c r="L325" s="49">
        <f t="shared" si="24"/>
        <v>0.4759801215</v>
      </c>
      <c r="M325" s="49">
        <f t="shared" si="25"/>
        <v>0.09718387631</v>
      </c>
      <c r="N325" s="32" t="str">
        <f t="shared" si="26"/>
        <v>Mal. Lott</v>
      </c>
      <c r="O325" s="50" t="s">
        <v>77</v>
      </c>
      <c r="P325" s="38">
        <v>1180.0</v>
      </c>
      <c r="Q325" s="38">
        <v>497.0</v>
      </c>
      <c r="R325" s="38">
        <v>109.0</v>
      </c>
      <c r="S325" s="38">
        <v>156.0</v>
      </c>
      <c r="T325" s="38">
        <v>137.0</v>
      </c>
      <c r="U325" s="48">
        <f t="shared" si="27"/>
        <v>1786</v>
      </c>
      <c r="V325" s="48">
        <f t="shared" si="28"/>
        <v>2079</v>
      </c>
      <c r="W325" s="49">
        <f t="shared" si="29"/>
        <v>0.6606942889</v>
      </c>
      <c r="X325" s="49">
        <f t="shared" si="30"/>
        <v>0.2782754759</v>
      </c>
      <c r="Y325" s="49">
        <f t="shared" si="31"/>
        <v>0.06103023516</v>
      </c>
      <c r="Z325" s="32" t="str">
        <f t="shared" si="32"/>
        <v>Jango</v>
      </c>
      <c r="AA325" s="50" t="s">
        <v>77</v>
      </c>
      <c r="AB325" s="38">
        <v>2252.0</v>
      </c>
      <c r="AC325" s="48">
        <f t="shared" si="33"/>
        <v>173</v>
      </c>
      <c r="AD325" s="51">
        <f t="shared" si="34"/>
        <v>0.9231793961</v>
      </c>
    </row>
    <row r="326">
      <c r="A326" s="24"/>
      <c r="B326" s="46" t="s">
        <v>2872</v>
      </c>
      <c r="C326" s="47"/>
      <c r="D326" s="38">
        <v>242.0</v>
      </c>
      <c r="E326" s="38">
        <v>622.0</v>
      </c>
      <c r="F326" s="38">
        <v>80.0</v>
      </c>
      <c r="G326" s="38">
        <v>48.0</v>
      </c>
      <c r="H326" s="38">
        <v>66.0</v>
      </c>
      <c r="I326" s="48">
        <f t="shared" si="21"/>
        <v>944</v>
      </c>
      <c r="J326" s="48">
        <f t="shared" si="22"/>
        <v>1058</v>
      </c>
      <c r="K326" s="49">
        <f t="shared" si="23"/>
        <v>0.2563559322</v>
      </c>
      <c r="L326" s="49">
        <f t="shared" si="24"/>
        <v>0.6588983051</v>
      </c>
      <c r="M326" s="49">
        <f t="shared" si="25"/>
        <v>0.08474576271</v>
      </c>
      <c r="N326" s="32" t="str">
        <f t="shared" si="26"/>
        <v>Mal. Lott</v>
      </c>
      <c r="O326" s="50" t="s">
        <v>77</v>
      </c>
      <c r="P326" s="38">
        <v>655.0</v>
      </c>
      <c r="Q326" s="38">
        <v>242.0</v>
      </c>
      <c r="R326" s="38">
        <v>34.0</v>
      </c>
      <c r="S326" s="38">
        <v>68.0</v>
      </c>
      <c r="T326" s="38">
        <v>59.0</v>
      </c>
      <c r="U326" s="48">
        <f t="shared" si="27"/>
        <v>931</v>
      </c>
      <c r="V326" s="48">
        <f t="shared" si="28"/>
        <v>1058</v>
      </c>
      <c r="W326" s="49">
        <f t="shared" si="29"/>
        <v>0.7035445757</v>
      </c>
      <c r="X326" s="49">
        <f t="shared" si="30"/>
        <v>0.2599355532</v>
      </c>
      <c r="Y326" s="49">
        <f t="shared" si="31"/>
        <v>0.03651987111</v>
      </c>
      <c r="Z326" s="32" t="str">
        <f t="shared" si="32"/>
        <v>Jango</v>
      </c>
      <c r="AA326" s="50" t="s">
        <v>77</v>
      </c>
      <c r="AB326" s="38">
        <v>1148.0</v>
      </c>
      <c r="AC326" s="48">
        <f t="shared" si="33"/>
        <v>90</v>
      </c>
      <c r="AD326" s="51">
        <f t="shared" si="34"/>
        <v>0.9216027875</v>
      </c>
    </row>
    <row r="327">
      <c r="A327" s="110" t="s">
        <v>2873</v>
      </c>
      <c r="B327" s="46" t="s">
        <v>2874</v>
      </c>
      <c r="C327" s="47"/>
      <c r="D327" s="38">
        <v>511.0</v>
      </c>
      <c r="E327" s="38">
        <v>553.0</v>
      </c>
      <c r="F327" s="38">
        <v>79.0</v>
      </c>
      <c r="G327" s="38">
        <v>78.0</v>
      </c>
      <c r="H327" s="38">
        <v>73.0</v>
      </c>
      <c r="I327" s="48">
        <f t="shared" si="21"/>
        <v>1143</v>
      </c>
      <c r="J327" s="48">
        <f t="shared" si="22"/>
        <v>1294</v>
      </c>
      <c r="K327" s="49">
        <f t="shared" si="23"/>
        <v>0.4470691164</v>
      </c>
      <c r="L327" s="49">
        <f t="shared" si="24"/>
        <v>0.4838145232</v>
      </c>
      <c r="M327" s="49">
        <f t="shared" si="25"/>
        <v>0.06911636045</v>
      </c>
      <c r="N327" s="32" t="str">
        <f t="shared" si="26"/>
        <v>Mal. Lott</v>
      </c>
      <c r="O327" s="50" t="s">
        <v>77</v>
      </c>
      <c r="P327" s="38">
        <v>536.0</v>
      </c>
      <c r="Q327" s="38">
        <v>454.0</v>
      </c>
      <c r="R327" s="38">
        <v>60.0</v>
      </c>
      <c r="S327" s="38">
        <v>190.0</v>
      </c>
      <c r="T327" s="38">
        <v>54.0</v>
      </c>
      <c r="U327" s="48">
        <f t="shared" si="27"/>
        <v>1050</v>
      </c>
      <c r="V327" s="48">
        <f t="shared" si="28"/>
        <v>1294</v>
      </c>
      <c r="W327" s="49">
        <f t="shared" si="29"/>
        <v>0.5104761905</v>
      </c>
      <c r="X327" s="49">
        <f t="shared" si="30"/>
        <v>0.4323809524</v>
      </c>
      <c r="Y327" s="49">
        <f t="shared" si="31"/>
        <v>0.05714285714</v>
      </c>
      <c r="Z327" s="32" t="str">
        <f t="shared" si="32"/>
        <v>Jango</v>
      </c>
      <c r="AA327" s="50" t="s">
        <v>77</v>
      </c>
      <c r="AB327" s="38">
        <v>1732.0</v>
      </c>
      <c r="AC327" s="48">
        <f t="shared" si="33"/>
        <v>438</v>
      </c>
      <c r="AD327" s="51">
        <f t="shared" si="34"/>
        <v>0.747113164</v>
      </c>
    </row>
    <row r="328">
      <c r="A328" s="110" t="s">
        <v>2875</v>
      </c>
      <c r="B328" s="46" t="s">
        <v>2876</v>
      </c>
      <c r="C328" s="47"/>
      <c r="D328" s="38">
        <v>712.0</v>
      </c>
      <c r="E328" s="38">
        <v>596.0</v>
      </c>
      <c r="F328" s="38">
        <v>238.0</v>
      </c>
      <c r="G328" s="38">
        <v>131.0</v>
      </c>
      <c r="H328" s="38">
        <v>132.0</v>
      </c>
      <c r="I328" s="48">
        <f t="shared" si="21"/>
        <v>1546</v>
      </c>
      <c r="J328" s="48">
        <f t="shared" si="22"/>
        <v>1809</v>
      </c>
      <c r="K328" s="49">
        <f t="shared" si="23"/>
        <v>0.4605433376</v>
      </c>
      <c r="L328" s="49">
        <f t="shared" si="24"/>
        <v>0.3855109961</v>
      </c>
      <c r="M328" s="49">
        <f t="shared" si="25"/>
        <v>0.1539456662</v>
      </c>
      <c r="N328" s="32" t="str">
        <f t="shared" si="26"/>
        <v>Jânio</v>
      </c>
      <c r="O328" s="50" t="s">
        <v>77</v>
      </c>
      <c r="P328" s="38">
        <v>599.0</v>
      </c>
      <c r="Q328" s="38">
        <v>663.0</v>
      </c>
      <c r="R328" s="38">
        <v>88.0</v>
      </c>
      <c r="S328" s="38">
        <v>400.0</v>
      </c>
      <c r="T328" s="38">
        <v>59.0</v>
      </c>
      <c r="U328" s="48">
        <f t="shared" si="27"/>
        <v>1350</v>
      </c>
      <c r="V328" s="48">
        <f t="shared" si="28"/>
        <v>1809</v>
      </c>
      <c r="W328" s="49">
        <f t="shared" si="29"/>
        <v>0.4437037037</v>
      </c>
      <c r="X328" s="49">
        <f t="shared" si="30"/>
        <v>0.4911111111</v>
      </c>
      <c r="Y328" s="49">
        <f t="shared" si="31"/>
        <v>0.06518518519</v>
      </c>
      <c r="Z328" s="32" t="str">
        <f t="shared" si="32"/>
        <v>Milton</v>
      </c>
      <c r="AA328" s="50" t="s">
        <v>77</v>
      </c>
      <c r="AB328" s="38">
        <v>2034.0</v>
      </c>
      <c r="AC328" s="48">
        <f t="shared" si="33"/>
        <v>225</v>
      </c>
      <c r="AD328" s="51">
        <f t="shared" si="34"/>
        <v>0.889380531</v>
      </c>
    </row>
    <row r="329">
      <c r="A329" s="110" t="s">
        <v>2877</v>
      </c>
      <c r="B329" s="46" t="s">
        <v>2878</v>
      </c>
      <c r="C329" s="47"/>
      <c r="D329" s="38">
        <v>1099.0</v>
      </c>
      <c r="E329" s="38">
        <v>1934.0</v>
      </c>
      <c r="F329" s="38">
        <v>168.0</v>
      </c>
      <c r="G329" s="38">
        <v>127.0</v>
      </c>
      <c r="H329" s="38">
        <v>214.0</v>
      </c>
      <c r="I329" s="48">
        <f t="shared" si="21"/>
        <v>3201</v>
      </c>
      <c r="J329" s="48">
        <f t="shared" si="22"/>
        <v>3542</v>
      </c>
      <c r="K329" s="49">
        <f t="shared" si="23"/>
        <v>0.3433302093</v>
      </c>
      <c r="L329" s="49">
        <f t="shared" si="24"/>
        <v>0.6041861918</v>
      </c>
      <c r="M329" s="49">
        <f t="shared" si="25"/>
        <v>0.05248359888</v>
      </c>
      <c r="N329" s="32" t="str">
        <f t="shared" si="26"/>
        <v>Mal. Lott</v>
      </c>
      <c r="O329" s="50" t="s">
        <v>77</v>
      </c>
      <c r="P329" s="38">
        <v>1915.0</v>
      </c>
      <c r="Q329" s="38">
        <v>923.0</v>
      </c>
      <c r="R329" s="38">
        <v>165.0</v>
      </c>
      <c r="S329" s="38">
        <v>410.0</v>
      </c>
      <c r="T329" s="38">
        <v>129.0</v>
      </c>
      <c r="U329" s="48">
        <f t="shared" si="27"/>
        <v>3003</v>
      </c>
      <c r="V329" s="48">
        <f t="shared" si="28"/>
        <v>3542</v>
      </c>
      <c r="W329" s="49">
        <f t="shared" si="29"/>
        <v>0.6376956377</v>
      </c>
      <c r="X329" s="49">
        <f t="shared" si="30"/>
        <v>0.3073593074</v>
      </c>
      <c r="Y329" s="49">
        <f t="shared" si="31"/>
        <v>0.05494505495</v>
      </c>
      <c r="Z329" s="32" t="str">
        <f t="shared" si="32"/>
        <v>Jango</v>
      </c>
      <c r="AA329" s="50" t="s">
        <v>77</v>
      </c>
      <c r="AB329" s="38">
        <v>5628.0</v>
      </c>
      <c r="AC329" s="48">
        <f t="shared" si="33"/>
        <v>2086</v>
      </c>
      <c r="AD329" s="51">
        <f t="shared" si="34"/>
        <v>0.6293532338</v>
      </c>
    </row>
    <row r="330">
      <c r="A330" s="61" t="s">
        <v>2879</v>
      </c>
      <c r="B330" s="46" t="s">
        <v>2880</v>
      </c>
      <c r="C330" s="47"/>
      <c r="D330" s="38">
        <v>2508.0</v>
      </c>
      <c r="E330" s="38">
        <v>2517.0</v>
      </c>
      <c r="F330" s="38">
        <v>947.0</v>
      </c>
      <c r="G330" s="38">
        <v>348.0</v>
      </c>
      <c r="H330" s="38">
        <v>333.0</v>
      </c>
      <c r="I330" s="48">
        <f t="shared" si="21"/>
        <v>5972</v>
      </c>
      <c r="J330" s="48">
        <f t="shared" si="22"/>
        <v>6653</v>
      </c>
      <c r="K330" s="49">
        <f t="shared" si="23"/>
        <v>0.4199598125</v>
      </c>
      <c r="L330" s="49">
        <f t="shared" si="24"/>
        <v>0.4214668453</v>
      </c>
      <c r="M330" s="49">
        <f t="shared" si="25"/>
        <v>0.1585733423</v>
      </c>
      <c r="N330" s="32" t="str">
        <f t="shared" si="26"/>
        <v>Mal. Lott</v>
      </c>
      <c r="O330" s="50" t="s">
        <v>77</v>
      </c>
      <c r="P330" s="38">
        <v>2721.0</v>
      </c>
      <c r="Q330" s="38">
        <v>2711.0</v>
      </c>
      <c r="R330" s="38">
        <v>282.0</v>
      </c>
      <c r="S330" s="38">
        <v>760.0</v>
      </c>
      <c r="T330" s="38">
        <v>179.0</v>
      </c>
      <c r="U330" s="48">
        <f t="shared" si="27"/>
        <v>5714</v>
      </c>
      <c r="V330" s="48">
        <f t="shared" si="28"/>
        <v>6653</v>
      </c>
      <c r="W330" s="49">
        <f t="shared" si="29"/>
        <v>0.4761988099</v>
      </c>
      <c r="X330" s="49">
        <f t="shared" si="30"/>
        <v>0.4744487224</v>
      </c>
      <c r="Y330" s="49">
        <f t="shared" si="31"/>
        <v>0.04935246762</v>
      </c>
      <c r="Z330" s="32" t="str">
        <f t="shared" si="32"/>
        <v>Jango</v>
      </c>
      <c r="AA330" s="50" t="s">
        <v>77</v>
      </c>
      <c r="AB330" s="38">
        <v>8200.0</v>
      </c>
      <c r="AC330" s="48">
        <f t="shared" si="33"/>
        <v>1547</v>
      </c>
      <c r="AD330" s="51">
        <f t="shared" si="34"/>
        <v>0.8113414634</v>
      </c>
    </row>
    <row r="331">
      <c r="A331" s="24"/>
      <c r="B331" s="46" t="s">
        <v>2881</v>
      </c>
      <c r="C331" s="47"/>
      <c r="D331" s="38">
        <v>684.0</v>
      </c>
      <c r="E331" s="38">
        <v>666.0</v>
      </c>
      <c r="F331" s="38">
        <v>132.0</v>
      </c>
      <c r="G331" s="38">
        <v>140.0</v>
      </c>
      <c r="H331" s="38">
        <v>93.0</v>
      </c>
      <c r="I331" s="48">
        <f t="shared" si="21"/>
        <v>1482</v>
      </c>
      <c r="J331" s="48">
        <f t="shared" si="22"/>
        <v>1715</v>
      </c>
      <c r="K331" s="49">
        <f t="shared" si="23"/>
        <v>0.4615384615</v>
      </c>
      <c r="L331" s="49">
        <f t="shared" si="24"/>
        <v>0.4493927126</v>
      </c>
      <c r="M331" s="49">
        <f t="shared" si="25"/>
        <v>0.08906882591</v>
      </c>
      <c r="N331" s="32" t="str">
        <f t="shared" si="26"/>
        <v>Jânio</v>
      </c>
      <c r="O331" s="50" t="s">
        <v>77</v>
      </c>
      <c r="P331" s="38">
        <v>628.0</v>
      </c>
      <c r="Q331" s="38">
        <v>623.0</v>
      </c>
      <c r="R331" s="38">
        <v>66.0</v>
      </c>
      <c r="S331" s="38">
        <v>348.0</v>
      </c>
      <c r="T331" s="38">
        <v>50.0</v>
      </c>
      <c r="U331" s="48">
        <f t="shared" si="27"/>
        <v>1317</v>
      </c>
      <c r="V331" s="48">
        <f t="shared" si="28"/>
        <v>1715</v>
      </c>
      <c r="W331" s="49">
        <f t="shared" si="29"/>
        <v>0.476841306</v>
      </c>
      <c r="X331" s="49">
        <f t="shared" si="30"/>
        <v>0.4730447988</v>
      </c>
      <c r="Y331" s="49">
        <f t="shared" si="31"/>
        <v>0.05011389522</v>
      </c>
      <c r="Z331" s="32" t="str">
        <f t="shared" si="32"/>
        <v>Jango</v>
      </c>
      <c r="AA331" s="50" t="s">
        <v>77</v>
      </c>
      <c r="AB331" s="38">
        <v>2090.0</v>
      </c>
      <c r="AC331" s="48">
        <f t="shared" si="33"/>
        <v>375</v>
      </c>
      <c r="AD331" s="51">
        <f t="shared" si="34"/>
        <v>0.8205741627</v>
      </c>
    </row>
    <row r="332">
      <c r="A332" s="110" t="s">
        <v>2882</v>
      </c>
      <c r="B332" s="46" t="s">
        <v>2883</v>
      </c>
      <c r="C332" s="47"/>
      <c r="D332" s="38">
        <v>2649.0</v>
      </c>
      <c r="E332" s="38">
        <v>1998.0</v>
      </c>
      <c r="F332" s="38">
        <v>217.0</v>
      </c>
      <c r="G332" s="38">
        <v>130.0</v>
      </c>
      <c r="H332" s="38">
        <v>174.0</v>
      </c>
      <c r="I332" s="48">
        <f t="shared" si="21"/>
        <v>4864</v>
      </c>
      <c r="J332" s="48">
        <f t="shared" si="22"/>
        <v>5168</v>
      </c>
      <c r="K332" s="49">
        <f t="shared" si="23"/>
        <v>0.5446134868</v>
      </c>
      <c r="L332" s="49">
        <f t="shared" si="24"/>
        <v>0.4107730263</v>
      </c>
      <c r="M332" s="49">
        <f t="shared" si="25"/>
        <v>0.04461348684</v>
      </c>
      <c r="N332" s="32" t="str">
        <f t="shared" si="26"/>
        <v>Jânio</v>
      </c>
      <c r="O332" s="50" t="s">
        <v>77</v>
      </c>
      <c r="P332" s="38">
        <v>1969.0</v>
      </c>
      <c r="Q332" s="38">
        <v>2473.0</v>
      </c>
      <c r="R332" s="38">
        <v>268.0</v>
      </c>
      <c r="S332" s="38">
        <v>355.0</v>
      </c>
      <c r="T332" s="38">
        <v>103.0</v>
      </c>
      <c r="U332" s="48">
        <f t="shared" si="27"/>
        <v>4710</v>
      </c>
      <c r="V332" s="48">
        <f t="shared" si="28"/>
        <v>5168</v>
      </c>
      <c r="W332" s="49">
        <f t="shared" si="29"/>
        <v>0.4180467091</v>
      </c>
      <c r="X332" s="49">
        <f t="shared" si="30"/>
        <v>0.5250530786</v>
      </c>
      <c r="Y332" s="49">
        <f t="shared" si="31"/>
        <v>0.05690021231</v>
      </c>
      <c r="Z332" s="32" t="str">
        <f t="shared" si="32"/>
        <v>Milton</v>
      </c>
      <c r="AA332" s="50" t="s">
        <v>77</v>
      </c>
      <c r="AB332" s="38">
        <v>6298.0</v>
      </c>
      <c r="AC332" s="48">
        <f t="shared" si="33"/>
        <v>1130</v>
      </c>
      <c r="AD332" s="51">
        <f t="shared" si="34"/>
        <v>0.8205779613</v>
      </c>
    </row>
    <row r="333">
      <c r="A333" s="61" t="s">
        <v>2884</v>
      </c>
      <c r="B333" s="46" t="s">
        <v>2885</v>
      </c>
      <c r="C333" s="47"/>
      <c r="D333" s="38">
        <v>2275.0</v>
      </c>
      <c r="E333" s="38">
        <v>3802.0</v>
      </c>
      <c r="F333" s="38">
        <v>878.0</v>
      </c>
      <c r="G333" s="38">
        <v>472.0</v>
      </c>
      <c r="H333" s="55">
        <v>589.0</v>
      </c>
      <c r="I333" s="48">
        <f t="shared" si="21"/>
        <v>6955</v>
      </c>
      <c r="J333" s="114">
        <f t="shared" si="22"/>
        <v>8016</v>
      </c>
      <c r="K333" s="49">
        <f t="shared" si="23"/>
        <v>0.3271028037</v>
      </c>
      <c r="L333" s="49">
        <f t="shared" si="24"/>
        <v>0.5466570812</v>
      </c>
      <c r="M333" s="49">
        <f t="shared" si="25"/>
        <v>0.126240115</v>
      </c>
      <c r="N333" s="32" t="str">
        <f t="shared" si="26"/>
        <v>Mal. Lott</v>
      </c>
      <c r="O333" s="50" t="s">
        <v>77</v>
      </c>
      <c r="P333" s="38">
        <v>3613.0</v>
      </c>
      <c r="Q333" s="38">
        <v>2552.0</v>
      </c>
      <c r="R333" s="38">
        <v>590.0</v>
      </c>
      <c r="S333" s="38">
        <v>815.0</v>
      </c>
      <c r="T333" s="38">
        <v>446.0</v>
      </c>
      <c r="U333" s="48">
        <f t="shared" si="27"/>
        <v>6755</v>
      </c>
      <c r="V333" s="48">
        <f t="shared" si="28"/>
        <v>8016</v>
      </c>
      <c r="W333" s="49">
        <f t="shared" si="29"/>
        <v>0.5348630644</v>
      </c>
      <c r="X333" s="49">
        <f t="shared" si="30"/>
        <v>0.3777942265</v>
      </c>
      <c r="Y333" s="49">
        <f t="shared" si="31"/>
        <v>0.0873427091</v>
      </c>
      <c r="Z333" s="32" t="str">
        <f t="shared" si="32"/>
        <v>Jango</v>
      </c>
      <c r="AA333" s="50" t="s">
        <v>77</v>
      </c>
      <c r="AB333" s="38">
        <v>9823.0</v>
      </c>
      <c r="AC333" s="48">
        <f t="shared" si="33"/>
        <v>1807</v>
      </c>
      <c r="AD333" s="51">
        <f t="shared" si="34"/>
        <v>0.8160439784</v>
      </c>
    </row>
    <row r="334">
      <c r="A334" s="24"/>
      <c r="B334" s="46" t="s">
        <v>639</v>
      </c>
      <c r="C334" s="47"/>
      <c r="D334" s="38">
        <v>272.0</v>
      </c>
      <c r="E334" s="38">
        <v>390.0</v>
      </c>
      <c r="F334" s="38">
        <v>75.0</v>
      </c>
      <c r="G334" s="38">
        <v>74.0</v>
      </c>
      <c r="H334" s="38">
        <v>57.0</v>
      </c>
      <c r="I334" s="48">
        <f t="shared" si="21"/>
        <v>737</v>
      </c>
      <c r="J334" s="48">
        <f t="shared" si="22"/>
        <v>868</v>
      </c>
      <c r="K334" s="49">
        <f t="shared" si="23"/>
        <v>0.369063772</v>
      </c>
      <c r="L334" s="49">
        <f t="shared" si="24"/>
        <v>0.5291723202</v>
      </c>
      <c r="M334" s="49">
        <f t="shared" si="25"/>
        <v>0.1017639077</v>
      </c>
      <c r="N334" s="32" t="str">
        <f t="shared" si="26"/>
        <v>Mal. Lott</v>
      </c>
      <c r="O334" s="50" t="s">
        <v>77</v>
      </c>
      <c r="P334" s="38">
        <v>391.0</v>
      </c>
      <c r="Q334" s="38">
        <v>250.0</v>
      </c>
      <c r="R334" s="38">
        <v>47.0</v>
      </c>
      <c r="S334" s="38">
        <v>151.0</v>
      </c>
      <c r="T334" s="38">
        <v>29.0</v>
      </c>
      <c r="U334" s="48">
        <f t="shared" si="27"/>
        <v>688</v>
      </c>
      <c r="V334" s="48">
        <f t="shared" si="28"/>
        <v>868</v>
      </c>
      <c r="W334" s="49">
        <f t="shared" si="29"/>
        <v>0.5683139535</v>
      </c>
      <c r="X334" s="49">
        <f t="shared" si="30"/>
        <v>0.363372093</v>
      </c>
      <c r="Y334" s="49">
        <f t="shared" si="31"/>
        <v>0.06831395349</v>
      </c>
      <c r="Z334" s="32" t="str">
        <f t="shared" si="32"/>
        <v>Jango</v>
      </c>
      <c r="AA334" s="50" t="s">
        <v>77</v>
      </c>
      <c r="AB334" s="38">
        <v>1043.0</v>
      </c>
      <c r="AC334" s="48">
        <f t="shared" si="33"/>
        <v>175</v>
      </c>
      <c r="AD334" s="51">
        <f t="shared" si="34"/>
        <v>0.8322147651</v>
      </c>
    </row>
    <row r="335">
      <c r="A335" s="110" t="s">
        <v>2886</v>
      </c>
      <c r="B335" s="46" t="s">
        <v>2887</v>
      </c>
      <c r="C335" s="47"/>
      <c r="D335" s="38">
        <v>848.0</v>
      </c>
      <c r="E335" s="38">
        <v>554.0</v>
      </c>
      <c r="F335" s="38">
        <v>73.0</v>
      </c>
      <c r="G335" s="38">
        <v>142.0</v>
      </c>
      <c r="H335" s="38">
        <v>108.0</v>
      </c>
      <c r="I335" s="48">
        <f t="shared" si="21"/>
        <v>1475</v>
      </c>
      <c r="J335" s="48">
        <f t="shared" si="22"/>
        <v>1725</v>
      </c>
      <c r="K335" s="49">
        <f t="shared" si="23"/>
        <v>0.5749152542</v>
      </c>
      <c r="L335" s="49">
        <f t="shared" si="24"/>
        <v>0.3755932203</v>
      </c>
      <c r="M335" s="49">
        <f t="shared" si="25"/>
        <v>0.04949152542</v>
      </c>
      <c r="N335" s="32" t="str">
        <f t="shared" si="26"/>
        <v>Jânio</v>
      </c>
      <c r="O335" s="50" t="s">
        <v>77</v>
      </c>
      <c r="P335" s="38">
        <v>576.0</v>
      </c>
      <c r="Q335" s="38">
        <v>752.0</v>
      </c>
      <c r="R335" s="38">
        <v>60.0</v>
      </c>
      <c r="S335" s="38">
        <v>269.0</v>
      </c>
      <c r="T335" s="38">
        <v>68.0</v>
      </c>
      <c r="U335" s="48">
        <f t="shared" si="27"/>
        <v>1388</v>
      </c>
      <c r="V335" s="48">
        <f t="shared" si="28"/>
        <v>1725</v>
      </c>
      <c r="W335" s="49">
        <f t="shared" si="29"/>
        <v>0.4149855908</v>
      </c>
      <c r="X335" s="49">
        <f t="shared" si="30"/>
        <v>0.5417867435</v>
      </c>
      <c r="Y335" s="49">
        <f t="shared" si="31"/>
        <v>0.04322766571</v>
      </c>
      <c r="Z335" s="32" t="str">
        <f t="shared" si="32"/>
        <v>Milton</v>
      </c>
      <c r="AA335" s="50" t="s">
        <v>77</v>
      </c>
      <c r="AB335" s="38">
        <v>2119.0</v>
      </c>
      <c r="AC335" s="48">
        <f t="shared" si="33"/>
        <v>394</v>
      </c>
      <c r="AD335" s="51">
        <f t="shared" si="34"/>
        <v>0.8140632374</v>
      </c>
    </row>
    <row r="336">
      <c r="A336" s="110" t="s">
        <v>2888</v>
      </c>
      <c r="B336" s="46" t="s">
        <v>2889</v>
      </c>
      <c r="C336" s="47"/>
      <c r="D336" s="38">
        <v>1944.0</v>
      </c>
      <c r="E336" s="38">
        <v>1889.0</v>
      </c>
      <c r="F336" s="38">
        <v>279.0</v>
      </c>
      <c r="G336" s="38">
        <v>124.0</v>
      </c>
      <c r="H336" s="38">
        <v>199.0</v>
      </c>
      <c r="I336" s="48">
        <f t="shared" si="21"/>
        <v>4112</v>
      </c>
      <c r="J336" s="48">
        <f t="shared" si="22"/>
        <v>4435</v>
      </c>
      <c r="K336" s="49">
        <f t="shared" si="23"/>
        <v>0.4727626459</v>
      </c>
      <c r="L336" s="49">
        <f t="shared" si="24"/>
        <v>0.4593871595</v>
      </c>
      <c r="M336" s="49">
        <f t="shared" si="25"/>
        <v>0.06785019455</v>
      </c>
      <c r="N336" s="32" t="str">
        <f t="shared" si="26"/>
        <v>Jânio</v>
      </c>
      <c r="O336" s="50" t="s">
        <v>77</v>
      </c>
      <c r="P336" s="38">
        <v>1815.0</v>
      </c>
      <c r="Q336" s="38">
        <v>1813.0</v>
      </c>
      <c r="R336" s="38">
        <v>270.0</v>
      </c>
      <c r="S336" s="38">
        <v>425.0</v>
      </c>
      <c r="T336" s="38">
        <v>112.0</v>
      </c>
      <c r="U336" s="48">
        <f t="shared" si="27"/>
        <v>3898</v>
      </c>
      <c r="V336" s="48">
        <f t="shared" si="28"/>
        <v>4435</v>
      </c>
      <c r="W336" s="49">
        <f t="shared" si="29"/>
        <v>0.4656233966</v>
      </c>
      <c r="X336" s="49">
        <f t="shared" si="30"/>
        <v>0.465110313</v>
      </c>
      <c r="Y336" s="49">
        <f t="shared" si="31"/>
        <v>0.06926629041</v>
      </c>
      <c r="Z336" s="32" t="str">
        <f t="shared" si="32"/>
        <v>Jango</v>
      </c>
      <c r="AA336" s="50" t="s">
        <v>77</v>
      </c>
      <c r="AB336" s="38">
        <v>5276.0</v>
      </c>
      <c r="AC336" s="48">
        <f t="shared" si="33"/>
        <v>841</v>
      </c>
      <c r="AD336" s="51">
        <f t="shared" si="34"/>
        <v>0.8405989386</v>
      </c>
    </row>
    <row r="337">
      <c r="A337" s="61" t="s">
        <v>2890</v>
      </c>
      <c r="B337" s="46" t="s">
        <v>2891</v>
      </c>
      <c r="C337" s="47"/>
      <c r="D337" s="38">
        <v>1279.0</v>
      </c>
      <c r="E337" s="38">
        <v>2111.0</v>
      </c>
      <c r="F337" s="38">
        <v>254.0</v>
      </c>
      <c r="G337" s="38">
        <v>217.0</v>
      </c>
      <c r="H337" s="38">
        <v>235.0</v>
      </c>
      <c r="I337" s="48">
        <f t="shared" si="21"/>
        <v>3644</v>
      </c>
      <c r="J337" s="48">
        <f t="shared" si="22"/>
        <v>4096</v>
      </c>
      <c r="K337" s="49">
        <f t="shared" si="23"/>
        <v>0.3509879254</v>
      </c>
      <c r="L337" s="49">
        <f t="shared" si="24"/>
        <v>0.5793084523</v>
      </c>
      <c r="M337" s="49">
        <f t="shared" si="25"/>
        <v>0.06970362239</v>
      </c>
      <c r="N337" s="32" t="str">
        <f t="shared" si="26"/>
        <v>Mal. Lott</v>
      </c>
      <c r="O337" s="50" t="s">
        <v>77</v>
      </c>
      <c r="P337" s="38">
        <v>2095.0</v>
      </c>
      <c r="Q337" s="38">
        <v>1148.0</v>
      </c>
      <c r="R337" s="38">
        <v>221.0</v>
      </c>
      <c r="S337" s="38">
        <v>503.0</v>
      </c>
      <c r="T337" s="38">
        <v>129.0</v>
      </c>
      <c r="U337" s="48">
        <f t="shared" si="27"/>
        <v>3464</v>
      </c>
      <c r="V337" s="48">
        <f t="shared" si="28"/>
        <v>4096</v>
      </c>
      <c r="W337" s="49">
        <f t="shared" si="29"/>
        <v>0.6047921478</v>
      </c>
      <c r="X337" s="49">
        <f t="shared" si="30"/>
        <v>0.331408776</v>
      </c>
      <c r="Y337" s="49">
        <f t="shared" si="31"/>
        <v>0.06379907621</v>
      </c>
      <c r="Z337" s="32" t="str">
        <f t="shared" si="32"/>
        <v>Jango</v>
      </c>
      <c r="AA337" s="50" t="s">
        <v>77</v>
      </c>
      <c r="AB337" s="38">
        <v>5402.0</v>
      </c>
      <c r="AC337" s="48">
        <f t="shared" si="33"/>
        <v>1306</v>
      </c>
      <c r="AD337" s="51">
        <f t="shared" si="34"/>
        <v>0.7582376897</v>
      </c>
    </row>
    <row r="338">
      <c r="A338" s="24"/>
      <c r="B338" s="46" t="s">
        <v>2892</v>
      </c>
      <c r="C338" s="47"/>
      <c r="D338" s="38">
        <v>930.0</v>
      </c>
      <c r="E338" s="38">
        <v>590.0</v>
      </c>
      <c r="F338" s="38">
        <v>117.0</v>
      </c>
      <c r="G338" s="38">
        <v>144.0</v>
      </c>
      <c r="H338" s="38">
        <v>129.0</v>
      </c>
      <c r="I338" s="48">
        <f t="shared" si="21"/>
        <v>1637</v>
      </c>
      <c r="J338" s="48">
        <f t="shared" si="22"/>
        <v>1910</v>
      </c>
      <c r="K338" s="49">
        <f t="shared" si="23"/>
        <v>0.5681124007</v>
      </c>
      <c r="L338" s="49">
        <f t="shared" si="24"/>
        <v>0.360415394</v>
      </c>
      <c r="M338" s="49">
        <f t="shared" si="25"/>
        <v>0.07147220525</v>
      </c>
      <c r="N338" s="32" t="str">
        <f t="shared" si="26"/>
        <v>Jânio</v>
      </c>
      <c r="O338" s="50" t="s">
        <v>77</v>
      </c>
      <c r="P338" s="38">
        <v>555.0</v>
      </c>
      <c r="Q338" s="38">
        <v>825.0</v>
      </c>
      <c r="R338" s="38">
        <v>96.0</v>
      </c>
      <c r="S338" s="38">
        <v>370.0</v>
      </c>
      <c r="T338" s="38">
        <v>64.0</v>
      </c>
      <c r="U338" s="48">
        <f t="shared" si="27"/>
        <v>1476</v>
      </c>
      <c r="V338" s="48">
        <f t="shared" si="28"/>
        <v>1910</v>
      </c>
      <c r="W338" s="49">
        <f t="shared" si="29"/>
        <v>0.3760162602</v>
      </c>
      <c r="X338" s="49">
        <f t="shared" si="30"/>
        <v>0.5589430894</v>
      </c>
      <c r="Y338" s="49">
        <f t="shared" si="31"/>
        <v>0.06504065041</v>
      </c>
      <c r="Z338" s="32" t="str">
        <f t="shared" si="32"/>
        <v>Milton</v>
      </c>
      <c r="AA338" s="50" t="s">
        <v>77</v>
      </c>
      <c r="AB338" s="38">
        <v>3519.0</v>
      </c>
      <c r="AC338" s="48">
        <f t="shared" si="33"/>
        <v>1609</v>
      </c>
      <c r="AD338" s="51">
        <f t="shared" si="34"/>
        <v>0.5427678318</v>
      </c>
    </row>
    <row r="339">
      <c r="A339" s="61" t="s">
        <v>2893</v>
      </c>
      <c r="B339" s="46" t="s">
        <v>2894</v>
      </c>
      <c r="C339" s="47"/>
      <c r="D339" s="38">
        <v>3525.0</v>
      </c>
      <c r="E339" s="38">
        <v>2732.0</v>
      </c>
      <c r="F339" s="38">
        <v>546.0</v>
      </c>
      <c r="G339" s="38">
        <v>654.0</v>
      </c>
      <c r="H339" s="38">
        <v>557.0</v>
      </c>
      <c r="I339" s="48">
        <f t="shared" si="21"/>
        <v>6803</v>
      </c>
      <c r="J339" s="48">
        <f t="shared" si="22"/>
        <v>8014</v>
      </c>
      <c r="K339" s="49">
        <f t="shared" si="23"/>
        <v>0.5181537557</v>
      </c>
      <c r="L339" s="49">
        <f t="shared" si="24"/>
        <v>0.4015875349</v>
      </c>
      <c r="M339" s="49">
        <f t="shared" si="25"/>
        <v>0.08025870939</v>
      </c>
      <c r="N339" s="32" t="str">
        <f t="shared" si="26"/>
        <v>Jânio</v>
      </c>
      <c r="O339" s="50" t="s">
        <v>77</v>
      </c>
      <c r="P339" s="38">
        <v>2405.0</v>
      </c>
      <c r="Q339" s="38">
        <v>3670.0</v>
      </c>
      <c r="R339" s="38">
        <v>321.0</v>
      </c>
      <c r="S339" s="38">
        <v>1224.0</v>
      </c>
      <c r="T339" s="38">
        <v>394.0</v>
      </c>
      <c r="U339" s="48">
        <f t="shared" si="27"/>
        <v>6396</v>
      </c>
      <c r="V339" s="48">
        <f t="shared" si="28"/>
        <v>8014</v>
      </c>
      <c r="W339" s="49">
        <f t="shared" si="29"/>
        <v>0.3760162602</v>
      </c>
      <c r="X339" s="49">
        <f t="shared" si="30"/>
        <v>0.5737961226</v>
      </c>
      <c r="Y339" s="49">
        <f t="shared" si="31"/>
        <v>0.05018761726</v>
      </c>
      <c r="Z339" s="32" t="str">
        <f t="shared" si="32"/>
        <v>Milton</v>
      </c>
      <c r="AA339" s="50" t="s">
        <v>77</v>
      </c>
      <c r="AB339" s="38">
        <v>9202.0</v>
      </c>
      <c r="AC339" s="48">
        <f t="shared" si="33"/>
        <v>1188</v>
      </c>
      <c r="AD339" s="51">
        <f t="shared" si="34"/>
        <v>0.8708976309</v>
      </c>
    </row>
    <row r="340">
      <c r="A340" s="23"/>
      <c r="B340" s="46" t="s">
        <v>2895</v>
      </c>
      <c r="C340" s="47"/>
      <c r="D340" s="38">
        <v>540.0</v>
      </c>
      <c r="E340" s="38">
        <v>620.0</v>
      </c>
      <c r="F340" s="38">
        <v>88.0</v>
      </c>
      <c r="G340" s="38">
        <v>147.0</v>
      </c>
      <c r="H340" s="38">
        <v>113.0</v>
      </c>
      <c r="I340" s="48">
        <f t="shared" si="21"/>
        <v>1248</v>
      </c>
      <c r="J340" s="48">
        <f t="shared" si="22"/>
        <v>1508</v>
      </c>
      <c r="K340" s="49">
        <f t="shared" si="23"/>
        <v>0.4326923077</v>
      </c>
      <c r="L340" s="49">
        <f t="shared" si="24"/>
        <v>0.4967948718</v>
      </c>
      <c r="M340" s="49">
        <f t="shared" si="25"/>
        <v>0.07051282051</v>
      </c>
      <c r="N340" s="32" t="str">
        <f t="shared" si="26"/>
        <v>Mal. Lott</v>
      </c>
      <c r="O340" s="50" t="s">
        <v>77</v>
      </c>
      <c r="P340" s="38">
        <v>571.0</v>
      </c>
      <c r="Q340" s="38">
        <v>576.0</v>
      </c>
      <c r="R340" s="38">
        <v>54.0</v>
      </c>
      <c r="S340" s="38">
        <v>250.0</v>
      </c>
      <c r="T340" s="38">
        <v>57.0</v>
      </c>
      <c r="U340" s="48">
        <f t="shared" si="27"/>
        <v>1201</v>
      </c>
      <c r="V340" s="48">
        <f t="shared" si="28"/>
        <v>1508</v>
      </c>
      <c r="W340" s="49">
        <f t="shared" si="29"/>
        <v>0.4754371357</v>
      </c>
      <c r="X340" s="49">
        <f t="shared" si="30"/>
        <v>0.4796003331</v>
      </c>
      <c r="Y340" s="49">
        <f t="shared" si="31"/>
        <v>0.04496253122</v>
      </c>
      <c r="Z340" s="32" t="str">
        <f t="shared" si="32"/>
        <v>Milton</v>
      </c>
      <c r="AA340" s="50" t="s">
        <v>77</v>
      </c>
      <c r="AB340" s="38">
        <v>1874.0</v>
      </c>
      <c r="AC340" s="48">
        <f t="shared" si="33"/>
        <v>366</v>
      </c>
      <c r="AD340" s="51">
        <f t="shared" si="34"/>
        <v>0.8046958378</v>
      </c>
    </row>
    <row r="341">
      <c r="A341" s="24"/>
      <c r="B341" s="46" t="s">
        <v>2896</v>
      </c>
      <c r="C341" s="47"/>
      <c r="D341" s="38">
        <v>608.0</v>
      </c>
      <c r="E341" s="38">
        <v>288.0</v>
      </c>
      <c r="F341" s="38">
        <v>38.0</v>
      </c>
      <c r="G341" s="38">
        <v>98.0</v>
      </c>
      <c r="H341" s="38">
        <v>46.0</v>
      </c>
      <c r="I341" s="48">
        <f t="shared" si="21"/>
        <v>934</v>
      </c>
      <c r="J341" s="48">
        <f t="shared" si="22"/>
        <v>1078</v>
      </c>
      <c r="K341" s="49">
        <f t="shared" si="23"/>
        <v>0.6509635974</v>
      </c>
      <c r="L341" s="49">
        <f t="shared" si="24"/>
        <v>0.3083511777</v>
      </c>
      <c r="M341" s="49">
        <f t="shared" si="25"/>
        <v>0.04068522484</v>
      </c>
      <c r="N341" s="32" t="str">
        <f t="shared" si="26"/>
        <v>Jânio</v>
      </c>
      <c r="O341" s="50" t="s">
        <v>77</v>
      </c>
      <c r="P341" s="38">
        <v>282.0</v>
      </c>
      <c r="Q341" s="38">
        <v>596.0</v>
      </c>
      <c r="R341" s="38">
        <v>20.0</v>
      </c>
      <c r="S341" s="38">
        <v>149.0</v>
      </c>
      <c r="T341" s="38">
        <v>31.0</v>
      </c>
      <c r="U341" s="48">
        <f t="shared" si="27"/>
        <v>898</v>
      </c>
      <c r="V341" s="48">
        <f t="shared" si="28"/>
        <v>1078</v>
      </c>
      <c r="W341" s="49">
        <f t="shared" si="29"/>
        <v>0.3140311804</v>
      </c>
      <c r="X341" s="49">
        <f t="shared" si="30"/>
        <v>0.6636971047</v>
      </c>
      <c r="Y341" s="49">
        <f t="shared" si="31"/>
        <v>0.02227171492</v>
      </c>
      <c r="Z341" s="32" t="str">
        <f t="shared" si="32"/>
        <v>Milton</v>
      </c>
      <c r="AA341" s="50" t="s">
        <v>77</v>
      </c>
      <c r="AB341" s="38">
        <v>1233.0</v>
      </c>
      <c r="AC341" s="48">
        <f t="shared" si="33"/>
        <v>155</v>
      </c>
      <c r="AD341" s="51">
        <f t="shared" si="34"/>
        <v>0.8742903487</v>
      </c>
    </row>
    <row r="342">
      <c r="A342" s="61" t="s">
        <v>2897</v>
      </c>
      <c r="B342" s="46" t="s">
        <v>2898</v>
      </c>
      <c r="C342" s="47"/>
      <c r="D342" s="38">
        <v>1456.0</v>
      </c>
      <c r="E342" s="38">
        <v>1251.0</v>
      </c>
      <c r="F342" s="38">
        <v>471.0</v>
      </c>
      <c r="G342" s="38">
        <v>145.0</v>
      </c>
      <c r="H342" s="38">
        <v>118.0</v>
      </c>
      <c r="I342" s="48">
        <f t="shared" si="21"/>
        <v>3178</v>
      </c>
      <c r="J342" s="48">
        <f t="shared" si="22"/>
        <v>3441</v>
      </c>
      <c r="K342" s="49">
        <f t="shared" si="23"/>
        <v>0.4581497797</v>
      </c>
      <c r="L342" s="49">
        <f t="shared" si="24"/>
        <v>0.3936438011</v>
      </c>
      <c r="M342" s="49">
        <f t="shared" si="25"/>
        <v>0.1482064191</v>
      </c>
      <c r="N342" s="32" t="str">
        <f t="shared" si="26"/>
        <v>Jânio</v>
      </c>
      <c r="O342" s="50" t="s">
        <v>77</v>
      </c>
      <c r="P342" s="38">
        <v>1275.0</v>
      </c>
      <c r="Q342" s="38">
        <v>1399.0</v>
      </c>
      <c r="R342" s="38">
        <v>251.0</v>
      </c>
      <c r="S342" s="38">
        <v>426.0</v>
      </c>
      <c r="T342" s="38">
        <v>90.0</v>
      </c>
      <c r="U342" s="48">
        <f t="shared" si="27"/>
        <v>2925</v>
      </c>
      <c r="V342" s="48">
        <f t="shared" si="28"/>
        <v>3441</v>
      </c>
      <c r="W342" s="49">
        <f t="shared" si="29"/>
        <v>0.4358974359</v>
      </c>
      <c r="X342" s="49">
        <f t="shared" si="30"/>
        <v>0.4782905983</v>
      </c>
      <c r="Y342" s="49">
        <f t="shared" si="31"/>
        <v>0.08581196581</v>
      </c>
      <c r="Z342" s="32" t="str">
        <f t="shared" si="32"/>
        <v>Milton</v>
      </c>
      <c r="AA342" s="50" t="s">
        <v>77</v>
      </c>
      <c r="AB342" s="38">
        <v>3531.0</v>
      </c>
      <c r="AC342" s="48">
        <f t="shared" si="33"/>
        <v>90</v>
      </c>
      <c r="AD342" s="51">
        <f t="shared" si="34"/>
        <v>0.9745114698</v>
      </c>
    </row>
    <row r="343">
      <c r="A343" s="24"/>
      <c r="B343" s="46" t="s">
        <v>2899</v>
      </c>
      <c r="C343" s="47"/>
      <c r="D343" s="38">
        <v>252.0</v>
      </c>
      <c r="E343" s="38">
        <v>261.0</v>
      </c>
      <c r="F343" s="38">
        <v>118.0</v>
      </c>
      <c r="G343" s="38">
        <v>27.0</v>
      </c>
      <c r="H343" s="38">
        <v>16.0</v>
      </c>
      <c r="I343" s="48">
        <f t="shared" si="21"/>
        <v>631</v>
      </c>
      <c r="J343" s="48">
        <f t="shared" si="22"/>
        <v>674</v>
      </c>
      <c r="K343" s="49">
        <f t="shared" si="23"/>
        <v>0.3993660856</v>
      </c>
      <c r="L343" s="49">
        <f t="shared" si="24"/>
        <v>0.4136291601</v>
      </c>
      <c r="M343" s="49">
        <f t="shared" si="25"/>
        <v>0.1870047544</v>
      </c>
      <c r="N343" s="32" t="str">
        <f t="shared" si="26"/>
        <v>Mal. Lott</v>
      </c>
      <c r="O343" s="50" t="s">
        <v>77</v>
      </c>
      <c r="P343" s="38">
        <v>289.0</v>
      </c>
      <c r="Q343" s="38">
        <v>264.0</v>
      </c>
      <c r="R343" s="38">
        <v>31.0</v>
      </c>
      <c r="S343" s="38">
        <v>75.0</v>
      </c>
      <c r="T343" s="38">
        <v>15.0</v>
      </c>
      <c r="U343" s="48">
        <f t="shared" si="27"/>
        <v>584</v>
      </c>
      <c r="V343" s="48">
        <f t="shared" si="28"/>
        <v>674</v>
      </c>
      <c r="W343" s="49">
        <f t="shared" si="29"/>
        <v>0.4948630137</v>
      </c>
      <c r="X343" s="49">
        <f t="shared" si="30"/>
        <v>0.4520547945</v>
      </c>
      <c r="Y343" s="49">
        <f t="shared" si="31"/>
        <v>0.05308219178</v>
      </c>
      <c r="Z343" s="32" t="str">
        <f t="shared" si="32"/>
        <v>Jango</v>
      </c>
      <c r="AA343" s="50" t="s">
        <v>77</v>
      </c>
      <c r="AB343" s="38">
        <v>1066.0</v>
      </c>
      <c r="AC343" s="48">
        <f t="shared" si="33"/>
        <v>392</v>
      </c>
      <c r="AD343" s="51">
        <f t="shared" si="34"/>
        <v>0.6322701689</v>
      </c>
    </row>
    <row r="344">
      <c r="A344" s="61" t="s">
        <v>2900</v>
      </c>
      <c r="B344" s="46" t="s">
        <v>2901</v>
      </c>
      <c r="C344" s="47"/>
      <c r="D344" s="38">
        <v>1427.0</v>
      </c>
      <c r="E344" s="38">
        <v>1582.0</v>
      </c>
      <c r="F344" s="38">
        <v>321.0</v>
      </c>
      <c r="G344" s="38">
        <v>156.0</v>
      </c>
      <c r="H344" s="38">
        <v>131.0</v>
      </c>
      <c r="I344" s="48">
        <f t="shared" si="21"/>
        <v>3330</v>
      </c>
      <c r="J344" s="48">
        <f t="shared" si="22"/>
        <v>3617</v>
      </c>
      <c r="K344" s="49">
        <f t="shared" si="23"/>
        <v>0.4285285285</v>
      </c>
      <c r="L344" s="49">
        <f t="shared" si="24"/>
        <v>0.4750750751</v>
      </c>
      <c r="M344" s="49">
        <f t="shared" si="25"/>
        <v>0.0963963964</v>
      </c>
      <c r="N344" s="32" t="str">
        <f t="shared" si="26"/>
        <v>Mal. Lott</v>
      </c>
      <c r="O344" s="50" t="s">
        <v>77</v>
      </c>
      <c r="P344" s="38">
        <v>1560.0</v>
      </c>
      <c r="Q344" s="38">
        <v>1367.0</v>
      </c>
      <c r="R344" s="38">
        <v>116.0</v>
      </c>
      <c r="S344" s="38">
        <v>485.0</v>
      </c>
      <c r="T344" s="38">
        <v>89.0</v>
      </c>
      <c r="U344" s="48">
        <f t="shared" si="27"/>
        <v>3043</v>
      </c>
      <c r="V344" s="48">
        <f t="shared" si="28"/>
        <v>3617</v>
      </c>
      <c r="W344" s="49">
        <f t="shared" si="29"/>
        <v>0.5126519882</v>
      </c>
      <c r="X344" s="49">
        <f t="shared" si="30"/>
        <v>0.4492277358</v>
      </c>
      <c r="Y344" s="49">
        <f t="shared" si="31"/>
        <v>0.03812027604</v>
      </c>
      <c r="Z344" s="32" t="str">
        <f t="shared" si="32"/>
        <v>Jango</v>
      </c>
      <c r="AA344" s="50" t="s">
        <v>77</v>
      </c>
      <c r="AB344" s="38">
        <v>4248.0</v>
      </c>
      <c r="AC344" s="48">
        <f t="shared" si="33"/>
        <v>631</v>
      </c>
      <c r="AD344" s="51">
        <f t="shared" si="34"/>
        <v>0.8514595104</v>
      </c>
    </row>
    <row r="345">
      <c r="A345" s="23"/>
      <c r="B345" s="46" t="s">
        <v>2902</v>
      </c>
      <c r="C345" s="47"/>
      <c r="D345" s="38">
        <v>122.0</v>
      </c>
      <c r="E345" s="38">
        <v>301.0</v>
      </c>
      <c r="F345" s="38">
        <v>193.0</v>
      </c>
      <c r="G345" s="38">
        <v>20.0</v>
      </c>
      <c r="H345" s="38">
        <v>30.0</v>
      </c>
      <c r="I345" s="48">
        <f t="shared" si="21"/>
        <v>616</v>
      </c>
      <c r="J345" s="48">
        <f t="shared" si="22"/>
        <v>666</v>
      </c>
      <c r="K345" s="49">
        <f t="shared" si="23"/>
        <v>0.1980519481</v>
      </c>
      <c r="L345" s="49">
        <f t="shared" si="24"/>
        <v>0.4886363636</v>
      </c>
      <c r="M345" s="49">
        <f t="shared" si="25"/>
        <v>0.3133116883</v>
      </c>
      <c r="N345" s="32" t="str">
        <f t="shared" si="26"/>
        <v>Mal. Lott</v>
      </c>
      <c r="O345" s="50" t="s">
        <v>77</v>
      </c>
      <c r="P345" s="38">
        <v>423.0</v>
      </c>
      <c r="Q345" s="38">
        <v>125.0</v>
      </c>
      <c r="R345" s="38">
        <v>25.0</v>
      </c>
      <c r="S345" s="38">
        <v>84.0</v>
      </c>
      <c r="T345" s="38">
        <v>9.0</v>
      </c>
      <c r="U345" s="48">
        <f t="shared" si="27"/>
        <v>573</v>
      </c>
      <c r="V345" s="48">
        <f t="shared" si="28"/>
        <v>666</v>
      </c>
      <c r="W345" s="49">
        <f t="shared" si="29"/>
        <v>0.7382198953</v>
      </c>
      <c r="X345" s="49">
        <f t="shared" si="30"/>
        <v>0.2181500873</v>
      </c>
      <c r="Y345" s="49">
        <f t="shared" si="31"/>
        <v>0.04363001745</v>
      </c>
      <c r="Z345" s="32" t="str">
        <f t="shared" si="32"/>
        <v>Jango</v>
      </c>
      <c r="AA345" s="50" t="s">
        <v>77</v>
      </c>
      <c r="AB345" s="38">
        <v>773.0</v>
      </c>
      <c r="AC345" s="48">
        <f t="shared" si="33"/>
        <v>107</v>
      </c>
      <c r="AD345" s="51">
        <f t="shared" si="34"/>
        <v>0.8615782665</v>
      </c>
    </row>
    <row r="346">
      <c r="A346" s="24"/>
      <c r="B346" s="46" t="s">
        <v>2903</v>
      </c>
      <c r="C346" s="47"/>
      <c r="D346" s="38">
        <v>287.0</v>
      </c>
      <c r="E346" s="38">
        <v>186.0</v>
      </c>
      <c r="F346" s="38">
        <v>135.0</v>
      </c>
      <c r="G346" s="38">
        <v>29.0</v>
      </c>
      <c r="H346" s="38">
        <v>28.0</v>
      </c>
      <c r="I346" s="48">
        <f t="shared" si="21"/>
        <v>608</v>
      </c>
      <c r="J346" s="48">
        <f t="shared" si="22"/>
        <v>665</v>
      </c>
      <c r="K346" s="49">
        <f t="shared" si="23"/>
        <v>0.4720394737</v>
      </c>
      <c r="L346" s="49">
        <f t="shared" si="24"/>
        <v>0.3059210526</v>
      </c>
      <c r="M346" s="49">
        <f t="shared" si="25"/>
        <v>0.2220394737</v>
      </c>
      <c r="N346" s="32" t="str">
        <f t="shared" si="26"/>
        <v>Jânio</v>
      </c>
      <c r="O346" s="50" t="s">
        <v>77</v>
      </c>
      <c r="P346" s="38">
        <v>231.0</v>
      </c>
      <c r="Q346" s="38">
        <v>246.0</v>
      </c>
      <c r="R346" s="38">
        <v>37.0</v>
      </c>
      <c r="S346" s="38">
        <v>134.0</v>
      </c>
      <c r="T346" s="38">
        <v>17.0</v>
      </c>
      <c r="U346" s="48">
        <f t="shared" si="27"/>
        <v>514</v>
      </c>
      <c r="V346" s="48">
        <f t="shared" si="28"/>
        <v>665</v>
      </c>
      <c r="W346" s="49">
        <f t="shared" si="29"/>
        <v>0.4494163424</v>
      </c>
      <c r="X346" s="49">
        <f t="shared" si="30"/>
        <v>0.4785992218</v>
      </c>
      <c r="Y346" s="49">
        <f t="shared" si="31"/>
        <v>0.0719844358</v>
      </c>
      <c r="Z346" s="32" t="str">
        <f t="shared" si="32"/>
        <v>Milton</v>
      </c>
      <c r="AA346" s="50" t="s">
        <v>77</v>
      </c>
      <c r="AB346" s="38">
        <v>778.0</v>
      </c>
      <c r="AC346" s="48">
        <f t="shared" si="33"/>
        <v>113</v>
      </c>
      <c r="AD346" s="51">
        <f t="shared" si="34"/>
        <v>0.8547557841</v>
      </c>
    </row>
    <row r="347">
      <c r="A347" s="61" t="s">
        <v>2904</v>
      </c>
      <c r="B347" s="46" t="s">
        <v>2905</v>
      </c>
      <c r="C347" s="47"/>
      <c r="D347" s="38">
        <v>525.0</v>
      </c>
      <c r="E347" s="38">
        <v>842.0</v>
      </c>
      <c r="F347" s="38">
        <v>139.0</v>
      </c>
      <c r="G347" s="38">
        <v>277.0</v>
      </c>
      <c r="H347" s="38">
        <v>195.0</v>
      </c>
      <c r="I347" s="48">
        <f t="shared" si="21"/>
        <v>1506</v>
      </c>
      <c r="J347" s="48">
        <f t="shared" si="22"/>
        <v>1978</v>
      </c>
      <c r="K347" s="49">
        <f t="shared" si="23"/>
        <v>0.3486055777</v>
      </c>
      <c r="L347" s="49">
        <f t="shared" si="24"/>
        <v>0.5590969456</v>
      </c>
      <c r="M347" s="49">
        <f t="shared" si="25"/>
        <v>0.09229747676</v>
      </c>
      <c r="N347" s="32" t="str">
        <f t="shared" si="26"/>
        <v>Mal. Lott</v>
      </c>
      <c r="O347" s="50" t="s">
        <v>77</v>
      </c>
      <c r="P347" s="38">
        <v>836.0</v>
      </c>
      <c r="Q347" s="38">
        <v>381.0</v>
      </c>
      <c r="R347" s="38">
        <v>187.0</v>
      </c>
      <c r="S347" s="38">
        <v>436.0</v>
      </c>
      <c r="T347" s="38">
        <v>138.0</v>
      </c>
      <c r="U347" s="48">
        <f t="shared" si="27"/>
        <v>1404</v>
      </c>
      <c r="V347" s="48">
        <f t="shared" si="28"/>
        <v>1978</v>
      </c>
      <c r="W347" s="49">
        <f t="shared" si="29"/>
        <v>0.5954415954</v>
      </c>
      <c r="X347" s="49">
        <f t="shared" si="30"/>
        <v>0.2713675214</v>
      </c>
      <c r="Y347" s="49">
        <f t="shared" si="31"/>
        <v>0.1331908832</v>
      </c>
      <c r="Z347" s="32" t="str">
        <f t="shared" si="32"/>
        <v>Jango</v>
      </c>
      <c r="AA347" s="50" t="s">
        <v>77</v>
      </c>
      <c r="AB347" s="38">
        <v>2360.0</v>
      </c>
      <c r="AC347" s="48">
        <f t="shared" si="33"/>
        <v>382</v>
      </c>
      <c r="AD347" s="51">
        <f t="shared" si="34"/>
        <v>0.8381355932</v>
      </c>
    </row>
    <row r="348">
      <c r="A348" s="24"/>
      <c r="B348" s="46" t="s">
        <v>2906</v>
      </c>
      <c r="C348" s="47"/>
      <c r="D348" s="38">
        <v>203.0</v>
      </c>
      <c r="E348" s="38">
        <v>486.0</v>
      </c>
      <c r="F348" s="38">
        <v>101.0</v>
      </c>
      <c r="G348" s="38">
        <v>133.0</v>
      </c>
      <c r="H348" s="38">
        <v>147.0</v>
      </c>
      <c r="I348" s="48">
        <f t="shared" si="21"/>
        <v>790</v>
      </c>
      <c r="J348" s="48">
        <f t="shared" si="22"/>
        <v>1070</v>
      </c>
      <c r="K348" s="49">
        <f t="shared" si="23"/>
        <v>0.2569620253</v>
      </c>
      <c r="L348" s="49">
        <f t="shared" si="24"/>
        <v>0.6151898734</v>
      </c>
      <c r="M348" s="49">
        <f t="shared" si="25"/>
        <v>0.1278481013</v>
      </c>
      <c r="N348" s="32" t="str">
        <f t="shared" si="26"/>
        <v>Mal. Lott</v>
      </c>
      <c r="O348" s="50" t="s">
        <v>77</v>
      </c>
      <c r="P348" s="38">
        <v>470.0</v>
      </c>
      <c r="Q348" s="38">
        <v>67.0</v>
      </c>
      <c r="R348" s="38">
        <v>211.0</v>
      </c>
      <c r="S348" s="38">
        <v>197.0</v>
      </c>
      <c r="T348" s="38">
        <v>125.0</v>
      </c>
      <c r="U348" s="48">
        <f t="shared" si="27"/>
        <v>748</v>
      </c>
      <c r="V348" s="48">
        <f t="shared" si="28"/>
        <v>1070</v>
      </c>
      <c r="W348" s="49">
        <f t="shared" si="29"/>
        <v>0.628342246</v>
      </c>
      <c r="X348" s="49">
        <f t="shared" si="30"/>
        <v>0.08957219251</v>
      </c>
      <c r="Y348" s="49">
        <f t="shared" si="31"/>
        <v>0.2820855615</v>
      </c>
      <c r="Z348" s="32" t="str">
        <f t="shared" si="32"/>
        <v>Jango</v>
      </c>
      <c r="AA348" s="50" t="s">
        <v>77</v>
      </c>
      <c r="AB348" s="38">
        <v>1258.0</v>
      </c>
      <c r="AC348" s="48">
        <f t="shared" si="33"/>
        <v>188</v>
      </c>
      <c r="AD348" s="51">
        <f t="shared" si="34"/>
        <v>0.8505564388</v>
      </c>
    </row>
    <row r="349">
      <c r="A349" s="110" t="s">
        <v>2907</v>
      </c>
      <c r="B349" s="46" t="s">
        <v>2908</v>
      </c>
      <c r="C349" s="47"/>
      <c r="D349" s="38">
        <v>637.0</v>
      </c>
      <c r="E349" s="38">
        <v>806.0</v>
      </c>
      <c r="F349" s="38">
        <v>1020.0</v>
      </c>
      <c r="G349" s="38">
        <v>92.0</v>
      </c>
      <c r="H349" s="38">
        <v>99.0</v>
      </c>
      <c r="I349" s="48">
        <f t="shared" si="21"/>
        <v>2463</v>
      </c>
      <c r="J349" s="48">
        <f t="shared" si="22"/>
        <v>2654</v>
      </c>
      <c r="K349" s="49">
        <f t="shared" si="23"/>
        <v>0.2586276898</v>
      </c>
      <c r="L349" s="49">
        <f t="shared" si="24"/>
        <v>0.3272431994</v>
      </c>
      <c r="M349" s="49">
        <f t="shared" si="25"/>
        <v>0.4141291108</v>
      </c>
      <c r="N349" s="32" t="str">
        <f t="shared" si="26"/>
        <v>Adhemar</v>
      </c>
      <c r="O349" s="50" t="s">
        <v>77</v>
      </c>
      <c r="P349" s="38">
        <v>865.0</v>
      </c>
      <c r="Q349" s="38">
        <v>977.0</v>
      </c>
      <c r="R349" s="38">
        <v>306.0</v>
      </c>
      <c r="S349" s="38">
        <v>438.0</v>
      </c>
      <c r="T349" s="38">
        <v>68.0</v>
      </c>
      <c r="U349" s="48">
        <f t="shared" si="27"/>
        <v>2148</v>
      </c>
      <c r="V349" s="48">
        <f t="shared" si="28"/>
        <v>2654</v>
      </c>
      <c r="W349" s="49">
        <f t="shared" si="29"/>
        <v>0.4027001862</v>
      </c>
      <c r="X349" s="49">
        <f t="shared" si="30"/>
        <v>0.4548417132</v>
      </c>
      <c r="Y349" s="49">
        <f t="shared" si="31"/>
        <v>0.1424581006</v>
      </c>
      <c r="Z349" s="32" t="str">
        <f t="shared" si="32"/>
        <v>Milton</v>
      </c>
      <c r="AA349" s="50" t="s">
        <v>77</v>
      </c>
      <c r="AB349" s="38">
        <v>3100.0</v>
      </c>
      <c r="AC349" s="48">
        <f t="shared" si="33"/>
        <v>446</v>
      </c>
      <c r="AD349" s="51">
        <f t="shared" si="34"/>
        <v>0.8561290323</v>
      </c>
    </row>
    <row r="350">
      <c r="A350" s="61" t="s">
        <v>2909</v>
      </c>
      <c r="B350" s="46" t="s">
        <v>2910</v>
      </c>
      <c r="C350" s="47"/>
      <c r="D350" s="38">
        <v>696.0</v>
      </c>
      <c r="E350" s="38">
        <v>499.0</v>
      </c>
      <c r="F350" s="38">
        <v>109.0</v>
      </c>
      <c r="G350" s="38">
        <v>80.0</v>
      </c>
      <c r="H350" s="38">
        <v>66.0</v>
      </c>
      <c r="I350" s="48">
        <f t="shared" si="21"/>
        <v>1304</v>
      </c>
      <c r="J350" s="48">
        <f t="shared" si="22"/>
        <v>1450</v>
      </c>
      <c r="K350" s="49">
        <f t="shared" si="23"/>
        <v>0.5337423313</v>
      </c>
      <c r="L350" s="49">
        <f t="shared" si="24"/>
        <v>0.3826687117</v>
      </c>
      <c r="M350" s="49">
        <f t="shared" si="25"/>
        <v>0.08358895706</v>
      </c>
      <c r="N350" s="32" t="str">
        <f t="shared" si="26"/>
        <v>Jânio</v>
      </c>
      <c r="O350" s="50" t="s">
        <v>77</v>
      </c>
      <c r="P350" s="38">
        <v>522.0</v>
      </c>
      <c r="Q350" s="38">
        <v>673.0</v>
      </c>
      <c r="R350" s="38">
        <v>60.0</v>
      </c>
      <c r="S350" s="38">
        <v>158.0</v>
      </c>
      <c r="T350" s="38">
        <v>37.0</v>
      </c>
      <c r="U350" s="48">
        <f t="shared" si="27"/>
        <v>1255</v>
      </c>
      <c r="V350" s="48">
        <f t="shared" si="28"/>
        <v>1450</v>
      </c>
      <c r="W350" s="49">
        <f t="shared" si="29"/>
        <v>0.415936255</v>
      </c>
      <c r="X350" s="49">
        <f t="shared" si="30"/>
        <v>0.5362549801</v>
      </c>
      <c r="Y350" s="49">
        <f t="shared" si="31"/>
        <v>0.04780876494</v>
      </c>
      <c r="Z350" s="32" t="str">
        <f t="shared" si="32"/>
        <v>Milton</v>
      </c>
      <c r="AA350" s="50" t="s">
        <v>77</v>
      </c>
      <c r="AB350" s="38">
        <v>1661.0</v>
      </c>
      <c r="AC350" s="48">
        <f t="shared" si="33"/>
        <v>211</v>
      </c>
      <c r="AD350" s="51">
        <f t="shared" si="34"/>
        <v>0.8729680915</v>
      </c>
    </row>
    <row r="351">
      <c r="A351" s="24"/>
      <c r="B351" s="46" t="s">
        <v>2911</v>
      </c>
      <c r="C351" s="47"/>
      <c r="D351" s="38">
        <v>428.0</v>
      </c>
      <c r="E351" s="38">
        <v>361.0</v>
      </c>
      <c r="F351" s="38">
        <v>64.0</v>
      </c>
      <c r="G351" s="38">
        <v>88.0</v>
      </c>
      <c r="H351" s="38">
        <v>44.0</v>
      </c>
      <c r="I351" s="48">
        <f t="shared" si="21"/>
        <v>853</v>
      </c>
      <c r="J351" s="48">
        <f t="shared" si="22"/>
        <v>985</v>
      </c>
      <c r="K351" s="49">
        <f t="shared" si="23"/>
        <v>0.5017584994</v>
      </c>
      <c r="L351" s="49">
        <f t="shared" si="24"/>
        <v>0.4232121923</v>
      </c>
      <c r="M351" s="49">
        <f t="shared" si="25"/>
        <v>0.07502930832</v>
      </c>
      <c r="N351" s="32" t="str">
        <f t="shared" si="26"/>
        <v>Jânio</v>
      </c>
      <c r="O351" s="50" t="s">
        <v>77</v>
      </c>
      <c r="P351" s="38">
        <v>322.0</v>
      </c>
      <c r="Q351" s="38">
        <v>363.0</v>
      </c>
      <c r="R351" s="38">
        <v>66.0</v>
      </c>
      <c r="S351" s="38">
        <v>206.0</v>
      </c>
      <c r="T351" s="38">
        <v>28.0</v>
      </c>
      <c r="U351" s="48">
        <f t="shared" si="27"/>
        <v>751</v>
      </c>
      <c r="V351" s="48">
        <f t="shared" si="28"/>
        <v>985</v>
      </c>
      <c r="W351" s="49">
        <f t="shared" si="29"/>
        <v>0.4287616511</v>
      </c>
      <c r="X351" s="49">
        <f t="shared" si="30"/>
        <v>0.483355526</v>
      </c>
      <c r="Y351" s="49">
        <f t="shared" si="31"/>
        <v>0.0878828229</v>
      </c>
      <c r="Z351" s="32" t="str">
        <f t="shared" si="32"/>
        <v>Milton</v>
      </c>
      <c r="AA351" s="50" t="s">
        <v>77</v>
      </c>
      <c r="AB351" s="38">
        <v>1115.0</v>
      </c>
      <c r="AC351" s="48">
        <f t="shared" si="33"/>
        <v>130</v>
      </c>
      <c r="AD351" s="51">
        <f t="shared" si="34"/>
        <v>0.8834080717</v>
      </c>
    </row>
    <row r="352">
      <c r="A352" s="61" t="s">
        <v>2912</v>
      </c>
      <c r="B352" s="46" t="s">
        <v>2913</v>
      </c>
      <c r="C352" s="47"/>
      <c r="D352" s="38">
        <v>3960.0</v>
      </c>
      <c r="E352" s="38">
        <v>3221.0</v>
      </c>
      <c r="F352" s="38">
        <v>415.0</v>
      </c>
      <c r="G352" s="38">
        <v>376.0</v>
      </c>
      <c r="H352" s="38">
        <v>296.0</v>
      </c>
      <c r="I352" s="48">
        <f t="shared" si="21"/>
        <v>7596</v>
      </c>
      <c r="J352" s="48">
        <f t="shared" si="22"/>
        <v>8268</v>
      </c>
      <c r="K352" s="49">
        <f t="shared" si="23"/>
        <v>0.5213270142</v>
      </c>
      <c r="L352" s="49">
        <f t="shared" si="24"/>
        <v>0.4240389679</v>
      </c>
      <c r="M352" s="49">
        <f t="shared" si="25"/>
        <v>0.0546340179</v>
      </c>
      <c r="N352" s="32" t="str">
        <f t="shared" si="26"/>
        <v>Jânio</v>
      </c>
      <c r="O352" s="50" t="s">
        <v>77</v>
      </c>
      <c r="P352" s="38">
        <v>3026.0</v>
      </c>
      <c r="Q352" s="38">
        <v>3597.0</v>
      </c>
      <c r="R352" s="38">
        <v>570.0</v>
      </c>
      <c r="S352" s="38">
        <v>838.0</v>
      </c>
      <c r="T352" s="38">
        <v>237.0</v>
      </c>
      <c r="U352" s="48">
        <f t="shared" si="27"/>
        <v>7193</v>
      </c>
      <c r="V352" s="48">
        <f t="shared" si="28"/>
        <v>8268</v>
      </c>
      <c r="W352" s="49">
        <f t="shared" si="29"/>
        <v>0.4206867788</v>
      </c>
      <c r="X352" s="49">
        <f t="shared" si="30"/>
        <v>0.500069512</v>
      </c>
      <c r="Y352" s="49">
        <f t="shared" si="31"/>
        <v>0.07924370916</v>
      </c>
      <c r="Z352" s="32" t="str">
        <f t="shared" si="32"/>
        <v>Milton</v>
      </c>
      <c r="AA352" s="50" t="s">
        <v>77</v>
      </c>
      <c r="AB352" s="38">
        <v>9488.0</v>
      </c>
      <c r="AC352" s="48">
        <f t="shared" si="33"/>
        <v>1220</v>
      </c>
      <c r="AD352" s="51">
        <f t="shared" si="34"/>
        <v>0.8714165261</v>
      </c>
    </row>
    <row r="353">
      <c r="A353" s="24"/>
      <c r="B353" s="46" t="s">
        <v>2914</v>
      </c>
      <c r="C353" s="47"/>
      <c r="D353" s="38">
        <v>404.0</v>
      </c>
      <c r="E353" s="38">
        <v>337.0</v>
      </c>
      <c r="F353" s="38">
        <v>49.0</v>
      </c>
      <c r="G353" s="38">
        <v>77.0</v>
      </c>
      <c r="H353" s="38">
        <v>41.0</v>
      </c>
      <c r="I353" s="48">
        <f t="shared" si="21"/>
        <v>790</v>
      </c>
      <c r="J353" s="48">
        <f t="shared" si="22"/>
        <v>908</v>
      </c>
      <c r="K353" s="49">
        <f t="shared" si="23"/>
        <v>0.5113924051</v>
      </c>
      <c r="L353" s="49">
        <f t="shared" si="24"/>
        <v>0.4265822785</v>
      </c>
      <c r="M353" s="49">
        <f t="shared" si="25"/>
        <v>0.06202531646</v>
      </c>
      <c r="N353" s="32" t="str">
        <f t="shared" si="26"/>
        <v>Jânio</v>
      </c>
      <c r="O353" s="50" t="s">
        <v>77</v>
      </c>
      <c r="P353" s="38">
        <v>345.0</v>
      </c>
      <c r="Q353" s="38">
        <v>343.0</v>
      </c>
      <c r="R353" s="38">
        <v>39.0</v>
      </c>
      <c r="S353" s="38">
        <v>141.0</v>
      </c>
      <c r="T353" s="38">
        <v>40.0</v>
      </c>
      <c r="U353" s="48">
        <f t="shared" si="27"/>
        <v>727</v>
      </c>
      <c r="V353" s="48">
        <f t="shared" si="28"/>
        <v>908</v>
      </c>
      <c r="W353" s="49">
        <f t="shared" si="29"/>
        <v>0.4745529574</v>
      </c>
      <c r="X353" s="49">
        <f t="shared" si="30"/>
        <v>0.4718019257</v>
      </c>
      <c r="Y353" s="49">
        <f t="shared" si="31"/>
        <v>0.05364511692</v>
      </c>
      <c r="Z353" s="32" t="str">
        <f t="shared" si="32"/>
        <v>Jango</v>
      </c>
      <c r="AA353" s="50" t="s">
        <v>77</v>
      </c>
      <c r="AB353" s="38">
        <v>1021.0</v>
      </c>
      <c r="AC353" s="48">
        <f t="shared" si="33"/>
        <v>113</v>
      </c>
      <c r="AD353" s="51">
        <f t="shared" si="34"/>
        <v>0.889324192</v>
      </c>
    </row>
    <row r="354">
      <c r="A354" s="110" t="s">
        <v>2915</v>
      </c>
      <c r="B354" s="46" t="s">
        <v>2916</v>
      </c>
      <c r="C354" s="47"/>
      <c r="D354" s="38">
        <v>7520.0</v>
      </c>
      <c r="E354" s="38">
        <v>6810.0</v>
      </c>
      <c r="F354" s="38">
        <v>879.0</v>
      </c>
      <c r="G354" s="38">
        <v>1071.0</v>
      </c>
      <c r="H354" s="38">
        <v>634.0</v>
      </c>
      <c r="I354" s="48">
        <f t="shared" si="21"/>
        <v>15209</v>
      </c>
      <c r="J354" s="48">
        <f t="shared" si="22"/>
        <v>16914</v>
      </c>
      <c r="K354" s="49">
        <f t="shared" si="23"/>
        <v>0.4944440792</v>
      </c>
      <c r="L354" s="49">
        <f t="shared" si="24"/>
        <v>0.447761194</v>
      </c>
      <c r="M354" s="49">
        <f t="shared" si="25"/>
        <v>0.05779472681</v>
      </c>
      <c r="N354" s="32" t="str">
        <f t="shared" si="26"/>
        <v>Jânio</v>
      </c>
      <c r="O354" s="50" t="s">
        <v>77</v>
      </c>
      <c r="P354" s="38">
        <v>6687.0</v>
      </c>
      <c r="Q354" s="38">
        <v>7046.0</v>
      </c>
      <c r="R354" s="38">
        <v>670.0</v>
      </c>
      <c r="S354" s="38">
        <v>2061.0</v>
      </c>
      <c r="T354" s="38">
        <v>450.0</v>
      </c>
      <c r="U354" s="48">
        <f t="shared" si="27"/>
        <v>14403</v>
      </c>
      <c r="V354" s="48">
        <f t="shared" si="28"/>
        <v>16914</v>
      </c>
      <c r="W354" s="49">
        <f t="shared" si="29"/>
        <v>0.4642782754</v>
      </c>
      <c r="X354" s="49">
        <f t="shared" si="30"/>
        <v>0.4892036381</v>
      </c>
      <c r="Y354" s="49">
        <f t="shared" si="31"/>
        <v>0.04651808651</v>
      </c>
      <c r="Z354" s="32" t="str">
        <f t="shared" si="32"/>
        <v>Milton</v>
      </c>
      <c r="AA354" s="50" t="s">
        <v>77</v>
      </c>
      <c r="AB354" s="38">
        <v>20172.0</v>
      </c>
      <c r="AC354" s="48">
        <f t="shared" si="33"/>
        <v>3258</v>
      </c>
      <c r="AD354" s="51">
        <f t="shared" si="34"/>
        <v>0.8384889946</v>
      </c>
    </row>
    <row r="355">
      <c r="A355" s="61" t="s">
        <v>2917</v>
      </c>
      <c r="B355" s="46" t="s">
        <v>2918</v>
      </c>
      <c r="C355" s="47"/>
      <c r="D355" s="38">
        <v>4127.0</v>
      </c>
      <c r="E355" s="38">
        <v>4026.0</v>
      </c>
      <c r="F355" s="38">
        <v>407.0</v>
      </c>
      <c r="G355" s="38">
        <v>332.0</v>
      </c>
      <c r="H355" s="38">
        <v>369.0</v>
      </c>
      <c r="I355" s="48">
        <f t="shared" si="21"/>
        <v>8560</v>
      </c>
      <c r="J355" s="48">
        <f t="shared" si="22"/>
        <v>9261</v>
      </c>
      <c r="K355" s="49">
        <f t="shared" si="23"/>
        <v>0.4821261682</v>
      </c>
      <c r="L355" s="49">
        <f t="shared" si="24"/>
        <v>0.4703271028</v>
      </c>
      <c r="M355" s="49">
        <f t="shared" si="25"/>
        <v>0.04754672897</v>
      </c>
      <c r="N355" s="32" t="str">
        <f t="shared" si="26"/>
        <v>Jânio</v>
      </c>
      <c r="O355" s="50" t="s">
        <v>77</v>
      </c>
      <c r="P355" s="38">
        <v>3872.0</v>
      </c>
      <c r="Q355" s="38">
        <v>3906.0</v>
      </c>
      <c r="R355" s="38">
        <v>385.0</v>
      </c>
      <c r="S355" s="38">
        <v>931.0</v>
      </c>
      <c r="T355" s="38">
        <v>167.0</v>
      </c>
      <c r="U355" s="48">
        <f t="shared" si="27"/>
        <v>8163</v>
      </c>
      <c r="V355" s="48">
        <f t="shared" si="28"/>
        <v>9261</v>
      </c>
      <c r="W355" s="49">
        <f t="shared" si="29"/>
        <v>0.4743354159</v>
      </c>
      <c r="X355" s="49">
        <f t="shared" si="30"/>
        <v>0.4785005513</v>
      </c>
      <c r="Y355" s="49">
        <f t="shared" si="31"/>
        <v>0.04716403283</v>
      </c>
      <c r="Z355" s="32" t="str">
        <f t="shared" si="32"/>
        <v>Milton</v>
      </c>
      <c r="AA355" s="50" t="s">
        <v>77</v>
      </c>
      <c r="AB355" s="38">
        <v>11054.0</v>
      </c>
      <c r="AC355" s="48">
        <f t="shared" si="33"/>
        <v>1793</v>
      </c>
      <c r="AD355" s="51">
        <f t="shared" si="34"/>
        <v>0.8377962728</v>
      </c>
    </row>
    <row r="356">
      <c r="A356" s="24"/>
      <c r="B356" s="46" t="s">
        <v>2919</v>
      </c>
      <c r="C356" s="47"/>
      <c r="D356" s="38">
        <v>556.0</v>
      </c>
      <c r="E356" s="38">
        <v>381.0</v>
      </c>
      <c r="F356" s="38">
        <v>48.0</v>
      </c>
      <c r="G356" s="38">
        <v>71.0</v>
      </c>
      <c r="H356" s="38">
        <v>50.0</v>
      </c>
      <c r="I356" s="48">
        <f t="shared" si="21"/>
        <v>985</v>
      </c>
      <c r="J356" s="48">
        <f t="shared" si="22"/>
        <v>1106</v>
      </c>
      <c r="K356" s="49">
        <f t="shared" si="23"/>
        <v>0.5644670051</v>
      </c>
      <c r="L356" s="49">
        <f t="shared" si="24"/>
        <v>0.3868020305</v>
      </c>
      <c r="M356" s="49">
        <f t="shared" si="25"/>
        <v>0.04873096447</v>
      </c>
      <c r="N356" s="32" t="str">
        <f t="shared" si="26"/>
        <v>Jânio</v>
      </c>
      <c r="O356" s="50" t="s">
        <v>77</v>
      </c>
      <c r="P356" s="38">
        <v>339.0</v>
      </c>
      <c r="Q356" s="38">
        <v>460.0</v>
      </c>
      <c r="R356" s="38">
        <v>47.0</v>
      </c>
      <c r="S356" s="38">
        <v>233.0</v>
      </c>
      <c r="T356" s="38">
        <v>27.0</v>
      </c>
      <c r="U356" s="48">
        <f t="shared" si="27"/>
        <v>846</v>
      </c>
      <c r="V356" s="48">
        <f t="shared" si="28"/>
        <v>1106</v>
      </c>
      <c r="W356" s="49">
        <f t="shared" si="29"/>
        <v>0.4007092199</v>
      </c>
      <c r="X356" s="49">
        <f t="shared" si="30"/>
        <v>0.5437352246</v>
      </c>
      <c r="Y356" s="49">
        <f t="shared" si="31"/>
        <v>0.05555555556</v>
      </c>
      <c r="Z356" s="32" t="str">
        <f t="shared" si="32"/>
        <v>Milton</v>
      </c>
      <c r="AA356" s="50" t="s">
        <v>77</v>
      </c>
      <c r="AB356" s="38">
        <v>1477.0</v>
      </c>
      <c r="AC356" s="48">
        <f t="shared" si="33"/>
        <v>371</v>
      </c>
      <c r="AD356" s="51">
        <f t="shared" si="34"/>
        <v>0.7488151659</v>
      </c>
    </row>
    <row r="357">
      <c r="A357" s="61" t="s">
        <v>2920</v>
      </c>
      <c r="B357" s="46" t="s">
        <v>2921</v>
      </c>
      <c r="C357" s="47"/>
      <c r="D357" s="38">
        <v>1877.0</v>
      </c>
      <c r="E357" s="38">
        <v>1094.0</v>
      </c>
      <c r="F357" s="38">
        <v>242.0</v>
      </c>
      <c r="G357" s="38">
        <v>277.0</v>
      </c>
      <c r="H357" s="38">
        <v>198.0</v>
      </c>
      <c r="I357" s="48">
        <f t="shared" si="21"/>
        <v>3213</v>
      </c>
      <c r="J357" s="48">
        <f t="shared" si="22"/>
        <v>3688</v>
      </c>
      <c r="K357" s="49">
        <f t="shared" si="23"/>
        <v>0.5841892312</v>
      </c>
      <c r="L357" s="49">
        <f t="shared" si="24"/>
        <v>0.3404917523</v>
      </c>
      <c r="M357" s="49">
        <f t="shared" si="25"/>
        <v>0.0753190165</v>
      </c>
      <c r="N357" s="32" t="str">
        <f t="shared" si="26"/>
        <v>Jânio</v>
      </c>
      <c r="O357" s="50" t="s">
        <v>77</v>
      </c>
      <c r="P357" s="38">
        <v>1130.0</v>
      </c>
      <c r="Q357" s="38">
        <v>1575.0</v>
      </c>
      <c r="R357" s="38">
        <v>337.0</v>
      </c>
      <c r="S357" s="38">
        <v>524.0</v>
      </c>
      <c r="T357" s="38">
        <v>122.0</v>
      </c>
      <c r="U357" s="48">
        <f t="shared" si="27"/>
        <v>3042</v>
      </c>
      <c r="V357" s="48">
        <f t="shared" si="28"/>
        <v>3688</v>
      </c>
      <c r="W357" s="49">
        <f t="shared" si="29"/>
        <v>0.3714661407</v>
      </c>
      <c r="X357" s="49">
        <f t="shared" si="30"/>
        <v>0.5177514793</v>
      </c>
      <c r="Y357" s="49">
        <f t="shared" si="31"/>
        <v>0.11078238</v>
      </c>
      <c r="Z357" s="32" t="str">
        <f t="shared" si="32"/>
        <v>Milton</v>
      </c>
      <c r="AA357" s="50" t="s">
        <v>77</v>
      </c>
      <c r="AB357" s="38">
        <v>6860.0</v>
      </c>
      <c r="AC357" s="48">
        <f t="shared" si="33"/>
        <v>3172</v>
      </c>
      <c r="AD357" s="51">
        <f t="shared" si="34"/>
        <v>0.5376093294</v>
      </c>
    </row>
    <row r="358">
      <c r="A358" s="23"/>
      <c r="B358" s="46" t="s">
        <v>2922</v>
      </c>
      <c r="C358" s="47"/>
      <c r="D358" s="38">
        <v>639.0</v>
      </c>
      <c r="E358" s="38">
        <v>581.0</v>
      </c>
      <c r="F358" s="38">
        <v>98.0</v>
      </c>
      <c r="G358" s="38">
        <v>143.0</v>
      </c>
      <c r="H358" s="38">
        <v>102.0</v>
      </c>
      <c r="I358" s="48">
        <f t="shared" si="21"/>
        <v>1318</v>
      </c>
      <c r="J358" s="48">
        <f t="shared" si="22"/>
        <v>1563</v>
      </c>
      <c r="K358" s="49">
        <f t="shared" si="23"/>
        <v>0.4848254932</v>
      </c>
      <c r="L358" s="49">
        <f t="shared" si="24"/>
        <v>0.4408194234</v>
      </c>
      <c r="M358" s="49">
        <f t="shared" si="25"/>
        <v>0.07435508346</v>
      </c>
      <c r="N358" s="32" t="str">
        <f t="shared" si="26"/>
        <v>Jânio</v>
      </c>
      <c r="O358" s="50" t="s">
        <v>77</v>
      </c>
      <c r="P358" s="38">
        <v>676.0</v>
      </c>
      <c r="Q358" s="38">
        <v>557.0</v>
      </c>
      <c r="R358" s="38">
        <v>70.0</v>
      </c>
      <c r="S358" s="38">
        <v>220.0</v>
      </c>
      <c r="T358" s="38">
        <v>40.0</v>
      </c>
      <c r="U358" s="48">
        <f t="shared" si="27"/>
        <v>1303</v>
      </c>
      <c r="V358" s="48">
        <f t="shared" si="28"/>
        <v>1563</v>
      </c>
      <c r="W358" s="49">
        <f t="shared" si="29"/>
        <v>0.5188027629</v>
      </c>
      <c r="X358" s="49">
        <f t="shared" si="30"/>
        <v>0.4274750576</v>
      </c>
      <c r="Y358" s="49">
        <f t="shared" si="31"/>
        <v>0.05372217959</v>
      </c>
      <c r="Z358" s="32" t="str">
        <f t="shared" si="32"/>
        <v>Jango</v>
      </c>
      <c r="AA358" s="50" t="s">
        <v>77</v>
      </c>
      <c r="AB358" s="38">
        <v>2019.0</v>
      </c>
      <c r="AC358" s="48">
        <f t="shared" si="33"/>
        <v>456</v>
      </c>
      <c r="AD358" s="51">
        <f t="shared" si="34"/>
        <v>0.7741456166</v>
      </c>
    </row>
    <row r="359">
      <c r="A359" s="23"/>
      <c r="B359" s="46" t="s">
        <v>2923</v>
      </c>
      <c r="C359" s="47"/>
      <c r="D359" s="38">
        <v>499.0</v>
      </c>
      <c r="E359" s="38">
        <v>337.0</v>
      </c>
      <c r="F359" s="38">
        <v>43.0</v>
      </c>
      <c r="G359" s="38">
        <v>83.0</v>
      </c>
      <c r="H359" s="38">
        <v>68.0</v>
      </c>
      <c r="I359" s="48">
        <f t="shared" si="21"/>
        <v>879</v>
      </c>
      <c r="J359" s="48">
        <f t="shared" si="22"/>
        <v>1030</v>
      </c>
      <c r="K359" s="49">
        <f t="shared" si="23"/>
        <v>0.5676905575</v>
      </c>
      <c r="L359" s="49">
        <f t="shared" si="24"/>
        <v>0.3833902162</v>
      </c>
      <c r="M359" s="49">
        <f t="shared" si="25"/>
        <v>0.04891922639</v>
      </c>
      <c r="N359" s="32" t="str">
        <f t="shared" si="26"/>
        <v>Jânio</v>
      </c>
      <c r="O359" s="50" t="s">
        <v>77</v>
      </c>
      <c r="P359" s="38">
        <v>293.0</v>
      </c>
      <c r="Q359" s="38">
        <v>410.0</v>
      </c>
      <c r="R359" s="38">
        <v>33.0</v>
      </c>
      <c r="S359" s="38">
        <v>264.0</v>
      </c>
      <c r="T359" s="38">
        <v>30.0</v>
      </c>
      <c r="U359" s="48">
        <f t="shared" si="27"/>
        <v>736</v>
      </c>
      <c r="V359" s="48">
        <f t="shared" si="28"/>
        <v>1030</v>
      </c>
      <c r="W359" s="49">
        <f t="shared" si="29"/>
        <v>0.3980978261</v>
      </c>
      <c r="X359" s="49">
        <f t="shared" si="30"/>
        <v>0.5570652174</v>
      </c>
      <c r="Y359" s="49">
        <f t="shared" si="31"/>
        <v>0.04483695652</v>
      </c>
      <c r="Z359" s="32" t="str">
        <f t="shared" si="32"/>
        <v>Milton</v>
      </c>
      <c r="AA359" s="50" t="s">
        <v>77</v>
      </c>
      <c r="AB359" s="38">
        <v>1545.0</v>
      </c>
      <c r="AC359" s="48">
        <f t="shared" si="33"/>
        <v>515</v>
      </c>
      <c r="AD359" s="51">
        <f t="shared" si="34"/>
        <v>0.6666666667</v>
      </c>
    </row>
    <row r="360">
      <c r="A360" s="24"/>
      <c r="B360" s="46" t="s">
        <v>2924</v>
      </c>
      <c r="C360" s="47"/>
      <c r="D360" s="38">
        <v>1093.0</v>
      </c>
      <c r="E360" s="38">
        <v>921.0</v>
      </c>
      <c r="F360" s="38">
        <v>41.0</v>
      </c>
      <c r="G360" s="38">
        <v>128.0</v>
      </c>
      <c r="H360" s="38">
        <v>118.0</v>
      </c>
      <c r="I360" s="48">
        <f t="shared" si="21"/>
        <v>2055</v>
      </c>
      <c r="J360" s="48">
        <f t="shared" si="22"/>
        <v>2301</v>
      </c>
      <c r="K360" s="49">
        <f t="shared" si="23"/>
        <v>0.5318734793</v>
      </c>
      <c r="L360" s="49">
        <f t="shared" si="24"/>
        <v>0.4481751825</v>
      </c>
      <c r="M360" s="49">
        <f t="shared" si="25"/>
        <v>0.0199513382</v>
      </c>
      <c r="N360" s="32" t="str">
        <f t="shared" si="26"/>
        <v>Jânio</v>
      </c>
      <c r="O360" s="50" t="s">
        <v>77</v>
      </c>
      <c r="P360" s="38">
        <v>973.0</v>
      </c>
      <c r="Q360" s="38">
        <v>977.0</v>
      </c>
      <c r="R360" s="38">
        <v>40.0</v>
      </c>
      <c r="S360" s="38">
        <v>238.0</v>
      </c>
      <c r="T360" s="38">
        <v>73.0</v>
      </c>
      <c r="U360" s="48">
        <f t="shared" si="27"/>
        <v>1990</v>
      </c>
      <c r="V360" s="48">
        <f t="shared" si="28"/>
        <v>2301</v>
      </c>
      <c r="W360" s="49">
        <f t="shared" si="29"/>
        <v>0.4889447236</v>
      </c>
      <c r="X360" s="49">
        <f t="shared" si="30"/>
        <v>0.4909547739</v>
      </c>
      <c r="Y360" s="49">
        <f t="shared" si="31"/>
        <v>0.02010050251</v>
      </c>
      <c r="Z360" s="32" t="str">
        <f t="shared" si="32"/>
        <v>Milton</v>
      </c>
      <c r="AA360" s="50" t="s">
        <v>77</v>
      </c>
      <c r="AB360" s="38">
        <v>2904.0</v>
      </c>
      <c r="AC360" s="48">
        <f t="shared" si="33"/>
        <v>603</v>
      </c>
      <c r="AD360" s="51">
        <f t="shared" si="34"/>
        <v>0.7923553719</v>
      </c>
    </row>
    <row r="361">
      <c r="A361" s="110" t="s">
        <v>2925</v>
      </c>
      <c r="B361" s="46" t="s">
        <v>2926</v>
      </c>
      <c r="C361" s="47"/>
      <c r="D361" s="38">
        <v>1577.0</v>
      </c>
      <c r="E361" s="38">
        <v>1579.0</v>
      </c>
      <c r="F361" s="38">
        <v>294.0</v>
      </c>
      <c r="G361" s="38">
        <v>184.0</v>
      </c>
      <c r="H361" s="38">
        <v>149.0</v>
      </c>
      <c r="I361" s="48">
        <f t="shared" si="21"/>
        <v>3450</v>
      </c>
      <c r="J361" s="48">
        <f t="shared" si="22"/>
        <v>3783</v>
      </c>
      <c r="K361" s="49">
        <f t="shared" si="23"/>
        <v>0.4571014493</v>
      </c>
      <c r="L361" s="49">
        <f t="shared" si="24"/>
        <v>0.4576811594</v>
      </c>
      <c r="M361" s="49">
        <f t="shared" si="25"/>
        <v>0.0852173913</v>
      </c>
      <c r="N361" s="32" t="str">
        <f t="shared" si="26"/>
        <v>Mal. Lott</v>
      </c>
      <c r="O361" s="50" t="s">
        <v>77</v>
      </c>
      <c r="P361" s="38">
        <v>1723.0</v>
      </c>
      <c r="Q361" s="38">
        <v>1397.0</v>
      </c>
      <c r="R361" s="38">
        <v>228.0</v>
      </c>
      <c r="S361" s="38">
        <v>336.0</v>
      </c>
      <c r="T361" s="38">
        <v>99.0</v>
      </c>
      <c r="U361" s="48">
        <f t="shared" si="27"/>
        <v>3348</v>
      </c>
      <c r="V361" s="48">
        <f t="shared" si="28"/>
        <v>3783</v>
      </c>
      <c r="W361" s="49">
        <f t="shared" si="29"/>
        <v>0.5146356033</v>
      </c>
      <c r="X361" s="49">
        <f t="shared" si="30"/>
        <v>0.4172640382</v>
      </c>
      <c r="Y361" s="49">
        <f t="shared" si="31"/>
        <v>0.06810035842</v>
      </c>
      <c r="Z361" s="32" t="str">
        <f t="shared" si="32"/>
        <v>Jango</v>
      </c>
      <c r="AA361" s="50" t="s">
        <v>77</v>
      </c>
      <c r="AB361" s="38">
        <v>5389.0</v>
      </c>
      <c r="AC361" s="48">
        <f t="shared" si="33"/>
        <v>1606</v>
      </c>
      <c r="AD361" s="51">
        <f t="shared" si="34"/>
        <v>0.7019855261</v>
      </c>
    </row>
    <row r="362">
      <c r="A362" s="61" t="s">
        <v>2927</v>
      </c>
      <c r="B362" s="46" t="s">
        <v>2928</v>
      </c>
      <c r="C362" s="47"/>
      <c r="D362" s="38">
        <v>467.0</v>
      </c>
      <c r="E362" s="38">
        <v>566.0</v>
      </c>
      <c r="F362" s="38">
        <v>266.0</v>
      </c>
      <c r="G362" s="38">
        <v>76.0</v>
      </c>
      <c r="H362" s="38">
        <v>55.0</v>
      </c>
      <c r="I362" s="48">
        <f t="shared" si="21"/>
        <v>1299</v>
      </c>
      <c r="J362" s="48">
        <f t="shared" si="22"/>
        <v>1430</v>
      </c>
      <c r="K362" s="49">
        <f t="shared" si="23"/>
        <v>0.3595073133</v>
      </c>
      <c r="L362" s="49">
        <f t="shared" si="24"/>
        <v>0.4357197844</v>
      </c>
      <c r="M362" s="49">
        <f t="shared" si="25"/>
        <v>0.2047729022</v>
      </c>
      <c r="N362" s="32" t="str">
        <f t="shared" si="26"/>
        <v>Mal. Lott</v>
      </c>
      <c r="O362" s="50" t="s">
        <v>77</v>
      </c>
      <c r="P362" s="38">
        <v>525.0</v>
      </c>
      <c r="Q362" s="38">
        <v>619.0</v>
      </c>
      <c r="R362" s="38">
        <v>71.0</v>
      </c>
      <c r="S362" s="38">
        <v>181.0</v>
      </c>
      <c r="T362" s="38">
        <v>34.0</v>
      </c>
      <c r="U362" s="48">
        <f t="shared" si="27"/>
        <v>1215</v>
      </c>
      <c r="V362" s="48">
        <f t="shared" si="28"/>
        <v>1430</v>
      </c>
      <c r="W362" s="49">
        <f t="shared" si="29"/>
        <v>0.4320987654</v>
      </c>
      <c r="X362" s="49">
        <f t="shared" si="30"/>
        <v>0.5094650206</v>
      </c>
      <c r="Y362" s="49">
        <f t="shared" si="31"/>
        <v>0.05843621399</v>
      </c>
      <c r="Z362" s="32" t="str">
        <f t="shared" si="32"/>
        <v>Milton</v>
      </c>
      <c r="AA362" s="50" t="s">
        <v>77</v>
      </c>
      <c r="AB362" s="38">
        <v>1703.0</v>
      </c>
      <c r="AC362" s="48">
        <f t="shared" si="33"/>
        <v>273</v>
      </c>
      <c r="AD362" s="51">
        <f t="shared" si="34"/>
        <v>0.8396946565</v>
      </c>
    </row>
    <row r="363">
      <c r="A363" s="24"/>
      <c r="B363" s="46" t="s">
        <v>2929</v>
      </c>
      <c r="C363" s="47"/>
      <c r="D363" s="38">
        <v>167.0</v>
      </c>
      <c r="E363" s="38">
        <v>224.0</v>
      </c>
      <c r="F363" s="38">
        <v>141.0</v>
      </c>
      <c r="G363" s="38">
        <v>33.0</v>
      </c>
      <c r="H363" s="38">
        <v>18.0</v>
      </c>
      <c r="I363" s="48">
        <f t="shared" si="21"/>
        <v>532</v>
      </c>
      <c r="J363" s="48">
        <f t="shared" si="22"/>
        <v>583</v>
      </c>
      <c r="K363" s="49">
        <f t="shared" si="23"/>
        <v>0.3139097744</v>
      </c>
      <c r="L363" s="49">
        <f t="shared" si="24"/>
        <v>0.4210526316</v>
      </c>
      <c r="M363" s="49">
        <f t="shared" si="25"/>
        <v>0.265037594</v>
      </c>
      <c r="N363" s="32" t="str">
        <f t="shared" si="26"/>
        <v>Mal. Lott</v>
      </c>
      <c r="O363" s="50" t="s">
        <v>77</v>
      </c>
      <c r="P363" s="38">
        <v>278.0</v>
      </c>
      <c r="Q363" s="38">
        <v>153.0</v>
      </c>
      <c r="R363" s="38">
        <v>29.0</v>
      </c>
      <c r="S363" s="38">
        <v>113.0</v>
      </c>
      <c r="T363" s="38">
        <v>10.0</v>
      </c>
      <c r="U363" s="48">
        <f t="shared" si="27"/>
        <v>460</v>
      </c>
      <c r="V363" s="48">
        <f t="shared" si="28"/>
        <v>583</v>
      </c>
      <c r="W363" s="49">
        <f t="shared" si="29"/>
        <v>0.6043478261</v>
      </c>
      <c r="X363" s="49">
        <f t="shared" si="30"/>
        <v>0.3326086957</v>
      </c>
      <c r="Y363" s="49">
        <f t="shared" si="31"/>
        <v>0.06304347826</v>
      </c>
      <c r="Z363" s="32" t="str">
        <f t="shared" si="32"/>
        <v>Jango</v>
      </c>
      <c r="AA363" s="50" t="s">
        <v>77</v>
      </c>
      <c r="AB363" s="38">
        <v>688.0</v>
      </c>
      <c r="AC363" s="48">
        <f t="shared" si="33"/>
        <v>105</v>
      </c>
      <c r="AD363" s="51">
        <f t="shared" si="34"/>
        <v>0.8473837209</v>
      </c>
    </row>
    <row r="364">
      <c r="A364" s="61" t="s">
        <v>2930</v>
      </c>
      <c r="B364" s="46" t="s">
        <v>2931</v>
      </c>
      <c r="C364" s="47"/>
      <c r="D364" s="38">
        <v>1229.0</v>
      </c>
      <c r="E364" s="38">
        <v>1546.0</v>
      </c>
      <c r="F364" s="38">
        <v>1036.0</v>
      </c>
      <c r="G364" s="38">
        <v>195.0</v>
      </c>
      <c r="H364" s="38">
        <v>235.0</v>
      </c>
      <c r="I364" s="48">
        <f t="shared" si="21"/>
        <v>3811</v>
      </c>
      <c r="J364" s="48">
        <f t="shared" si="22"/>
        <v>4241</v>
      </c>
      <c r="K364" s="49">
        <f t="shared" si="23"/>
        <v>0.3224875361</v>
      </c>
      <c r="L364" s="49">
        <f t="shared" si="24"/>
        <v>0.4056678037</v>
      </c>
      <c r="M364" s="49">
        <f t="shared" si="25"/>
        <v>0.2718446602</v>
      </c>
      <c r="N364" s="32" t="str">
        <f t="shared" si="26"/>
        <v>Mal. Lott</v>
      </c>
      <c r="O364" s="50" t="s">
        <v>77</v>
      </c>
      <c r="P364" s="38">
        <v>1667.0</v>
      </c>
      <c r="Q364" s="38">
        <v>1333.0</v>
      </c>
      <c r="R364" s="38">
        <v>519.0</v>
      </c>
      <c r="S364" s="38">
        <v>503.0</v>
      </c>
      <c r="T364" s="38">
        <v>219.0</v>
      </c>
      <c r="U364" s="48">
        <f t="shared" si="27"/>
        <v>3519</v>
      </c>
      <c r="V364" s="48">
        <f t="shared" si="28"/>
        <v>4241</v>
      </c>
      <c r="W364" s="49">
        <f t="shared" si="29"/>
        <v>0.4737141233</v>
      </c>
      <c r="X364" s="49">
        <f t="shared" si="30"/>
        <v>0.3788007957</v>
      </c>
      <c r="Y364" s="49">
        <f t="shared" si="31"/>
        <v>0.147485081</v>
      </c>
      <c r="Z364" s="32" t="str">
        <f t="shared" si="32"/>
        <v>Jango</v>
      </c>
      <c r="AA364" s="50" t="s">
        <v>77</v>
      </c>
      <c r="AB364" s="38">
        <v>4866.0</v>
      </c>
      <c r="AC364" s="48">
        <f t="shared" si="33"/>
        <v>625</v>
      </c>
      <c r="AD364" s="51">
        <f t="shared" si="34"/>
        <v>0.8715577476</v>
      </c>
    </row>
    <row r="365">
      <c r="A365" s="24"/>
      <c r="B365" s="46" t="s">
        <v>2932</v>
      </c>
      <c r="C365" s="47"/>
      <c r="D365" s="38">
        <v>404.0</v>
      </c>
      <c r="E365" s="38">
        <v>486.0</v>
      </c>
      <c r="F365" s="38">
        <v>138.0</v>
      </c>
      <c r="G365" s="38">
        <v>89.0</v>
      </c>
      <c r="H365" s="38">
        <v>79.0</v>
      </c>
      <c r="I365" s="48">
        <f t="shared" si="21"/>
        <v>1028</v>
      </c>
      <c r="J365" s="48">
        <f t="shared" si="22"/>
        <v>1196</v>
      </c>
      <c r="K365" s="49">
        <f t="shared" si="23"/>
        <v>0.3929961089</v>
      </c>
      <c r="L365" s="49">
        <f t="shared" si="24"/>
        <v>0.4727626459</v>
      </c>
      <c r="M365" s="49">
        <f t="shared" si="25"/>
        <v>0.1342412451</v>
      </c>
      <c r="N365" s="32" t="str">
        <f t="shared" si="26"/>
        <v>Mal. Lott</v>
      </c>
      <c r="O365" s="50" t="s">
        <v>77</v>
      </c>
      <c r="P365" s="38">
        <v>420.0</v>
      </c>
      <c r="Q365" s="38">
        <v>483.0</v>
      </c>
      <c r="R365" s="38">
        <v>62.0</v>
      </c>
      <c r="S365" s="38">
        <v>158.0</v>
      </c>
      <c r="T365" s="38">
        <v>73.0</v>
      </c>
      <c r="U365" s="48">
        <f t="shared" si="27"/>
        <v>965</v>
      </c>
      <c r="V365" s="48">
        <f t="shared" si="28"/>
        <v>1196</v>
      </c>
      <c r="W365" s="49">
        <f t="shared" si="29"/>
        <v>0.4352331606</v>
      </c>
      <c r="X365" s="49">
        <f t="shared" si="30"/>
        <v>0.5005181347</v>
      </c>
      <c r="Y365" s="49">
        <f t="shared" si="31"/>
        <v>0.06424870466</v>
      </c>
      <c r="Z365" s="32" t="str">
        <f t="shared" si="32"/>
        <v>Milton</v>
      </c>
      <c r="AA365" s="50" t="s">
        <v>77</v>
      </c>
      <c r="AB365" s="38">
        <v>1453.0</v>
      </c>
      <c r="AC365" s="48">
        <f t="shared" si="33"/>
        <v>257</v>
      </c>
      <c r="AD365" s="51">
        <f t="shared" si="34"/>
        <v>0.8231245699</v>
      </c>
    </row>
    <row r="366">
      <c r="A366" s="110" t="s">
        <v>2933</v>
      </c>
      <c r="B366" s="46" t="s">
        <v>2934</v>
      </c>
      <c r="C366" s="47"/>
      <c r="D366" s="38">
        <v>1201.0</v>
      </c>
      <c r="E366" s="38">
        <v>781.0</v>
      </c>
      <c r="F366" s="38">
        <v>257.0</v>
      </c>
      <c r="G366" s="38">
        <v>175.0</v>
      </c>
      <c r="H366" s="38">
        <v>134.0</v>
      </c>
      <c r="I366" s="48">
        <f t="shared" si="21"/>
        <v>2239</v>
      </c>
      <c r="J366" s="48">
        <f t="shared" si="22"/>
        <v>2548</v>
      </c>
      <c r="K366" s="49">
        <f t="shared" si="23"/>
        <v>0.5364001787</v>
      </c>
      <c r="L366" s="49">
        <f t="shared" si="24"/>
        <v>0.3488164359</v>
      </c>
      <c r="M366" s="49">
        <f t="shared" si="25"/>
        <v>0.1147833854</v>
      </c>
      <c r="N366" s="32" t="str">
        <f t="shared" si="26"/>
        <v>Jânio</v>
      </c>
      <c r="O366" s="50" t="s">
        <v>77</v>
      </c>
      <c r="P366" s="38">
        <v>559.0</v>
      </c>
      <c r="Q366" s="38">
        <v>1384.0</v>
      </c>
      <c r="R366" s="38">
        <v>155.0</v>
      </c>
      <c r="S366" s="38">
        <v>367.0</v>
      </c>
      <c r="T366" s="38">
        <v>83.0</v>
      </c>
      <c r="U366" s="48">
        <f t="shared" si="27"/>
        <v>2098</v>
      </c>
      <c r="V366" s="48">
        <f t="shared" si="28"/>
        <v>2548</v>
      </c>
      <c r="W366" s="49">
        <f t="shared" si="29"/>
        <v>0.2664442326</v>
      </c>
      <c r="X366" s="49">
        <f t="shared" si="30"/>
        <v>0.6596758818</v>
      </c>
      <c r="Y366" s="49">
        <f t="shared" si="31"/>
        <v>0.07387988561</v>
      </c>
      <c r="Z366" s="32" t="str">
        <f t="shared" si="32"/>
        <v>Milton</v>
      </c>
      <c r="AA366" s="50" t="s">
        <v>77</v>
      </c>
      <c r="AB366" s="38">
        <v>2951.0</v>
      </c>
      <c r="AC366" s="48">
        <f t="shared" si="33"/>
        <v>403</v>
      </c>
      <c r="AD366" s="51">
        <f t="shared" si="34"/>
        <v>0.8634361233</v>
      </c>
    </row>
    <row r="367">
      <c r="A367" s="61" t="s">
        <v>2935</v>
      </c>
      <c r="B367" s="46" t="s">
        <v>2936</v>
      </c>
      <c r="C367" s="47"/>
      <c r="D367" s="38">
        <v>1230.0</v>
      </c>
      <c r="E367" s="38">
        <v>992.0</v>
      </c>
      <c r="F367" s="38">
        <v>234.0</v>
      </c>
      <c r="G367" s="38">
        <v>257.0</v>
      </c>
      <c r="H367" s="38">
        <v>258.0</v>
      </c>
      <c r="I367" s="48">
        <f t="shared" si="21"/>
        <v>2456</v>
      </c>
      <c r="J367" s="48">
        <f t="shared" si="22"/>
        <v>2971</v>
      </c>
      <c r="K367" s="49">
        <f t="shared" si="23"/>
        <v>0.5008143322</v>
      </c>
      <c r="L367" s="49">
        <f t="shared" si="24"/>
        <v>0.4039087948</v>
      </c>
      <c r="M367" s="49">
        <f t="shared" si="25"/>
        <v>0.09527687296</v>
      </c>
      <c r="N367" s="32" t="str">
        <f t="shared" si="26"/>
        <v>Jânio</v>
      </c>
      <c r="O367" s="50" t="s">
        <v>77</v>
      </c>
      <c r="P367" s="38">
        <v>803.0</v>
      </c>
      <c r="Q367" s="38">
        <v>1247.0</v>
      </c>
      <c r="R367" s="38">
        <v>177.0</v>
      </c>
      <c r="S367" s="38">
        <v>584.0</v>
      </c>
      <c r="T367" s="38">
        <v>160.0</v>
      </c>
      <c r="U367" s="48">
        <f t="shared" si="27"/>
        <v>2227</v>
      </c>
      <c r="V367" s="48">
        <f t="shared" si="28"/>
        <v>2971</v>
      </c>
      <c r="W367" s="49">
        <f t="shared" si="29"/>
        <v>0.3605747643</v>
      </c>
      <c r="X367" s="49">
        <f t="shared" si="30"/>
        <v>0.5599461159</v>
      </c>
      <c r="Y367" s="49">
        <f t="shared" si="31"/>
        <v>0.07947911989</v>
      </c>
      <c r="Z367" s="32" t="str">
        <f t="shared" si="32"/>
        <v>Milton</v>
      </c>
      <c r="AA367" s="50" t="s">
        <v>77</v>
      </c>
      <c r="AB367" s="38">
        <v>3738.0</v>
      </c>
      <c r="AC367" s="48">
        <f t="shared" si="33"/>
        <v>767</v>
      </c>
      <c r="AD367" s="51">
        <f t="shared" si="34"/>
        <v>0.7948100589</v>
      </c>
    </row>
    <row r="368">
      <c r="A368" s="23"/>
      <c r="B368" s="46" t="s">
        <v>2937</v>
      </c>
      <c r="C368" s="47"/>
      <c r="D368" s="38">
        <v>649.0</v>
      </c>
      <c r="E368" s="38">
        <v>723.0</v>
      </c>
      <c r="F368" s="38">
        <v>139.0</v>
      </c>
      <c r="G368" s="38">
        <v>109.0</v>
      </c>
      <c r="H368" s="38">
        <v>162.0</v>
      </c>
      <c r="I368" s="48">
        <f t="shared" si="21"/>
        <v>1511</v>
      </c>
      <c r="J368" s="48">
        <f t="shared" si="22"/>
        <v>1782</v>
      </c>
      <c r="K368" s="49">
        <f t="shared" si="23"/>
        <v>0.4295168762</v>
      </c>
      <c r="L368" s="49">
        <f t="shared" si="24"/>
        <v>0.4784910655</v>
      </c>
      <c r="M368" s="49">
        <f t="shared" si="25"/>
        <v>0.09199205824</v>
      </c>
      <c r="N368" s="32" t="str">
        <f t="shared" si="26"/>
        <v>Mal. Lott</v>
      </c>
      <c r="O368" s="50" t="s">
        <v>77</v>
      </c>
      <c r="P368" s="38">
        <v>827.0</v>
      </c>
      <c r="Q368" s="38">
        <v>537.0</v>
      </c>
      <c r="R368" s="38">
        <v>117.0</v>
      </c>
      <c r="S368" s="38">
        <v>214.0</v>
      </c>
      <c r="T368" s="38">
        <v>87.0</v>
      </c>
      <c r="U368" s="48">
        <f t="shared" si="27"/>
        <v>1481</v>
      </c>
      <c r="V368" s="48">
        <f t="shared" si="28"/>
        <v>1782</v>
      </c>
      <c r="W368" s="49">
        <f t="shared" si="29"/>
        <v>0.5584064821</v>
      </c>
      <c r="X368" s="49">
        <f t="shared" si="30"/>
        <v>0.3625928427</v>
      </c>
      <c r="Y368" s="49">
        <f t="shared" si="31"/>
        <v>0.07900067522</v>
      </c>
      <c r="Z368" s="32" t="str">
        <f t="shared" si="32"/>
        <v>Jango</v>
      </c>
      <c r="AA368" s="50" t="s">
        <v>77</v>
      </c>
      <c r="AB368" s="38">
        <v>2533.0</v>
      </c>
      <c r="AC368" s="48">
        <f t="shared" si="33"/>
        <v>751</v>
      </c>
      <c r="AD368" s="51">
        <f t="shared" si="34"/>
        <v>0.7035136202</v>
      </c>
    </row>
    <row r="369">
      <c r="A369" s="23"/>
      <c r="B369" s="46" t="s">
        <v>2938</v>
      </c>
      <c r="C369" s="47"/>
      <c r="D369" s="38">
        <v>400.0</v>
      </c>
      <c r="E369" s="38">
        <v>499.0</v>
      </c>
      <c r="F369" s="38">
        <v>149.0</v>
      </c>
      <c r="G369" s="38">
        <v>84.0</v>
      </c>
      <c r="H369" s="38">
        <v>80.0</v>
      </c>
      <c r="I369" s="48">
        <f t="shared" si="21"/>
        <v>1048</v>
      </c>
      <c r="J369" s="48">
        <f t="shared" si="22"/>
        <v>1212</v>
      </c>
      <c r="K369" s="49">
        <f t="shared" si="23"/>
        <v>0.3816793893</v>
      </c>
      <c r="L369" s="49">
        <f t="shared" si="24"/>
        <v>0.4761450382</v>
      </c>
      <c r="M369" s="49">
        <f t="shared" si="25"/>
        <v>0.1421755725</v>
      </c>
      <c r="N369" s="32" t="str">
        <f t="shared" si="26"/>
        <v>Mal. Lott</v>
      </c>
      <c r="O369" s="50" t="s">
        <v>77</v>
      </c>
      <c r="P369" s="38">
        <v>348.0</v>
      </c>
      <c r="Q369" s="38">
        <v>541.0</v>
      </c>
      <c r="R369" s="38">
        <v>78.0</v>
      </c>
      <c r="S369" s="38">
        <v>201.0</v>
      </c>
      <c r="T369" s="38">
        <v>44.0</v>
      </c>
      <c r="U369" s="48">
        <f t="shared" si="27"/>
        <v>967</v>
      </c>
      <c r="V369" s="48">
        <f t="shared" si="28"/>
        <v>1212</v>
      </c>
      <c r="W369" s="49">
        <f t="shared" si="29"/>
        <v>0.3598759049</v>
      </c>
      <c r="X369" s="49">
        <f t="shared" si="30"/>
        <v>0.5594622544</v>
      </c>
      <c r="Y369" s="49">
        <f t="shared" si="31"/>
        <v>0.08066184074</v>
      </c>
      <c r="Z369" s="32" t="str">
        <f t="shared" si="32"/>
        <v>Milton</v>
      </c>
      <c r="AA369" s="50" t="s">
        <v>77</v>
      </c>
      <c r="AB369" s="38">
        <v>2543.0</v>
      </c>
      <c r="AC369" s="48">
        <f t="shared" si="33"/>
        <v>1331</v>
      </c>
      <c r="AD369" s="51">
        <f t="shared" si="34"/>
        <v>0.4766024381</v>
      </c>
    </row>
    <row r="370">
      <c r="A370" s="23"/>
      <c r="B370" s="46" t="s">
        <v>2939</v>
      </c>
      <c r="C370" s="47"/>
      <c r="D370" s="38">
        <v>991.0</v>
      </c>
      <c r="E370" s="38">
        <v>544.0</v>
      </c>
      <c r="F370" s="38">
        <v>116.0</v>
      </c>
      <c r="G370" s="38">
        <v>100.0</v>
      </c>
      <c r="H370" s="38">
        <v>118.0</v>
      </c>
      <c r="I370" s="48">
        <f t="shared" si="21"/>
        <v>1651</v>
      </c>
      <c r="J370" s="48">
        <f t="shared" si="22"/>
        <v>1869</v>
      </c>
      <c r="K370" s="49">
        <f t="shared" si="23"/>
        <v>0.6002422774</v>
      </c>
      <c r="L370" s="49">
        <f t="shared" si="24"/>
        <v>0.3294972744</v>
      </c>
      <c r="M370" s="49">
        <f t="shared" si="25"/>
        <v>0.07026044821</v>
      </c>
      <c r="N370" s="32" t="str">
        <f t="shared" si="26"/>
        <v>Jânio</v>
      </c>
      <c r="O370" s="50" t="s">
        <v>77</v>
      </c>
      <c r="P370" s="38">
        <v>627.0</v>
      </c>
      <c r="Q370" s="38">
        <v>832.0</v>
      </c>
      <c r="R370" s="38">
        <v>139.0</v>
      </c>
      <c r="S370" s="38">
        <v>193.0</v>
      </c>
      <c r="T370" s="38">
        <v>78.0</v>
      </c>
      <c r="U370" s="48">
        <f t="shared" si="27"/>
        <v>1598</v>
      </c>
      <c r="V370" s="48">
        <f t="shared" si="28"/>
        <v>1869</v>
      </c>
      <c r="W370" s="49">
        <f t="shared" si="29"/>
        <v>0.3923654568</v>
      </c>
      <c r="X370" s="49">
        <f t="shared" si="30"/>
        <v>0.5206508135</v>
      </c>
      <c r="Y370" s="49">
        <f t="shared" si="31"/>
        <v>0.08698372966</v>
      </c>
      <c r="Z370" s="32" t="str">
        <f t="shared" si="32"/>
        <v>Milton</v>
      </c>
      <c r="AA370" s="50" t="s">
        <v>77</v>
      </c>
      <c r="AB370" s="55">
        <v>1578.0</v>
      </c>
      <c r="AC370" s="45" t="s">
        <v>1025</v>
      </c>
      <c r="AD370" s="45" t="s">
        <v>1025</v>
      </c>
    </row>
    <row r="371">
      <c r="A371" s="24"/>
      <c r="B371" s="46" t="s">
        <v>2525</v>
      </c>
      <c r="C371" s="47"/>
      <c r="D371" s="38">
        <v>713.0</v>
      </c>
      <c r="E371" s="38">
        <v>743.0</v>
      </c>
      <c r="F371" s="38">
        <v>118.0</v>
      </c>
      <c r="G371" s="38">
        <v>41.0</v>
      </c>
      <c r="H371" s="38">
        <v>78.0</v>
      </c>
      <c r="I371" s="48">
        <f t="shared" si="21"/>
        <v>1574</v>
      </c>
      <c r="J371" s="48">
        <f t="shared" si="22"/>
        <v>1693</v>
      </c>
      <c r="K371" s="49">
        <f t="shared" si="23"/>
        <v>0.4529860229</v>
      </c>
      <c r="L371" s="49">
        <f t="shared" si="24"/>
        <v>0.4720457433</v>
      </c>
      <c r="M371" s="49">
        <f t="shared" si="25"/>
        <v>0.0749682338</v>
      </c>
      <c r="N371" s="32" t="str">
        <f t="shared" si="26"/>
        <v>Mal. Lott</v>
      </c>
      <c r="O371" s="50" t="s">
        <v>77</v>
      </c>
      <c r="P371" s="38">
        <v>827.0</v>
      </c>
      <c r="Q371" s="38">
        <v>314.0</v>
      </c>
      <c r="R371" s="38">
        <v>374.0</v>
      </c>
      <c r="S371" s="38">
        <v>122.0</v>
      </c>
      <c r="T371" s="38">
        <v>56.0</v>
      </c>
      <c r="U371" s="48">
        <f t="shared" si="27"/>
        <v>1515</v>
      </c>
      <c r="V371" s="48">
        <f t="shared" si="28"/>
        <v>1693</v>
      </c>
      <c r="W371" s="49">
        <f t="shared" si="29"/>
        <v>0.5458745875</v>
      </c>
      <c r="X371" s="49">
        <f t="shared" si="30"/>
        <v>0.2072607261</v>
      </c>
      <c r="Y371" s="49">
        <f t="shared" si="31"/>
        <v>0.2468646865</v>
      </c>
      <c r="Z371" s="32" t="str">
        <f t="shared" si="32"/>
        <v>Jango</v>
      </c>
      <c r="AA371" s="50" t="s">
        <v>77</v>
      </c>
      <c r="AB371" s="38">
        <v>2086.0</v>
      </c>
      <c r="AC371" s="48">
        <f t="shared" ref="AC371:AC447" si="35">AB371-V371</f>
        <v>393</v>
      </c>
      <c r="AD371" s="51">
        <f t="shared" ref="AD371:AD447" si="36">V371/AB371</f>
        <v>0.8116011505</v>
      </c>
    </row>
    <row r="372">
      <c r="A372" s="61" t="s">
        <v>2940</v>
      </c>
      <c r="B372" s="46" t="s">
        <v>2941</v>
      </c>
      <c r="C372" s="47"/>
      <c r="D372" s="38">
        <v>890.0</v>
      </c>
      <c r="E372" s="38">
        <v>2044.0</v>
      </c>
      <c r="F372" s="38">
        <v>838.0</v>
      </c>
      <c r="G372" s="38">
        <v>128.0</v>
      </c>
      <c r="H372" s="38">
        <v>165.0</v>
      </c>
      <c r="I372" s="48">
        <f t="shared" si="21"/>
        <v>3772</v>
      </c>
      <c r="J372" s="48">
        <f t="shared" si="22"/>
        <v>4065</v>
      </c>
      <c r="K372" s="49">
        <f t="shared" si="23"/>
        <v>0.2359490986</v>
      </c>
      <c r="L372" s="49">
        <f t="shared" si="24"/>
        <v>0.5418875928</v>
      </c>
      <c r="M372" s="49">
        <f t="shared" si="25"/>
        <v>0.2221633086</v>
      </c>
      <c r="N372" s="32" t="str">
        <f t="shared" si="26"/>
        <v>Mal. Lott</v>
      </c>
      <c r="O372" s="50" t="s">
        <v>77</v>
      </c>
      <c r="P372" s="38">
        <v>2482.0</v>
      </c>
      <c r="Q372" s="38">
        <v>631.0</v>
      </c>
      <c r="R372" s="38">
        <v>555.0</v>
      </c>
      <c r="S372" s="38">
        <v>282.0</v>
      </c>
      <c r="T372" s="38">
        <v>115.0</v>
      </c>
      <c r="U372" s="48">
        <f t="shared" si="27"/>
        <v>3668</v>
      </c>
      <c r="V372" s="48">
        <f t="shared" si="28"/>
        <v>4065</v>
      </c>
      <c r="W372" s="49">
        <f t="shared" si="29"/>
        <v>0.6766630316</v>
      </c>
      <c r="X372" s="49">
        <f t="shared" si="30"/>
        <v>0.1720283533</v>
      </c>
      <c r="Y372" s="49">
        <f t="shared" si="31"/>
        <v>0.151308615</v>
      </c>
      <c r="Z372" s="32" t="str">
        <f t="shared" si="32"/>
        <v>Jango</v>
      </c>
      <c r="AA372" s="50" t="s">
        <v>77</v>
      </c>
      <c r="AB372" s="38">
        <v>5295.0</v>
      </c>
      <c r="AC372" s="48">
        <f t="shared" si="35"/>
        <v>1230</v>
      </c>
      <c r="AD372" s="51">
        <f t="shared" si="36"/>
        <v>0.7677053824</v>
      </c>
    </row>
    <row r="373">
      <c r="A373" s="23"/>
      <c r="B373" s="46" t="s">
        <v>2942</v>
      </c>
      <c r="C373" s="47"/>
      <c r="D373" s="38">
        <v>379.0</v>
      </c>
      <c r="E373" s="38">
        <v>404.0</v>
      </c>
      <c r="F373" s="38">
        <v>61.0</v>
      </c>
      <c r="G373" s="38">
        <v>58.0</v>
      </c>
      <c r="H373" s="38">
        <v>73.0</v>
      </c>
      <c r="I373" s="48">
        <f t="shared" si="21"/>
        <v>844</v>
      </c>
      <c r="J373" s="48">
        <f t="shared" si="22"/>
        <v>975</v>
      </c>
      <c r="K373" s="49">
        <f t="shared" si="23"/>
        <v>0.4490521327</v>
      </c>
      <c r="L373" s="49">
        <f t="shared" si="24"/>
        <v>0.4786729858</v>
      </c>
      <c r="M373" s="49">
        <f t="shared" si="25"/>
        <v>0.07227488152</v>
      </c>
      <c r="N373" s="32" t="str">
        <f t="shared" si="26"/>
        <v>Mal. Lott</v>
      </c>
      <c r="O373" s="50" t="s">
        <v>77</v>
      </c>
      <c r="P373" s="38">
        <v>408.0</v>
      </c>
      <c r="Q373" s="38">
        <v>366.0</v>
      </c>
      <c r="R373" s="38">
        <v>66.0</v>
      </c>
      <c r="S373" s="38">
        <v>84.0</v>
      </c>
      <c r="T373" s="38">
        <v>51.0</v>
      </c>
      <c r="U373" s="48">
        <f t="shared" si="27"/>
        <v>840</v>
      </c>
      <c r="V373" s="48">
        <f t="shared" si="28"/>
        <v>975</v>
      </c>
      <c r="W373" s="49">
        <f t="shared" si="29"/>
        <v>0.4857142857</v>
      </c>
      <c r="X373" s="49">
        <f t="shared" si="30"/>
        <v>0.4357142857</v>
      </c>
      <c r="Y373" s="49">
        <f t="shared" si="31"/>
        <v>0.07857142857</v>
      </c>
      <c r="Z373" s="32" t="str">
        <f t="shared" si="32"/>
        <v>Jango</v>
      </c>
      <c r="AA373" s="50" t="s">
        <v>77</v>
      </c>
      <c r="AB373" s="38">
        <v>1602.0</v>
      </c>
      <c r="AC373" s="48">
        <f t="shared" si="35"/>
        <v>627</v>
      </c>
      <c r="AD373" s="51">
        <f t="shared" si="36"/>
        <v>0.6086142322</v>
      </c>
    </row>
    <row r="374">
      <c r="A374" s="23"/>
      <c r="B374" s="46" t="s">
        <v>2943</v>
      </c>
      <c r="C374" s="47"/>
      <c r="D374" s="38">
        <v>242.0</v>
      </c>
      <c r="E374" s="38">
        <v>259.0</v>
      </c>
      <c r="F374" s="38">
        <v>45.0</v>
      </c>
      <c r="G374" s="38">
        <v>65.0</v>
      </c>
      <c r="H374" s="38">
        <v>40.0</v>
      </c>
      <c r="I374" s="48">
        <f t="shared" si="21"/>
        <v>546</v>
      </c>
      <c r="J374" s="48">
        <f t="shared" si="22"/>
        <v>651</v>
      </c>
      <c r="K374" s="49">
        <f t="shared" si="23"/>
        <v>0.4432234432</v>
      </c>
      <c r="L374" s="49">
        <f t="shared" si="24"/>
        <v>0.4743589744</v>
      </c>
      <c r="M374" s="49">
        <f t="shared" si="25"/>
        <v>0.08241758242</v>
      </c>
      <c r="N374" s="32" t="str">
        <f t="shared" si="26"/>
        <v>Mal. Lott</v>
      </c>
      <c r="O374" s="50" t="s">
        <v>77</v>
      </c>
      <c r="P374" s="38">
        <v>253.0</v>
      </c>
      <c r="Q374" s="38">
        <v>248.0</v>
      </c>
      <c r="R374" s="38">
        <v>22.0</v>
      </c>
      <c r="S374" s="38">
        <v>91.0</v>
      </c>
      <c r="T374" s="38">
        <v>37.0</v>
      </c>
      <c r="U374" s="48">
        <f t="shared" si="27"/>
        <v>523</v>
      </c>
      <c r="V374" s="48">
        <f t="shared" si="28"/>
        <v>651</v>
      </c>
      <c r="W374" s="49">
        <f t="shared" si="29"/>
        <v>0.4837476099</v>
      </c>
      <c r="X374" s="49">
        <f t="shared" si="30"/>
        <v>0.4741873805</v>
      </c>
      <c r="Y374" s="49">
        <f t="shared" si="31"/>
        <v>0.04206500956</v>
      </c>
      <c r="Z374" s="32" t="str">
        <f t="shared" si="32"/>
        <v>Jango</v>
      </c>
      <c r="AA374" s="50" t="s">
        <v>77</v>
      </c>
      <c r="AB374" s="38">
        <v>848.0</v>
      </c>
      <c r="AC374" s="48">
        <f t="shared" si="35"/>
        <v>197</v>
      </c>
      <c r="AD374" s="51">
        <f t="shared" si="36"/>
        <v>0.7676886792</v>
      </c>
    </row>
    <row r="375">
      <c r="A375" s="24"/>
      <c r="B375" s="46" t="s">
        <v>2944</v>
      </c>
      <c r="C375" s="47"/>
      <c r="D375" s="38">
        <v>369.0</v>
      </c>
      <c r="E375" s="38">
        <v>623.0</v>
      </c>
      <c r="F375" s="38">
        <v>82.0</v>
      </c>
      <c r="G375" s="38">
        <v>76.0</v>
      </c>
      <c r="H375" s="38">
        <v>69.0</v>
      </c>
      <c r="I375" s="48">
        <f t="shared" si="21"/>
        <v>1074</v>
      </c>
      <c r="J375" s="48">
        <f t="shared" si="22"/>
        <v>1219</v>
      </c>
      <c r="K375" s="49">
        <f t="shared" si="23"/>
        <v>0.343575419</v>
      </c>
      <c r="L375" s="49">
        <f t="shared" si="24"/>
        <v>0.5800744879</v>
      </c>
      <c r="M375" s="49">
        <f t="shared" si="25"/>
        <v>0.07635009311</v>
      </c>
      <c r="N375" s="32" t="str">
        <f t="shared" si="26"/>
        <v>Mal. Lott</v>
      </c>
      <c r="O375" s="50" t="s">
        <v>77</v>
      </c>
      <c r="P375" s="38">
        <v>592.0</v>
      </c>
      <c r="Q375" s="38">
        <v>344.0</v>
      </c>
      <c r="R375" s="38">
        <v>78.0</v>
      </c>
      <c r="S375" s="38">
        <v>175.0</v>
      </c>
      <c r="T375" s="38">
        <v>30.0</v>
      </c>
      <c r="U375" s="48">
        <f t="shared" si="27"/>
        <v>1014</v>
      </c>
      <c r="V375" s="48">
        <f t="shared" si="28"/>
        <v>1219</v>
      </c>
      <c r="W375" s="49">
        <f t="shared" si="29"/>
        <v>0.58382643</v>
      </c>
      <c r="X375" s="49">
        <f t="shared" si="30"/>
        <v>0.3392504931</v>
      </c>
      <c r="Y375" s="49">
        <f t="shared" si="31"/>
        <v>0.07692307692</v>
      </c>
      <c r="Z375" s="32" t="str">
        <f t="shared" si="32"/>
        <v>Jango</v>
      </c>
      <c r="AA375" s="50" t="s">
        <v>77</v>
      </c>
      <c r="AB375" s="38">
        <v>1540.0</v>
      </c>
      <c r="AC375" s="48">
        <f t="shared" si="35"/>
        <v>321</v>
      </c>
      <c r="AD375" s="51">
        <f t="shared" si="36"/>
        <v>0.7915584416</v>
      </c>
    </row>
    <row r="376">
      <c r="A376" s="61" t="s">
        <v>2945</v>
      </c>
      <c r="B376" s="46" t="s">
        <v>2946</v>
      </c>
      <c r="C376" s="47"/>
      <c r="D376" s="38">
        <v>2024.0</v>
      </c>
      <c r="E376" s="38">
        <v>1607.0</v>
      </c>
      <c r="F376" s="38">
        <v>330.0</v>
      </c>
      <c r="G376" s="38">
        <v>278.0</v>
      </c>
      <c r="H376" s="38">
        <v>242.0</v>
      </c>
      <c r="I376" s="48">
        <f t="shared" si="21"/>
        <v>3961</v>
      </c>
      <c r="J376" s="48">
        <f t="shared" si="22"/>
        <v>4481</v>
      </c>
      <c r="K376" s="49">
        <f t="shared" si="23"/>
        <v>0.5109820752</v>
      </c>
      <c r="L376" s="49">
        <f t="shared" si="24"/>
        <v>0.4057056299</v>
      </c>
      <c r="M376" s="49">
        <f t="shared" si="25"/>
        <v>0.08331229488</v>
      </c>
      <c r="N376" s="32" t="str">
        <f t="shared" si="26"/>
        <v>Jânio</v>
      </c>
      <c r="O376" s="50" t="s">
        <v>77</v>
      </c>
      <c r="P376" s="38">
        <v>1616.0</v>
      </c>
      <c r="Q376" s="38">
        <v>1989.0</v>
      </c>
      <c r="R376" s="38">
        <v>185.0</v>
      </c>
      <c r="S376" s="38">
        <v>535.0</v>
      </c>
      <c r="T376" s="38">
        <v>156.0</v>
      </c>
      <c r="U376" s="48">
        <f t="shared" si="27"/>
        <v>3790</v>
      </c>
      <c r="V376" s="48">
        <f t="shared" si="28"/>
        <v>4481</v>
      </c>
      <c r="W376" s="49">
        <f t="shared" si="29"/>
        <v>0.4263852243</v>
      </c>
      <c r="X376" s="49">
        <f t="shared" si="30"/>
        <v>0.5248021108</v>
      </c>
      <c r="Y376" s="49">
        <f t="shared" si="31"/>
        <v>0.04881266491</v>
      </c>
      <c r="Z376" s="32" t="str">
        <f t="shared" si="32"/>
        <v>Milton</v>
      </c>
      <c r="AA376" s="50" t="s">
        <v>77</v>
      </c>
      <c r="AB376" s="38">
        <v>5283.0</v>
      </c>
      <c r="AC376" s="48">
        <f t="shared" si="35"/>
        <v>802</v>
      </c>
      <c r="AD376" s="51">
        <f t="shared" si="36"/>
        <v>0.848192315</v>
      </c>
    </row>
    <row r="377">
      <c r="A377" s="23"/>
      <c r="B377" s="46" t="s">
        <v>2947</v>
      </c>
      <c r="C377" s="47"/>
      <c r="D377" s="38">
        <v>295.0</v>
      </c>
      <c r="E377" s="38">
        <v>262.0</v>
      </c>
      <c r="F377" s="38">
        <v>29.0</v>
      </c>
      <c r="G377" s="38">
        <v>90.0</v>
      </c>
      <c r="H377" s="38">
        <v>38.0</v>
      </c>
      <c r="I377" s="48">
        <f t="shared" si="21"/>
        <v>586</v>
      </c>
      <c r="J377" s="48">
        <f t="shared" si="22"/>
        <v>714</v>
      </c>
      <c r="K377" s="49">
        <f t="shared" si="23"/>
        <v>0.5034129693</v>
      </c>
      <c r="L377" s="49">
        <f t="shared" si="24"/>
        <v>0.4470989761</v>
      </c>
      <c r="M377" s="49">
        <f t="shared" si="25"/>
        <v>0.04948805461</v>
      </c>
      <c r="N377" s="32" t="str">
        <f t="shared" si="26"/>
        <v>Jânio</v>
      </c>
      <c r="O377" s="50" t="s">
        <v>77</v>
      </c>
      <c r="P377" s="38">
        <v>214.0</v>
      </c>
      <c r="Q377" s="38">
        <v>303.0</v>
      </c>
      <c r="R377" s="38">
        <v>34.0</v>
      </c>
      <c r="S377" s="38">
        <v>134.0</v>
      </c>
      <c r="T377" s="38">
        <v>29.0</v>
      </c>
      <c r="U377" s="48">
        <f t="shared" si="27"/>
        <v>551</v>
      </c>
      <c r="V377" s="48">
        <f t="shared" si="28"/>
        <v>714</v>
      </c>
      <c r="W377" s="49">
        <f t="shared" si="29"/>
        <v>0.388384755</v>
      </c>
      <c r="X377" s="49">
        <f t="shared" si="30"/>
        <v>0.5499092559</v>
      </c>
      <c r="Y377" s="49">
        <f t="shared" si="31"/>
        <v>0.06170598911</v>
      </c>
      <c r="Z377" s="32" t="str">
        <f t="shared" si="32"/>
        <v>Milton</v>
      </c>
      <c r="AA377" s="50" t="s">
        <v>77</v>
      </c>
      <c r="AB377" s="38">
        <v>912.0</v>
      </c>
      <c r="AC377" s="48">
        <f t="shared" si="35"/>
        <v>198</v>
      </c>
      <c r="AD377" s="51">
        <f t="shared" si="36"/>
        <v>0.7828947368</v>
      </c>
    </row>
    <row r="378">
      <c r="A378" s="23"/>
      <c r="B378" s="46" t="s">
        <v>2948</v>
      </c>
      <c r="C378" s="47"/>
      <c r="D378" s="38">
        <v>769.0</v>
      </c>
      <c r="E378" s="38">
        <v>481.0</v>
      </c>
      <c r="F378" s="38">
        <v>99.0</v>
      </c>
      <c r="G378" s="38">
        <v>210.0</v>
      </c>
      <c r="H378" s="38">
        <v>163.0</v>
      </c>
      <c r="I378" s="48">
        <f t="shared" si="21"/>
        <v>1349</v>
      </c>
      <c r="J378" s="48">
        <f t="shared" si="22"/>
        <v>1722</v>
      </c>
      <c r="K378" s="49">
        <f t="shared" si="23"/>
        <v>0.5700518903</v>
      </c>
      <c r="L378" s="49">
        <f t="shared" si="24"/>
        <v>0.3565604151</v>
      </c>
      <c r="M378" s="49">
        <f t="shared" si="25"/>
        <v>0.07338769459</v>
      </c>
      <c r="N378" s="32" t="str">
        <f t="shared" si="26"/>
        <v>Jânio</v>
      </c>
      <c r="O378" s="50" t="s">
        <v>77</v>
      </c>
      <c r="P378" s="38">
        <v>503.0</v>
      </c>
      <c r="Q378" s="38">
        <v>677.0</v>
      </c>
      <c r="R378" s="38">
        <v>101.0</v>
      </c>
      <c r="S378" s="38">
        <v>369.0</v>
      </c>
      <c r="T378" s="38">
        <v>72.0</v>
      </c>
      <c r="U378" s="48">
        <f t="shared" si="27"/>
        <v>1281</v>
      </c>
      <c r="V378" s="48">
        <f t="shared" si="28"/>
        <v>1722</v>
      </c>
      <c r="W378" s="49">
        <f t="shared" si="29"/>
        <v>0.3926619828</v>
      </c>
      <c r="X378" s="49">
        <f t="shared" si="30"/>
        <v>0.5284933646</v>
      </c>
      <c r="Y378" s="49">
        <f t="shared" si="31"/>
        <v>0.07884465262</v>
      </c>
      <c r="Z378" s="32" t="str">
        <f t="shared" si="32"/>
        <v>Milton</v>
      </c>
      <c r="AA378" s="50" t="s">
        <v>77</v>
      </c>
      <c r="AB378" s="38">
        <v>2340.0</v>
      </c>
      <c r="AC378" s="48">
        <f t="shared" si="35"/>
        <v>618</v>
      </c>
      <c r="AD378" s="51">
        <f t="shared" si="36"/>
        <v>0.7358974359</v>
      </c>
    </row>
    <row r="379">
      <c r="A379" s="23"/>
      <c r="B379" s="46" t="s">
        <v>2949</v>
      </c>
      <c r="C379" s="47"/>
      <c r="D379" s="38">
        <v>393.0</v>
      </c>
      <c r="E379" s="38">
        <v>375.0</v>
      </c>
      <c r="F379" s="38">
        <v>50.0</v>
      </c>
      <c r="G379" s="38">
        <v>142.0</v>
      </c>
      <c r="H379" s="38">
        <v>76.0</v>
      </c>
      <c r="I379" s="48">
        <f t="shared" si="21"/>
        <v>818</v>
      </c>
      <c r="J379" s="48">
        <f t="shared" si="22"/>
        <v>1036</v>
      </c>
      <c r="K379" s="49">
        <f t="shared" si="23"/>
        <v>0.4804400978</v>
      </c>
      <c r="L379" s="49">
        <f t="shared" si="24"/>
        <v>0.4584352078</v>
      </c>
      <c r="M379" s="49">
        <f t="shared" si="25"/>
        <v>0.06112469438</v>
      </c>
      <c r="N379" s="32" t="str">
        <f t="shared" si="26"/>
        <v>Jânio</v>
      </c>
      <c r="O379" s="50" t="s">
        <v>77</v>
      </c>
      <c r="P379" s="38">
        <v>390.0</v>
      </c>
      <c r="Q379" s="38">
        <v>311.0</v>
      </c>
      <c r="R379" s="38">
        <v>64.0</v>
      </c>
      <c r="S379" s="38">
        <v>231.0</v>
      </c>
      <c r="T379" s="38">
        <v>40.0</v>
      </c>
      <c r="U379" s="48">
        <f t="shared" si="27"/>
        <v>765</v>
      </c>
      <c r="V379" s="48">
        <f t="shared" si="28"/>
        <v>1036</v>
      </c>
      <c r="W379" s="49">
        <f t="shared" si="29"/>
        <v>0.5098039216</v>
      </c>
      <c r="X379" s="49">
        <f t="shared" si="30"/>
        <v>0.4065359477</v>
      </c>
      <c r="Y379" s="49">
        <f t="shared" si="31"/>
        <v>0.08366013072</v>
      </c>
      <c r="Z379" s="32" t="str">
        <f t="shared" si="32"/>
        <v>Jango</v>
      </c>
      <c r="AA379" s="50" t="s">
        <v>77</v>
      </c>
      <c r="AB379" s="38">
        <v>1421.0</v>
      </c>
      <c r="AC379" s="48">
        <f t="shared" si="35"/>
        <v>385</v>
      </c>
      <c r="AD379" s="51">
        <f t="shared" si="36"/>
        <v>0.7290640394</v>
      </c>
    </row>
    <row r="380">
      <c r="A380" s="24"/>
      <c r="B380" s="46" t="s">
        <v>2950</v>
      </c>
      <c r="C380" s="47"/>
      <c r="D380" s="38">
        <v>582.0</v>
      </c>
      <c r="E380" s="38">
        <v>576.0</v>
      </c>
      <c r="F380" s="38">
        <v>76.0</v>
      </c>
      <c r="G380" s="38">
        <v>116.0</v>
      </c>
      <c r="H380" s="38">
        <v>79.0</v>
      </c>
      <c r="I380" s="48">
        <f t="shared" si="21"/>
        <v>1234</v>
      </c>
      <c r="J380" s="48">
        <f t="shared" si="22"/>
        <v>1429</v>
      </c>
      <c r="K380" s="49">
        <f t="shared" si="23"/>
        <v>0.471636953</v>
      </c>
      <c r="L380" s="49">
        <f t="shared" si="24"/>
        <v>0.4667747164</v>
      </c>
      <c r="M380" s="49">
        <f t="shared" si="25"/>
        <v>0.06158833063</v>
      </c>
      <c r="N380" s="32" t="str">
        <f t="shared" si="26"/>
        <v>Jânio</v>
      </c>
      <c r="O380" s="50" t="s">
        <v>77</v>
      </c>
      <c r="P380" s="38">
        <v>586.0</v>
      </c>
      <c r="Q380" s="38">
        <v>566.0</v>
      </c>
      <c r="R380" s="38">
        <v>36.0</v>
      </c>
      <c r="S380" s="38">
        <v>205.0</v>
      </c>
      <c r="T380" s="38">
        <v>36.0</v>
      </c>
      <c r="U380" s="48">
        <f t="shared" si="27"/>
        <v>1188</v>
      </c>
      <c r="V380" s="48">
        <f t="shared" si="28"/>
        <v>1429</v>
      </c>
      <c r="W380" s="49">
        <f t="shared" si="29"/>
        <v>0.4932659933</v>
      </c>
      <c r="X380" s="49">
        <f t="shared" si="30"/>
        <v>0.4764309764</v>
      </c>
      <c r="Y380" s="49">
        <f t="shared" si="31"/>
        <v>0.0303030303</v>
      </c>
      <c r="Z380" s="32" t="str">
        <f t="shared" si="32"/>
        <v>Jango</v>
      </c>
      <c r="AA380" s="50" t="s">
        <v>77</v>
      </c>
      <c r="AB380" s="38">
        <v>1828.0</v>
      </c>
      <c r="AC380" s="48">
        <f t="shared" si="35"/>
        <v>399</v>
      </c>
      <c r="AD380" s="51">
        <f t="shared" si="36"/>
        <v>0.7817286652</v>
      </c>
    </row>
    <row r="381">
      <c r="A381" s="61" t="s">
        <v>2951</v>
      </c>
      <c r="B381" s="46" t="s">
        <v>2952</v>
      </c>
      <c r="C381" s="47"/>
      <c r="D381" s="38">
        <v>2190.0</v>
      </c>
      <c r="E381" s="38">
        <v>1608.0</v>
      </c>
      <c r="F381" s="38">
        <v>152.0</v>
      </c>
      <c r="G381" s="38">
        <v>271.0</v>
      </c>
      <c r="H381" s="38">
        <v>199.0</v>
      </c>
      <c r="I381" s="48">
        <f t="shared" si="21"/>
        <v>3950</v>
      </c>
      <c r="J381" s="48">
        <f t="shared" si="22"/>
        <v>4420</v>
      </c>
      <c r="K381" s="49">
        <f t="shared" si="23"/>
        <v>0.5544303797</v>
      </c>
      <c r="L381" s="49">
        <f t="shared" si="24"/>
        <v>0.4070886076</v>
      </c>
      <c r="M381" s="49">
        <f t="shared" si="25"/>
        <v>0.03848101266</v>
      </c>
      <c r="N381" s="32" t="str">
        <f t="shared" si="26"/>
        <v>Jânio</v>
      </c>
      <c r="O381" s="50" t="s">
        <v>77</v>
      </c>
      <c r="P381" s="38">
        <v>1558.0</v>
      </c>
      <c r="Q381" s="38">
        <v>2180.0</v>
      </c>
      <c r="R381" s="38">
        <v>98.0</v>
      </c>
      <c r="S381" s="38">
        <v>480.0</v>
      </c>
      <c r="T381" s="38">
        <v>104.0</v>
      </c>
      <c r="U381" s="48">
        <f t="shared" si="27"/>
        <v>3836</v>
      </c>
      <c r="V381" s="48">
        <f t="shared" si="28"/>
        <v>4420</v>
      </c>
      <c r="W381" s="49">
        <f t="shared" si="29"/>
        <v>0.4061522419</v>
      </c>
      <c r="X381" s="49">
        <f t="shared" si="30"/>
        <v>0.5683003128</v>
      </c>
      <c r="Y381" s="49">
        <f t="shared" si="31"/>
        <v>0.02554744526</v>
      </c>
      <c r="Z381" s="32" t="str">
        <f t="shared" si="32"/>
        <v>Milton</v>
      </c>
      <c r="AA381" s="50" t="s">
        <v>77</v>
      </c>
      <c r="AB381" s="38">
        <v>5687.0</v>
      </c>
      <c r="AC381" s="48">
        <f t="shared" si="35"/>
        <v>1267</v>
      </c>
      <c r="AD381" s="51">
        <f t="shared" si="36"/>
        <v>0.7772111834</v>
      </c>
    </row>
    <row r="382">
      <c r="A382" s="24"/>
      <c r="B382" s="46" t="s">
        <v>2953</v>
      </c>
      <c r="C382" s="47"/>
      <c r="D382" s="38">
        <v>698.0</v>
      </c>
      <c r="E382" s="38">
        <v>289.0</v>
      </c>
      <c r="F382" s="38">
        <v>22.0</v>
      </c>
      <c r="G382" s="38">
        <v>65.0</v>
      </c>
      <c r="H382" s="38">
        <v>58.0</v>
      </c>
      <c r="I382" s="48">
        <f t="shared" si="21"/>
        <v>1009</v>
      </c>
      <c r="J382" s="48">
        <f t="shared" si="22"/>
        <v>1132</v>
      </c>
      <c r="K382" s="49">
        <f t="shared" si="23"/>
        <v>0.6917740337</v>
      </c>
      <c r="L382" s="49">
        <f t="shared" si="24"/>
        <v>0.2864222002</v>
      </c>
      <c r="M382" s="49">
        <f t="shared" si="25"/>
        <v>0.02180376611</v>
      </c>
      <c r="N382" s="32" t="str">
        <f t="shared" si="26"/>
        <v>Jânio</v>
      </c>
      <c r="O382" s="50" t="s">
        <v>77</v>
      </c>
      <c r="P382" s="38">
        <v>302.0</v>
      </c>
      <c r="Q382" s="38">
        <v>646.0</v>
      </c>
      <c r="R382" s="38">
        <v>18.0</v>
      </c>
      <c r="S382" s="38">
        <v>139.0</v>
      </c>
      <c r="T382" s="38">
        <v>27.0</v>
      </c>
      <c r="U382" s="48">
        <f t="shared" si="27"/>
        <v>966</v>
      </c>
      <c r="V382" s="48">
        <f t="shared" si="28"/>
        <v>1132</v>
      </c>
      <c r="W382" s="49">
        <f t="shared" si="29"/>
        <v>0.3126293996</v>
      </c>
      <c r="X382" s="49">
        <f t="shared" si="30"/>
        <v>0.66873706</v>
      </c>
      <c r="Y382" s="49">
        <f t="shared" si="31"/>
        <v>0.01863354037</v>
      </c>
      <c r="Z382" s="32" t="str">
        <f t="shared" si="32"/>
        <v>Milton</v>
      </c>
      <c r="AA382" s="50" t="s">
        <v>77</v>
      </c>
      <c r="AB382" s="38">
        <v>1434.0</v>
      </c>
      <c r="AC382" s="48">
        <f t="shared" si="35"/>
        <v>302</v>
      </c>
      <c r="AD382" s="51">
        <f t="shared" si="36"/>
        <v>0.7894002789</v>
      </c>
    </row>
    <row r="383">
      <c r="A383" s="110" t="s">
        <v>2954</v>
      </c>
      <c r="B383" s="46" t="s">
        <v>2955</v>
      </c>
      <c r="C383" s="47"/>
      <c r="D383" s="38">
        <v>1177.0</v>
      </c>
      <c r="E383" s="38">
        <v>792.0</v>
      </c>
      <c r="F383" s="38">
        <v>116.0</v>
      </c>
      <c r="G383" s="38">
        <v>131.0</v>
      </c>
      <c r="H383" s="38">
        <v>86.0</v>
      </c>
      <c r="I383" s="48">
        <f t="shared" si="21"/>
        <v>2085</v>
      </c>
      <c r="J383" s="48">
        <f t="shared" si="22"/>
        <v>2302</v>
      </c>
      <c r="K383" s="49">
        <f t="shared" si="23"/>
        <v>0.5645083933</v>
      </c>
      <c r="L383" s="49">
        <f t="shared" si="24"/>
        <v>0.3798561151</v>
      </c>
      <c r="M383" s="49">
        <f t="shared" si="25"/>
        <v>0.05563549161</v>
      </c>
      <c r="N383" s="32" t="str">
        <f t="shared" si="26"/>
        <v>Jânio</v>
      </c>
      <c r="O383" s="50" t="s">
        <v>77</v>
      </c>
      <c r="P383" s="38">
        <v>721.0</v>
      </c>
      <c r="Q383" s="38">
        <v>1079.0</v>
      </c>
      <c r="R383" s="38">
        <v>58.0</v>
      </c>
      <c r="S383" s="38">
        <v>416.0</v>
      </c>
      <c r="T383" s="38">
        <v>28.0</v>
      </c>
      <c r="U383" s="48">
        <f t="shared" si="27"/>
        <v>1858</v>
      </c>
      <c r="V383" s="48">
        <f t="shared" si="28"/>
        <v>2302</v>
      </c>
      <c r="W383" s="49">
        <f t="shared" si="29"/>
        <v>0.3880516685</v>
      </c>
      <c r="X383" s="49">
        <f t="shared" si="30"/>
        <v>0.5807319699</v>
      </c>
      <c r="Y383" s="49">
        <f t="shared" si="31"/>
        <v>0.03121636168</v>
      </c>
      <c r="Z383" s="32" t="str">
        <f t="shared" si="32"/>
        <v>Milton</v>
      </c>
      <c r="AA383" s="50" t="s">
        <v>77</v>
      </c>
      <c r="AB383" s="38">
        <v>2703.0</v>
      </c>
      <c r="AC383" s="48">
        <f t="shared" si="35"/>
        <v>401</v>
      </c>
      <c r="AD383" s="51">
        <f t="shared" si="36"/>
        <v>0.8516463189</v>
      </c>
    </row>
    <row r="384">
      <c r="A384" s="110" t="s">
        <v>2956</v>
      </c>
      <c r="B384" s="46" t="s">
        <v>2957</v>
      </c>
      <c r="C384" s="47"/>
      <c r="D384" s="38">
        <v>3668.0</v>
      </c>
      <c r="E384" s="38">
        <v>2094.0</v>
      </c>
      <c r="F384" s="38">
        <v>3481.0</v>
      </c>
      <c r="G384" s="38">
        <v>263.0</v>
      </c>
      <c r="H384" s="38">
        <v>179.0</v>
      </c>
      <c r="I384" s="48">
        <f t="shared" si="21"/>
        <v>9243</v>
      </c>
      <c r="J384" s="48">
        <f t="shared" si="22"/>
        <v>9685</v>
      </c>
      <c r="K384" s="49">
        <f t="shared" si="23"/>
        <v>0.3968408525</v>
      </c>
      <c r="L384" s="49">
        <f t="shared" si="24"/>
        <v>0.2265498215</v>
      </c>
      <c r="M384" s="49">
        <f t="shared" si="25"/>
        <v>0.376609326</v>
      </c>
      <c r="N384" s="32" t="str">
        <f t="shared" si="26"/>
        <v>Jânio</v>
      </c>
      <c r="O384" s="50" t="s">
        <v>77</v>
      </c>
      <c r="P384" s="38">
        <v>2863.0</v>
      </c>
      <c r="Q384" s="38">
        <v>3674.0</v>
      </c>
      <c r="R384" s="38">
        <v>1756.0</v>
      </c>
      <c r="S384" s="38">
        <v>1160.0</v>
      </c>
      <c r="T384" s="38">
        <v>232.0</v>
      </c>
      <c r="U384" s="48">
        <f t="shared" si="27"/>
        <v>8293</v>
      </c>
      <c r="V384" s="48">
        <f t="shared" si="28"/>
        <v>9685</v>
      </c>
      <c r="W384" s="49">
        <f t="shared" si="29"/>
        <v>0.3452309176</v>
      </c>
      <c r="X384" s="49">
        <f t="shared" si="30"/>
        <v>0.4430242373</v>
      </c>
      <c r="Y384" s="49">
        <f t="shared" si="31"/>
        <v>0.2117448451</v>
      </c>
      <c r="Z384" s="32" t="str">
        <f t="shared" si="32"/>
        <v>Milton</v>
      </c>
      <c r="AA384" s="50" t="s">
        <v>77</v>
      </c>
      <c r="AB384" s="38">
        <v>11224.0</v>
      </c>
      <c r="AC384" s="48">
        <f t="shared" si="35"/>
        <v>1539</v>
      </c>
      <c r="AD384" s="51">
        <f t="shared" si="36"/>
        <v>0.8628831076</v>
      </c>
    </row>
    <row r="385">
      <c r="A385" s="110" t="s">
        <v>2958</v>
      </c>
      <c r="B385" s="46" t="s">
        <v>2959</v>
      </c>
      <c r="C385" s="47"/>
      <c r="D385" s="38">
        <v>1454.0</v>
      </c>
      <c r="E385" s="38">
        <v>1203.0</v>
      </c>
      <c r="F385" s="38">
        <v>165.0</v>
      </c>
      <c r="G385" s="38">
        <v>195.0</v>
      </c>
      <c r="H385" s="38">
        <v>132.0</v>
      </c>
      <c r="I385" s="48">
        <f t="shared" si="21"/>
        <v>2822</v>
      </c>
      <c r="J385" s="48">
        <f t="shared" si="22"/>
        <v>3149</v>
      </c>
      <c r="K385" s="49">
        <f t="shared" si="23"/>
        <v>0.5152374203</v>
      </c>
      <c r="L385" s="49">
        <f t="shared" si="24"/>
        <v>0.4262934089</v>
      </c>
      <c r="M385" s="49">
        <f t="shared" si="25"/>
        <v>0.0584691708</v>
      </c>
      <c r="N385" s="32" t="str">
        <f t="shared" si="26"/>
        <v>Jânio</v>
      </c>
      <c r="O385" s="50" t="s">
        <v>77</v>
      </c>
      <c r="P385" s="38">
        <v>1221.0</v>
      </c>
      <c r="Q385" s="38">
        <v>1423.0</v>
      </c>
      <c r="R385" s="38">
        <v>91.0</v>
      </c>
      <c r="S385" s="38">
        <v>347.0</v>
      </c>
      <c r="T385" s="38">
        <v>67.0</v>
      </c>
      <c r="U385" s="48">
        <f t="shared" si="27"/>
        <v>2735</v>
      </c>
      <c r="V385" s="48">
        <f t="shared" si="28"/>
        <v>3149</v>
      </c>
      <c r="W385" s="49">
        <f t="shared" si="29"/>
        <v>0.4464351005</v>
      </c>
      <c r="X385" s="49">
        <f t="shared" si="30"/>
        <v>0.5202925046</v>
      </c>
      <c r="Y385" s="49">
        <f t="shared" si="31"/>
        <v>0.03327239488</v>
      </c>
      <c r="Z385" s="32" t="str">
        <f t="shared" si="32"/>
        <v>Milton</v>
      </c>
      <c r="AA385" s="50" t="s">
        <v>77</v>
      </c>
      <c r="AB385" s="38">
        <v>4034.0</v>
      </c>
      <c r="AC385" s="48">
        <f t="shared" si="35"/>
        <v>885</v>
      </c>
      <c r="AD385" s="51">
        <f t="shared" si="36"/>
        <v>0.7806147744</v>
      </c>
    </row>
    <row r="386">
      <c r="A386" s="61" t="s">
        <v>2960</v>
      </c>
      <c r="B386" s="46" t="s">
        <v>2961</v>
      </c>
      <c r="C386" s="47"/>
      <c r="D386" s="38">
        <v>4158.0</v>
      </c>
      <c r="E386" s="38">
        <v>5107.0</v>
      </c>
      <c r="F386" s="38">
        <v>1338.0</v>
      </c>
      <c r="G386" s="38">
        <v>921.0</v>
      </c>
      <c r="H386" s="38">
        <v>727.0</v>
      </c>
      <c r="I386" s="48">
        <f t="shared" si="21"/>
        <v>10603</v>
      </c>
      <c r="J386" s="48">
        <f t="shared" si="22"/>
        <v>12251</v>
      </c>
      <c r="K386" s="49">
        <f t="shared" si="23"/>
        <v>0.3921531642</v>
      </c>
      <c r="L386" s="49">
        <f t="shared" si="24"/>
        <v>0.4816561351</v>
      </c>
      <c r="M386" s="49">
        <f t="shared" si="25"/>
        <v>0.1261907007</v>
      </c>
      <c r="N386" s="32" t="str">
        <f t="shared" si="26"/>
        <v>Mal. Lott</v>
      </c>
      <c r="O386" s="50" t="s">
        <v>77</v>
      </c>
      <c r="P386" s="38">
        <v>4754.0</v>
      </c>
      <c r="Q386" s="38">
        <v>4614.0</v>
      </c>
      <c r="R386" s="38">
        <v>819.0</v>
      </c>
      <c r="S386" s="38">
        <v>1421.0</v>
      </c>
      <c r="T386" s="38">
        <v>643.0</v>
      </c>
      <c r="U386" s="48">
        <f t="shared" si="27"/>
        <v>10187</v>
      </c>
      <c r="V386" s="48">
        <f t="shared" si="28"/>
        <v>12251</v>
      </c>
      <c r="W386" s="49">
        <f t="shared" si="29"/>
        <v>0.466673211</v>
      </c>
      <c r="X386" s="49">
        <f t="shared" si="30"/>
        <v>0.4529302052</v>
      </c>
      <c r="Y386" s="49">
        <f t="shared" si="31"/>
        <v>0.08039658388</v>
      </c>
      <c r="Z386" s="32" t="str">
        <f t="shared" si="32"/>
        <v>Jango</v>
      </c>
      <c r="AA386" s="50" t="s">
        <v>77</v>
      </c>
      <c r="AB386" s="38">
        <v>15363.0</v>
      </c>
      <c r="AC386" s="48">
        <f t="shared" si="35"/>
        <v>3112</v>
      </c>
      <c r="AD386" s="51">
        <f t="shared" si="36"/>
        <v>0.7974353967</v>
      </c>
    </row>
    <row r="387">
      <c r="A387" s="23"/>
      <c r="B387" s="46" t="s">
        <v>2962</v>
      </c>
      <c r="C387" s="47"/>
      <c r="D387" s="38">
        <v>606.0</v>
      </c>
      <c r="E387" s="38">
        <v>996.0</v>
      </c>
      <c r="F387" s="38">
        <v>140.0</v>
      </c>
      <c r="G387" s="38">
        <v>159.0</v>
      </c>
      <c r="H387" s="38">
        <v>99.0</v>
      </c>
      <c r="I387" s="48">
        <f t="shared" si="21"/>
        <v>1742</v>
      </c>
      <c r="J387" s="48">
        <f t="shared" si="22"/>
        <v>2000</v>
      </c>
      <c r="K387" s="49">
        <f t="shared" si="23"/>
        <v>0.3478760046</v>
      </c>
      <c r="L387" s="49">
        <f t="shared" si="24"/>
        <v>0.5717566016</v>
      </c>
      <c r="M387" s="49">
        <f t="shared" si="25"/>
        <v>0.0803673938</v>
      </c>
      <c r="N387" s="32" t="str">
        <f t="shared" si="26"/>
        <v>Mal. Lott</v>
      </c>
      <c r="O387" s="50" t="s">
        <v>77</v>
      </c>
      <c r="P387" s="38">
        <v>965.0</v>
      </c>
      <c r="Q387" s="38">
        <v>598.0</v>
      </c>
      <c r="R387" s="38">
        <v>119.0</v>
      </c>
      <c r="S387" s="38">
        <v>225.0</v>
      </c>
      <c r="T387" s="38">
        <v>93.0</v>
      </c>
      <c r="U387" s="48">
        <f t="shared" si="27"/>
        <v>1682</v>
      </c>
      <c r="V387" s="48">
        <f t="shared" si="28"/>
        <v>2000</v>
      </c>
      <c r="W387" s="49">
        <f t="shared" si="29"/>
        <v>0.5737217598</v>
      </c>
      <c r="X387" s="49">
        <f t="shared" si="30"/>
        <v>0.355529132</v>
      </c>
      <c r="Y387" s="49">
        <f t="shared" si="31"/>
        <v>0.0707491082</v>
      </c>
      <c r="Z387" s="32" t="str">
        <f t="shared" si="32"/>
        <v>Jango</v>
      </c>
      <c r="AA387" s="50" t="s">
        <v>77</v>
      </c>
      <c r="AB387" s="38">
        <v>2717.0</v>
      </c>
      <c r="AC387" s="48">
        <f t="shared" si="35"/>
        <v>717</v>
      </c>
      <c r="AD387" s="51">
        <f t="shared" si="36"/>
        <v>0.7361059993</v>
      </c>
    </row>
    <row r="388">
      <c r="A388" s="24"/>
      <c r="B388" s="46" t="s">
        <v>2963</v>
      </c>
      <c r="C388" s="47"/>
      <c r="D388" s="38">
        <v>349.0</v>
      </c>
      <c r="E388" s="38">
        <v>738.0</v>
      </c>
      <c r="F388" s="38">
        <v>130.0</v>
      </c>
      <c r="G388" s="38">
        <v>148.0</v>
      </c>
      <c r="H388" s="38">
        <v>126.0</v>
      </c>
      <c r="I388" s="48">
        <f t="shared" si="21"/>
        <v>1217</v>
      </c>
      <c r="J388" s="48">
        <f t="shared" si="22"/>
        <v>1491</v>
      </c>
      <c r="K388" s="49">
        <f t="shared" si="23"/>
        <v>0.2867707477</v>
      </c>
      <c r="L388" s="49">
        <f t="shared" si="24"/>
        <v>0.606409203</v>
      </c>
      <c r="M388" s="49">
        <f t="shared" si="25"/>
        <v>0.1068200493</v>
      </c>
      <c r="N388" s="32" t="str">
        <f t="shared" si="26"/>
        <v>Mal. Lott</v>
      </c>
      <c r="O388" s="50" t="s">
        <v>77</v>
      </c>
      <c r="P388" s="38">
        <v>627.0</v>
      </c>
      <c r="Q388" s="38">
        <v>471.0</v>
      </c>
      <c r="R388" s="38">
        <v>90.0</v>
      </c>
      <c r="S388" s="38">
        <v>169.0</v>
      </c>
      <c r="T388" s="38">
        <v>134.0</v>
      </c>
      <c r="U388" s="48">
        <f t="shared" si="27"/>
        <v>1188</v>
      </c>
      <c r="V388" s="48">
        <f t="shared" si="28"/>
        <v>1491</v>
      </c>
      <c r="W388" s="49">
        <f t="shared" si="29"/>
        <v>0.5277777778</v>
      </c>
      <c r="X388" s="49">
        <f t="shared" si="30"/>
        <v>0.3964646465</v>
      </c>
      <c r="Y388" s="49">
        <f t="shared" si="31"/>
        <v>0.07575757576</v>
      </c>
      <c r="Z388" s="32" t="str">
        <f t="shared" si="32"/>
        <v>Jango</v>
      </c>
      <c r="AA388" s="50" t="s">
        <v>77</v>
      </c>
      <c r="AB388" s="38">
        <v>2011.0</v>
      </c>
      <c r="AC388" s="48">
        <f t="shared" si="35"/>
        <v>520</v>
      </c>
      <c r="AD388" s="51">
        <f t="shared" si="36"/>
        <v>0.741422178</v>
      </c>
    </row>
    <row r="389">
      <c r="A389" s="61" t="s">
        <v>2964</v>
      </c>
      <c r="B389" s="46" t="s">
        <v>2965</v>
      </c>
      <c r="C389" s="47"/>
      <c r="D389" s="38">
        <v>1163.0</v>
      </c>
      <c r="E389" s="38">
        <v>984.0</v>
      </c>
      <c r="F389" s="38">
        <v>235.0</v>
      </c>
      <c r="G389" s="38">
        <v>254.0</v>
      </c>
      <c r="H389" s="38">
        <v>162.0</v>
      </c>
      <c r="I389" s="48">
        <f t="shared" si="21"/>
        <v>2382</v>
      </c>
      <c r="J389" s="48">
        <f t="shared" si="22"/>
        <v>2798</v>
      </c>
      <c r="K389" s="49">
        <f t="shared" si="23"/>
        <v>0.4882451721</v>
      </c>
      <c r="L389" s="49">
        <f t="shared" si="24"/>
        <v>0.4130982368</v>
      </c>
      <c r="M389" s="49">
        <f t="shared" si="25"/>
        <v>0.0986565911</v>
      </c>
      <c r="N389" s="32" t="str">
        <f t="shared" si="26"/>
        <v>Jânio</v>
      </c>
      <c r="O389" s="50" t="s">
        <v>77</v>
      </c>
      <c r="P389" s="38">
        <v>1046.0</v>
      </c>
      <c r="Q389" s="38">
        <v>1044.0</v>
      </c>
      <c r="R389" s="38">
        <v>147.0</v>
      </c>
      <c r="S389" s="38">
        <v>438.0</v>
      </c>
      <c r="T389" s="38">
        <v>123.0</v>
      </c>
      <c r="U389" s="48">
        <f t="shared" si="27"/>
        <v>2237</v>
      </c>
      <c r="V389" s="48">
        <f t="shared" si="28"/>
        <v>2798</v>
      </c>
      <c r="W389" s="49">
        <f t="shared" si="29"/>
        <v>0.467590523</v>
      </c>
      <c r="X389" s="49">
        <f t="shared" si="30"/>
        <v>0.4666964685</v>
      </c>
      <c r="Y389" s="49">
        <f t="shared" si="31"/>
        <v>0.06571300849</v>
      </c>
      <c r="Z389" s="32" t="str">
        <f t="shared" si="32"/>
        <v>Jango</v>
      </c>
      <c r="AA389" s="50" t="s">
        <v>77</v>
      </c>
      <c r="AB389" s="38">
        <v>4059.0</v>
      </c>
      <c r="AC389" s="48">
        <f t="shared" si="35"/>
        <v>1261</v>
      </c>
      <c r="AD389" s="51">
        <f t="shared" si="36"/>
        <v>0.6893323479</v>
      </c>
    </row>
    <row r="390">
      <c r="A390" s="24"/>
      <c r="B390" s="46" t="s">
        <v>2966</v>
      </c>
      <c r="C390" s="47"/>
      <c r="D390" s="38">
        <v>971.0</v>
      </c>
      <c r="E390" s="38">
        <v>773.0</v>
      </c>
      <c r="F390" s="38">
        <v>111.0</v>
      </c>
      <c r="G390" s="38">
        <v>122.0</v>
      </c>
      <c r="H390" s="38">
        <v>96.0</v>
      </c>
      <c r="I390" s="48">
        <f t="shared" si="21"/>
        <v>1855</v>
      </c>
      <c r="J390" s="48">
        <f t="shared" si="22"/>
        <v>2073</v>
      </c>
      <c r="K390" s="49">
        <f t="shared" si="23"/>
        <v>0.5234501348</v>
      </c>
      <c r="L390" s="49">
        <f t="shared" si="24"/>
        <v>0.4167115903</v>
      </c>
      <c r="M390" s="49">
        <f t="shared" si="25"/>
        <v>0.05983827493</v>
      </c>
      <c r="N390" s="32" t="str">
        <f t="shared" si="26"/>
        <v>Jânio</v>
      </c>
      <c r="O390" s="50" t="s">
        <v>77</v>
      </c>
      <c r="P390" s="38">
        <v>833.0</v>
      </c>
      <c r="Q390" s="38">
        <v>898.0</v>
      </c>
      <c r="R390" s="38">
        <v>112.0</v>
      </c>
      <c r="S390" s="38">
        <v>129.0</v>
      </c>
      <c r="T390" s="38">
        <v>101.0</v>
      </c>
      <c r="U390" s="48">
        <f t="shared" si="27"/>
        <v>1843</v>
      </c>
      <c r="V390" s="48">
        <f t="shared" si="28"/>
        <v>2073</v>
      </c>
      <c r="W390" s="49">
        <f t="shared" si="29"/>
        <v>0.4519804666</v>
      </c>
      <c r="X390" s="49">
        <f t="shared" si="30"/>
        <v>0.4872490505</v>
      </c>
      <c r="Y390" s="49">
        <f t="shared" si="31"/>
        <v>0.06077048291</v>
      </c>
      <c r="Z390" s="32" t="str">
        <f t="shared" si="32"/>
        <v>Milton</v>
      </c>
      <c r="AA390" s="50" t="s">
        <v>77</v>
      </c>
      <c r="AB390" s="38">
        <v>3133.0</v>
      </c>
      <c r="AC390" s="48">
        <f t="shared" si="35"/>
        <v>1060</v>
      </c>
      <c r="AD390" s="51">
        <f t="shared" si="36"/>
        <v>0.6616661347</v>
      </c>
    </row>
    <row r="391">
      <c r="A391" s="61" t="s">
        <v>2967</v>
      </c>
      <c r="B391" s="46" t="s">
        <v>2968</v>
      </c>
      <c r="C391" s="47"/>
      <c r="D391" s="38">
        <v>1064.0</v>
      </c>
      <c r="E391" s="38">
        <v>1998.0</v>
      </c>
      <c r="F391" s="38">
        <v>2835.0</v>
      </c>
      <c r="G391" s="38">
        <v>184.0</v>
      </c>
      <c r="H391" s="38">
        <v>128.0</v>
      </c>
      <c r="I391" s="48">
        <f t="shared" si="21"/>
        <v>5897</v>
      </c>
      <c r="J391" s="48">
        <f t="shared" si="22"/>
        <v>6209</v>
      </c>
      <c r="K391" s="49">
        <f t="shared" si="23"/>
        <v>0.1804307275</v>
      </c>
      <c r="L391" s="49">
        <f t="shared" si="24"/>
        <v>0.3388163473</v>
      </c>
      <c r="M391" s="49">
        <f t="shared" si="25"/>
        <v>0.4807529252</v>
      </c>
      <c r="N391" s="32" t="str">
        <f t="shared" si="26"/>
        <v>Adhemar</v>
      </c>
      <c r="O391" s="50" t="s">
        <v>77</v>
      </c>
      <c r="P391" s="38">
        <v>2108.0</v>
      </c>
      <c r="Q391" s="38">
        <v>1455.0</v>
      </c>
      <c r="R391" s="38">
        <v>1543.0</v>
      </c>
      <c r="S391" s="38">
        <v>973.0</v>
      </c>
      <c r="T391" s="38">
        <v>130.0</v>
      </c>
      <c r="U391" s="48">
        <f t="shared" si="27"/>
        <v>5106</v>
      </c>
      <c r="V391" s="48">
        <f t="shared" si="28"/>
        <v>6209</v>
      </c>
      <c r="W391" s="49">
        <f t="shared" si="29"/>
        <v>0.4128476302</v>
      </c>
      <c r="X391" s="49">
        <f t="shared" si="30"/>
        <v>0.2849588719</v>
      </c>
      <c r="Y391" s="49">
        <f t="shared" si="31"/>
        <v>0.3021934978</v>
      </c>
      <c r="Z391" s="32" t="str">
        <f t="shared" si="32"/>
        <v>Jango</v>
      </c>
      <c r="AA391" s="50" t="s">
        <v>77</v>
      </c>
      <c r="AB391" s="38">
        <v>7356.0</v>
      </c>
      <c r="AC391" s="48">
        <f t="shared" si="35"/>
        <v>1147</v>
      </c>
      <c r="AD391" s="51">
        <f t="shared" si="36"/>
        <v>0.8440728657</v>
      </c>
    </row>
    <row r="392">
      <c r="A392" s="23"/>
      <c r="B392" s="46" t="s">
        <v>2969</v>
      </c>
      <c r="C392" s="47"/>
      <c r="D392" s="38">
        <v>330.0</v>
      </c>
      <c r="E392" s="38">
        <v>402.0</v>
      </c>
      <c r="F392" s="38">
        <v>190.0</v>
      </c>
      <c r="G392" s="38">
        <v>63.0</v>
      </c>
      <c r="H392" s="38">
        <v>34.0</v>
      </c>
      <c r="I392" s="48">
        <f t="shared" si="21"/>
        <v>922</v>
      </c>
      <c r="J392" s="48">
        <f t="shared" si="22"/>
        <v>1019</v>
      </c>
      <c r="K392" s="49">
        <f t="shared" si="23"/>
        <v>0.3579175705</v>
      </c>
      <c r="L392" s="49">
        <f t="shared" si="24"/>
        <v>0.4360086768</v>
      </c>
      <c r="M392" s="49">
        <f t="shared" si="25"/>
        <v>0.2060737527</v>
      </c>
      <c r="N392" s="32" t="str">
        <f t="shared" si="26"/>
        <v>Mal. Lott</v>
      </c>
      <c r="O392" s="50" t="s">
        <v>77</v>
      </c>
      <c r="P392" s="38">
        <v>374.0</v>
      </c>
      <c r="Q392" s="38">
        <v>331.0</v>
      </c>
      <c r="R392" s="38">
        <v>56.0</v>
      </c>
      <c r="S392" s="38">
        <v>237.0</v>
      </c>
      <c r="T392" s="38">
        <v>21.0</v>
      </c>
      <c r="U392" s="48">
        <f t="shared" si="27"/>
        <v>761</v>
      </c>
      <c r="V392" s="48">
        <f t="shared" si="28"/>
        <v>1019</v>
      </c>
      <c r="W392" s="49">
        <f t="shared" si="29"/>
        <v>0.4914586071</v>
      </c>
      <c r="X392" s="49">
        <f t="shared" si="30"/>
        <v>0.4349540079</v>
      </c>
      <c r="Y392" s="49">
        <f t="shared" si="31"/>
        <v>0.07358738502</v>
      </c>
      <c r="Z392" s="32" t="str">
        <f t="shared" si="32"/>
        <v>Jango</v>
      </c>
      <c r="AA392" s="50" t="s">
        <v>77</v>
      </c>
      <c r="AB392" s="38">
        <v>1341.0</v>
      </c>
      <c r="AC392" s="48">
        <f t="shared" si="35"/>
        <v>322</v>
      </c>
      <c r="AD392" s="51">
        <f t="shared" si="36"/>
        <v>0.7598806861</v>
      </c>
    </row>
    <row r="393">
      <c r="A393" s="24"/>
      <c r="B393" s="46" t="s">
        <v>2970</v>
      </c>
      <c r="C393" s="47"/>
      <c r="D393" s="38">
        <v>118.0</v>
      </c>
      <c r="E393" s="38">
        <v>363.0</v>
      </c>
      <c r="F393" s="38">
        <v>247.0</v>
      </c>
      <c r="G393" s="38">
        <v>25.0</v>
      </c>
      <c r="H393" s="38">
        <v>18.0</v>
      </c>
      <c r="I393" s="48">
        <f t="shared" si="21"/>
        <v>728</v>
      </c>
      <c r="J393" s="48">
        <f t="shared" si="22"/>
        <v>771</v>
      </c>
      <c r="K393" s="49">
        <f t="shared" si="23"/>
        <v>0.1620879121</v>
      </c>
      <c r="L393" s="49">
        <f t="shared" si="24"/>
        <v>0.4986263736</v>
      </c>
      <c r="M393" s="49">
        <f t="shared" si="25"/>
        <v>0.3392857143</v>
      </c>
      <c r="N393" s="32" t="str">
        <f t="shared" si="26"/>
        <v>Mal. Lott</v>
      </c>
      <c r="O393" s="50" t="s">
        <v>77</v>
      </c>
      <c r="P393" s="38">
        <v>414.0</v>
      </c>
      <c r="Q393" s="38">
        <v>157.0</v>
      </c>
      <c r="R393" s="38">
        <v>57.0</v>
      </c>
      <c r="S393" s="38">
        <v>120.0</v>
      </c>
      <c r="T393" s="38">
        <v>23.0</v>
      </c>
      <c r="U393" s="48">
        <f t="shared" si="27"/>
        <v>628</v>
      </c>
      <c r="V393" s="48">
        <f t="shared" si="28"/>
        <v>771</v>
      </c>
      <c r="W393" s="49">
        <f t="shared" si="29"/>
        <v>0.6592356688</v>
      </c>
      <c r="X393" s="49">
        <f t="shared" si="30"/>
        <v>0.25</v>
      </c>
      <c r="Y393" s="49">
        <f t="shared" si="31"/>
        <v>0.09076433121</v>
      </c>
      <c r="Z393" s="32" t="str">
        <f t="shared" si="32"/>
        <v>Jango</v>
      </c>
      <c r="AA393" s="50" t="s">
        <v>77</v>
      </c>
      <c r="AB393" s="38">
        <v>921.0</v>
      </c>
      <c r="AC393" s="48">
        <f t="shared" si="35"/>
        <v>150</v>
      </c>
      <c r="AD393" s="51">
        <f t="shared" si="36"/>
        <v>0.8371335505</v>
      </c>
    </row>
    <row r="394">
      <c r="A394" s="61" t="s">
        <v>2971</v>
      </c>
      <c r="B394" s="46" t="s">
        <v>2972</v>
      </c>
      <c r="C394" s="47"/>
      <c r="D394" s="38">
        <v>443.0</v>
      </c>
      <c r="E394" s="38">
        <v>749.0</v>
      </c>
      <c r="F394" s="38">
        <v>203.0</v>
      </c>
      <c r="G394" s="38">
        <v>77.0</v>
      </c>
      <c r="H394" s="38">
        <v>75.0</v>
      </c>
      <c r="I394" s="48">
        <f t="shared" si="21"/>
        <v>1395</v>
      </c>
      <c r="J394" s="48">
        <f t="shared" si="22"/>
        <v>1547</v>
      </c>
      <c r="K394" s="49">
        <f t="shared" si="23"/>
        <v>0.317562724</v>
      </c>
      <c r="L394" s="49">
        <f t="shared" si="24"/>
        <v>0.5369175627</v>
      </c>
      <c r="M394" s="49">
        <f t="shared" si="25"/>
        <v>0.1455197133</v>
      </c>
      <c r="N394" s="32" t="str">
        <f t="shared" si="26"/>
        <v>Mal. Lott</v>
      </c>
      <c r="O394" s="50" t="s">
        <v>77</v>
      </c>
      <c r="P394" s="38">
        <v>565.0</v>
      </c>
      <c r="Q394" s="38">
        <v>533.0</v>
      </c>
      <c r="R394" s="38">
        <v>122.0</v>
      </c>
      <c r="S394" s="38">
        <v>265.0</v>
      </c>
      <c r="T394" s="38">
        <v>62.0</v>
      </c>
      <c r="U394" s="48">
        <f t="shared" si="27"/>
        <v>1220</v>
      </c>
      <c r="V394" s="48">
        <f t="shared" si="28"/>
        <v>1547</v>
      </c>
      <c r="W394" s="49">
        <f t="shared" si="29"/>
        <v>0.4631147541</v>
      </c>
      <c r="X394" s="49">
        <f t="shared" si="30"/>
        <v>0.4368852459</v>
      </c>
      <c r="Y394" s="49">
        <f t="shared" si="31"/>
        <v>0.1</v>
      </c>
      <c r="Z394" s="32" t="str">
        <f t="shared" si="32"/>
        <v>Jango</v>
      </c>
      <c r="AA394" s="50" t="s">
        <v>77</v>
      </c>
      <c r="AB394" s="38">
        <v>1793.0</v>
      </c>
      <c r="AC394" s="48">
        <f t="shared" si="35"/>
        <v>246</v>
      </c>
      <c r="AD394" s="51">
        <f t="shared" si="36"/>
        <v>0.8627997769</v>
      </c>
    </row>
    <row r="395">
      <c r="A395" s="23"/>
      <c r="B395" s="46" t="s">
        <v>2973</v>
      </c>
      <c r="C395" s="47"/>
      <c r="D395" s="38">
        <v>909.0</v>
      </c>
      <c r="E395" s="38">
        <v>1037.0</v>
      </c>
      <c r="F395" s="38">
        <v>1232.0</v>
      </c>
      <c r="G395" s="38">
        <v>55.0</v>
      </c>
      <c r="H395" s="38">
        <v>88.0</v>
      </c>
      <c r="I395" s="48">
        <f t="shared" si="21"/>
        <v>3178</v>
      </c>
      <c r="J395" s="48">
        <f t="shared" si="22"/>
        <v>3321</v>
      </c>
      <c r="K395" s="49">
        <f t="shared" si="23"/>
        <v>0.286028949</v>
      </c>
      <c r="L395" s="49">
        <f t="shared" si="24"/>
        <v>0.3263058527</v>
      </c>
      <c r="M395" s="49">
        <f t="shared" si="25"/>
        <v>0.3876651982</v>
      </c>
      <c r="N395" s="32" t="str">
        <f t="shared" si="26"/>
        <v>Adhemar</v>
      </c>
      <c r="O395" s="50" t="s">
        <v>77</v>
      </c>
      <c r="P395" s="38">
        <v>932.0</v>
      </c>
      <c r="Q395" s="38">
        <v>1071.0</v>
      </c>
      <c r="R395" s="38">
        <v>945.0</v>
      </c>
      <c r="S395" s="38">
        <v>256.0</v>
      </c>
      <c r="T395" s="38">
        <v>117.0</v>
      </c>
      <c r="U395" s="48">
        <f t="shared" si="27"/>
        <v>2948</v>
      </c>
      <c r="V395" s="48">
        <f t="shared" si="28"/>
        <v>3321</v>
      </c>
      <c r="W395" s="49">
        <f t="shared" si="29"/>
        <v>0.31614654</v>
      </c>
      <c r="X395" s="49">
        <f t="shared" si="30"/>
        <v>0.3632971506</v>
      </c>
      <c r="Y395" s="49">
        <f t="shared" si="31"/>
        <v>0.3205563094</v>
      </c>
      <c r="Z395" s="32" t="str">
        <f t="shared" si="32"/>
        <v>Milton</v>
      </c>
      <c r="AA395" s="50" t="s">
        <v>77</v>
      </c>
      <c r="AB395" s="38">
        <v>3812.0</v>
      </c>
      <c r="AC395" s="48">
        <f t="shared" si="35"/>
        <v>491</v>
      </c>
      <c r="AD395" s="51">
        <f t="shared" si="36"/>
        <v>0.8711962225</v>
      </c>
    </row>
    <row r="396">
      <c r="A396" s="24"/>
      <c r="B396" s="46" t="s">
        <v>2974</v>
      </c>
      <c r="C396" s="47"/>
      <c r="D396" s="38">
        <v>148.0</v>
      </c>
      <c r="E396" s="38">
        <v>297.0</v>
      </c>
      <c r="F396" s="38">
        <v>311.0</v>
      </c>
      <c r="G396" s="38">
        <v>18.0</v>
      </c>
      <c r="H396" s="38">
        <v>23.0</v>
      </c>
      <c r="I396" s="48">
        <f t="shared" si="21"/>
        <v>756</v>
      </c>
      <c r="J396" s="48">
        <f t="shared" si="22"/>
        <v>797</v>
      </c>
      <c r="K396" s="49">
        <f t="shared" si="23"/>
        <v>0.1957671958</v>
      </c>
      <c r="L396" s="49">
        <f t="shared" si="24"/>
        <v>0.3928571429</v>
      </c>
      <c r="M396" s="49">
        <f t="shared" si="25"/>
        <v>0.4113756614</v>
      </c>
      <c r="N396" s="32" t="str">
        <f t="shared" si="26"/>
        <v>Adhemar</v>
      </c>
      <c r="O396" s="50" t="s">
        <v>77</v>
      </c>
      <c r="P396" s="38">
        <v>173.0</v>
      </c>
      <c r="Q396" s="38">
        <v>440.0</v>
      </c>
      <c r="R396" s="38">
        <v>61.0</v>
      </c>
      <c r="S396" s="38">
        <v>106.0</v>
      </c>
      <c r="T396" s="38">
        <v>17.0</v>
      </c>
      <c r="U396" s="48">
        <f t="shared" si="27"/>
        <v>674</v>
      </c>
      <c r="V396" s="48">
        <f t="shared" si="28"/>
        <v>797</v>
      </c>
      <c r="W396" s="49">
        <f t="shared" si="29"/>
        <v>0.2566765579</v>
      </c>
      <c r="X396" s="49">
        <f t="shared" si="30"/>
        <v>0.6528189911</v>
      </c>
      <c r="Y396" s="49">
        <f t="shared" si="31"/>
        <v>0.09050445104</v>
      </c>
      <c r="Z396" s="32" t="str">
        <f t="shared" si="32"/>
        <v>Milton</v>
      </c>
      <c r="AA396" s="50" t="s">
        <v>77</v>
      </c>
      <c r="AB396" s="38">
        <v>945.0</v>
      </c>
      <c r="AC396" s="48">
        <f t="shared" si="35"/>
        <v>148</v>
      </c>
      <c r="AD396" s="51">
        <f t="shared" si="36"/>
        <v>0.8433862434</v>
      </c>
    </row>
    <row r="397">
      <c r="A397" s="110" t="s">
        <v>2975</v>
      </c>
      <c r="B397" s="46" t="s">
        <v>2976</v>
      </c>
      <c r="C397" s="47"/>
      <c r="D397" s="38">
        <v>1012.0</v>
      </c>
      <c r="E397" s="38">
        <v>680.0</v>
      </c>
      <c r="F397" s="38">
        <v>63.0</v>
      </c>
      <c r="G397" s="38">
        <v>116.0</v>
      </c>
      <c r="H397" s="38">
        <v>86.0</v>
      </c>
      <c r="I397" s="48">
        <f t="shared" si="21"/>
        <v>1755</v>
      </c>
      <c r="J397" s="48">
        <f t="shared" si="22"/>
        <v>1957</v>
      </c>
      <c r="K397" s="49">
        <f t="shared" si="23"/>
        <v>0.5766381766</v>
      </c>
      <c r="L397" s="49">
        <f t="shared" si="24"/>
        <v>0.3874643875</v>
      </c>
      <c r="M397" s="49">
        <f t="shared" si="25"/>
        <v>0.0358974359</v>
      </c>
      <c r="N397" s="32" t="str">
        <f t="shared" si="26"/>
        <v>Jânio</v>
      </c>
      <c r="O397" s="50" t="s">
        <v>77</v>
      </c>
      <c r="P397" s="38">
        <v>648.0</v>
      </c>
      <c r="Q397" s="38">
        <v>984.0</v>
      </c>
      <c r="R397" s="38">
        <v>56.0</v>
      </c>
      <c r="S397" s="38">
        <v>217.0</v>
      </c>
      <c r="T397" s="38">
        <v>52.0</v>
      </c>
      <c r="U397" s="48">
        <f t="shared" si="27"/>
        <v>1688</v>
      </c>
      <c r="V397" s="48">
        <f t="shared" si="28"/>
        <v>1957</v>
      </c>
      <c r="W397" s="49">
        <f t="shared" si="29"/>
        <v>0.3838862559</v>
      </c>
      <c r="X397" s="49">
        <f t="shared" si="30"/>
        <v>0.5829383886</v>
      </c>
      <c r="Y397" s="49">
        <f t="shared" si="31"/>
        <v>0.03317535545</v>
      </c>
      <c r="Z397" s="32" t="str">
        <f t="shared" si="32"/>
        <v>Milton</v>
      </c>
      <c r="AA397" s="50" t="s">
        <v>77</v>
      </c>
      <c r="AB397" s="38">
        <v>2266.0</v>
      </c>
      <c r="AC397" s="48">
        <f t="shared" si="35"/>
        <v>309</v>
      </c>
      <c r="AD397" s="51">
        <f t="shared" si="36"/>
        <v>0.8636363636</v>
      </c>
    </row>
    <row r="398">
      <c r="A398" s="110" t="s">
        <v>2977</v>
      </c>
      <c r="B398" s="46" t="s">
        <v>724</v>
      </c>
      <c r="C398" s="47"/>
      <c r="D398" s="38">
        <v>1248.0</v>
      </c>
      <c r="E398" s="38">
        <v>1652.0</v>
      </c>
      <c r="F398" s="38">
        <v>351.0</v>
      </c>
      <c r="G398" s="38">
        <v>197.0</v>
      </c>
      <c r="H398" s="38">
        <v>195.0</v>
      </c>
      <c r="I398" s="48">
        <f t="shared" si="21"/>
        <v>3251</v>
      </c>
      <c r="J398" s="48">
        <f t="shared" si="22"/>
        <v>3643</v>
      </c>
      <c r="K398" s="49">
        <f t="shared" si="23"/>
        <v>0.3838818825</v>
      </c>
      <c r="L398" s="49">
        <f t="shared" si="24"/>
        <v>0.508151338</v>
      </c>
      <c r="M398" s="49">
        <f t="shared" si="25"/>
        <v>0.1079667795</v>
      </c>
      <c r="N398" s="32" t="str">
        <f t="shared" si="26"/>
        <v>Mal. Lott</v>
      </c>
      <c r="O398" s="50" t="s">
        <v>77</v>
      </c>
      <c r="P398" s="38">
        <v>1699.0</v>
      </c>
      <c r="Q398" s="38">
        <v>1110.0</v>
      </c>
      <c r="R398" s="38">
        <v>245.0</v>
      </c>
      <c r="S398" s="38">
        <v>477.0</v>
      </c>
      <c r="T398" s="38">
        <v>112.0</v>
      </c>
      <c r="U398" s="48">
        <f t="shared" si="27"/>
        <v>3054</v>
      </c>
      <c r="V398" s="48">
        <f t="shared" si="28"/>
        <v>3643</v>
      </c>
      <c r="W398" s="49">
        <f t="shared" si="29"/>
        <v>0.5563195809</v>
      </c>
      <c r="X398" s="49">
        <f t="shared" si="30"/>
        <v>0.3634577603</v>
      </c>
      <c r="Y398" s="49">
        <f t="shared" si="31"/>
        <v>0.08022265881</v>
      </c>
      <c r="Z398" s="32" t="str">
        <f t="shared" si="32"/>
        <v>Jango</v>
      </c>
      <c r="AA398" s="50" t="s">
        <v>77</v>
      </c>
      <c r="AB398" s="38">
        <v>4253.0</v>
      </c>
      <c r="AC398" s="48">
        <f t="shared" si="35"/>
        <v>610</v>
      </c>
      <c r="AD398" s="51">
        <f t="shared" si="36"/>
        <v>0.8565718316</v>
      </c>
    </row>
    <row r="399">
      <c r="A399" s="110" t="s">
        <v>2978</v>
      </c>
      <c r="B399" s="46" t="s">
        <v>2979</v>
      </c>
      <c r="C399" s="47"/>
      <c r="D399" s="38">
        <v>1084.0</v>
      </c>
      <c r="E399" s="38">
        <v>1044.0</v>
      </c>
      <c r="F399" s="38">
        <v>196.0</v>
      </c>
      <c r="G399" s="38">
        <v>185.0</v>
      </c>
      <c r="H399" s="38">
        <v>178.0</v>
      </c>
      <c r="I399" s="48">
        <f t="shared" si="21"/>
        <v>2324</v>
      </c>
      <c r="J399" s="48">
        <f t="shared" si="22"/>
        <v>2687</v>
      </c>
      <c r="K399" s="49">
        <f t="shared" si="23"/>
        <v>0.4664371773</v>
      </c>
      <c r="L399" s="49">
        <f t="shared" si="24"/>
        <v>0.4492254733</v>
      </c>
      <c r="M399" s="49">
        <f t="shared" si="25"/>
        <v>0.0843373494</v>
      </c>
      <c r="N399" s="32" t="str">
        <f t="shared" si="26"/>
        <v>Jânio</v>
      </c>
      <c r="O399" s="50" t="s">
        <v>77</v>
      </c>
      <c r="P399" s="38">
        <v>1133.0</v>
      </c>
      <c r="Q399" s="38">
        <v>918.0</v>
      </c>
      <c r="R399" s="38">
        <v>159.0</v>
      </c>
      <c r="S399" s="38">
        <v>372.0</v>
      </c>
      <c r="T399" s="38">
        <v>105.0</v>
      </c>
      <c r="U399" s="48">
        <f t="shared" si="27"/>
        <v>2210</v>
      </c>
      <c r="V399" s="48">
        <f t="shared" si="28"/>
        <v>2687</v>
      </c>
      <c r="W399" s="49">
        <f t="shared" si="29"/>
        <v>0.5126696833</v>
      </c>
      <c r="X399" s="49">
        <f t="shared" si="30"/>
        <v>0.4153846154</v>
      </c>
      <c r="Y399" s="49">
        <f t="shared" si="31"/>
        <v>0.07194570136</v>
      </c>
      <c r="Z399" s="32" t="str">
        <f t="shared" si="32"/>
        <v>Jango</v>
      </c>
      <c r="AA399" s="50" t="s">
        <v>77</v>
      </c>
      <c r="AB399" s="38">
        <v>3632.0</v>
      </c>
      <c r="AC399" s="48">
        <f t="shared" si="35"/>
        <v>945</v>
      </c>
      <c r="AD399" s="51">
        <f t="shared" si="36"/>
        <v>0.7398127753</v>
      </c>
    </row>
    <row r="400">
      <c r="A400" s="110" t="s">
        <v>2980</v>
      </c>
      <c r="B400" s="46" t="s">
        <v>2981</v>
      </c>
      <c r="C400" s="47"/>
      <c r="D400" s="38">
        <v>3885.0</v>
      </c>
      <c r="E400" s="38">
        <v>2979.0</v>
      </c>
      <c r="F400" s="38">
        <v>513.0</v>
      </c>
      <c r="G400" s="38">
        <v>645.0</v>
      </c>
      <c r="H400" s="38">
        <v>668.0</v>
      </c>
      <c r="I400" s="48">
        <f t="shared" si="21"/>
        <v>7377</v>
      </c>
      <c r="J400" s="48">
        <f t="shared" si="22"/>
        <v>8690</v>
      </c>
      <c r="K400" s="49">
        <f t="shared" si="23"/>
        <v>0.5266368442</v>
      </c>
      <c r="L400" s="49">
        <f t="shared" si="24"/>
        <v>0.4038226922</v>
      </c>
      <c r="M400" s="49">
        <f t="shared" si="25"/>
        <v>0.0695404636</v>
      </c>
      <c r="N400" s="32" t="str">
        <f t="shared" si="26"/>
        <v>Jânio</v>
      </c>
      <c r="O400" s="50" t="s">
        <v>77</v>
      </c>
      <c r="P400" s="38">
        <v>3031.0</v>
      </c>
      <c r="Q400" s="38">
        <v>3361.0</v>
      </c>
      <c r="R400" s="38">
        <v>532.0</v>
      </c>
      <c r="S400" s="38">
        <v>1344.0</v>
      </c>
      <c r="T400" s="38">
        <v>422.0</v>
      </c>
      <c r="U400" s="48">
        <f t="shared" si="27"/>
        <v>6924</v>
      </c>
      <c r="V400" s="48">
        <f t="shared" si="28"/>
        <v>8690</v>
      </c>
      <c r="W400" s="49">
        <f t="shared" si="29"/>
        <v>0.4377527441</v>
      </c>
      <c r="X400" s="49">
        <f t="shared" si="30"/>
        <v>0.485413056</v>
      </c>
      <c r="Y400" s="49">
        <f t="shared" si="31"/>
        <v>0.07683419988</v>
      </c>
      <c r="Z400" s="32" t="str">
        <f t="shared" si="32"/>
        <v>Milton</v>
      </c>
      <c r="AA400" s="50" t="s">
        <v>77</v>
      </c>
      <c r="AB400" s="38">
        <v>11965.0</v>
      </c>
      <c r="AC400" s="48">
        <f t="shared" si="35"/>
        <v>3275</v>
      </c>
      <c r="AD400" s="51">
        <f t="shared" si="36"/>
        <v>0.7262849979</v>
      </c>
    </row>
    <row r="401">
      <c r="A401" s="110" t="s">
        <v>2982</v>
      </c>
      <c r="B401" s="46" t="s">
        <v>2983</v>
      </c>
      <c r="C401" s="47"/>
      <c r="D401" s="38">
        <v>695.0</v>
      </c>
      <c r="E401" s="38">
        <v>660.0</v>
      </c>
      <c r="F401" s="38">
        <v>84.0</v>
      </c>
      <c r="G401" s="38">
        <v>119.0</v>
      </c>
      <c r="H401" s="38">
        <v>75.0</v>
      </c>
      <c r="I401" s="48">
        <f t="shared" si="21"/>
        <v>1439</v>
      </c>
      <c r="J401" s="48">
        <f t="shared" si="22"/>
        <v>1633</v>
      </c>
      <c r="K401" s="49">
        <f t="shared" si="23"/>
        <v>0.4829742877</v>
      </c>
      <c r="L401" s="49">
        <f t="shared" si="24"/>
        <v>0.4586518416</v>
      </c>
      <c r="M401" s="49">
        <f t="shared" si="25"/>
        <v>0.05837387074</v>
      </c>
      <c r="N401" s="32" t="str">
        <f t="shared" si="26"/>
        <v>Jânio</v>
      </c>
      <c r="O401" s="50" t="s">
        <v>77</v>
      </c>
      <c r="P401" s="38">
        <v>548.0</v>
      </c>
      <c r="Q401" s="38">
        <v>641.0</v>
      </c>
      <c r="R401" s="38">
        <v>123.0</v>
      </c>
      <c r="S401" s="38">
        <v>222.0</v>
      </c>
      <c r="T401" s="38">
        <v>99.0</v>
      </c>
      <c r="U401" s="48">
        <f t="shared" si="27"/>
        <v>1312</v>
      </c>
      <c r="V401" s="48">
        <f t="shared" si="28"/>
        <v>1633</v>
      </c>
      <c r="W401" s="49">
        <f t="shared" si="29"/>
        <v>0.4176829268</v>
      </c>
      <c r="X401" s="49">
        <f t="shared" si="30"/>
        <v>0.4885670732</v>
      </c>
      <c r="Y401" s="49">
        <f t="shared" si="31"/>
        <v>0.09375</v>
      </c>
      <c r="Z401" s="32" t="str">
        <f t="shared" si="32"/>
        <v>Milton</v>
      </c>
      <c r="AA401" s="50" t="s">
        <v>77</v>
      </c>
      <c r="AB401" s="38">
        <v>1953.0</v>
      </c>
      <c r="AC401" s="48">
        <f t="shared" si="35"/>
        <v>320</v>
      </c>
      <c r="AD401" s="51">
        <f t="shared" si="36"/>
        <v>0.8361495136</v>
      </c>
    </row>
    <row r="402">
      <c r="A402" s="61" t="s">
        <v>2984</v>
      </c>
      <c r="B402" s="46" t="s">
        <v>2985</v>
      </c>
      <c r="C402" s="47"/>
      <c r="D402" s="38">
        <v>3213.0</v>
      </c>
      <c r="E402" s="38">
        <v>2375.0</v>
      </c>
      <c r="F402" s="38">
        <v>224.0</v>
      </c>
      <c r="G402" s="38">
        <v>315.0</v>
      </c>
      <c r="H402" s="38">
        <v>285.0</v>
      </c>
      <c r="I402" s="48">
        <f t="shared" si="21"/>
        <v>5812</v>
      </c>
      <c r="J402" s="48">
        <f t="shared" si="22"/>
        <v>6412</v>
      </c>
      <c r="K402" s="49">
        <f t="shared" si="23"/>
        <v>0.5528217481</v>
      </c>
      <c r="L402" s="49">
        <f t="shared" si="24"/>
        <v>0.4086373021</v>
      </c>
      <c r="M402" s="49">
        <f t="shared" si="25"/>
        <v>0.03854094976</v>
      </c>
      <c r="N402" s="32" t="str">
        <f t="shared" si="26"/>
        <v>Jânio</v>
      </c>
      <c r="O402" s="50" t="s">
        <v>77</v>
      </c>
      <c r="P402" s="38">
        <v>2255.0</v>
      </c>
      <c r="Q402" s="38">
        <v>2937.0</v>
      </c>
      <c r="R402" s="38">
        <v>211.0</v>
      </c>
      <c r="S402" s="38">
        <v>857.0</v>
      </c>
      <c r="T402" s="38">
        <v>152.0</v>
      </c>
      <c r="U402" s="48">
        <f t="shared" si="27"/>
        <v>5403</v>
      </c>
      <c r="V402" s="48">
        <f t="shared" si="28"/>
        <v>6412</v>
      </c>
      <c r="W402" s="49">
        <f t="shared" si="29"/>
        <v>0.4173607255</v>
      </c>
      <c r="X402" s="49">
        <f t="shared" si="30"/>
        <v>0.5435868962</v>
      </c>
      <c r="Y402" s="49">
        <f t="shared" si="31"/>
        <v>0.03905237831</v>
      </c>
      <c r="Z402" s="32" t="str">
        <f t="shared" si="32"/>
        <v>Milton</v>
      </c>
      <c r="AA402" s="50" t="s">
        <v>77</v>
      </c>
      <c r="AB402" s="38">
        <v>8338.0</v>
      </c>
      <c r="AC402" s="48">
        <f t="shared" si="35"/>
        <v>1926</v>
      </c>
      <c r="AD402" s="51">
        <f t="shared" si="36"/>
        <v>0.7690093548</v>
      </c>
    </row>
    <row r="403">
      <c r="A403" s="24"/>
      <c r="B403" s="46" t="s">
        <v>2986</v>
      </c>
      <c r="C403" s="47"/>
      <c r="D403" s="38">
        <v>592.0</v>
      </c>
      <c r="E403" s="38">
        <v>503.0</v>
      </c>
      <c r="F403" s="38">
        <v>43.0</v>
      </c>
      <c r="G403" s="38">
        <v>54.0</v>
      </c>
      <c r="H403" s="38">
        <v>55.0</v>
      </c>
      <c r="I403" s="48">
        <f t="shared" si="21"/>
        <v>1138</v>
      </c>
      <c r="J403" s="48">
        <f t="shared" si="22"/>
        <v>1247</v>
      </c>
      <c r="K403" s="49">
        <f t="shared" si="23"/>
        <v>0.5202108963</v>
      </c>
      <c r="L403" s="49">
        <f t="shared" si="24"/>
        <v>0.4420035149</v>
      </c>
      <c r="M403" s="49">
        <f t="shared" si="25"/>
        <v>0.03778558875</v>
      </c>
      <c r="N403" s="32" t="str">
        <f t="shared" si="26"/>
        <v>Jânio</v>
      </c>
      <c r="O403" s="50" t="s">
        <v>77</v>
      </c>
      <c r="P403" s="38">
        <v>481.0</v>
      </c>
      <c r="Q403" s="38">
        <v>553.0</v>
      </c>
      <c r="R403" s="38">
        <v>55.0</v>
      </c>
      <c r="S403" s="38">
        <v>139.0</v>
      </c>
      <c r="T403" s="38">
        <v>19.0</v>
      </c>
      <c r="U403" s="48">
        <f t="shared" si="27"/>
        <v>1089</v>
      </c>
      <c r="V403" s="48">
        <f t="shared" si="28"/>
        <v>1247</v>
      </c>
      <c r="W403" s="49">
        <f t="shared" si="29"/>
        <v>0.4416896235</v>
      </c>
      <c r="X403" s="49">
        <f t="shared" si="30"/>
        <v>0.507805326</v>
      </c>
      <c r="Y403" s="49">
        <f t="shared" si="31"/>
        <v>0.05050505051</v>
      </c>
      <c r="Z403" s="32" t="str">
        <f t="shared" si="32"/>
        <v>Milton</v>
      </c>
      <c r="AA403" s="50" t="s">
        <v>77</v>
      </c>
      <c r="AB403" s="38">
        <v>1524.0</v>
      </c>
      <c r="AC403" s="48">
        <f t="shared" si="35"/>
        <v>277</v>
      </c>
      <c r="AD403" s="51">
        <f t="shared" si="36"/>
        <v>0.8182414698</v>
      </c>
    </row>
    <row r="404">
      <c r="A404" s="61" t="s">
        <v>2987</v>
      </c>
      <c r="B404" s="46" t="s">
        <v>2988</v>
      </c>
      <c r="C404" s="47"/>
      <c r="D404" s="38">
        <v>1063.0</v>
      </c>
      <c r="E404" s="38">
        <v>1568.0</v>
      </c>
      <c r="F404" s="38">
        <v>302.0</v>
      </c>
      <c r="G404" s="38">
        <v>168.0</v>
      </c>
      <c r="H404" s="38">
        <v>174.0</v>
      </c>
      <c r="I404" s="48">
        <f t="shared" si="21"/>
        <v>2933</v>
      </c>
      <c r="J404" s="48">
        <f t="shared" si="22"/>
        <v>3275</v>
      </c>
      <c r="K404" s="49">
        <f t="shared" si="23"/>
        <v>0.3624275486</v>
      </c>
      <c r="L404" s="49">
        <f t="shared" si="24"/>
        <v>0.5346062053</v>
      </c>
      <c r="M404" s="49">
        <f t="shared" si="25"/>
        <v>0.1029662462</v>
      </c>
      <c r="N404" s="32" t="str">
        <f t="shared" si="26"/>
        <v>Mal. Lott</v>
      </c>
      <c r="O404" s="50" t="s">
        <v>77</v>
      </c>
      <c r="P404" s="38">
        <v>1666.0</v>
      </c>
      <c r="Q404" s="38">
        <v>961.0</v>
      </c>
      <c r="R404" s="38">
        <v>177.0</v>
      </c>
      <c r="S404" s="38">
        <v>384.0</v>
      </c>
      <c r="T404" s="38">
        <v>87.0</v>
      </c>
      <c r="U404" s="48">
        <f t="shared" si="27"/>
        <v>2804</v>
      </c>
      <c r="V404" s="48">
        <f t="shared" si="28"/>
        <v>3275</v>
      </c>
      <c r="W404" s="49">
        <f t="shared" si="29"/>
        <v>0.5941512126</v>
      </c>
      <c r="X404" s="49">
        <f t="shared" si="30"/>
        <v>0.342724679</v>
      </c>
      <c r="Y404" s="49">
        <f t="shared" si="31"/>
        <v>0.06312410842</v>
      </c>
      <c r="Z404" s="32" t="str">
        <f t="shared" si="32"/>
        <v>Jango</v>
      </c>
      <c r="AA404" s="50" t="s">
        <v>77</v>
      </c>
      <c r="AB404" s="38">
        <v>4365.0</v>
      </c>
      <c r="AC404" s="48">
        <f t="shared" si="35"/>
        <v>1090</v>
      </c>
      <c r="AD404" s="51">
        <f t="shared" si="36"/>
        <v>0.7502863688</v>
      </c>
    </row>
    <row r="405">
      <c r="A405" s="23"/>
      <c r="B405" s="46" t="s">
        <v>2989</v>
      </c>
      <c r="C405" s="47"/>
      <c r="D405" s="38">
        <v>437.0</v>
      </c>
      <c r="E405" s="38">
        <v>365.0</v>
      </c>
      <c r="F405" s="38">
        <v>118.0</v>
      </c>
      <c r="G405" s="38">
        <v>63.0</v>
      </c>
      <c r="H405" s="38">
        <v>61.0</v>
      </c>
      <c r="I405" s="48">
        <f t="shared" si="21"/>
        <v>920</v>
      </c>
      <c r="J405" s="48">
        <f t="shared" si="22"/>
        <v>1044</v>
      </c>
      <c r="K405" s="49">
        <f t="shared" si="23"/>
        <v>0.475</v>
      </c>
      <c r="L405" s="49">
        <f t="shared" si="24"/>
        <v>0.3967391304</v>
      </c>
      <c r="M405" s="49">
        <f t="shared" si="25"/>
        <v>0.1282608696</v>
      </c>
      <c r="N405" s="32" t="str">
        <f t="shared" si="26"/>
        <v>Jânio</v>
      </c>
      <c r="O405" s="50" t="s">
        <v>77</v>
      </c>
      <c r="P405" s="38">
        <v>408.0</v>
      </c>
      <c r="Q405" s="38">
        <v>420.0</v>
      </c>
      <c r="R405" s="38">
        <v>79.0</v>
      </c>
      <c r="S405" s="38">
        <v>106.0</v>
      </c>
      <c r="T405" s="38">
        <v>31.0</v>
      </c>
      <c r="U405" s="48">
        <f t="shared" si="27"/>
        <v>907</v>
      </c>
      <c r="V405" s="48">
        <f t="shared" si="28"/>
        <v>1044</v>
      </c>
      <c r="W405" s="49">
        <f t="shared" si="29"/>
        <v>0.4498346196</v>
      </c>
      <c r="X405" s="49">
        <f t="shared" si="30"/>
        <v>0.4630650496</v>
      </c>
      <c r="Y405" s="49">
        <f t="shared" si="31"/>
        <v>0.08710033076</v>
      </c>
      <c r="Z405" s="32" t="str">
        <f t="shared" si="32"/>
        <v>Milton</v>
      </c>
      <c r="AA405" s="50" t="s">
        <v>77</v>
      </c>
      <c r="AB405" s="38">
        <v>1469.0</v>
      </c>
      <c r="AC405" s="48">
        <f t="shared" si="35"/>
        <v>425</v>
      </c>
      <c r="AD405" s="51">
        <f t="shared" si="36"/>
        <v>0.7106875425</v>
      </c>
    </row>
    <row r="406">
      <c r="A406" s="24"/>
      <c r="B406" s="46" t="s">
        <v>2990</v>
      </c>
      <c r="C406" s="47"/>
      <c r="D406" s="38">
        <v>832.0</v>
      </c>
      <c r="E406" s="38">
        <v>1340.0</v>
      </c>
      <c r="F406" s="38">
        <v>183.0</v>
      </c>
      <c r="G406" s="38">
        <v>187.0</v>
      </c>
      <c r="H406" s="38">
        <v>215.0</v>
      </c>
      <c r="I406" s="48">
        <f t="shared" si="21"/>
        <v>2355</v>
      </c>
      <c r="J406" s="48">
        <f t="shared" si="22"/>
        <v>2757</v>
      </c>
      <c r="K406" s="49">
        <f t="shared" si="23"/>
        <v>0.3532908705</v>
      </c>
      <c r="L406" s="49">
        <f t="shared" si="24"/>
        <v>0.5690021231</v>
      </c>
      <c r="M406" s="49">
        <f t="shared" si="25"/>
        <v>0.07770700637</v>
      </c>
      <c r="N406" s="32" t="str">
        <f t="shared" si="26"/>
        <v>Mal. Lott</v>
      </c>
      <c r="O406" s="50" t="s">
        <v>77</v>
      </c>
      <c r="P406" s="38">
        <v>1472.0</v>
      </c>
      <c r="Q406" s="38">
        <v>627.0</v>
      </c>
      <c r="R406" s="38">
        <v>172.0</v>
      </c>
      <c r="S406" s="38">
        <v>373.0</v>
      </c>
      <c r="T406" s="38">
        <v>113.0</v>
      </c>
      <c r="U406" s="48">
        <f t="shared" si="27"/>
        <v>2271</v>
      </c>
      <c r="V406" s="48">
        <f t="shared" si="28"/>
        <v>2757</v>
      </c>
      <c r="W406" s="49">
        <f t="shared" si="29"/>
        <v>0.6481726112</v>
      </c>
      <c r="X406" s="49">
        <f t="shared" si="30"/>
        <v>0.2760898283</v>
      </c>
      <c r="Y406" s="49">
        <f t="shared" si="31"/>
        <v>0.07573756055</v>
      </c>
      <c r="Z406" s="32" t="str">
        <f t="shared" si="32"/>
        <v>Jango</v>
      </c>
      <c r="AA406" s="50" t="s">
        <v>77</v>
      </c>
      <c r="AB406" s="38">
        <v>3361.0</v>
      </c>
      <c r="AC406" s="48">
        <f t="shared" si="35"/>
        <v>604</v>
      </c>
      <c r="AD406" s="51">
        <f t="shared" si="36"/>
        <v>0.8202915799</v>
      </c>
    </row>
    <row r="407">
      <c r="A407" s="110" t="s">
        <v>2991</v>
      </c>
      <c r="B407" s="46" t="s">
        <v>2992</v>
      </c>
      <c r="C407" s="47"/>
      <c r="D407" s="38">
        <v>1076.0</v>
      </c>
      <c r="E407" s="38">
        <v>774.0</v>
      </c>
      <c r="F407" s="38">
        <v>104.0</v>
      </c>
      <c r="G407" s="38">
        <v>124.0</v>
      </c>
      <c r="H407" s="38">
        <v>114.0</v>
      </c>
      <c r="I407" s="48">
        <f t="shared" si="21"/>
        <v>1954</v>
      </c>
      <c r="J407" s="48">
        <f t="shared" si="22"/>
        <v>2192</v>
      </c>
      <c r="K407" s="49">
        <f t="shared" si="23"/>
        <v>0.5506653019</v>
      </c>
      <c r="L407" s="49">
        <f t="shared" si="24"/>
        <v>0.3961105425</v>
      </c>
      <c r="M407" s="49">
        <f t="shared" si="25"/>
        <v>0.05322415558</v>
      </c>
      <c r="N407" s="32" t="str">
        <f t="shared" si="26"/>
        <v>Jânio</v>
      </c>
      <c r="O407" s="50" t="s">
        <v>77</v>
      </c>
      <c r="P407" s="38">
        <v>828.0</v>
      </c>
      <c r="Q407" s="38">
        <v>1026.0</v>
      </c>
      <c r="R407" s="38">
        <v>65.0</v>
      </c>
      <c r="S407" s="38">
        <v>221.0</v>
      </c>
      <c r="T407" s="38">
        <v>52.0</v>
      </c>
      <c r="U407" s="48">
        <f t="shared" si="27"/>
        <v>1919</v>
      </c>
      <c r="V407" s="48">
        <f t="shared" si="28"/>
        <v>2192</v>
      </c>
      <c r="W407" s="49">
        <f t="shared" si="29"/>
        <v>0.4314747264</v>
      </c>
      <c r="X407" s="49">
        <f t="shared" si="30"/>
        <v>0.5346534653</v>
      </c>
      <c r="Y407" s="49">
        <f t="shared" si="31"/>
        <v>0.03387180823</v>
      </c>
      <c r="Z407" s="32" t="str">
        <f t="shared" si="32"/>
        <v>Milton</v>
      </c>
      <c r="AA407" s="50" t="s">
        <v>77</v>
      </c>
      <c r="AB407" s="38">
        <v>2801.0</v>
      </c>
      <c r="AC407" s="48">
        <f t="shared" si="35"/>
        <v>609</v>
      </c>
      <c r="AD407" s="51">
        <f t="shared" si="36"/>
        <v>0.7825776508</v>
      </c>
    </row>
    <row r="408">
      <c r="A408" s="61" t="s">
        <v>2993</v>
      </c>
      <c r="B408" s="46" t="s">
        <v>2994</v>
      </c>
      <c r="C408" s="47"/>
      <c r="D408" s="38">
        <v>1137.0</v>
      </c>
      <c r="E408" s="38">
        <v>872.0</v>
      </c>
      <c r="F408" s="38">
        <v>165.0</v>
      </c>
      <c r="G408" s="38">
        <v>86.0</v>
      </c>
      <c r="H408" s="38">
        <v>119.0</v>
      </c>
      <c r="I408" s="48">
        <f t="shared" si="21"/>
        <v>2174</v>
      </c>
      <c r="J408" s="48">
        <f t="shared" si="22"/>
        <v>2379</v>
      </c>
      <c r="K408" s="49">
        <f t="shared" si="23"/>
        <v>0.52299908</v>
      </c>
      <c r="L408" s="49">
        <f t="shared" si="24"/>
        <v>0.4011039558</v>
      </c>
      <c r="M408" s="49">
        <f t="shared" si="25"/>
        <v>0.07589696412</v>
      </c>
      <c r="N408" s="32" t="str">
        <f t="shared" si="26"/>
        <v>Jânio</v>
      </c>
      <c r="O408" s="50" t="s">
        <v>77</v>
      </c>
      <c r="P408" s="38">
        <v>865.0</v>
      </c>
      <c r="Q408" s="38">
        <v>1058.0</v>
      </c>
      <c r="R408" s="38">
        <v>153.0</v>
      </c>
      <c r="S408" s="38">
        <v>236.0</v>
      </c>
      <c r="T408" s="38">
        <v>67.0</v>
      </c>
      <c r="U408" s="48">
        <f t="shared" si="27"/>
        <v>2076</v>
      </c>
      <c r="V408" s="48">
        <f t="shared" si="28"/>
        <v>2379</v>
      </c>
      <c r="W408" s="49">
        <f t="shared" si="29"/>
        <v>0.4166666667</v>
      </c>
      <c r="X408" s="49">
        <f t="shared" si="30"/>
        <v>0.5096339114</v>
      </c>
      <c r="Y408" s="49">
        <f t="shared" si="31"/>
        <v>0.07369942197</v>
      </c>
      <c r="Z408" s="32" t="str">
        <f t="shared" si="32"/>
        <v>Milton</v>
      </c>
      <c r="AA408" s="50" t="s">
        <v>77</v>
      </c>
      <c r="AB408" s="38">
        <v>2888.0</v>
      </c>
      <c r="AC408" s="48">
        <f t="shared" si="35"/>
        <v>509</v>
      </c>
      <c r="AD408" s="51">
        <f t="shared" si="36"/>
        <v>0.8237534626</v>
      </c>
    </row>
    <row r="409">
      <c r="A409" s="24"/>
      <c r="B409" s="46" t="s">
        <v>2995</v>
      </c>
      <c r="C409" s="47"/>
      <c r="D409" s="38">
        <v>595.0</v>
      </c>
      <c r="E409" s="38">
        <v>411.0</v>
      </c>
      <c r="F409" s="38">
        <v>57.0</v>
      </c>
      <c r="G409" s="38">
        <v>53.0</v>
      </c>
      <c r="H409" s="38">
        <v>51.0</v>
      </c>
      <c r="I409" s="48">
        <f t="shared" si="21"/>
        <v>1063</v>
      </c>
      <c r="J409" s="48">
        <f t="shared" si="22"/>
        <v>1167</v>
      </c>
      <c r="K409" s="49">
        <f t="shared" si="23"/>
        <v>0.5597365945</v>
      </c>
      <c r="L409" s="49">
        <f t="shared" si="24"/>
        <v>0.3866415804</v>
      </c>
      <c r="M409" s="49">
        <f t="shared" si="25"/>
        <v>0.05362182502</v>
      </c>
      <c r="N409" s="32" t="str">
        <f t="shared" si="26"/>
        <v>Jânio</v>
      </c>
      <c r="O409" s="50" t="s">
        <v>77</v>
      </c>
      <c r="P409" s="38">
        <v>413.0</v>
      </c>
      <c r="Q409" s="38">
        <v>534.0</v>
      </c>
      <c r="R409" s="38">
        <v>64.0</v>
      </c>
      <c r="S409" s="38">
        <v>125.0</v>
      </c>
      <c r="T409" s="38">
        <v>31.0</v>
      </c>
      <c r="U409" s="48">
        <f t="shared" si="27"/>
        <v>1011</v>
      </c>
      <c r="V409" s="48">
        <f t="shared" si="28"/>
        <v>1167</v>
      </c>
      <c r="W409" s="49">
        <f t="shared" si="29"/>
        <v>0.4085064293</v>
      </c>
      <c r="X409" s="49">
        <f t="shared" si="30"/>
        <v>0.528189911</v>
      </c>
      <c r="Y409" s="49">
        <f t="shared" si="31"/>
        <v>0.06330365974</v>
      </c>
      <c r="Z409" s="32" t="str">
        <f t="shared" si="32"/>
        <v>Milton</v>
      </c>
      <c r="AA409" s="50" t="s">
        <v>77</v>
      </c>
      <c r="AB409" s="38">
        <v>1522.0</v>
      </c>
      <c r="AC409" s="48">
        <f t="shared" si="35"/>
        <v>355</v>
      </c>
      <c r="AD409" s="51">
        <f t="shared" si="36"/>
        <v>0.7667542707</v>
      </c>
    </row>
    <row r="410">
      <c r="A410" s="110" t="s">
        <v>2996</v>
      </c>
      <c r="B410" s="46" t="s">
        <v>2997</v>
      </c>
      <c r="C410" s="47"/>
      <c r="D410" s="38">
        <v>818.0</v>
      </c>
      <c r="E410" s="38">
        <v>962.0</v>
      </c>
      <c r="F410" s="38">
        <v>124.0</v>
      </c>
      <c r="G410" s="38">
        <v>208.0</v>
      </c>
      <c r="H410" s="38">
        <v>150.0</v>
      </c>
      <c r="I410" s="48">
        <f t="shared" si="21"/>
        <v>1904</v>
      </c>
      <c r="J410" s="48">
        <f t="shared" si="22"/>
        <v>2262</v>
      </c>
      <c r="K410" s="49">
        <f t="shared" si="23"/>
        <v>0.4296218487</v>
      </c>
      <c r="L410" s="49">
        <f t="shared" si="24"/>
        <v>0.5052521008</v>
      </c>
      <c r="M410" s="49">
        <f t="shared" si="25"/>
        <v>0.06512605042</v>
      </c>
      <c r="N410" s="32" t="str">
        <f t="shared" si="26"/>
        <v>Mal. Lott</v>
      </c>
      <c r="O410" s="50" t="s">
        <v>77</v>
      </c>
      <c r="P410" s="38">
        <v>902.0</v>
      </c>
      <c r="Q410" s="38">
        <v>612.0</v>
      </c>
      <c r="R410" s="38">
        <v>128.0</v>
      </c>
      <c r="S410" s="38">
        <v>558.0</v>
      </c>
      <c r="T410" s="38">
        <v>62.0</v>
      </c>
      <c r="U410" s="48">
        <f t="shared" si="27"/>
        <v>1642</v>
      </c>
      <c r="V410" s="48">
        <f t="shared" si="28"/>
        <v>2262</v>
      </c>
      <c r="W410" s="49">
        <f t="shared" si="29"/>
        <v>0.5493300853</v>
      </c>
      <c r="X410" s="49">
        <f t="shared" si="30"/>
        <v>0.3727161998</v>
      </c>
      <c r="Y410" s="49">
        <f t="shared" si="31"/>
        <v>0.07795371498</v>
      </c>
      <c r="Z410" s="32" t="str">
        <f t="shared" si="32"/>
        <v>Jango</v>
      </c>
      <c r="AA410" s="50" t="s">
        <v>77</v>
      </c>
      <c r="AB410" s="38">
        <v>2637.0</v>
      </c>
      <c r="AC410" s="48">
        <f t="shared" si="35"/>
        <v>375</v>
      </c>
      <c r="AD410" s="51">
        <f t="shared" si="36"/>
        <v>0.8577929465</v>
      </c>
    </row>
    <row r="411">
      <c r="A411" s="61" t="s">
        <v>2998</v>
      </c>
      <c r="B411" s="46" t="s">
        <v>2999</v>
      </c>
      <c r="C411" s="47"/>
      <c r="D411" s="38">
        <v>1102.0</v>
      </c>
      <c r="E411" s="38">
        <v>769.0</v>
      </c>
      <c r="F411" s="38">
        <v>148.0</v>
      </c>
      <c r="G411" s="38">
        <v>98.0</v>
      </c>
      <c r="H411" s="38">
        <v>106.0</v>
      </c>
      <c r="I411" s="48">
        <f t="shared" si="21"/>
        <v>2019</v>
      </c>
      <c r="J411" s="48">
        <f t="shared" si="22"/>
        <v>2223</v>
      </c>
      <c r="K411" s="49">
        <f t="shared" si="23"/>
        <v>0.5458147598</v>
      </c>
      <c r="L411" s="49">
        <f t="shared" si="24"/>
        <v>0.3808816246</v>
      </c>
      <c r="M411" s="49">
        <f t="shared" si="25"/>
        <v>0.07330361565</v>
      </c>
      <c r="N411" s="32" t="str">
        <f t="shared" si="26"/>
        <v>Jânio</v>
      </c>
      <c r="O411" s="50" t="s">
        <v>77</v>
      </c>
      <c r="P411" s="38">
        <v>732.0</v>
      </c>
      <c r="Q411" s="38">
        <v>940.0</v>
      </c>
      <c r="R411" s="38">
        <v>75.0</v>
      </c>
      <c r="S411" s="38">
        <v>437.0</v>
      </c>
      <c r="T411" s="38">
        <v>39.0</v>
      </c>
      <c r="U411" s="48">
        <f t="shared" si="27"/>
        <v>1747</v>
      </c>
      <c r="V411" s="48">
        <f t="shared" si="28"/>
        <v>2223</v>
      </c>
      <c r="W411" s="49">
        <f t="shared" si="29"/>
        <v>0.4190040069</v>
      </c>
      <c r="X411" s="49">
        <f t="shared" si="30"/>
        <v>0.5380652547</v>
      </c>
      <c r="Y411" s="49">
        <f t="shared" si="31"/>
        <v>0.04293073841</v>
      </c>
      <c r="Z411" s="32" t="str">
        <f t="shared" si="32"/>
        <v>Milton</v>
      </c>
      <c r="AA411" s="50" t="s">
        <v>77</v>
      </c>
      <c r="AB411" s="38">
        <v>3612.0</v>
      </c>
      <c r="AC411" s="48">
        <f t="shared" si="35"/>
        <v>1389</v>
      </c>
      <c r="AD411" s="51">
        <f t="shared" si="36"/>
        <v>0.615448505</v>
      </c>
    </row>
    <row r="412">
      <c r="A412" s="24"/>
      <c r="B412" s="46" t="s">
        <v>3000</v>
      </c>
      <c r="C412" s="47"/>
      <c r="D412" s="38">
        <v>268.0</v>
      </c>
      <c r="E412" s="38">
        <v>204.0</v>
      </c>
      <c r="F412" s="38">
        <v>60.0</v>
      </c>
      <c r="G412" s="38">
        <v>40.0</v>
      </c>
      <c r="H412" s="38">
        <v>96.0</v>
      </c>
      <c r="I412" s="48">
        <f t="shared" si="21"/>
        <v>532</v>
      </c>
      <c r="J412" s="48">
        <f t="shared" si="22"/>
        <v>668</v>
      </c>
      <c r="K412" s="49">
        <f t="shared" si="23"/>
        <v>0.5037593985</v>
      </c>
      <c r="L412" s="49">
        <f t="shared" si="24"/>
        <v>0.3834586466</v>
      </c>
      <c r="M412" s="49">
        <f t="shared" si="25"/>
        <v>0.1127819549</v>
      </c>
      <c r="N412" s="32" t="str">
        <f t="shared" si="26"/>
        <v>Jânio</v>
      </c>
      <c r="O412" s="50" t="s">
        <v>77</v>
      </c>
      <c r="P412" s="38">
        <v>154.0</v>
      </c>
      <c r="Q412" s="38">
        <v>269.0</v>
      </c>
      <c r="R412" s="38">
        <v>46.0</v>
      </c>
      <c r="S412" s="38">
        <v>157.0</v>
      </c>
      <c r="T412" s="38">
        <v>42.0</v>
      </c>
      <c r="U412" s="48">
        <f t="shared" si="27"/>
        <v>469</v>
      </c>
      <c r="V412" s="48">
        <f t="shared" si="28"/>
        <v>668</v>
      </c>
      <c r="W412" s="49">
        <f t="shared" si="29"/>
        <v>0.328358209</v>
      </c>
      <c r="X412" s="49">
        <f t="shared" si="30"/>
        <v>0.5735607676</v>
      </c>
      <c r="Y412" s="49">
        <f t="shared" si="31"/>
        <v>0.09808102345</v>
      </c>
      <c r="Z412" s="32" t="str">
        <f t="shared" si="32"/>
        <v>Milton</v>
      </c>
      <c r="AA412" s="50" t="s">
        <v>77</v>
      </c>
      <c r="AB412" s="38">
        <v>1208.0</v>
      </c>
      <c r="AC412" s="48">
        <f t="shared" si="35"/>
        <v>540</v>
      </c>
      <c r="AD412" s="51">
        <f t="shared" si="36"/>
        <v>0.5529801325</v>
      </c>
    </row>
    <row r="413">
      <c r="A413" s="110" t="s">
        <v>3001</v>
      </c>
      <c r="B413" s="46" t="s">
        <v>3002</v>
      </c>
      <c r="C413" s="47"/>
      <c r="D413" s="38">
        <v>1405.0</v>
      </c>
      <c r="E413" s="38">
        <v>3014.0</v>
      </c>
      <c r="F413" s="38">
        <v>547.0</v>
      </c>
      <c r="G413" s="38">
        <v>536.0</v>
      </c>
      <c r="H413" s="38">
        <v>392.0</v>
      </c>
      <c r="I413" s="48">
        <f t="shared" si="21"/>
        <v>4966</v>
      </c>
      <c r="J413" s="48">
        <f t="shared" si="22"/>
        <v>5894</v>
      </c>
      <c r="K413" s="49">
        <f t="shared" si="23"/>
        <v>0.2829238824</v>
      </c>
      <c r="L413" s="49">
        <f t="shared" si="24"/>
        <v>0.6069271043</v>
      </c>
      <c r="M413" s="49">
        <f t="shared" si="25"/>
        <v>0.1101490133</v>
      </c>
      <c r="N413" s="32" t="str">
        <f t="shared" si="26"/>
        <v>Mal. Lott</v>
      </c>
      <c r="O413" s="50" t="s">
        <v>77</v>
      </c>
      <c r="P413" s="38">
        <v>3090.0</v>
      </c>
      <c r="Q413" s="38">
        <v>1375.0</v>
      </c>
      <c r="R413" s="38">
        <v>349.0</v>
      </c>
      <c r="S413" s="38">
        <v>774.0</v>
      </c>
      <c r="T413" s="38">
        <v>306.0</v>
      </c>
      <c r="U413" s="48">
        <f t="shared" si="27"/>
        <v>4814</v>
      </c>
      <c r="V413" s="48">
        <f t="shared" si="28"/>
        <v>5894</v>
      </c>
      <c r="W413" s="49">
        <f t="shared" si="29"/>
        <v>0.6418778563</v>
      </c>
      <c r="X413" s="49">
        <f t="shared" si="30"/>
        <v>0.2856252597</v>
      </c>
      <c r="Y413" s="49">
        <f t="shared" si="31"/>
        <v>0.07249688409</v>
      </c>
      <c r="Z413" s="32" t="str">
        <f t="shared" si="32"/>
        <v>Jango</v>
      </c>
      <c r="AA413" s="50" t="s">
        <v>77</v>
      </c>
      <c r="AB413" s="38">
        <v>6898.0</v>
      </c>
      <c r="AC413" s="48">
        <f t="shared" si="35"/>
        <v>1004</v>
      </c>
      <c r="AD413" s="51">
        <f t="shared" si="36"/>
        <v>0.8544505654</v>
      </c>
    </row>
    <row r="414">
      <c r="A414" s="61" t="s">
        <v>3003</v>
      </c>
      <c r="B414" s="46" t="s">
        <v>3004</v>
      </c>
      <c r="C414" s="47"/>
      <c r="D414" s="38">
        <v>2045.0</v>
      </c>
      <c r="E414" s="38">
        <v>1885.0</v>
      </c>
      <c r="F414" s="38">
        <v>186.0</v>
      </c>
      <c r="G414" s="38">
        <v>188.0</v>
      </c>
      <c r="H414" s="38">
        <v>172.0</v>
      </c>
      <c r="I414" s="48">
        <f t="shared" si="21"/>
        <v>4116</v>
      </c>
      <c r="J414" s="48">
        <f t="shared" si="22"/>
        <v>4476</v>
      </c>
      <c r="K414" s="49">
        <f t="shared" si="23"/>
        <v>0.4968415938</v>
      </c>
      <c r="L414" s="49">
        <f t="shared" si="24"/>
        <v>0.4579689018</v>
      </c>
      <c r="M414" s="49">
        <f t="shared" si="25"/>
        <v>0.04518950437</v>
      </c>
      <c r="N414" s="32" t="str">
        <f t="shared" si="26"/>
        <v>Jânio</v>
      </c>
      <c r="O414" s="50" t="s">
        <v>77</v>
      </c>
      <c r="P414" s="38">
        <v>1787.0</v>
      </c>
      <c r="Q414" s="38">
        <v>1754.0</v>
      </c>
      <c r="R414" s="38">
        <v>239.0</v>
      </c>
      <c r="S414" s="38">
        <v>586.0</v>
      </c>
      <c r="T414" s="38">
        <v>110.0</v>
      </c>
      <c r="U414" s="48">
        <f t="shared" si="27"/>
        <v>3780</v>
      </c>
      <c r="V414" s="48">
        <f t="shared" si="28"/>
        <v>4476</v>
      </c>
      <c r="W414" s="49">
        <f t="shared" si="29"/>
        <v>0.4727513228</v>
      </c>
      <c r="X414" s="49">
        <f t="shared" si="30"/>
        <v>0.464021164</v>
      </c>
      <c r="Y414" s="49">
        <f t="shared" si="31"/>
        <v>0.06322751323</v>
      </c>
      <c r="Z414" s="32" t="str">
        <f t="shared" si="32"/>
        <v>Jango</v>
      </c>
      <c r="AA414" s="50" t="s">
        <v>77</v>
      </c>
      <c r="AB414" s="38">
        <v>5183.0</v>
      </c>
      <c r="AC414" s="48">
        <f t="shared" si="35"/>
        <v>707</v>
      </c>
      <c r="AD414" s="51">
        <f t="shared" si="36"/>
        <v>0.863592514</v>
      </c>
    </row>
    <row r="415">
      <c r="A415" s="23"/>
      <c r="B415" s="46" t="s">
        <v>3005</v>
      </c>
      <c r="C415" s="47"/>
      <c r="D415" s="38">
        <v>926.0</v>
      </c>
      <c r="E415" s="38">
        <v>863.0</v>
      </c>
      <c r="F415" s="38">
        <v>101.0</v>
      </c>
      <c r="G415" s="38">
        <v>97.0</v>
      </c>
      <c r="H415" s="38">
        <v>101.0</v>
      </c>
      <c r="I415" s="48">
        <f t="shared" si="21"/>
        <v>1890</v>
      </c>
      <c r="J415" s="48">
        <f t="shared" si="22"/>
        <v>2088</v>
      </c>
      <c r="K415" s="49">
        <f t="shared" si="23"/>
        <v>0.4899470899</v>
      </c>
      <c r="L415" s="49">
        <f t="shared" si="24"/>
        <v>0.4566137566</v>
      </c>
      <c r="M415" s="49">
        <f t="shared" si="25"/>
        <v>0.05343915344</v>
      </c>
      <c r="N415" s="32" t="str">
        <f t="shared" si="26"/>
        <v>Jânio</v>
      </c>
      <c r="O415" s="50" t="s">
        <v>77</v>
      </c>
      <c r="P415" s="38">
        <v>778.0</v>
      </c>
      <c r="Q415" s="38">
        <v>857.0</v>
      </c>
      <c r="R415" s="38">
        <v>88.0</v>
      </c>
      <c r="S415" s="38">
        <v>320.0</v>
      </c>
      <c r="T415" s="38">
        <v>45.0</v>
      </c>
      <c r="U415" s="48">
        <f t="shared" si="27"/>
        <v>1723</v>
      </c>
      <c r="V415" s="48">
        <f t="shared" si="28"/>
        <v>2088</v>
      </c>
      <c r="W415" s="49">
        <f t="shared" si="29"/>
        <v>0.4515380151</v>
      </c>
      <c r="X415" s="49">
        <f t="shared" si="30"/>
        <v>0.4973882763</v>
      </c>
      <c r="Y415" s="49">
        <f t="shared" si="31"/>
        <v>0.05107370865</v>
      </c>
      <c r="Z415" s="32" t="str">
        <f t="shared" si="32"/>
        <v>Milton</v>
      </c>
      <c r="AA415" s="50" t="s">
        <v>77</v>
      </c>
      <c r="AB415" s="38">
        <v>2414.0</v>
      </c>
      <c r="AC415" s="48">
        <f t="shared" si="35"/>
        <v>326</v>
      </c>
      <c r="AD415" s="51">
        <f t="shared" si="36"/>
        <v>0.8649544325</v>
      </c>
    </row>
    <row r="416">
      <c r="A416" s="24"/>
      <c r="B416" s="46" t="s">
        <v>3006</v>
      </c>
      <c r="C416" s="47"/>
      <c r="D416" s="38">
        <v>604.0</v>
      </c>
      <c r="E416" s="38">
        <v>675.0</v>
      </c>
      <c r="F416" s="38">
        <v>80.0</v>
      </c>
      <c r="G416" s="38">
        <v>45.0</v>
      </c>
      <c r="H416" s="38">
        <v>38.0</v>
      </c>
      <c r="I416" s="48">
        <f t="shared" si="21"/>
        <v>1359</v>
      </c>
      <c r="J416" s="48">
        <f t="shared" si="22"/>
        <v>1442</v>
      </c>
      <c r="K416" s="49">
        <f t="shared" si="23"/>
        <v>0.4444444444</v>
      </c>
      <c r="L416" s="49">
        <f t="shared" si="24"/>
        <v>0.4966887417</v>
      </c>
      <c r="M416" s="49">
        <f t="shared" si="25"/>
        <v>0.05886681383</v>
      </c>
      <c r="N416" s="32" t="str">
        <f t="shared" si="26"/>
        <v>Mal. Lott</v>
      </c>
      <c r="O416" s="50" t="s">
        <v>77</v>
      </c>
      <c r="P416" s="38">
        <v>685.0</v>
      </c>
      <c r="Q416" s="38">
        <v>524.0</v>
      </c>
      <c r="R416" s="38">
        <v>67.0</v>
      </c>
      <c r="S416" s="38">
        <v>134.0</v>
      </c>
      <c r="T416" s="38">
        <v>32.0</v>
      </c>
      <c r="U416" s="48">
        <f t="shared" si="27"/>
        <v>1276</v>
      </c>
      <c r="V416" s="48">
        <f t="shared" si="28"/>
        <v>1442</v>
      </c>
      <c r="W416" s="49">
        <f t="shared" si="29"/>
        <v>0.5368338558</v>
      </c>
      <c r="X416" s="49">
        <f t="shared" si="30"/>
        <v>0.4106583072</v>
      </c>
      <c r="Y416" s="49">
        <f t="shared" si="31"/>
        <v>0.05250783699</v>
      </c>
      <c r="Z416" s="32" t="str">
        <f t="shared" si="32"/>
        <v>Jango</v>
      </c>
      <c r="AA416" s="50" t="s">
        <v>77</v>
      </c>
      <c r="AB416" s="38">
        <v>1671.0</v>
      </c>
      <c r="AC416" s="48">
        <f t="shared" si="35"/>
        <v>229</v>
      </c>
      <c r="AD416" s="51">
        <f t="shared" si="36"/>
        <v>0.8629563136</v>
      </c>
    </row>
    <row r="417">
      <c r="A417" s="61" t="s">
        <v>3007</v>
      </c>
      <c r="B417" s="46" t="s">
        <v>3008</v>
      </c>
      <c r="C417" s="47"/>
      <c r="D417" s="38">
        <v>848.0</v>
      </c>
      <c r="E417" s="38">
        <v>1106.0</v>
      </c>
      <c r="F417" s="38">
        <v>164.0</v>
      </c>
      <c r="G417" s="38">
        <v>59.0</v>
      </c>
      <c r="H417" s="38">
        <v>86.0</v>
      </c>
      <c r="I417" s="48">
        <f t="shared" si="21"/>
        <v>2118</v>
      </c>
      <c r="J417" s="48">
        <f t="shared" si="22"/>
        <v>2263</v>
      </c>
      <c r="K417" s="49">
        <f t="shared" si="23"/>
        <v>0.4003777148</v>
      </c>
      <c r="L417" s="49">
        <f t="shared" si="24"/>
        <v>0.522190746</v>
      </c>
      <c r="M417" s="49">
        <f t="shared" si="25"/>
        <v>0.07743153919</v>
      </c>
      <c r="N417" s="32" t="str">
        <f t="shared" si="26"/>
        <v>Mal. Lott</v>
      </c>
      <c r="O417" s="50" t="s">
        <v>77</v>
      </c>
      <c r="P417" s="38">
        <v>717.0</v>
      </c>
      <c r="Q417" s="38">
        <v>1030.0</v>
      </c>
      <c r="R417" s="38">
        <v>280.0</v>
      </c>
      <c r="S417" s="38">
        <v>131.0</v>
      </c>
      <c r="T417" s="38">
        <v>105.0</v>
      </c>
      <c r="U417" s="48">
        <f t="shared" si="27"/>
        <v>2027</v>
      </c>
      <c r="V417" s="48">
        <f t="shared" si="28"/>
        <v>2263</v>
      </c>
      <c r="W417" s="49">
        <f t="shared" si="29"/>
        <v>0.3537247163</v>
      </c>
      <c r="X417" s="49">
        <f t="shared" si="30"/>
        <v>0.5081401085</v>
      </c>
      <c r="Y417" s="49">
        <f t="shared" si="31"/>
        <v>0.1381351751</v>
      </c>
      <c r="Z417" s="32" t="str">
        <f t="shared" si="32"/>
        <v>Milton</v>
      </c>
      <c r="AA417" s="50" t="s">
        <v>77</v>
      </c>
      <c r="AB417" s="38">
        <v>3006.0</v>
      </c>
      <c r="AC417" s="48">
        <f t="shared" si="35"/>
        <v>743</v>
      </c>
      <c r="AD417" s="51">
        <f t="shared" si="36"/>
        <v>0.752827678</v>
      </c>
    </row>
    <row r="418">
      <c r="A418" s="24"/>
      <c r="B418" s="46" t="s">
        <v>3009</v>
      </c>
      <c r="C418" s="47"/>
      <c r="D418" s="38">
        <v>916.0</v>
      </c>
      <c r="E418" s="38">
        <v>566.0</v>
      </c>
      <c r="F418" s="38">
        <v>72.0</v>
      </c>
      <c r="G418" s="38">
        <v>57.0</v>
      </c>
      <c r="H418" s="38">
        <v>72.0</v>
      </c>
      <c r="I418" s="48">
        <f t="shared" si="21"/>
        <v>1554</v>
      </c>
      <c r="J418" s="48">
        <f t="shared" si="22"/>
        <v>1683</v>
      </c>
      <c r="K418" s="49">
        <f t="shared" si="23"/>
        <v>0.5894465894</v>
      </c>
      <c r="L418" s="49">
        <f t="shared" si="24"/>
        <v>0.3642213642</v>
      </c>
      <c r="M418" s="49">
        <f t="shared" si="25"/>
        <v>0.04633204633</v>
      </c>
      <c r="N418" s="32" t="str">
        <f t="shared" si="26"/>
        <v>Jânio</v>
      </c>
      <c r="O418" s="50" t="s">
        <v>77</v>
      </c>
      <c r="P418" s="38">
        <v>494.0</v>
      </c>
      <c r="Q418" s="38">
        <v>846.0</v>
      </c>
      <c r="R418" s="38">
        <v>53.0</v>
      </c>
      <c r="S418" s="38">
        <v>234.0</v>
      </c>
      <c r="T418" s="38">
        <v>56.0</v>
      </c>
      <c r="U418" s="48">
        <f t="shared" si="27"/>
        <v>1393</v>
      </c>
      <c r="V418" s="48">
        <f t="shared" si="28"/>
        <v>1683</v>
      </c>
      <c r="W418" s="49">
        <f t="shared" si="29"/>
        <v>0.3546302943</v>
      </c>
      <c r="X418" s="49">
        <f t="shared" si="30"/>
        <v>0.6073223259</v>
      </c>
      <c r="Y418" s="49">
        <f t="shared" si="31"/>
        <v>0.03804737976</v>
      </c>
      <c r="Z418" s="32" t="str">
        <f t="shared" si="32"/>
        <v>Milton</v>
      </c>
      <c r="AA418" s="50" t="s">
        <v>77</v>
      </c>
      <c r="AB418" s="38">
        <v>2034.0</v>
      </c>
      <c r="AC418" s="48">
        <f t="shared" si="35"/>
        <v>351</v>
      </c>
      <c r="AD418" s="51">
        <f t="shared" si="36"/>
        <v>0.8274336283</v>
      </c>
    </row>
    <row r="419">
      <c r="A419" s="110" t="s">
        <v>3010</v>
      </c>
      <c r="B419" s="46" t="s">
        <v>3011</v>
      </c>
      <c r="C419" s="47"/>
      <c r="D419" s="38">
        <v>550.0</v>
      </c>
      <c r="E419" s="38">
        <v>706.0</v>
      </c>
      <c r="F419" s="38">
        <v>127.0</v>
      </c>
      <c r="G419" s="38">
        <v>137.0</v>
      </c>
      <c r="H419" s="38">
        <v>100.0</v>
      </c>
      <c r="I419" s="48">
        <f t="shared" si="21"/>
        <v>1383</v>
      </c>
      <c r="J419" s="48">
        <f t="shared" si="22"/>
        <v>1620</v>
      </c>
      <c r="K419" s="49">
        <f t="shared" si="23"/>
        <v>0.3976861894</v>
      </c>
      <c r="L419" s="49">
        <f t="shared" si="24"/>
        <v>0.5104844541</v>
      </c>
      <c r="M419" s="49">
        <f t="shared" si="25"/>
        <v>0.09182935647</v>
      </c>
      <c r="N419" s="32" t="str">
        <f t="shared" si="26"/>
        <v>Mal. Lott</v>
      </c>
      <c r="O419" s="50" t="s">
        <v>77</v>
      </c>
      <c r="P419" s="38">
        <v>685.0</v>
      </c>
      <c r="Q419" s="38">
        <v>405.0</v>
      </c>
      <c r="R419" s="38">
        <v>88.0</v>
      </c>
      <c r="S419" s="38">
        <v>409.0</v>
      </c>
      <c r="T419" s="38">
        <v>33.0</v>
      </c>
      <c r="U419" s="48">
        <f t="shared" si="27"/>
        <v>1178</v>
      </c>
      <c r="V419" s="48">
        <f t="shared" si="28"/>
        <v>1620</v>
      </c>
      <c r="W419" s="49">
        <f t="shared" si="29"/>
        <v>0.5814940577</v>
      </c>
      <c r="X419" s="49">
        <f t="shared" si="30"/>
        <v>0.343803056</v>
      </c>
      <c r="Y419" s="49">
        <f t="shared" si="31"/>
        <v>0.07470288625</v>
      </c>
      <c r="Z419" s="32" t="str">
        <f t="shared" si="32"/>
        <v>Jango</v>
      </c>
      <c r="AA419" s="50" t="s">
        <v>77</v>
      </c>
      <c r="AB419" s="38">
        <v>4578.0</v>
      </c>
      <c r="AC419" s="48">
        <f t="shared" si="35"/>
        <v>2958</v>
      </c>
      <c r="AD419" s="51">
        <f t="shared" si="36"/>
        <v>0.3538663172</v>
      </c>
    </row>
    <row r="420">
      <c r="A420" s="110" t="s">
        <v>3012</v>
      </c>
      <c r="B420" s="46" t="s">
        <v>3013</v>
      </c>
      <c r="C420" s="47"/>
      <c r="D420" s="38">
        <v>1025.0</v>
      </c>
      <c r="E420" s="38">
        <v>2149.0</v>
      </c>
      <c r="F420" s="38">
        <v>733.0</v>
      </c>
      <c r="G420" s="38">
        <v>213.0</v>
      </c>
      <c r="H420" s="38">
        <v>241.0</v>
      </c>
      <c r="I420" s="48">
        <f t="shared" si="21"/>
        <v>3907</v>
      </c>
      <c r="J420" s="48">
        <f t="shared" si="22"/>
        <v>4361</v>
      </c>
      <c r="K420" s="49">
        <f t="shared" si="23"/>
        <v>0.2623496289</v>
      </c>
      <c r="L420" s="49">
        <f t="shared" si="24"/>
        <v>0.5500383926</v>
      </c>
      <c r="M420" s="49">
        <f t="shared" si="25"/>
        <v>0.1876119785</v>
      </c>
      <c r="N420" s="32" t="str">
        <f t="shared" si="26"/>
        <v>Mal. Lott</v>
      </c>
      <c r="O420" s="50" t="s">
        <v>77</v>
      </c>
      <c r="P420" s="38">
        <v>2101.0</v>
      </c>
      <c r="Q420" s="38">
        <v>1323.0</v>
      </c>
      <c r="R420" s="38">
        <v>343.0</v>
      </c>
      <c r="S420" s="38">
        <v>350.0</v>
      </c>
      <c r="T420" s="38">
        <v>244.0</v>
      </c>
      <c r="U420" s="48">
        <f t="shared" si="27"/>
        <v>3767</v>
      </c>
      <c r="V420" s="48">
        <f t="shared" si="28"/>
        <v>4361</v>
      </c>
      <c r="W420" s="49">
        <f t="shared" si="29"/>
        <v>0.5577382533</v>
      </c>
      <c r="X420" s="49">
        <f t="shared" si="30"/>
        <v>0.3512078577</v>
      </c>
      <c r="Y420" s="49">
        <f t="shared" si="31"/>
        <v>0.09105388904</v>
      </c>
      <c r="Z420" s="32" t="str">
        <f t="shared" si="32"/>
        <v>Jango</v>
      </c>
      <c r="AA420" s="50" t="s">
        <v>77</v>
      </c>
      <c r="AB420" s="38">
        <v>4808.0</v>
      </c>
      <c r="AC420" s="48">
        <f t="shared" si="35"/>
        <v>447</v>
      </c>
      <c r="AD420" s="51">
        <f t="shared" si="36"/>
        <v>0.9070299501</v>
      </c>
    </row>
    <row r="421">
      <c r="A421" s="61" t="s">
        <v>3014</v>
      </c>
      <c r="B421" s="46" t="s">
        <v>3015</v>
      </c>
      <c r="C421" s="47"/>
      <c r="D421" s="38">
        <v>721.0</v>
      </c>
      <c r="E421" s="38">
        <v>525.0</v>
      </c>
      <c r="F421" s="38">
        <v>64.0</v>
      </c>
      <c r="G421" s="38">
        <v>99.0</v>
      </c>
      <c r="H421" s="38">
        <v>113.0</v>
      </c>
      <c r="I421" s="48">
        <f t="shared" si="21"/>
        <v>1310</v>
      </c>
      <c r="J421" s="48">
        <f t="shared" si="22"/>
        <v>1522</v>
      </c>
      <c r="K421" s="49">
        <f t="shared" si="23"/>
        <v>0.5503816794</v>
      </c>
      <c r="L421" s="49">
        <f t="shared" si="24"/>
        <v>0.4007633588</v>
      </c>
      <c r="M421" s="49">
        <f t="shared" si="25"/>
        <v>0.04885496183</v>
      </c>
      <c r="N421" s="32" t="str">
        <f t="shared" si="26"/>
        <v>Jânio</v>
      </c>
      <c r="O421" s="50" t="s">
        <v>77</v>
      </c>
      <c r="P421" s="38">
        <v>490.0</v>
      </c>
      <c r="Q421" s="38">
        <v>473.0</v>
      </c>
      <c r="R421" s="38">
        <v>180.0</v>
      </c>
      <c r="S421" s="38">
        <v>299.0</v>
      </c>
      <c r="T421" s="38">
        <v>80.0</v>
      </c>
      <c r="U421" s="48">
        <f t="shared" si="27"/>
        <v>1143</v>
      </c>
      <c r="V421" s="48">
        <f t="shared" si="28"/>
        <v>1522</v>
      </c>
      <c r="W421" s="49">
        <f t="shared" si="29"/>
        <v>0.4286964129</v>
      </c>
      <c r="X421" s="49">
        <f t="shared" si="30"/>
        <v>0.4138232721</v>
      </c>
      <c r="Y421" s="49">
        <f t="shared" si="31"/>
        <v>0.157480315</v>
      </c>
      <c r="Z421" s="32" t="str">
        <f t="shared" si="32"/>
        <v>Jango</v>
      </c>
      <c r="AA421" s="50" t="s">
        <v>77</v>
      </c>
      <c r="AB421" s="38">
        <v>2029.0</v>
      </c>
      <c r="AC421" s="48">
        <f t="shared" si="35"/>
        <v>507</v>
      </c>
      <c r="AD421" s="51">
        <f t="shared" si="36"/>
        <v>0.7501232134</v>
      </c>
    </row>
    <row r="422">
      <c r="A422" s="24"/>
      <c r="B422" s="46" t="s">
        <v>3016</v>
      </c>
      <c r="C422" s="47"/>
      <c r="D422" s="38">
        <v>296.0</v>
      </c>
      <c r="E422" s="38">
        <v>330.0</v>
      </c>
      <c r="F422" s="38">
        <v>57.0</v>
      </c>
      <c r="G422" s="38">
        <v>63.0</v>
      </c>
      <c r="H422" s="38">
        <v>58.0</v>
      </c>
      <c r="I422" s="48">
        <f t="shared" si="21"/>
        <v>683</v>
      </c>
      <c r="J422" s="48">
        <f t="shared" si="22"/>
        <v>804</v>
      </c>
      <c r="K422" s="49">
        <f t="shared" si="23"/>
        <v>0.4333821376</v>
      </c>
      <c r="L422" s="49">
        <f t="shared" si="24"/>
        <v>0.4831625183</v>
      </c>
      <c r="M422" s="49">
        <f t="shared" si="25"/>
        <v>0.08345534407</v>
      </c>
      <c r="N422" s="32" t="str">
        <f t="shared" si="26"/>
        <v>Mal. Lott</v>
      </c>
      <c r="O422" s="50" t="s">
        <v>77</v>
      </c>
      <c r="P422" s="38">
        <v>346.0</v>
      </c>
      <c r="Q422" s="38">
        <v>254.0</v>
      </c>
      <c r="R422" s="38">
        <v>32.0</v>
      </c>
      <c r="S422" s="38">
        <v>141.0</v>
      </c>
      <c r="T422" s="38">
        <v>31.0</v>
      </c>
      <c r="U422" s="48">
        <f t="shared" si="27"/>
        <v>632</v>
      </c>
      <c r="V422" s="48">
        <f t="shared" si="28"/>
        <v>804</v>
      </c>
      <c r="W422" s="49">
        <f t="shared" si="29"/>
        <v>0.5474683544</v>
      </c>
      <c r="X422" s="49">
        <f t="shared" si="30"/>
        <v>0.4018987342</v>
      </c>
      <c r="Y422" s="49">
        <f t="shared" si="31"/>
        <v>0.05063291139</v>
      </c>
      <c r="Z422" s="32" t="str">
        <f t="shared" si="32"/>
        <v>Jango</v>
      </c>
      <c r="AA422" s="50" t="s">
        <v>77</v>
      </c>
      <c r="AB422" s="38">
        <v>1088.0</v>
      </c>
      <c r="AC422" s="48">
        <f t="shared" si="35"/>
        <v>284</v>
      </c>
      <c r="AD422" s="51">
        <f t="shared" si="36"/>
        <v>0.7389705882</v>
      </c>
    </row>
    <row r="423">
      <c r="A423" s="110" t="s">
        <v>3017</v>
      </c>
      <c r="B423" s="46" t="s">
        <v>3018</v>
      </c>
      <c r="C423" s="47"/>
      <c r="D423" s="38">
        <v>1753.0</v>
      </c>
      <c r="E423" s="38">
        <v>1614.0</v>
      </c>
      <c r="F423" s="38">
        <v>344.0</v>
      </c>
      <c r="G423" s="38">
        <v>191.0</v>
      </c>
      <c r="H423" s="38">
        <v>169.0</v>
      </c>
      <c r="I423" s="48">
        <f t="shared" si="21"/>
        <v>3711</v>
      </c>
      <c r="J423" s="48">
        <f t="shared" si="22"/>
        <v>4071</v>
      </c>
      <c r="K423" s="49">
        <f t="shared" si="23"/>
        <v>0.4723794126</v>
      </c>
      <c r="L423" s="49">
        <f t="shared" si="24"/>
        <v>0.4349232013</v>
      </c>
      <c r="M423" s="49">
        <f t="shared" si="25"/>
        <v>0.09269738615</v>
      </c>
      <c r="N423" s="32" t="str">
        <f t="shared" si="26"/>
        <v>Jânio</v>
      </c>
      <c r="O423" s="50" t="s">
        <v>77</v>
      </c>
      <c r="P423" s="38">
        <v>1454.0</v>
      </c>
      <c r="Q423" s="38">
        <v>1620.0</v>
      </c>
      <c r="R423" s="38">
        <v>280.0</v>
      </c>
      <c r="S423" s="38">
        <v>581.0</v>
      </c>
      <c r="T423" s="38">
        <v>136.0</v>
      </c>
      <c r="U423" s="48">
        <f t="shared" si="27"/>
        <v>3354</v>
      </c>
      <c r="V423" s="48">
        <f t="shared" si="28"/>
        <v>4071</v>
      </c>
      <c r="W423" s="49">
        <f t="shared" si="29"/>
        <v>0.4335122242</v>
      </c>
      <c r="X423" s="49">
        <f t="shared" si="30"/>
        <v>0.4830053667</v>
      </c>
      <c r="Y423" s="49">
        <f t="shared" si="31"/>
        <v>0.08348240906</v>
      </c>
      <c r="Z423" s="32" t="str">
        <f t="shared" si="32"/>
        <v>Milton</v>
      </c>
      <c r="AA423" s="50" t="s">
        <v>77</v>
      </c>
      <c r="AB423" s="38">
        <v>4672.0</v>
      </c>
      <c r="AC423" s="48">
        <f t="shared" si="35"/>
        <v>601</v>
      </c>
      <c r="AD423" s="51">
        <f t="shared" si="36"/>
        <v>0.8713613014</v>
      </c>
    </row>
    <row r="424">
      <c r="A424" s="61" t="s">
        <v>3019</v>
      </c>
      <c r="B424" s="46" t="s">
        <v>3020</v>
      </c>
      <c r="C424" s="47"/>
      <c r="D424" s="38">
        <v>1296.0</v>
      </c>
      <c r="E424" s="38">
        <v>4036.0</v>
      </c>
      <c r="F424" s="38">
        <v>575.0</v>
      </c>
      <c r="G424" s="38">
        <v>360.0</v>
      </c>
      <c r="H424" s="38">
        <v>365.0</v>
      </c>
      <c r="I424" s="48">
        <f t="shared" si="21"/>
        <v>5907</v>
      </c>
      <c r="J424" s="48">
        <f t="shared" si="22"/>
        <v>6632</v>
      </c>
      <c r="K424" s="49">
        <f t="shared" si="23"/>
        <v>0.219400711</v>
      </c>
      <c r="L424" s="49">
        <f t="shared" si="24"/>
        <v>0.6832571525</v>
      </c>
      <c r="M424" s="49">
        <f t="shared" si="25"/>
        <v>0.09734213645</v>
      </c>
      <c r="N424" s="32" t="str">
        <f t="shared" si="26"/>
        <v>Mal. Lott</v>
      </c>
      <c r="O424" s="50" t="s">
        <v>77</v>
      </c>
      <c r="P424" s="38">
        <v>2166.0</v>
      </c>
      <c r="Q424" s="38">
        <v>1089.0</v>
      </c>
      <c r="R424" s="38">
        <v>413.0</v>
      </c>
      <c r="S424" s="38">
        <v>2810.0</v>
      </c>
      <c r="T424" s="38">
        <v>154.0</v>
      </c>
      <c r="U424" s="48">
        <f t="shared" si="27"/>
        <v>3668</v>
      </c>
      <c r="V424" s="48">
        <f t="shared" si="28"/>
        <v>6632</v>
      </c>
      <c r="W424" s="49">
        <f t="shared" si="29"/>
        <v>0.5905125409</v>
      </c>
      <c r="X424" s="49">
        <f t="shared" si="30"/>
        <v>0.2968920393</v>
      </c>
      <c r="Y424" s="49">
        <f t="shared" si="31"/>
        <v>0.1125954198</v>
      </c>
      <c r="Z424" s="32" t="str">
        <f t="shared" si="32"/>
        <v>Jango</v>
      </c>
      <c r="AA424" s="50" t="s">
        <v>77</v>
      </c>
      <c r="AB424" s="38">
        <v>10075.0</v>
      </c>
      <c r="AC424" s="48">
        <f t="shared" si="35"/>
        <v>3443</v>
      </c>
      <c r="AD424" s="51">
        <f t="shared" si="36"/>
        <v>0.6582630273</v>
      </c>
    </row>
    <row r="425">
      <c r="A425" s="24"/>
      <c r="B425" s="46" t="s">
        <v>3021</v>
      </c>
      <c r="C425" s="47"/>
      <c r="D425" s="38">
        <v>664.0</v>
      </c>
      <c r="E425" s="38">
        <v>248.0</v>
      </c>
      <c r="F425" s="38">
        <v>44.0</v>
      </c>
      <c r="G425" s="38">
        <v>32.0</v>
      </c>
      <c r="H425" s="38">
        <v>65.0</v>
      </c>
      <c r="I425" s="48">
        <f t="shared" si="21"/>
        <v>956</v>
      </c>
      <c r="J425" s="48">
        <f t="shared" si="22"/>
        <v>1053</v>
      </c>
      <c r="K425" s="49">
        <f t="shared" si="23"/>
        <v>0.6945606695</v>
      </c>
      <c r="L425" s="49">
        <f t="shared" si="24"/>
        <v>0.2594142259</v>
      </c>
      <c r="M425" s="49">
        <f t="shared" si="25"/>
        <v>0.0460251046</v>
      </c>
      <c r="N425" s="32" t="str">
        <f t="shared" si="26"/>
        <v>Jânio</v>
      </c>
      <c r="O425" s="50" t="s">
        <v>77</v>
      </c>
      <c r="P425" s="38">
        <v>287.0</v>
      </c>
      <c r="Q425" s="38">
        <v>587.0</v>
      </c>
      <c r="R425" s="38">
        <v>57.0</v>
      </c>
      <c r="S425" s="38">
        <v>84.0</v>
      </c>
      <c r="T425" s="38">
        <v>38.0</v>
      </c>
      <c r="U425" s="48">
        <f t="shared" si="27"/>
        <v>931</v>
      </c>
      <c r="V425" s="48">
        <f t="shared" si="28"/>
        <v>1053</v>
      </c>
      <c r="W425" s="49">
        <f t="shared" si="29"/>
        <v>0.3082706767</v>
      </c>
      <c r="X425" s="49">
        <f t="shared" si="30"/>
        <v>0.6305048335</v>
      </c>
      <c r="Y425" s="49">
        <f t="shared" si="31"/>
        <v>0.0612244898</v>
      </c>
      <c r="Z425" s="32" t="str">
        <f t="shared" si="32"/>
        <v>Milton</v>
      </c>
      <c r="AA425" s="50" t="s">
        <v>77</v>
      </c>
      <c r="AB425" s="38">
        <v>1650.0</v>
      </c>
      <c r="AC425" s="48">
        <f t="shared" si="35"/>
        <v>597</v>
      </c>
      <c r="AD425" s="51">
        <f t="shared" si="36"/>
        <v>0.6381818182</v>
      </c>
    </row>
    <row r="426">
      <c r="A426" s="110" t="s">
        <v>3022</v>
      </c>
      <c r="B426" s="46" t="s">
        <v>3023</v>
      </c>
      <c r="C426" s="47"/>
      <c r="D426" s="38">
        <v>1295.0</v>
      </c>
      <c r="E426" s="38">
        <v>1693.0</v>
      </c>
      <c r="F426" s="38">
        <v>305.0</v>
      </c>
      <c r="G426" s="38">
        <v>284.0</v>
      </c>
      <c r="H426" s="38">
        <v>262.0</v>
      </c>
      <c r="I426" s="48">
        <f t="shared" si="21"/>
        <v>3293</v>
      </c>
      <c r="J426" s="48">
        <f t="shared" si="22"/>
        <v>3839</v>
      </c>
      <c r="K426" s="49">
        <f t="shared" si="23"/>
        <v>0.393258427</v>
      </c>
      <c r="L426" s="49">
        <f t="shared" si="24"/>
        <v>0.5141208624</v>
      </c>
      <c r="M426" s="49">
        <f t="shared" si="25"/>
        <v>0.0926207106</v>
      </c>
      <c r="N426" s="32" t="str">
        <f t="shared" si="26"/>
        <v>Mal. Lott</v>
      </c>
      <c r="O426" s="50" t="s">
        <v>77</v>
      </c>
      <c r="P426" s="38">
        <v>1704.0</v>
      </c>
      <c r="Q426" s="38">
        <v>1244.0</v>
      </c>
      <c r="R426" s="38">
        <v>189.0</v>
      </c>
      <c r="S426" s="38">
        <v>503.0</v>
      </c>
      <c r="T426" s="38">
        <v>199.0</v>
      </c>
      <c r="U426" s="48">
        <f t="shared" si="27"/>
        <v>3137</v>
      </c>
      <c r="V426" s="48">
        <f t="shared" si="28"/>
        <v>3839</v>
      </c>
      <c r="W426" s="49">
        <f t="shared" si="29"/>
        <v>0.5431941345</v>
      </c>
      <c r="X426" s="49">
        <f t="shared" si="30"/>
        <v>0.3965572203</v>
      </c>
      <c r="Y426" s="49">
        <f t="shared" si="31"/>
        <v>0.0602486452</v>
      </c>
      <c r="Z426" s="32" t="str">
        <f t="shared" si="32"/>
        <v>Jango</v>
      </c>
      <c r="AA426" s="50" t="s">
        <v>77</v>
      </c>
      <c r="AB426" s="38">
        <v>4420.0</v>
      </c>
      <c r="AC426" s="48">
        <f t="shared" si="35"/>
        <v>581</v>
      </c>
      <c r="AD426" s="51">
        <f t="shared" si="36"/>
        <v>0.8685520362</v>
      </c>
    </row>
    <row r="427">
      <c r="A427" s="61" t="s">
        <v>3024</v>
      </c>
      <c r="B427" s="46" t="s">
        <v>719</v>
      </c>
      <c r="C427" s="47"/>
      <c r="D427" s="38">
        <v>1033.0</v>
      </c>
      <c r="E427" s="38">
        <v>1216.0</v>
      </c>
      <c r="F427" s="55">
        <v>377.0</v>
      </c>
      <c r="G427" s="38">
        <v>329.0</v>
      </c>
      <c r="H427" s="38">
        <v>301.0</v>
      </c>
      <c r="I427" s="48">
        <f t="shared" si="21"/>
        <v>2626</v>
      </c>
      <c r="J427" s="114">
        <f t="shared" si="22"/>
        <v>3256</v>
      </c>
      <c r="K427" s="49">
        <f t="shared" si="23"/>
        <v>0.3933739528</v>
      </c>
      <c r="L427" s="49">
        <f t="shared" si="24"/>
        <v>0.4630616908</v>
      </c>
      <c r="M427" s="49">
        <f t="shared" si="25"/>
        <v>0.1435643564</v>
      </c>
      <c r="N427" s="32" t="str">
        <f t="shared" si="26"/>
        <v>Mal. Lott</v>
      </c>
      <c r="O427" s="50" t="s">
        <v>77</v>
      </c>
      <c r="P427" s="38">
        <v>1187.0</v>
      </c>
      <c r="Q427" s="38">
        <v>1048.0</v>
      </c>
      <c r="R427" s="38">
        <v>304.0</v>
      </c>
      <c r="S427" s="38">
        <v>496.0</v>
      </c>
      <c r="T427" s="38">
        <v>221.0</v>
      </c>
      <c r="U427" s="48">
        <f t="shared" si="27"/>
        <v>2539</v>
      </c>
      <c r="V427" s="48">
        <f t="shared" si="28"/>
        <v>3256</v>
      </c>
      <c r="W427" s="49">
        <f t="shared" si="29"/>
        <v>0.4675068925</v>
      </c>
      <c r="X427" s="49">
        <f t="shared" si="30"/>
        <v>0.4127609295</v>
      </c>
      <c r="Y427" s="49">
        <f t="shared" si="31"/>
        <v>0.119732178</v>
      </c>
      <c r="Z427" s="32" t="str">
        <f t="shared" si="32"/>
        <v>Jango</v>
      </c>
      <c r="AA427" s="50" t="s">
        <v>77</v>
      </c>
      <c r="AB427" s="38">
        <v>4299.0</v>
      </c>
      <c r="AC427" s="48">
        <f t="shared" si="35"/>
        <v>1043</v>
      </c>
      <c r="AD427" s="51">
        <f t="shared" si="36"/>
        <v>0.7573854385</v>
      </c>
    </row>
    <row r="428">
      <c r="A428" s="23"/>
      <c r="B428" s="46" t="s">
        <v>3025</v>
      </c>
      <c r="C428" s="47"/>
      <c r="D428" s="38">
        <v>382.0</v>
      </c>
      <c r="E428" s="38">
        <v>799.0</v>
      </c>
      <c r="F428" s="38">
        <v>203.0</v>
      </c>
      <c r="G428" s="38">
        <v>151.0</v>
      </c>
      <c r="H428" s="38">
        <v>115.0</v>
      </c>
      <c r="I428" s="48">
        <f t="shared" si="21"/>
        <v>1384</v>
      </c>
      <c r="J428" s="48">
        <f t="shared" si="22"/>
        <v>1650</v>
      </c>
      <c r="K428" s="49">
        <f t="shared" si="23"/>
        <v>0.2760115607</v>
      </c>
      <c r="L428" s="49">
        <f t="shared" si="24"/>
        <v>0.5773121387</v>
      </c>
      <c r="M428" s="49">
        <f t="shared" si="25"/>
        <v>0.1466763006</v>
      </c>
      <c r="N428" s="32" t="str">
        <f t="shared" si="26"/>
        <v>Mal. Lott</v>
      </c>
      <c r="O428" s="50" t="s">
        <v>77</v>
      </c>
      <c r="P428" s="38">
        <v>903.0</v>
      </c>
      <c r="Q428" s="38">
        <v>304.0</v>
      </c>
      <c r="R428" s="38">
        <v>123.0</v>
      </c>
      <c r="S428" s="38">
        <v>254.0</v>
      </c>
      <c r="T428" s="38">
        <v>66.0</v>
      </c>
      <c r="U428" s="48">
        <f t="shared" si="27"/>
        <v>1330</v>
      </c>
      <c r="V428" s="48">
        <f t="shared" si="28"/>
        <v>1650</v>
      </c>
      <c r="W428" s="49">
        <f t="shared" si="29"/>
        <v>0.6789473684</v>
      </c>
      <c r="X428" s="49">
        <f t="shared" si="30"/>
        <v>0.2285714286</v>
      </c>
      <c r="Y428" s="49">
        <f t="shared" si="31"/>
        <v>0.09248120301</v>
      </c>
      <c r="Z428" s="32" t="str">
        <f t="shared" si="32"/>
        <v>Jango</v>
      </c>
      <c r="AA428" s="50" t="s">
        <v>77</v>
      </c>
      <c r="AB428" s="38">
        <v>1992.0</v>
      </c>
      <c r="AC428" s="48">
        <f t="shared" si="35"/>
        <v>342</v>
      </c>
      <c r="AD428" s="51">
        <f t="shared" si="36"/>
        <v>0.828313253</v>
      </c>
    </row>
    <row r="429">
      <c r="A429" s="23"/>
      <c r="B429" s="46" t="s">
        <v>3026</v>
      </c>
      <c r="C429" s="47"/>
      <c r="D429" s="38">
        <v>1360.0</v>
      </c>
      <c r="E429" s="38">
        <v>900.0</v>
      </c>
      <c r="F429" s="38">
        <v>212.0</v>
      </c>
      <c r="G429" s="38">
        <v>197.0</v>
      </c>
      <c r="H429" s="38">
        <v>253.0</v>
      </c>
      <c r="I429" s="48">
        <f t="shared" si="21"/>
        <v>2472</v>
      </c>
      <c r="J429" s="48">
        <f t="shared" si="22"/>
        <v>2922</v>
      </c>
      <c r="K429" s="49">
        <f t="shared" si="23"/>
        <v>0.5501618123</v>
      </c>
      <c r="L429" s="49">
        <f t="shared" si="24"/>
        <v>0.3640776699</v>
      </c>
      <c r="M429" s="49">
        <f t="shared" si="25"/>
        <v>0.0857605178</v>
      </c>
      <c r="N429" s="32" t="str">
        <f t="shared" si="26"/>
        <v>Jânio</v>
      </c>
      <c r="O429" s="50" t="s">
        <v>77</v>
      </c>
      <c r="P429" s="38">
        <v>805.0</v>
      </c>
      <c r="Q429" s="38">
        <v>1367.0</v>
      </c>
      <c r="R429" s="38">
        <v>151.0</v>
      </c>
      <c r="S429" s="38">
        <v>462.0</v>
      </c>
      <c r="T429" s="38">
        <v>137.0</v>
      </c>
      <c r="U429" s="48">
        <f t="shared" si="27"/>
        <v>2323</v>
      </c>
      <c r="V429" s="48">
        <f t="shared" si="28"/>
        <v>2922</v>
      </c>
      <c r="W429" s="49">
        <f t="shared" si="29"/>
        <v>0.3465346535</v>
      </c>
      <c r="X429" s="49">
        <f t="shared" si="30"/>
        <v>0.5884631941</v>
      </c>
      <c r="Y429" s="49">
        <f t="shared" si="31"/>
        <v>0.06500215239</v>
      </c>
      <c r="Z429" s="32" t="str">
        <f t="shared" si="32"/>
        <v>Milton</v>
      </c>
      <c r="AA429" s="50" t="s">
        <v>77</v>
      </c>
      <c r="AB429" s="38">
        <v>3801.0</v>
      </c>
      <c r="AC429" s="48">
        <f t="shared" si="35"/>
        <v>879</v>
      </c>
      <c r="AD429" s="51">
        <f t="shared" si="36"/>
        <v>0.7687450671</v>
      </c>
    </row>
    <row r="430">
      <c r="A430" s="24"/>
      <c r="B430" s="46" t="s">
        <v>3027</v>
      </c>
      <c r="C430" s="47"/>
      <c r="D430" s="38">
        <v>759.0</v>
      </c>
      <c r="E430" s="38">
        <v>839.0</v>
      </c>
      <c r="F430" s="38">
        <v>175.0</v>
      </c>
      <c r="G430" s="38">
        <v>127.0</v>
      </c>
      <c r="H430" s="38">
        <v>138.0</v>
      </c>
      <c r="I430" s="48">
        <f t="shared" si="21"/>
        <v>1773</v>
      </c>
      <c r="J430" s="48">
        <f t="shared" si="22"/>
        <v>2038</v>
      </c>
      <c r="K430" s="49">
        <f t="shared" si="23"/>
        <v>0.4280879865</v>
      </c>
      <c r="L430" s="49">
        <f t="shared" si="24"/>
        <v>0.4732092499</v>
      </c>
      <c r="M430" s="49">
        <f t="shared" si="25"/>
        <v>0.09870276368</v>
      </c>
      <c r="N430" s="32" t="str">
        <f t="shared" si="26"/>
        <v>Mal. Lott</v>
      </c>
      <c r="O430" s="50" t="s">
        <v>77</v>
      </c>
      <c r="P430" s="38">
        <v>755.0</v>
      </c>
      <c r="Q430" s="38">
        <v>767.0</v>
      </c>
      <c r="R430" s="38">
        <v>130.0</v>
      </c>
      <c r="S430" s="38">
        <v>287.0</v>
      </c>
      <c r="T430" s="38">
        <v>99.0</v>
      </c>
      <c r="U430" s="48">
        <f t="shared" si="27"/>
        <v>1652</v>
      </c>
      <c r="V430" s="48">
        <f t="shared" si="28"/>
        <v>2038</v>
      </c>
      <c r="W430" s="49">
        <f t="shared" si="29"/>
        <v>0.4570217918</v>
      </c>
      <c r="X430" s="49">
        <f t="shared" si="30"/>
        <v>0.4642857143</v>
      </c>
      <c r="Y430" s="49">
        <f t="shared" si="31"/>
        <v>0.07869249395</v>
      </c>
      <c r="Z430" s="32" t="str">
        <f t="shared" si="32"/>
        <v>Milton</v>
      </c>
      <c r="AA430" s="50" t="s">
        <v>77</v>
      </c>
      <c r="AB430" s="38">
        <v>2439.0</v>
      </c>
      <c r="AC430" s="48">
        <f t="shared" si="35"/>
        <v>401</v>
      </c>
      <c r="AD430" s="51">
        <f t="shared" si="36"/>
        <v>0.8355883559</v>
      </c>
    </row>
    <row r="431">
      <c r="A431" s="110" t="s">
        <v>3028</v>
      </c>
      <c r="B431" s="46" t="s">
        <v>3029</v>
      </c>
      <c r="C431" s="47"/>
      <c r="D431" s="38">
        <v>1016.0</v>
      </c>
      <c r="E431" s="38">
        <v>1576.0</v>
      </c>
      <c r="F431" s="38">
        <v>170.0</v>
      </c>
      <c r="G431" s="38">
        <v>184.0</v>
      </c>
      <c r="H431" s="38">
        <v>200.0</v>
      </c>
      <c r="I431" s="48">
        <f t="shared" si="21"/>
        <v>2762</v>
      </c>
      <c r="J431" s="48">
        <f t="shared" si="22"/>
        <v>3146</v>
      </c>
      <c r="K431" s="49">
        <f t="shared" si="23"/>
        <v>0.3678493845</v>
      </c>
      <c r="L431" s="49">
        <f t="shared" si="24"/>
        <v>0.5706010138</v>
      </c>
      <c r="M431" s="49">
        <f t="shared" si="25"/>
        <v>0.06154960174</v>
      </c>
      <c r="N431" s="32" t="str">
        <f t="shared" si="26"/>
        <v>Mal. Lott</v>
      </c>
      <c r="O431" s="50" t="s">
        <v>77</v>
      </c>
      <c r="P431" s="38">
        <v>1644.0</v>
      </c>
      <c r="Q431" s="38">
        <v>962.0</v>
      </c>
      <c r="R431" s="38">
        <v>115.0</v>
      </c>
      <c r="S431" s="38">
        <v>296.0</v>
      </c>
      <c r="T431" s="38">
        <v>129.0</v>
      </c>
      <c r="U431" s="48">
        <f t="shared" si="27"/>
        <v>2721</v>
      </c>
      <c r="V431" s="48">
        <f t="shared" si="28"/>
        <v>3146</v>
      </c>
      <c r="W431" s="49">
        <f t="shared" si="29"/>
        <v>0.6041896362</v>
      </c>
      <c r="X431" s="49">
        <f t="shared" si="30"/>
        <v>0.3535464903</v>
      </c>
      <c r="Y431" s="49">
        <f t="shared" si="31"/>
        <v>0.04226387358</v>
      </c>
      <c r="Z431" s="32" t="str">
        <f t="shared" si="32"/>
        <v>Jango</v>
      </c>
      <c r="AA431" s="50" t="s">
        <v>77</v>
      </c>
      <c r="AB431" s="38">
        <v>3689.0</v>
      </c>
      <c r="AC431" s="48">
        <f t="shared" si="35"/>
        <v>543</v>
      </c>
      <c r="AD431" s="51">
        <f t="shared" si="36"/>
        <v>0.8528056384</v>
      </c>
    </row>
    <row r="432">
      <c r="A432" s="61" t="s">
        <v>3030</v>
      </c>
      <c r="B432" s="46" t="s">
        <v>3031</v>
      </c>
      <c r="C432" s="47"/>
      <c r="D432" s="38">
        <v>996.0</v>
      </c>
      <c r="E432" s="38">
        <v>1539.0</v>
      </c>
      <c r="F432" s="38">
        <v>376.0</v>
      </c>
      <c r="G432" s="38">
        <v>365.0</v>
      </c>
      <c r="H432" s="38">
        <v>222.0</v>
      </c>
      <c r="I432" s="48">
        <f t="shared" si="21"/>
        <v>2911</v>
      </c>
      <c r="J432" s="48">
        <f t="shared" si="22"/>
        <v>3498</v>
      </c>
      <c r="K432" s="49">
        <f t="shared" si="23"/>
        <v>0.3421504638</v>
      </c>
      <c r="L432" s="49">
        <f t="shared" si="24"/>
        <v>0.5286843009</v>
      </c>
      <c r="M432" s="49">
        <f t="shared" si="25"/>
        <v>0.1291652353</v>
      </c>
      <c r="N432" s="32" t="str">
        <f t="shared" si="26"/>
        <v>Mal. Lott</v>
      </c>
      <c r="O432" s="50" t="s">
        <v>77</v>
      </c>
      <c r="P432" s="38">
        <v>1705.0</v>
      </c>
      <c r="Q432" s="38">
        <v>768.0</v>
      </c>
      <c r="R432" s="38">
        <v>151.0</v>
      </c>
      <c r="S432" s="38">
        <v>770.0</v>
      </c>
      <c r="T432" s="38">
        <v>104.0</v>
      </c>
      <c r="U432" s="48">
        <f t="shared" si="27"/>
        <v>2624</v>
      </c>
      <c r="V432" s="48">
        <f t="shared" si="28"/>
        <v>3498</v>
      </c>
      <c r="W432" s="49">
        <f t="shared" si="29"/>
        <v>0.6497713415</v>
      </c>
      <c r="X432" s="49">
        <f t="shared" si="30"/>
        <v>0.2926829268</v>
      </c>
      <c r="Y432" s="49">
        <f t="shared" si="31"/>
        <v>0.05754573171</v>
      </c>
      <c r="Z432" s="32" t="str">
        <f t="shared" si="32"/>
        <v>Jango</v>
      </c>
      <c r="AA432" s="50" t="s">
        <v>77</v>
      </c>
      <c r="AB432" s="38">
        <v>5853.0</v>
      </c>
      <c r="AC432" s="48">
        <f t="shared" si="35"/>
        <v>2355</v>
      </c>
      <c r="AD432" s="51">
        <f t="shared" si="36"/>
        <v>0.5976422348</v>
      </c>
    </row>
    <row r="433">
      <c r="A433" s="24"/>
      <c r="B433" s="46" t="s">
        <v>3032</v>
      </c>
      <c r="C433" s="47"/>
      <c r="D433" s="38">
        <v>532.0</v>
      </c>
      <c r="E433" s="38">
        <v>514.0</v>
      </c>
      <c r="F433" s="38">
        <v>74.0</v>
      </c>
      <c r="G433" s="38">
        <v>108.0</v>
      </c>
      <c r="H433" s="38">
        <v>91.0</v>
      </c>
      <c r="I433" s="48">
        <f t="shared" si="21"/>
        <v>1120</v>
      </c>
      <c r="J433" s="48">
        <f t="shared" si="22"/>
        <v>1319</v>
      </c>
      <c r="K433" s="49">
        <f t="shared" si="23"/>
        <v>0.475</v>
      </c>
      <c r="L433" s="49">
        <f t="shared" si="24"/>
        <v>0.4589285714</v>
      </c>
      <c r="M433" s="49">
        <f t="shared" si="25"/>
        <v>0.06607142857</v>
      </c>
      <c r="N433" s="32" t="str">
        <f t="shared" si="26"/>
        <v>Jânio</v>
      </c>
      <c r="O433" s="50" t="s">
        <v>77</v>
      </c>
      <c r="P433" s="38">
        <v>548.0</v>
      </c>
      <c r="Q433" s="38">
        <v>487.0</v>
      </c>
      <c r="R433" s="38">
        <v>78.0</v>
      </c>
      <c r="S433" s="38">
        <v>144.0</v>
      </c>
      <c r="T433" s="38">
        <v>62.0</v>
      </c>
      <c r="U433" s="48">
        <f t="shared" si="27"/>
        <v>1113</v>
      </c>
      <c r="V433" s="48">
        <f t="shared" si="28"/>
        <v>1319</v>
      </c>
      <c r="W433" s="49">
        <f t="shared" si="29"/>
        <v>0.4923629829</v>
      </c>
      <c r="X433" s="49">
        <f t="shared" si="30"/>
        <v>0.4375561545</v>
      </c>
      <c r="Y433" s="49">
        <f t="shared" si="31"/>
        <v>0.07008086253</v>
      </c>
      <c r="Z433" s="32" t="str">
        <f t="shared" si="32"/>
        <v>Jango</v>
      </c>
      <c r="AA433" s="50" t="s">
        <v>77</v>
      </c>
      <c r="AB433" s="38">
        <v>1584.0</v>
      </c>
      <c r="AC433" s="48">
        <f t="shared" si="35"/>
        <v>265</v>
      </c>
      <c r="AD433" s="51">
        <f t="shared" si="36"/>
        <v>0.8327020202</v>
      </c>
    </row>
    <row r="434">
      <c r="A434" s="61" t="s">
        <v>3033</v>
      </c>
      <c r="B434" s="46" t="s">
        <v>3034</v>
      </c>
      <c r="C434" s="47"/>
      <c r="D434" s="38">
        <v>1670.0</v>
      </c>
      <c r="E434" s="38">
        <v>1244.0</v>
      </c>
      <c r="F434" s="38">
        <v>514.0</v>
      </c>
      <c r="G434" s="38">
        <v>182.0</v>
      </c>
      <c r="H434" s="38">
        <v>128.0</v>
      </c>
      <c r="I434" s="48">
        <f t="shared" si="21"/>
        <v>3428</v>
      </c>
      <c r="J434" s="48">
        <f t="shared" si="22"/>
        <v>3738</v>
      </c>
      <c r="K434" s="49">
        <f t="shared" si="23"/>
        <v>0.4871645274</v>
      </c>
      <c r="L434" s="49">
        <f t="shared" si="24"/>
        <v>0.3628938156</v>
      </c>
      <c r="M434" s="49">
        <f t="shared" si="25"/>
        <v>0.1499416569</v>
      </c>
      <c r="N434" s="32" t="str">
        <f t="shared" si="26"/>
        <v>Jânio</v>
      </c>
      <c r="O434" s="50" t="s">
        <v>77</v>
      </c>
      <c r="P434" s="38">
        <v>1350.0</v>
      </c>
      <c r="Q434" s="38">
        <v>1687.0</v>
      </c>
      <c r="R434" s="38">
        <v>201.0</v>
      </c>
      <c r="S434" s="38">
        <v>424.0</v>
      </c>
      <c r="T434" s="38">
        <v>76.0</v>
      </c>
      <c r="U434" s="48">
        <f t="shared" si="27"/>
        <v>3238</v>
      </c>
      <c r="V434" s="48">
        <f t="shared" si="28"/>
        <v>3738</v>
      </c>
      <c r="W434" s="49">
        <f t="shared" si="29"/>
        <v>0.4169240272</v>
      </c>
      <c r="X434" s="49">
        <f t="shared" si="30"/>
        <v>0.5210006177</v>
      </c>
      <c r="Y434" s="49">
        <f t="shared" si="31"/>
        <v>0.06207535516</v>
      </c>
      <c r="Z434" s="32" t="str">
        <f t="shared" si="32"/>
        <v>Milton</v>
      </c>
      <c r="AA434" s="50" t="s">
        <v>77</v>
      </c>
      <c r="AB434" s="38">
        <v>4630.0</v>
      </c>
      <c r="AC434" s="48">
        <f t="shared" si="35"/>
        <v>892</v>
      </c>
      <c r="AD434" s="51">
        <f t="shared" si="36"/>
        <v>0.8073434125</v>
      </c>
    </row>
    <row r="435">
      <c r="A435" s="24"/>
      <c r="B435" s="46" t="s">
        <v>3035</v>
      </c>
      <c r="C435" s="47"/>
      <c r="D435" s="38">
        <v>267.0</v>
      </c>
      <c r="E435" s="38">
        <v>274.0</v>
      </c>
      <c r="F435" s="38">
        <v>94.0</v>
      </c>
      <c r="G435" s="38">
        <v>34.0</v>
      </c>
      <c r="H435" s="38">
        <v>40.0</v>
      </c>
      <c r="I435" s="48">
        <f t="shared" si="21"/>
        <v>635</v>
      </c>
      <c r="J435" s="48">
        <f t="shared" si="22"/>
        <v>709</v>
      </c>
      <c r="K435" s="49">
        <f t="shared" si="23"/>
        <v>0.4204724409</v>
      </c>
      <c r="L435" s="49">
        <f t="shared" si="24"/>
        <v>0.431496063</v>
      </c>
      <c r="M435" s="49">
        <f t="shared" si="25"/>
        <v>0.1480314961</v>
      </c>
      <c r="N435" s="32" t="str">
        <f t="shared" si="26"/>
        <v>Mal. Lott</v>
      </c>
      <c r="O435" s="50" t="s">
        <v>77</v>
      </c>
      <c r="P435" s="38">
        <v>263.0</v>
      </c>
      <c r="Q435" s="38">
        <v>256.0</v>
      </c>
      <c r="R435" s="38">
        <v>47.0</v>
      </c>
      <c r="S435" s="38">
        <v>120.0</v>
      </c>
      <c r="T435" s="38">
        <v>23.0</v>
      </c>
      <c r="U435" s="48">
        <f t="shared" si="27"/>
        <v>566</v>
      </c>
      <c r="V435" s="48">
        <f t="shared" si="28"/>
        <v>709</v>
      </c>
      <c r="W435" s="49">
        <f t="shared" si="29"/>
        <v>0.464664311</v>
      </c>
      <c r="X435" s="49">
        <f t="shared" si="30"/>
        <v>0.4522968198</v>
      </c>
      <c r="Y435" s="49">
        <f t="shared" si="31"/>
        <v>0.08303886926</v>
      </c>
      <c r="Z435" s="32" t="str">
        <f t="shared" si="32"/>
        <v>Jango</v>
      </c>
      <c r="AA435" s="50" t="s">
        <v>77</v>
      </c>
      <c r="AB435" s="38">
        <v>741.0</v>
      </c>
      <c r="AC435" s="48">
        <f t="shared" si="35"/>
        <v>32</v>
      </c>
      <c r="AD435" s="51">
        <f t="shared" si="36"/>
        <v>0.9568151147</v>
      </c>
    </row>
    <row r="436">
      <c r="A436" s="61" t="s">
        <v>3036</v>
      </c>
      <c r="B436" s="46" t="s">
        <v>3037</v>
      </c>
      <c r="C436" s="47"/>
      <c r="D436" s="38">
        <v>1136.0</v>
      </c>
      <c r="E436" s="38">
        <v>649.0</v>
      </c>
      <c r="F436" s="38">
        <v>104.0</v>
      </c>
      <c r="G436" s="38">
        <v>213.0</v>
      </c>
      <c r="H436" s="38">
        <v>76.0</v>
      </c>
      <c r="I436" s="48">
        <f t="shared" si="21"/>
        <v>1889</v>
      </c>
      <c r="J436" s="48">
        <f t="shared" si="22"/>
        <v>2178</v>
      </c>
      <c r="K436" s="49">
        <f t="shared" si="23"/>
        <v>0.6013763896</v>
      </c>
      <c r="L436" s="49">
        <f t="shared" si="24"/>
        <v>0.3435680254</v>
      </c>
      <c r="M436" s="49">
        <f t="shared" si="25"/>
        <v>0.05505558497</v>
      </c>
      <c r="N436" s="32" t="str">
        <f t="shared" si="26"/>
        <v>Jânio</v>
      </c>
      <c r="O436" s="50" t="s">
        <v>77</v>
      </c>
      <c r="P436" s="38">
        <v>543.0</v>
      </c>
      <c r="Q436" s="38">
        <v>1084.0</v>
      </c>
      <c r="R436" s="38">
        <v>80.0</v>
      </c>
      <c r="S436" s="38">
        <v>429.0</v>
      </c>
      <c r="T436" s="38">
        <v>42.0</v>
      </c>
      <c r="U436" s="48">
        <f t="shared" si="27"/>
        <v>1707</v>
      </c>
      <c r="V436" s="48">
        <f t="shared" si="28"/>
        <v>2178</v>
      </c>
      <c r="W436" s="49">
        <f t="shared" si="29"/>
        <v>0.3181019332</v>
      </c>
      <c r="X436" s="49">
        <f t="shared" si="30"/>
        <v>0.6350322203</v>
      </c>
      <c r="Y436" s="49">
        <f t="shared" si="31"/>
        <v>0.04686584651</v>
      </c>
      <c r="Z436" s="32" t="str">
        <f t="shared" si="32"/>
        <v>Milton</v>
      </c>
      <c r="AA436" s="50" t="s">
        <v>77</v>
      </c>
      <c r="AB436" s="38">
        <v>2563.0</v>
      </c>
      <c r="AC436" s="48">
        <f t="shared" si="35"/>
        <v>385</v>
      </c>
      <c r="AD436" s="51">
        <f t="shared" si="36"/>
        <v>0.8497854077</v>
      </c>
    </row>
    <row r="437">
      <c r="A437" s="23"/>
      <c r="B437" s="46" t="s">
        <v>3038</v>
      </c>
      <c r="C437" s="47"/>
      <c r="D437" s="38">
        <v>232.0</v>
      </c>
      <c r="E437" s="38">
        <v>277.0</v>
      </c>
      <c r="F437" s="38">
        <v>34.0</v>
      </c>
      <c r="G437" s="38">
        <v>81.0</v>
      </c>
      <c r="H437" s="38">
        <v>41.0</v>
      </c>
      <c r="I437" s="48">
        <f t="shared" si="21"/>
        <v>543</v>
      </c>
      <c r="J437" s="48">
        <f t="shared" si="22"/>
        <v>665</v>
      </c>
      <c r="K437" s="49">
        <f t="shared" si="23"/>
        <v>0.4272559853</v>
      </c>
      <c r="L437" s="49">
        <f t="shared" si="24"/>
        <v>0.5101289134</v>
      </c>
      <c r="M437" s="49">
        <f t="shared" si="25"/>
        <v>0.06261510129</v>
      </c>
      <c r="N437" s="32" t="str">
        <f t="shared" si="26"/>
        <v>Mal. Lott</v>
      </c>
      <c r="O437" s="50" t="s">
        <v>77</v>
      </c>
      <c r="P437" s="38">
        <v>276.0</v>
      </c>
      <c r="Q437" s="38">
        <v>188.0</v>
      </c>
      <c r="R437" s="38">
        <v>25.0</v>
      </c>
      <c r="S437" s="38">
        <v>108.0</v>
      </c>
      <c r="T437" s="38">
        <v>68.0</v>
      </c>
      <c r="U437" s="48">
        <f t="shared" si="27"/>
        <v>489</v>
      </c>
      <c r="V437" s="48">
        <f t="shared" si="28"/>
        <v>665</v>
      </c>
      <c r="W437" s="49">
        <f t="shared" si="29"/>
        <v>0.5644171779</v>
      </c>
      <c r="X437" s="49">
        <f t="shared" si="30"/>
        <v>0.3844580777</v>
      </c>
      <c r="Y437" s="49">
        <f t="shared" si="31"/>
        <v>0.05112474438</v>
      </c>
      <c r="Z437" s="32" t="str">
        <f t="shared" si="32"/>
        <v>Jango</v>
      </c>
      <c r="AA437" s="50" t="s">
        <v>77</v>
      </c>
      <c r="AB437" s="38">
        <v>843.0</v>
      </c>
      <c r="AC437" s="48">
        <f t="shared" si="35"/>
        <v>178</v>
      </c>
      <c r="AD437" s="51">
        <f t="shared" si="36"/>
        <v>0.7888493476</v>
      </c>
    </row>
    <row r="438">
      <c r="A438" s="24"/>
      <c r="B438" s="46" t="s">
        <v>3039</v>
      </c>
      <c r="C438" s="47"/>
      <c r="D438" s="38">
        <v>1189.0</v>
      </c>
      <c r="E438" s="38">
        <v>658.0</v>
      </c>
      <c r="F438" s="38">
        <v>201.0</v>
      </c>
      <c r="G438" s="38">
        <v>182.0</v>
      </c>
      <c r="H438" s="38">
        <v>152.0</v>
      </c>
      <c r="I438" s="48">
        <f t="shared" si="21"/>
        <v>2048</v>
      </c>
      <c r="J438" s="48">
        <f t="shared" si="22"/>
        <v>2382</v>
      </c>
      <c r="K438" s="49">
        <f t="shared" si="23"/>
        <v>0.5805664063</v>
      </c>
      <c r="L438" s="49">
        <f t="shared" si="24"/>
        <v>0.3212890625</v>
      </c>
      <c r="M438" s="49">
        <f t="shared" si="25"/>
        <v>0.09814453125</v>
      </c>
      <c r="N438" s="32" t="str">
        <f t="shared" si="26"/>
        <v>Jânio</v>
      </c>
      <c r="O438" s="50" t="s">
        <v>77</v>
      </c>
      <c r="P438" s="38">
        <v>689.0</v>
      </c>
      <c r="Q438" s="38">
        <v>1102.0</v>
      </c>
      <c r="R438" s="38">
        <v>149.0</v>
      </c>
      <c r="S438" s="38">
        <v>352.0</v>
      </c>
      <c r="T438" s="38">
        <v>90.0</v>
      </c>
      <c r="U438" s="48">
        <f t="shared" si="27"/>
        <v>1940</v>
      </c>
      <c r="V438" s="48">
        <f t="shared" si="28"/>
        <v>2382</v>
      </c>
      <c r="W438" s="49">
        <f t="shared" si="29"/>
        <v>0.3551546392</v>
      </c>
      <c r="X438" s="49">
        <f t="shared" si="30"/>
        <v>0.5680412371</v>
      </c>
      <c r="Y438" s="49">
        <f t="shared" si="31"/>
        <v>0.07680412371</v>
      </c>
      <c r="Z438" s="32" t="str">
        <f t="shared" si="32"/>
        <v>Milton</v>
      </c>
      <c r="AA438" s="50" t="s">
        <v>77</v>
      </c>
      <c r="AB438" s="38">
        <v>3198.0</v>
      </c>
      <c r="AC438" s="48">
        <f t="shared" si="35"/>
        <v>816</v>
      </c>
      <c r="AD438" s="51">
        <f t="shared" si="36"/>
        <v>0.7448405253</v>
      </c>
    </row>
    <row r="439">
      <c r="A439" s="110" t="s">
        <v>3040</v>
      </c>
      <c r="B439" s="46" t="s">
        <v>3041</v>
      </c>
      <c r="C439" s="47"/>
      <c r="D439" s="38">
        <v>3115.0</v>
      </c>
      <c r="E439" s="38">
        <v>4363.0</v>
      </c>
      <c r="F439" s="38">
        <v>633.0</v>
      </c>
      <c r="G439" s="38">
        <v>303.0</v>
      </c>
      <c r="H439" s="38">
        <v>453.0</v>
      </c>
      <c r="I439" s="48">
        <f t="shared" si="21"/>
        <v>8111</v>
      </c>
      <c r="J439" s="48">
        <f t="shared" si="22"/>
        <v>8867</v>
      </c>
      <c r="K439" s="49">
        <f t="shared" si="23"/>
        <v>0.3840463568</v>
      </c>
      <c r="L439" s="49">
        <f t="shared" si="24"/>
        <v>0.5379114782</v>
      </c>
      <c r="M439" s="49">
        <f t="shared" si="25"/>
        <v>0.07804216496</v>
      </c>
      <c r="N439" s="32" t="str">
        <f t="shared" si="26"/>
        <v>Mal. Lott</v>
      </c>
      <c r="O439" s="50" t="s">
        <v>77</v>
      </c>
      <c r="P439" s="38">
        <v>3865.0</v>
      </c>
      <c r="Q439" s="38">
        <v>3207.0</v>
      </c>
      <c r="R439" s="38">
        <v>683.0</v>
      </c>
      <c r="S439" s="38">
        <v>684.0</v>
      </c>
      <c r="T439" s="38">
        <v>428.0</v>
      </c>
      <c r="U439" s="48">
        <f t="shared" si="27"/>
        <v>7755</v>
      </c>
      <c r="V439" s="48">
        <f t="shared" si="28"/>
        <v>8867</v>
      </c>
      <c r="W439" s="49">
        <f t="shared" si="29"/>
        <v>0.4983881367</v>
      </c>
      <c r="X439" s="49">
        <f t="shared" si="30"/>
        <v>0.4135396518</v>
      </c>
      <c r="Y439" s="49">
        <f t="shared" si="31"/>
        <v>0.08807221148</v>
      </c>
      <c r="Z439" s="32" t="str">
        <f t="shared" si="32"/>
        <v>Jango</v>
      </c>
      <c r="AA439" s="50" t="s">
        <v>77</v>
      </c>
      <c r="AB439" s="38">
        <v>10000.0</v>
      </c>
      <c r="AC439" s="48">
        <f t="shared" si="35"/>
        <v>1133</v>
      </c>
      <c r="AD439" s="51">
        <f t="shared" si="36"/>
        <v>0.8867</v>
      </c>
    </row>
    <row r="440">
      <c r="A440" s="61" t="s">
        <v>3042</v>
      </c>
      <c r="B440" s="46" t="s">
        <v>3043</v>
      </c>
      <c r="C440" s="47"/>
      <c r="D440" s="38">
        <v>2018.0</v>
      </c>
      <c r="E440" s="38">
        <v>1477.0</v>
      </c>
      <c r="F440" s="38">
        <v>158.0</v>
      </c>
      <c r="G440" s="38">
        <v>312.0</v>
      </c>
      <c r="H440" s="38">
        <v>234.0</v>
      </c>
      <c r="I440" s="48">
        <f t="shared" si="21"/>
        <v>3653</v>
      </c>
      <c r="J440" s="48">
        <f t="shared" si="22"/>
        <v>4199</v>
      </c>
      <c r="K440" s="49">
        <f t="shared" si="23"/>
        <v>0.5524226663</v>
      </c>
      <c r="L440" s="49">
        <f t="shared" si="24"/>
        <v>0.4043252122</v>
      </c>
      <c r="M440" s="49">
        <f t="shared" si="25"/>
        <v>0.04325212154</v>
      </c>
      <c r="N440" s="32" t="str">
        <f t="shared" si="26"/>
        <v>Jânio</v>
      </c>
      <c r="O440" s="50" t="s">
        <v>77</v>
      </c>
      <c r="P440" s="38">
        <v>1494.0</v>
      </c>
      <c r="Q440" s="38">
        <v>1890.0</v>
      </c>
      <c r="R440" s="38">
        <v>141.0</v>
      </c>
      <c r="S440" s="38">
        <v>537.0</v>
      </c>
      <c r="T440" s="38">
        <v>137.0</v>
      </c>
      <c r="U440" s="48">
        <f t="shared" si="27"/>
        <v>3525</v>
      </c>
      <c r="V440" s="48">
        <f t="shared" si="28"/>
        <v>4199</v>
      </c>
      <c r="W440" s="49">
        <f t="shared" si="29"/>
        <v>0.4238297872</v>
      </c>
      <c r="X440" s="49">
        <f t="shared" si="30"/>
        <v>0.5361702128</v>
      </c>
      <c r="Y440" s="49">
        <f t="shared" si="31"/>
        <v>0.04</v>
      </c>
      <c r="Z440" s="32" t="str">
        <f t="shared" si="32"/>
        <v>Milton</v>
      </c>
      <c r="AA440" s="50" t="s">
        <v>77</v>
      </c>
      <c r="AB440" s="38">
        <v>5047.0</v>
      </c>
      <c r="AC440" s="48">
        <f t="shared" si="35"/>
        <v>848</v>
      </c>
      <c r="AD440" s="51">
        <f t="shared" si="36"/>
        <v>0.8319793937</v>
      </c>
    </row>
    <row r="441">
      <c r="A441" s="23"/>
      <c r="B441" s="46" t="s">
        <v>3044</v>
      </c>
      <c r="C441" s="47"/>
      <c r="D441" s="38">
        <v>783.0</v>
      </c>
      <c r="E441" s="38">
        <v>772.0</v>
      </c>
      <c r="F441" s="38">
        <v>70.0</v>
      </c>
      <c r="G441" s="38">
        <v>213.0</v>
      </c>
      <c r="H441" s="38">
        <v>92.0</v>
      </c>
      <c r="I441" s="48">
        <f t="shared" si="21"/>
        <v>1625</v>
      </c>
      <c r="J441" s="48">
        <f t="shared" si="22"/>
        <v>1930</v>
      </c>
      <c r="K441" s="49">
        <f t="shared" si="23"/>
        <v>0.4818461538</v>
      </c>
      <c r="L441" s="49">
        <f t="shared" si="24"/>
        <v>0.4750769231</v>
      </c>
      <c r="M441" s="49">
        <f t="shared" si="25"/>
        <v>0.04307692308</v>
      </c>
      <c r="N441" s="32" t="str">
        <f t="shared" si="26"/>
        <v>Jânio</v>
      </c>
      <c r="O441" s="50" t="s">
        <v>77</v>
      </c>
      <c r="P441" s="38">
        <v>745.0</v>
      </c>
      <c r="Q441" s="38">
        <v>677.0</v>
      </c>
      <c r="R441" s="38">
        <v>52.0</v>
      </c>
      <c r="S441" s="38">
        <v>399.0</v>
      </c>
      <c r="T441" s="38">
        <v>57.0</v>
      </c>
      <c r="U441" s="48">
        <f t="shared" si="27"/>
        <v>1474</v>
      </c>
      <c r="V441" s="48">
        <f t="shared" si="28"/>
        <v>1930</v>
      </c>
      <c r="W441" s="49">
        <f t="shared" si="29"/>
        <v>0.5054274084</v>
      </c>
      <c r="X441" s="49">
        <f t="shared" si="30"/>
        <v>0.4592944369</v>
      </c>
      <c r="Y441" s="49">
        <f t="shared" si="31"/>
        <v>0.03527815468</v>
      </c>
      <c r="Z441" s="32" t="str">
        <f t="shared" si="32"/>
        <v>Jango</v>
      </c>
      <c r="AA441" s="50" t="s">
        <v>77</v>
      </c>
      <c r="AB441" s="38">
        <v>2360.0</v>
      </c>
      <c r="AC441" s="48">
        <f t="shared" si="35"/>
        <v>430</v>
      </c>
      <c r="AD441" s="51">
        <f t="shared" si="36"/>
        <v>0.8177966102</v>
      </c>
    </row>
    <row r="442">
      <c r="A442" s="23"/>
      <c r="B442" s="46" t="s">
        <v>3045</v>
      </c>
      <c r="C442" s="47"/>
      <c r="D442" s="38">
        <v>156.0</v>
      </c>
      <c r="E442" s="38">
        <v>385.0</v>
      </c>
      <c r="F442" s="38">
        <v>16.0</v>
      </c>
      <c r="G442" s="38">
        <v>22.0</v>
      </c>
      <c r="H442" s="38">
        <v>23.0</v>
      </c>
      <c r="I442" s="48">
        <f t="shared" si="21"/>
        <v>557</v>
      </c>
      <c r="J442" s="48">
        <f t="shared" si="22"/>
        <v>602</v>
      </c>
      <c r="K442" s="49">
        <f t="shared" si="23"/>
        <v>0.2800718133</v>
      </c>
      <c r="L442" s="49">
        <f t="shared" si="24"/>
        <v>0.6912028725</v>
      </c>
      <c r="M442" s="49">
        <f t="shared" si="25"/>
        <v>0.02872531418</v>
      </c>
      <c r="N442" s="32" t="str">
        <f t="shared" si="26"/>
        <v>Mal. Lott</v>
      </c>
      <c r="O442" s="50" t="s">
        <v>77</v>
      </c>
      <c r="P442" s="38">
        <v>380.0</v>
      </c>
      <c r="Q442" s="38">
        <v>143.0</v>
      </c>
      <c r="R442" s="38">
        <v>17.0</v>
      </c>
      <c r="S442" s="38">
        <v>58.0</v>
      </c>
      <c r="T442" s="38">
        <v>4.0</v>
      </c>
      <c r="U442" s="48">
        <f t="shared" si="27"/>
        <v>540</v>
      </c>
      <c r="V442" s="48">
        <f t="shared" si="28"/>
        <v>602</v>
      </c>
      <c r="W442" s="49">
        <f t="shared" si="29"/>
        <v>0.7037037037</v>
      </c>
      <c r="X442" s="49">
        <f t="shared" si="30"/>
        <v>0.2648148148</v>
      </c>
      <c r="Y442" s="49">
        <f t="shared" si="31"/>
        <v>0.03148148148</v>
      </c>
      <c r="Z442" s="32" t="str">
        <f t="shared" si="32"/>
        <v>Jango</v>
      </c>
      <c r="AA442" s="50" t="s">
        <v>77</v>
      </c>
      <c r="AB442" s="38">
        <v>700.0</v>
      </c>
      <c r="AC442" s="48">
        <f t="shared" si="35"/>
        <v>98</v>
      </c>
      <c r="AD442" s="51">
        <f t="shared" si="36"/>
        <v>0.86</v>
      </c>
    </row>
    <row r="443">
      <c r="A443" s="23"/>
      <c r="B443" s="46" t="s">
        <v>3046</v>
      </c>
      <c r="C443" s="47"/>
      <c r="D443" s="38">
        <v>364.0</v>
      </c>
      <c r="E443" s="38">
        <v>378.0</v>
      </c>
      <c r="F443" s="38">
        <v>17.0</v>
      </c>
      <c r="G443" s="38">
        <v>52.0</v>
      </c>
      <c r="H443" s="38">
        <v>33.0</v>
      </c>
      <c r="I443" s="48">
        <f t="shared" si="21"/>
        <v>759</v>
      </c>
      <c r="J443" s="48">
        <f t="shared" si="22"/>
        <v>844</v>
      </c>
      <c r="K443" s="49">
        <f t="shared" si="23"/>
        <v>0.4795783926</v>
      </c>
      <c r="L443" s="49">
        <f t="shared" si="24"/>
        <v>0.4980237154</v>
      </c>
      <c r="M443" s="49">
        <f t="shared" si="25"/>
        <v>0.02239789196</v>
      </c>
      <c r="N443" s="32" t="str">
        <f t="shared" si="26"/>
        <v>Mal. Lott</v>
      </c>
      <c r="O443" s="50" t="s">
        <v>77</v>
      </c>
      <c r="P443" s="38">
        <v>374.0</v>
      </c>
      <c r="Q443" s="38">
        <v>330.0</v>
      </c>
      <c r="R443" s="38">
        <v>14.0</v>
      </c>
      <c r="S443" s="38">
        <v>115.0</v>
      </c>
      <c r="T443" s="38">
        <v>11.0</v>
      </c>
      <c r="U443" s="48">
        <f t="shared" si="27"/>
        <v>718</v>
      </c>
      <c r="V443" s="48">
        <f t="shared" si="28"/>
        <v>844</v>
      </c>
      <c r="W443" s="49">
        <f t="shared" si="29"/>
        <v>0.5208913649</v>
      </c>
      <c r="X443" s="49">
        <f t="shared" si="30"/>
        <v>0.4596100279</v>
      </c>
      <c r="Y443" s="49">
        <f t="shared" si="31"/>
        <v>0.01949860724</v>
      </c>
      <c r="Z443" s="32" t="str">
        <f t="shared" si="32"/>
        <v>Jango</v>
      </c>
      <c r="AA443" s="50" t="s">
        <v>77</v>
      </c>
      <c r="AB443" s="38">
        <v>1012.0</v>
      </c>
      <c r="AC443" s="48">
        <f t="shared" si="35"/>
        <v>168</v>
      </c>
      <c r="AD443" s="51">
        <f t="shared" si="36"/>
        <v>0.8339920949</v>
      </c>
    </row>
    <row r="444">
      <c r="A444" s="24"/>
      <c r="B444" s="46" t="s">
        <v>3047</v>
      </c>
      <c r="C444" s="47"/>
      <c r="D444" s="38">
        <v>465.0</v>
      </c>
      <c r="E444" s="38">
        <v>740.0</v>
      </c>
      <c r="F444" s="38">
        <v>98.0</v>
      </c>
      <c r="G444" s="38">
        <v>170.0</v>
      </c>
      <c r="H444" s="38">
        <v>116.0</v>
      </c>
      <c r="I444" s="48">
        <f t="shared" si="21"/>
        <v>1303</v>
      </c>
      <c r="J444" s="48">
        <f t="shared" si="22"/>
        <v>1589</v>
      </c>
      <c r="K444" s="49">
        <f t="shared" si="23"/>
        <v>0.3568687644</v>
      </c>
      <c r="L444" s="49">
        <f t="shared" si="24"/>
        <v>0.5679201842</v>
      </c>
      <c r="M444" s="49">
        <f t="shared" si="25"/>
        <v>0.07521105142</v>
      </c>
      <c r="N444" s="32" t="str">
        <f t="shared" si="26"/>
        <v>Mal. Lott</v>
      </c>
      <c r="O444" s="50" t="s">
        <v>77</v>
      </c>
      <c r="P444" s="38">
        <v>777.0</v>
      </c>
      <c r="Q444" s="38">
        <v>373.0</v>
      </c>
      <c r="R444" s="38">
        <v>70.0</v>
      </c>
      <c r="S444" s="38">
        <v>298.0</v>
      </c>
      <c r="T444" s="38">
        <v>71.0</v>
      </c>
      <c r="U444" s="48">
        <f t="shared" si="27"/>
        <v>1220</v>
      </c>
      <c r="V444" s="48">
        <f t="shared" si="28"/>
        <v>1589</v>
      </c>
      <c r="W444" s="49">
        <f t="shared" si="29"/>
        <v>0.6368852459</v>
      </c>
      <c r="X444" s="49">
        <f t="shared" si="30"/>
        <v>0.3057377049</v>
      </c>
      <c r="Y444" s="49">
        <f t="shared" si="31"/>
        <v>0.05737704918</v>
      </c>
      <c r="Z444" s="32" t="str">
        <f t="shared" si="32"/>
        <v>Jango</v>
      </c>
      <c r="AA444" s="50" t="s">
        <v>77</v>
      </c>
      <c r="AB444" s="38">
        <v>2169.0</v>
      </c>
      <c r="AC444" s="48">
        <f t="shared" si="35"/>
        <v>580</v>
      </c>
      <c r="AD444" s="51">
        <f t="shared" si="36"/>
        <v>0.7325956662</v>
      </c>
    </row>
    <row r="445">
      <c r="A445" s="110" t="s">
        <v>3048</v>
      </c>
      <c r="B445" s="46" t="s">
        <v>3049</v>
      </c>
      <c r="C445" s="47"/>
      <c r="D445" s="38">
        <v>325.0</v>
      </c>
      <c r="E445" s="38">
        <v>1014.0</v>
      </c>
      <c r="F445" s="38">
        <v>184.0</v>
      </c>
      <c r="G445" s="38">
        <v>78.0</v>
      </c>
      <c r="H445" s="38">
        <v>56.0</v>
      </c>
      <c r="I445" s="48">
        <f t="shared" si="21"/>
        <v>1523</v>
      </c>
      <c r="J445" s="48">
        <f t="shared" si="22"/>
        <v>1657</v>
      </c>
      <c r="K445" s="49">
        <f t="shared" si="23"/>
        <v>0.2133946159</v>
      </c>
      <c r="L445" s="49">
        <f t="shared" si="24"/>
        <v>0.6657912016</v>
      </c>
      <c r="M445" s="49">
        <f t="shared" si="25"/>
        <v>0.1208141825</v>
      </c>
      <c r="N445" s="32" t="str">
        <f t="shared" si="26"/>
        <v>Mal. Lott</v>
      </c>
      <c r="O445" s="50" t="s">
        <v>77</v>
      </c>
      <c r="P445" s="38">
        <v>1135.0</v>
      </c>
      <c r="Q445" s="38">
        <v>275.0</v>
      </c>
      <c r="R445" s="38">
        <v>83.0</v>
      </c>
      <c r="S445" s="38">
        <v>130.0</v>
      </c>
      <c r="T445" s="38">
        <v>34.0</v>
      </c>
      <c r="U445" s="48">
        <f t="shared" si="27"/>
        <v>1493</v>
      </c>
      <c r="V445" s="48">
        <f t="shared" si="28"/>
        <v>1657</v>
      </c>
      <c r="W445" s="49">
        <f t="shared" si="29"/>
        <v>0.7602143336</v>
      </c>
      <c r="X445" s="49">
        <f t="shared" si="30"/>
        <v>0.1841929002</v>
      </c>
      <c r="Y445" s="49">
        <f t="shared" si="31"/>
        <v>0.05559276624</v>
      </c>
      <c r="Z445" s="32" t="str">
        <f t="shared" si="32"/>
        <v>Jango</v>
      </c>
      <c r="AA445" s="50" t="s">
        <v>77</v>
      </c>
      <c r="AB445" s="38">
        <v>3355.0</v>
      </c>
      <c r="AC445" s="48">
        <f t="shared" si="35"/>
        <v>1698</v>
      </c>
      <c r="AD445" s="51">
        <f t="shared" si="36"/>
        <v>0.4938897168</v>
      </c>
    </row>
    <row r="446">
      <c r="A446" s="110" t="s">
        <v>3050</v>
      </c>
      <c r="B446" s="46" t="s">
        <v>3051</v>
      </c>
      <c r="C446" s="47"/>
      <c r="D446" s="38">
        <v>807.0</v>
      </c>
      <c r="E446" s="38">
        <v>590.0</v>
      </c>
      <c r="F446" s="38">
        <v>120.0</v>
      </c>
      <c r="G446" s="38">
        <v>134.0</v>
      </c>
      <c r="H446" s="38">
        <v>72.0</v>
      </c>
      <c r="I446" s="48">
        <f t="shared" si="21"/>
        <v>1517</v>
      </c>
      <c r="J446" s="48">
        <f t="shared" si="22"/>
        <v>1723</v>
      </c>
      <c r="K446" s="49">
        <f t="shared" si="23"/>
        <v>0.5319709954</v>
      </c>
      <c r="L446" s="49">
        <f t="shared" si="24"/>
        <v>0.3889255109</v>
      </c>
      <c r="M446" s="49">
        <f t="shared" si="25"/>
        <v>0.07910349374</v>
      </c>
      <c r="N446" s="32" t="str">
        <f t="shared" si="26"/>
        <v>Jânio</v>
      </c>
      <c r="O446" s="50" t="s">
        <v>77</v>
      </c>
      <c r="P446" s="38">
        <v>547.0</v>
      </c>
      <c r="Q446" s="38">
        <v>625.0</v>
      </c>
      <c r="R446" s="38">
        <v>113.0</v>
      </c>
      <c r="S446" s="38">
        <v>404.0</v>
      </c>
      <c r="T446" s="38">
        <v>34.0</v>
      </c>
      <c r="U446" s="48">
        <f t="shared" si="27"/>
        <v>1285</v>
      </c>
      <c r="V446" s="48">
        <f t="shared" si="28"/>
        <v>1723</v>
      </c>
      <c r="W446" s="49">
        <f t="shared" si="29"/>
        <v>0.4256809339</v>
      </c>
      <c r="X446" s="49">
        <f t="shared" si="30"/>
        <v>0.486381323</v>
      </c>
      <c r="Y446" s="49">
        <f t="shared" si="31"/>
        <v>0.08793774319</v>
      </c>
      <c r="Z446" s="32" t="str">
        <f t="shared" si="32"/>
        <v>Milton</v>
      </c>
      <c r="AA446" s="50" t="s">
        <v>77</v>
      </c>
      <c r="AB446" s="38">
        <v>2341.0</v>
      </c>
      <c r="AC446" s="48">
        <f t="shared" si="35"/>
        <v>618</v>
      </c>
      <c r="AD446" s="51">
        <f t="shared" si="36"/>
        <v>0.736010252</v>
      </c>
    </row>
    <row r="447">
      <c r="A447" s="61" t="s">
        <v>3052</v>
      </c>
      <c r="B447" s="46" t="s">
        <v>3053</v>
      </c>
      <c r="C447" s="47"/>
      <c r="D447" s="38">
        <v>1449.0</v>
      </c>
      <c r="E447" s="38">
        <v>1957.0</v>
      </c>
      <c r="F447" s="38">
        <v>368.0</v>
      </c>
      <c r="G447" s="38">
        <v>244.0</v>
      </c>
      <c r="H447" s="38">
        <v>176.0</v>
      </c>
      <c r="I447" s="48">
        <f t="shared" si="21"/>
        <v>3774</v>
      </c>
      <c r="J447" s="48">
        <f t="shared" si="22"/>
        <v>4194</v>
      </c>
      <c r="K447" s="49">
        <f t="shared" si="23"/>
        <v>0.3839427663</v>
      </c>
      <c r="L447" s="49">
        <f t="shared" si="24"/>
        <v>0.5185479597</v>
      </c>
      <c r="M447" s="49">
        <f t="shared" si="25"/>
        <v>0.09750927398</v>
      </c>
      <c r="N447" s="32" t="str">
        <f t="shared" si="26"/>
        <v>Mal. Lott</v>
      </c>
      <c r="O447" s="50" t="s">
        <v>77</v>
      </c>
      <c r="P447" s="38">
        <v>1594.0</v>
      </c>
      <c r="Q447" s="38">
        <v>1837.0</v>
      </c>
      <c r="R447" s="38">
        <v>194.0</v>
      </c>
      <c r="S447" s="38">
        <v>457.0</v>
      </c>
      <c r="T447" s="38">
        <v>112.0</v>
      </c>
      <c r="U447" s="48">
        <f t="shared" si="27"/>
        <v>3625</v>
      </c>
      <c r="V447" s="48">
        <f t="shared" si="28"/>
        <v>4194</v>
      </c>
      <c r="W447" s="49">
        <f t="shared" si="29"/>
        <v>0.4397241379</v>
      </c>
      <c r="X447" s="49">
        <f t="shared" si="30"/>
        <v>0.5067586207</v>
      </c>
      <c r="Y447" s="49">
        <f t="shared" si="31"/>
        <v>0.05351724138</v>
      </c>
      <c r="Z447" s="32" t="str">
        <f t="shared" si="32"/>
        <v>Milton</v>
      </c>
      <c r="AA447" s="50" t="s">
        <v>77</v>
      </c>
      <c r="AB447" s="38">
        <v>6573.0</v>
      </c>
      <c r="AC447" s="48">
        <f t="shared" si="35"/>
        <v>2379</v>
      </c>
      <c r="AD447" s="51">
        <f t="shared" si="36"/>
        <v>0.6380648106</v>
      </c>
    </row>
    <row r="448">
      <c r="A448" s="24"/>
      <c r="B448" s="46" t="s">
        <v>3054</v>
      </c>
      <c r="C448" s="47"/>
      <c r="D448" s="38">
        <v>304.0</v>
      </c>
      <c r="E448" s="38">
        <v>303.0</v>
      </c>
      <c r="F448" s="38">
        <v>88.0</v>
      </c>
      <c r="G448" s="38">
        <v>70.0</v>
      </c>
      <c r="H448" s="38">
        <v>65.0</v>
      </c>
      <c r="I448" s="48">
        <f t="shared" si="21"/>
        <v>695</v>
      </c>
      <c r="J448" s="48">
        <f t="shared" si="22"/>
        <v>830</v>
      </c>
      <c r="K448" s="49">
        <f t="shared" si="23"/>
        <v>0.4374100719</v>
      </c>
      <c r="L448" s="49">
        <f t="shared" si="24"/>
        <v>0.435971223</v>
      </c>
      <c r="M448" s="49">
        <f t="shared" si="25"/>
        <v>0.126618705</v>
      </c>
      <c r="N448" s="32" t="str">
        <f t="shared" si="26"/>
        <v>Jânio</v>
      </c>
      <c r="O448" s="50" t="s">
        <v>77</v>
      </c>
      <c r="P448" s="38">
        <v>208.0</v>
      </c>
      <c r="Q448" s="38">
        <v>372.0</v>
      </c>
      <c r="R448" s="38">
        <v>69.0</v>
      </c>
      <c r="S448" s="38">
        <v>138.0</v>
      </c>
      <c r="T448" s="38">
        <v>43.0</v>
      </c>
      <c r="U448" s="48">
        <f t="shared" si="27"/>
        <v>649</v>
      </c>
      <c r="V448" s="48">
        <f t="shared" si="28"/>
        <v>830</v>
      </c>
      <c r="W448" s="49">
        <f t="shared" si="29"/>
        <v>0.3204930663</v>
      </c>
      <c r="X448" s="49">
        <f t="shared" si="30"/>
        <v>0.5731895223</v>
      </c>
      <c r="Y448" s="49">
        <f t="shared" si="31"/>
        <v>0.1063174114</v>
      </c>
      <c r="Z448" s="32" t="str">
        <f t="shared" si="32"/>
        <v>Milton</v>
      </c>
      <c r="AA448" s="50" t="s">
        <v>77</v>
      </c>
      <c r="AB448" s="55">
        <v>243.0</v>
      </c>
      <c r="AC448" s="45" t="s">
        <v>1025</v>
      </c>
      <c r="AD448" s="45" t="s">
        <v>1025</v>
      </c>
    </row>
    <row r="449">
      <c r="A449" s="61" t="s">
        <v>3055</v>
      </c>
      <c r="B449" s="46" t="s">
        <v>3056</v>
      </c>
      <c r="C449" s="47"/>
      <c r="D449" s="38">
        <v>1753.0</v>
      </c>
      <c r="E449" s="38">
        <v>1332.0</v>
      </c>
      <c r="F449" s="38">
        <v>137.0</v>
      </c>
      <c r="G449" s="38">
        <v>245.0</v>
      </c>
      <c r="H449" s="38">
        <v>182.0</v>
      </c>
      <c r="I449" s="48">
        <f t="shared" si="21"/>
        <v>3222</v>
      </c>
      <c r="J449" s="48">
        <f t="shared" si="22"/>
        <v>3649</v>
      </c>
      <c r="K449" s="49">
        <f t="shared" si="23"/>
        <v>0.544072005</v>
      </c>
      <c r="L449" s="49">
        <f t="shared" si="24"/>
        <v>0.4134078212</v>
      </c>
      <c r="M449" s="49">
        <f t="shared" si="25"/>
        <v>0.04252017381</v>
      </c>
      <c r="N449" s="32" t="str">
        <f t="shared" si="26"/>
        <v>Jânio</v>
      </c>
      <c r="O449" s="50" t="s">
        <v>77</v>
      </c>
      <c r="P449" s="38">
        <v>1250.0</v>
      </c>
      <c r="Q449" s="38">
        <v>1589.0</v>
      </c>
      <c r="R449" s="38">
        <v>106.0</v>
      </c>
      <c r="S449" s="38">
        <v>628.0</v>
      </c>
      <c r="T449" s="38">
        <v>76.0</v>
      </c>
      <c r="U449" s="48">
        <f t="shared" si="27"/>
        <v>2945</v>
      </c>
      <c r="V449" s="48">
        <f t="shared" si="28"/>
        <v>3649</v>
      </c>
      <c r="W449" s="49">
        <f t="shared" si="29"/>
        <v>0.4244482173</v>
      </c>
      <c r="X449" s="49">
        <f t="shared" si="30"/>
        <v>0.5395585739</v>
      </c>
      <c r="Y449" s="49">
        <f t="shared" si="31"/>
        <v>0.03599320883</v>
      </c>
      <c r="Z449" s="32" t="str">
        <f t="shared" si="32"/>
        <v>Milton</v>
      </c>
      <c r="AA449" s="50" t="s">
        <v>77</v>
      </c>
      <c r="AB449" s="38">
        <v>4346.0</v>
      </c>
      <c r="AC449" s="48">
        <f t="shared" ref="AC449:AC503" si="37">AB449-V449</f>
        <v>697</v>
      </c>
      <c r="AD449" s="51">
        <f t="shared" ref="AD449:AD503" si="38">V449/AB449</f>
        <v>0.8396226415</v>
      </c>
    </row>
    <row r="450">
      <c r="A450" s="24"/>
      <c r="B450" s="46" t="s">
        <v>3057</v>
      </c>
      <c r="C450" s="47"/>
      <c r="D450" s="38">
        <v>226.0</v>
      </c>
      <c r="E450" s="38">
        <v>664.0</v>
      </c>
      <c r="F450" s="38">
        <v>99.0</v>
      </c>
      <c r="G450" s="38">
        <v>46.0</v>
      </c>
      <c r="H450" s="38">
        <v>69.0</v>
      </c>
      <c r="I450" s="48">
        <f t="shared" si="21"/>
        <v>989</v>
      </c>
      <c r="J450" s="48">
        <f t="shared" si="22"/>
        <v>1104</v>
      </c>
      <c r="K450" s="49">
        <f t="shared" si="23"/>
        <v>0.2285136502</v>
      </c>
      <c r="L450" s="49">
        <f t="shared" si="24"/>
        <v>0.6713852376</v>
      </c>
      <c r="M450" s="49">
        <f t="shared" si="25"/>
        <v>0.1001011122</v>
      </c>
      <c r="N450" s="32" t="str">
        <f t="shared" si="26"/>
        <v>Mal. Lott</v>
      </c>
      <c r="O450" s="50" t="s">
        <v>77</v>
      </c>
      <c r="P450" s="38">
        <v>672.0</v>
      </c>
      <c r="Q450" s="38">
        <v>220.0</v>
      </c>
      <c r="R450" s="38">
        <v>54.0</v>
      </c>
      <c r="S450" s="38">
        <v>116.0</v>
      </c>
      <c r="T450" s="38">
        <v>42.0</v>
      </c>
      <c r="U450" s="48">
        <f t="shared" si="27"/>
        <v>946</v>
      </c>
      <c r="V450" s="48">
        <f t="shared" si="28"/>
        <v>1104</v>
      </c>
      <c r="W450" s="49">
        <f t="shared" si="29"/>
        <v>0.710359408</v>
      </c>
      <c r="X450" s="49">
        <f t="shared" si="30"/>
        <v>0.2325581395</v>
      </c>
      <c r="Y450" s="49">
        <f t="shared" si="31"/>
        <v>0.05708245243</v>
      </c>
      <c r="Z450" s="32" t="str">
        <f t="shared" si="32"/>
        <v>Jango</v>
      </c>
      <c r="AA450" s="50" t="s">
        <v>77</v>
      </c>
      <c r="AB450" s="38">
        <v>1218.0</v>
      </c>
      <c r="AC450" s="48">
        <f t="shared" si="37"/>
        <v>114</v>
      </c>
      <c r="AD450" s="51">
        <f t="shared" si="38"/>
        <v>0.9064039409</v>
      </c>
    </row>
    <row r="451">
      <c r="A451" s="61" t="s">
        <v>3058</v>
      </c>
      <c r="B451" s="46" t="s">
        <v>3059</v>
      </c>
      <c r="C451" s="47"/>
      <c r="D451" s="38">
        <v>7232.0</v>
      </c>
      <c r="E451" s="38">
        <v>5009.0</v>
      </c>
      <c r="F451" s="38">
        <v>566.0</v>
      </c>
      <c r="G451" s="38">
        <v>510.0</v>
      </c>
      <c r="H451" s="38">
        <v>495.0</v>
      </c>
      <c r="I451" s="48">
        <f t="shared" si="21"/>
        <v>12807</v>
      </c>
      <c r="J451" s="48">
        <f t="shared" si="22"/>
        <v>13812</v>
      </c>
      <c r="K451" s="49">
        <f t="shared" si="23"/>
        <v>0.5646911845</v>
      </c>
      <c r="L451" s="49">
        <f t="shared" si="24"/>
        <v>0.3911142344</v>
      </c>
      <c r="M451" s="49">
        <f t="shared" si="25"/>
        <v>0.04419458109</v>
      </c>
      <c r="N451" s="32" t="str">
        <f t="shared" si="26"/>
        <v>Jânio</v>
      </c>
      <c r="O451" s="50" t="s">
        <v>77</v>
      </c>
      <c r="P451" s="38">
        <v>5120.0</v>
      </c>
      <c r="Q451" s="38">
        <v>6402.0</v>
      </c>
      <c r="R451" s="38">
        <v>789.0</v>
      </c>
      <c r="S451" s="38">
        <v>1087.0</v>
      </c>
      <c r="T451" s="38">
        <v>414.0</v>
      </c>
      <c r="U451" s="48">
        <f t="shared" si="27"/>
        <v>12311</v>
      </c>
      <c r="V451" s="48">
        <f t="shared" si="28"/>
        <v>13812</v>
      </c>
      <c r="W451" s="49">
        <f t="shared" si="29"/>
        <v>0.41588823</v>
      </c>
      <c r="X451" s="49">
        <f t="shared" si="30"/>
        <v>0.5200227439</v>
      </c>
      <c r="Y451" s="49">
        <f t="shared" si="31"/>
        <v>0.06408902607</v>
      </c>
      <c r="Z451" s="32" t="str">
        <f t="shared" si="32"/>
        <v>Milton</v>
      </c>
      <c r="AA451" s="50" t="s">
        <v>77</v>
      </c>
      <c r="AB451" s="38">
        <v>16016.0</v>
      </c>
      <c r="AC451" s="48">
        <f t="shared" si="37"/>
        <v>2204</v>
      </c>
      <c r="AD451" s="51">
        <f t="shared" si="38"/>
        <v>0.8623876124</v>
      </c>
    </row>
    <row r="452">
      <c r="A452" s="23"/>
      <c r="B452" s="46" t="s">
        <v>3060</v>
      </c>
      <c r="C452" s="47"/>
      <c r="D452" s="38">
        <v>239.0</v>
      </c>
      <c r="E452" s="38">
        <v>432.0</v>
      </c>
      <c r="F452" s="38">
        <v>65.0</v>
      </c>
      <c r="G452" s="38">
        <v>75.0</v>
      </c>
      <c r="H452" s="38">
        <v>33.0</v>
      </c>
      <c r="I452" s="48">
        <f t="shared" si="21"/>
        <v>736</v>
      </c>
      <c r="J452" s="48">
        <f t="shared" si="22"/>
        <v>844</v>
      </c>
      <c r="K452" s="49">
        <f t="shared" si="23"/>
        <v>0.3247282609</v>
      </c>
      <c r="L452" s="49">
        <f t="shared" si="24"/>
        <v>0.5869565217</v>
      </c>
      <c r="M452" s="49">
        <f t="shared" si="25"/>
        <v>0.08831521739</v>
      </c>
      <c r="N452" s="32" t="str">
        <f t="shared" si="26"/>
        <v>Mal. Lott</v>
      </c>
      <c r="O452" s="50" t="s">
        <v>77</v>
      </c>
      <c r="P452" s="38">
        <v>457.0</v>
      </c>
      <c r="Q452" s="38">
        <v>201.0</v>
      </c>
      <c r="R452" s="38">
        <v>24.0</v>
      </c>
      <c r="S452" s="38">
        <v>143.0</v>
      </c>
      <c r="T452" s="38">
        <v>19.0</v>
      </c>
      <c r="U452" s="48">
        <f t="shared" si="27"/>
        <v>682</v>
      </c>
      <c r="V452" s="48">
        <f t="shared" si="28"/>
        <v>844</v>
      </c>
      <c r="W452" s="49">
        <f t="shared" si="29"/>
        <v>0.6700879765</v>
      </c>
      <c r="X452" s="49">
        <f t="shared" si="30"/>
        <v>0.2947214076</v>
      </c>
      <c r="Y452" s="49">
        <f t="shared" si="31"/>
        <v>0.03519061584</v>
      </c>
      <c r="Z452" s="32" t="str">
        <f t="shared" si="32"/>
        <v>Jango</v>
      </c>
      <c r="AA452" s="50" t="s">
        <v>77</v>
      </c>
      <c r="AB452" s="38">
        <v>1120.0</v>
      </c>
      <c r="AC452" s="48">
        <f t="shared" si="37"/>
        <v>276</v>
      </c>
      <c r="AD452" s="51">
        <f t="shared" si="38"/>
        <v>0.7535714286</v>
      </c>
    </row>
    <row r="453">
      <c r="A453" s="24"/>
      <c r="B453" s="46" t="s">
        <v>3061</v>
      </c>
      <c r="C453" s="47"/>
      <c r="D453" s="38">
        <v>431.0</v>
      </c>
      <c r="E453" s="38">
        <v>267.0</v>
      </c>
      <c r="F453" s="38">
        <v>48.0</v>
      </c>
      <c r="G453" s="38">
        <v>40.0</v>
      </c>
      <c r="H453" s="38">
        <v>46.0</v>
      </c>
      <c r="I453" s="48">
        <f t="shared" si="21"/>
        <v>746</v>
      </c>
      <c r="J453" s="48">
        <f t="shared" si="22"/>
        <v>832</v>
      </c>
      <c r="K453" s="49">
        <f t="shared" si="23"/>
        <v>0.5777479893</v>
      </c>
      <c r="L453" s="49">
        <f t="shared" si="24"/>
        <v>0.3579088472</v>
      </c>
      <c r="M453" s="49">
        <f t="shared" si="25"/>
        <v>0.06434316354</v>
      </c>
      <c r="N453" s="32" t="str">
        <f t="shared" si="26"/>
        <v>Jânio</v>
      </c>
      <c r="O453" s="50" t="s">
        <v>77</v>
      </c>
      <c r="P453" s="38">
        <v>313.0</v>
      </c>
      <c r="Q453" s="38">
        <v>346.0</v>
      </c>
      <c r="R453" s="38">
        <v>52.0</v>
      </c>
      <c r="S453" s="38">
        <v>84.0</v>
      </c>
      <c r="T453" s="38">
        <v>37.0</v>
      </c>
      <c r="U453" s="48">
        <f t="shared" si="27"/>
        <v>711</v>
      </c>
      <c r="V453" s="48">
        <f t="shared" si="28"/>
        <v>832</v>
      </c>
      <c r="W453" s="49">
        <f t="shared" si="29"/>
        <v>0.4402250352</v>
      </c>
      <c r="X453" s="49">
        <f t="shared" si="30"/>
        <v>0.4866385373</v>
      </c>
      <c r="Y453" s="49">
        <f t="shared" si="31"/>
        <v>0.07313642757</v>
      </c>
      <c r="Z453" s="32" t="str">
        <f t="shared" si="32"/>
        <v>Milton</v>
      </c>
      <c r="AA453" s="50" t="s">
        <v>77</v>
      </c>
      <c r="AB453" s="38">
        <v>939.0</v>
      </c>
      <c r="AC453" s="48">
        <f t="shared" si="37"/>
        <v>107</v>
      </c>
      <c r="AD453" s="51">
        <f t="shared" si="38"/>
        <v>0.8860489883</v>
      </c>
    </row>
    <row r="454">
      <c r="A454" s="61" t="s">
        <v>3062</v>
      </c>
      <c r="B454" s="46" t="s">
        <v>3063</v>
      </c>
      <c r="C454" s="47"/>
      <c r="D454" s="38">
        <v>930.0</v>
      </c>
      <c r="E454" s="38">
        <v>1135.0</v>
      </c>
      <c r="F454" s="38">
        <v>201.0</v>
      </c>
      <c r="G454" s="38">
        <v>148.0</v>
      </c>
      <c r="H454" s="38">
        <v>186.0</v>
      </c>
      <c r="I454" s="48">
        <f t="shared" si="21"/>
        <v>2266</v>
      </c>
      <c r="J454" s="48">
        <f t="shared" si="22"/>
        <v>2600</v>
      </c>
      <c r="K454" s="49">
        <f t="shared" si="23"/>
        <v>0.4104148279</v>
      </c>
      <c r="L454" s="49">
        <f t="shared" si="24"/>
        <v>0.5008826125</v>
      </c>
      <c r="M454" s="49">
        <f t="shared" si="25"/>
        <v>0.08870255958</v>
      </c>
      <c r="N454" s="32" t="str">
        <f t="shared" si="26"/>
        <v>Mal. Lott</v>
      </c>
      <c r="O454" s="50" t="s">
        <v>77</v>
      </c>
      <c r="P454" s="38">
        <v>1205.0</v>
      </c>
      <c r="Q454" s="38">
        <v>879.0</v>
      </c>
      <c r="R454" s="38">
        <v>85.0</v>
      </c>
      <c r="S454" s="38">
        <v>363.0</v>
      </c>
      <c r="T454" s="38">
        <v>68.0</v>
      </c>
      <c r="U454" s="48">
        <f t="shared" si="27"/>
        <v>2169</v>
      </c>
      <c r="V454" s="48">
        <f t="shared" si="28"/>
        <v>2600</v>
      </c>
      <c r="W454" s="49">
        <f t="shared" si="29"/>
        <v>0.5555555556</v>
      </c>
      <c r="X454" s="49">
        <f t="shared" si="30"/>
        <v>0.4052558783</v>
      </c>
      <c r="Y454" s="49">
        <f t="shared" si="31"/>
        <v>0.03918856616</v>
      </c>
      <c r="Z454" s="32" t="str">
        <f t="shared" si="32"/>
        <v>Jango</v>
      </c>
      <c r="AA454" s="50" t="s">
        <v>77</v>
      </c>
      <c r="AB454" s="38">
        <v>3529.0</v>
      </c>
      <c r="AC454" s="48">
        <f t="shared" si="37"/>
        <v>929</v>
      </c>
      <c r="AD454" s="51">
        <f t="shared" si="38"/>
        <v>0.7367526211</v>
      </c>
    </row>
    <row r="455">
      <c r="A455" s="24"/>
      <c r="B455" s="46" t="s">
        <v>3064</v>
      </c>
      <c r="C455" s="47"/>
      <c r="D455" s="38">
        <v>379.0</v>
      </c>
      <c r="E455" s="38">
        <v>356.0</v>
      </c>
      <c r="F455" s="38">
        <v>103.0</v>
      </c>
      <c r="G455" s="38">
        <v>37.0</v>
      </c>
      <c r="H455" s="38">
        <v>108.0</v>
      </c>
      <c r="I455" s="48">
        <f t="shared" si="21"/>
        <v>838</v>
      </c>
      <c r="J455" s="48">
        <f t="shared" si="22"/>
        <v>983</v>
      </c>
      <c r="K455" s="49">
        <f t="shared" si="23"/>
        <v>0.4522673031</v>
      </c>
      <c r="L455" s="49">
        <f t="shared" si="24"/>
        <v>0.4248210024</v>
      </c>
      <c r="M455" s="49">
        <f t="shared" si="25"/>
        <v>0.1229116945</v>
      </c>
      <c r="N455" s="32" t="str">
        <f t="shared" si="26"/>
        <v>Jânio</v>
      </c>
      <c r="O455" s="50" t="s">
        <v>77</v>
      </c>
      <c r="P455" s="38">
        <v>405.0</v>
      </c>
      <c r="Q455" s="38">
        <v>328.0</v>
      </c>
      <c r="R455" s="38">
        <v>76.0</v>
      </c>
      <c r="S455" s="38">
        <v>117.0</v>
      </c>
      <c r="T455" s="38">
        <v>57.0</v>
      </c>
      <c r="U455" s="48">
        <f t="shared" si="27"/>
        <v>809</v>
      </c>
      <c r="V455" s="48">
        <f t="shared" si="28"/>
        <v>983</v>
      </c>
      <c r="W455" s="49">
        <f t="shared" si="29"/>
        <v>0.500618047</v>
      </c>
      <c r="X455" s="49">
        <f t="shared" si="30"/>
        <v>0.4054388133</v>
      </c>
      <c r="Y455" s="49">
        <f t="shared" si="31"/>
        <v>0.09394313968</v>
      </c>
      <c r="Z455" s="32" t="str">
        <f t="shared" si="32"/>
        <v>Jango</v>
      </c>
      <c r="AA455" s="50" t="s">
        <v>77</v>
      </c>
      <c r="AB455" s="38">
        <v>1675.0</v>
      </c>
      <c r="AC455" s="48">
        <f t="shared" si="37"/>
        <v>692</v>
      </c>
      <c r="AD455" s="51">
        <f t="shared" si="38"/>
        <v>0.5868656716</v>
      </c>
    </row>
    <row r="456">
      <c r="A456" s="61" t="s">
        <v>3065</v>
      </c>
      <c r="B456" s="46" t="s">
        <v>3066</v>
      </c>
      <c r="C456" s="47"/>
      <c r="D456" s="38">
        <v>2359.0</v>
      </c>
      <c r="E456" s="38">
        <v>2116.0</v>
      </c>
      <c r="F456" s="38">
        <v>274.0</v>
      </c>
      <c r="G456" s="38">
        <v>205.0</v>
      </c>
      <c r="H456" s="38">
        <v>229.0</v>
      </c>
      <c r="I456" s="48">
        <f t="shared" si="21"/>
        <v>4749</v>
      </c>
      <c r="J456" s="48">
        <f t="shared" si="22"/>
        <v>5183</v>
      </c>
      <c r="K456" s="49">
        <f t="shared" si="23"/>
        <v>0.496736155</v>
      </c>
      <c r="L456" s="49">
        <f t="shared" si="24"/>
        <v>0.4455674879</v>
      </c>
      <c r="M456" s="49">
        <f t="shared" si="25"/>
        <v>0.05769635713</v>
      </c>
      <c r="N456" s="32" t="str">
        <f t="shared" si="26"/>
        <v>Jânio</v>
      </c>
      <c r="O456" s="50" t="s">
        <v>77</v>
      </c>
      <c r="P456" s="38">
        <v>2564.0</v>
      </c>
      <c r="Q456" s="38">
        <v>1556.0</v>
      </c>
      <c r="R456" s="38">
        <v>488.0</v>
      </c>
      <c r="S456" s="38">
        <v>415.0</v>
      </c>
      <c r="T456" s="38">
        <v>160.0</v>
      </c>
      <c r="U456" s="48">
        <f t="shared" si="27"/>
        <v>4608</v>
      </c>
      <c r="V456" s="48">
        <f t="shared" si="28"/>
        <v>5183</v>
      </c>
      <c r="W456" s="49">
        <f t="shared" si="29"/>
        <v>0.5564236111</v>
      </c>
      <c r="X456" s="49">
        <f t="shared" si="30"/>
        <v>0.3376736111</v>
      </c>
      <c r="Y456" s="49">
        <f t="shared" si="31"/>
        <v>0.1059027778</v>
      </c>
      <c r="Z456" s="32" t="str">
        <f t="shared" si="32"/>
        <v>Jango</v>
      </c>
      <c r="AA456" s="50" t="s">
        <v>77</v>
      </c>
      <c r="AB456" s="38">
        <v>5916.0</v>
      </c>
      <c r="AC456" s="48">
        <f t="shared" si="37"/>
        <v>733</v>
      </c>
      <c r="AD456" s="51">
        <f t="shared" si="38"/>
        <v>0.8760987153</v>
      </c>
    </row>
    <row r="457">
      <c r="A457" s="24"/>
      <c r="B457" s="46" t="s">
        <v>3067</v>
      </c>
      <c r="C457" s="47"/>
      <c r="D457" s="55">
        <v>613.0</v>
      </c>
      <c r="E457" s="38">
        <v>192.0</v>
      </c>
      <c r="F457" s="38">
        <v>26.0</v>
      </c>
      <c r="G457" s="38">
        <v>59.0</v>
      </c>
      <c r="H457" s="38">
        <v>53.0</v>
      </c>
      <c r="I457" s="48">
        <f t="shared" si="21"/>
        <v>831</v>
      </c>
      <c r="J457" s="114">
        <f t="shared" si="22"/>
        <v>943</v>
      </c>
      <c r="K457" s="49">
        <f t="shared" si="23"/>
        <v>0.7376654633</v>
      </c>
      <c r="L457" s="49">
        <f t="shared" si="24"/>
        <v>0.2310469314</v>
      </c>
      <c r="M457" s="49">
        <f t="shared" si="25"/>
        <v>0.03128760529</v>
      </c>
      <c r="N457" s="32" t="str">
        <f t="shared" si="26"/>
        <v>Jânio</v>
      </c>
      <c r="O457" s="50" t="s">
        <v>77</v>
      </c>
      <c r="P457" s="38">
        <v>260.0</v>
      </c>
      <c r="Q457" s="38">
        <v>410.0</v>
      </c>
      <c r="R457" s="38">
        <v>58.0</v>
      </c>
      <c r="S457" s="38">
        <v>195.0</v>
      </c>
      <c r="T457" s="38">
        <v>20.0</v>
      </c>
      <c r="U457" s="48">
        <f t="shared" si="27"/>
        <v>728</v>
      </c>
      <c r="V457" s="48">
        <f t="shared" si="28"/>
        <v>943</v>
      </c>
      <c r="W457" s="49">
        <f t="shared" si="29"/>
        <v>0.3571428571</v>
      </c>
      <c r="X457" s="49">
        <f t="shared" si="30"/>
        <v>0.5631868132</v>
      </c>
      <c r="Y457" s="49">
        <f t="shared" si="31"/>
        <v>0.07967032967</v>
      </c>
      <c r="Z457" s="32" t="str">
        <f t="shared" si="32"/>
        <v>Milton</v>
      </c>
      <c r="AA457" s="50" t="s">
        <v>77</v>
      </c>
      <c r="AB457" s="38">
        <v>1303.0</v>
      </c>
      <c r="AC457" s="48">
        <f t="shared" si="37"/>
        <v>360</v>
      </c>
      <c r="AD457" s="51">
        <f t="shared" si="38"/>
        <v>0.723714505</v>
      </c>
    </row>
    <row r="458">
      <c r="A458" s="110" t="s">
        <v>3068</v>
      </c>
      <c r="B458" s="46" t="s">
        <v>3069</v>
      </c>
      <c r="C458" s="47"/>
      <c r="D458" s="38">
        <v>320.0</v>
      </c>
      <c r="E458" s="38">
        <v>1079.0</v>
      </c>
      <c r="F458" s="38">
        <v>199.0</v>
      </c>
      <c r="G458" s="38">
        <v>116.0</v>
      </c>
      <c r="H458" s="38">
        <v>110.0</v>
      </c>
      <c r="I458" s="48">
        <f t="shared" si="21"/>
        <v>1598</v>
      </c>
      <c r="J458" s="48">
        <f t="shared" si="22"/>
        <v>1824</v>
      </c>
      <c r="K458" s="49">
        <f t="shared" si="23"/>
        <v>0.2002503129</v>
      </c>
      <c r="L458" s="49">
        <f t="shared" si="24"/>
        <v>0.6752190238</v>
      </c>
      <c r="M458" s="49">
        <f t="shared" si="25"/>
        <v>0.1245306633</v>
      </c>
      <c r="N458" s="32" t="str">
        <f t="shared" si="26"/>
        <v>Mal. Lott</v>
      </c>
      <c r="O458" s="50" t="s">
        <v>77</v>
      </c>
      <c r="P458" s="38">
        <v>1144.0</v>
      </c>
      <c r="Q458" s="38">
        <v>254.0</v>
      </c>
      <c r="R458" s="38">
        <v>107.0</v>
      </c>
      <c r="S458" s="38">
        <v>244.0</v>
      </c>
      <c r="T458" s="38">
        <v>75.0</v>
      </c>
      <c r="U458" s="48">
        <f t="shared" si="27"/>
        <v>1505</v>
      </c>
      <c r="V458" s="48">
        <f t="shared" si="28"/>
        <v>1824</v>
      </c>
      <c r="W458" s="49">
        <f t="shared" si="29"/>
        <v>0.7601328904</v>
      </c>
      <c r="X458" s="49">
        <f t="shared" si="30"/>
        <v>0.1687707641</v>
      </c>
      <c r="Y458" s="49">
        <f t="shared" si="31"/>
        <v>0.07109634551</v>
      </c>
      <c r="Z458" s="32" t="str">
        <f t="shared" si="32"/>
        <v>Jango</v>
      </c>
      <c r="AA458" s="50" t="s">
        <v>77</v>
      </c>
      <c r="AB458" s="38">
        <v>2698.0</v>
      </c>
      <c r="AC458" s="48">
        <f t="shared" si="37"/>
        <v>874</v>
      </c>
      <c r="AD458" s="51">
        <f t="shared" si="38"/>
        <v>0.676056338</v>
      </c>
    </row>
    <row r="459">
      <c r="A459" s="61" t="s">
        <v>3070</v>
      </c>
      <c r="B459" s="46" t="s">
        <v>3071</v>
      </c>
      <c r="C459" s="47"/>
      <c r="D459" s="38">
        <v>2948.0</v>
      </c>
      <c r="E459" s="38">
        <v>2054.0</v>
      </c>
      <c r="F459" s="38">
        <v>512.0</v>
      </c>
      <c r="G459" s="38">
        <v>205.0</v>
      </c>
      <c r="H459" s="38">
        <v>204.0</v>
      </c>
      <c r="I459" s="48">
        <f t="shared" si="21"/>
        <v>5514</v>
      </c>
      <c r="J459" s="48">
        <f t="shared" si="22"/>
        <v>5923</v>
      </c>
      <c r="K459" s="49">
        <f t="shared" si="23"/>
        <v>0.5346391005</v>
      </c>
      <c r="L459" s="49">
        <f t="shared" si="24"/>
        <v>0.3725063475</v>
      </c>
      <c r="M459" s="49">
        <f t="shared" si="25"/>
        <v>0.09285455205</v>
      </c>
      <c r="N459" s="32" t="str">
        <f t="shared" si="26"/>
        <v>Jânio</v>
      </c>
      <c r="O459" s="50" t="s">
        <v>77</v>
      </c>
      <c r="P459" s="38">
        <v>2054.0</v>
      </c>
      <c r="Q459" s="38">
        <v>2502.0</v>
      </c>
      <c r="R459" s="38">
        <v>661.0</v>
      </c>
      <c r="S459" s="38">
        <v>558.0</v>
      </c>
      <c r="T459" s="38">
        <v>148.0</v>
      </c>
      <c r="U459" s="48">
        <f t="shared" si="27"/>
        <v>5217</v>
      </c>
      <c r="V459" s="48">
        <f t="shared" si="28"/>
        <v>5923</v>
      </c>
      <c r="W459" s="49">
        <f t="shared" si="29"/>
        <v>0.3937128618</v>
      </c>
      <c r="X459" s="49">
        <f t="shared" si="30"/>
        <v>0.4795859689</v>
      </c>
      <c r="Y459" s="49">
        <f t="shared" si="31"/>
        <v>0.1267011693</v>
      </c>
      <c r="Z459" s="32" t="str">
        <f t="shared" si="32"/>
        <v>Milton</v>
      </c>
      <c r="AA459" s="50" t="s">
        <v>77</v>
      </c>
      <c r="AB459" s="38">
        <v>7030.0</v>
      </c>
      <c r="AC459" s="48">
        <f t="shared" si="37"/>
        <v>1107</v>
      </c>
      <c r="AD459" s="51">
        <f t="shared" si="38"/>
        <v>0.8425320057</v>
      </c>
    </row>
    <row r="460">
      <c r="A460" s="23"/>
      <c r="B460" s="46" t="s">
        <v>3072</v>
      </c>
      <c r="C460" s="47"/>
      <c r="D460" s="38">
        <v>703.0</v>
      </c>
      <c r="E460" s="38">
        <v>335.0</v>
      </c>
      <c r="F460" s="38">
        <v>29.0</v>
      </c>
      <c r="G460" s="38">
        <v>30.0</v>
      </c>
      <c r="H460" s="38">
        <v>26.0</v>
      </c>
      <c r="I460" s="48">
        <f t="shared" si="21"/>
        <v>1067</v>
      </c>
      <c r="J460" s="48">
        <f t="shared" si="22"/>
        <v>1123</v>
      </c>
      <c r="K460" s="49">
        <f t="shared" si="23"/>
        <v>0.6588566073</v>
      </c>
      <c r="L460" s="49">
        <f t="shared" si="24"/>
        <v>0.3139643861</v>
      </c>
      <c r="M460" s="49">
        <f t="shared" si="25"/>
        <v>0.02717900656</v>
      </c>
      <c r="N460" s="32" t="str">
        <f t="shared" si="26"/>
        <v>Jânio</v>
      </c>
      <c r="O460" s="50" t="s">
        <v>77</v>
      </c>
      <c r="P460" s="38">
        <v>306.0</v>
      </c>
      <c r="Q460" s="38">
        <v>655.0</v>
      </c>
      <c r="R460" s="38">
        <v>49.0</v>
      </c>
      <c r="S460" s="38">
        <v>94.0</v>
      </c>
      <c r="T460" s="38">
        <v>19.0</v>
      </c>
      <c r="U460" s="48">
        <f t="shared" si="27"/>
        <v>1010</v>
      </c>
      <c r="V460" s="48">
        <f t="shared" si="28"/>
        <v>1123</v>
      </c>
      <c r="W460" s="49">
        <f t="shared" si="29"/>
        <v>0.302970297</v>
      </c>
      <c r="X460" s="49">
        <f t="shared" si="30"/>
        <v>0.6485148515</v>
      </c>
      <c r="Y460" s="49">
        <f t="shared" si="31"/>
        <v>0.04851485149</v>
      </c>
      <c r="Z460" s="32" t="str">
        <f t="shared" si="32"/>
        <v>Milton</v>
      </c>
      <c r="AA460" s="50" t="s">
        <v>77</v>
      </c>
      <c r="AB460" s="38">
        <v>1236.0</v>
      </c>
      <c r="AC460" s="48">
        <f t="shared" si="37"/>
        <v>113</v>
      </c>
      <c r="AD460" s="51">
        <f t="shared" si="38"/>
        <v>0.9085760518</v>
      </c>
    </row>
    <row r="461">
      <c r="A461" s="24"/>
      <c r="B461" s="46" t="s">
        <v>3073</v>
      </c>
      <c r="C461" s="47"/>
      <c r="D461" s="38">
        <v>602.0</v>
      </c>
      <c r="E461" s="38">
        <v>763.0</v>
      </c>
      <c r="F461" s="38">
        <v>233.0</v>
      </c>
      <c r="G461" s="38">
        <v>136.0</v>
      </c>
      <c r="H461" s="38">
        <v>84.0</v>
      </c>
      <c r="I461" s="48">
        <f t="shared" si="21"/>
        <v>1598</v>
      </c>
      <c r="J461" s="48">
        <f t="shared" si="22"/>
        <v>1818</v>
      </c>
      <c r="K461" s="49">
        <f t="shared" si="23"/>
        <v>0.3767209011</v>
      </c>
      <c r="L461" s="49">
        <f t="shared" si="24"/>
        <v>0.4774718398</v>
      </c>
      <c r="M461" s="49">
        <f t="shared" si="25"/>
        <v>0.1458072591</v>
      </c>
      <c r="N461" s="32" t="str">
        <f t="shared" si="26"/>
        <v>Mal. Lott</v>
      </c>
      <c r="O461" s="50" t="s">
        <v>77</v>
      </c>
      <c r="P461" s="38">
        <v>778.0</v>
      </c>
      <c r="Q461" s="38">
        <v>506.0</v>
      </c>
      <c r="R461" s="38">
        <v>166.0</v>
      </c>
      <c r="S461" s="38">
        <v>299.0</v>
      </c>
      <c r="T461" s="38">
        <v>69.0</v>
      </c>
      <c r="U461" s="48">
        <f t="shared" si="27"/>
        <v>1450</v>
      </c>
      <c r="V461" s="48">
        <f t="shared" si="28"/>
        <v>1818</v>
      </c>
      <c r="W461" s="49">
        <f t="shared" si="29"/>
        <v>0.5365517241</v>
      </c>
      <c r="X461" s="49">
        <f t="shared" si="30"/>
        <v>0.3489655172</v>
      </c>
      <c r="Y461" s="49">
        <f t="shared" si="31"/>
        <v>0.1144827586</v>
      </c>
      <c r="Z461" s="32" t="str">
        <f t="shared" si="32"/>
        <v>Jango</v>
      </c>
      <c r="AA461" s="50" t="s">
        <v>77</v>
      </c>
      <c r="AB461" s="38">
        <v>2211.0</v>
      </c>
      <c r="AC461" s="48">
        <f t="shared" si="37"/>
        <v>393</v>
      </c>
      <c r="AD461" s="51">
        <f t="shared" si="38"/>
        <v>0.8222523745</v>
      </c>
    </row>
    <row r="462">
      <c r="A462" s="110" t="s">
        <v>3074</v>
      </c>
      <c r="B462" s="46" t="s">
        <v>3075</v>
      </c>
      <c r="C462" s="47"/>
      <c r="D462" s="38">
        <v>932.0</v>
      </c>
      <c r="E462" s="38">
        <v>532.0</v>
      </c>
      <c r="F462" s="38">
        <v>100.0</v>
      </c>
      <c r="G462" s="38">
        <v>109.0</v>
      </c>
      <c r="H462" s="38">
        <v>106.0</v>
      </c>
      <c r="I462" s="48">
        <f t="shared" si="21"/>
        <v>1564</v>
      </c>
      <c r="J462" s="48">
        <f t="shared" si="22"/>
        <v>1779</v>
      </c>
      <c r="K462" s="49">
        <f t="shared" si="23"/>
        <v>0.5959079284</v>
      </c>
      <c r="L462" s="49">
        <f t="shared" si="24"/>
        <v>0.3401534527</v>
      </c>
      <c r="M462" s="49">
        <f t="shared" si="25"/>
        <v>0.06393861893</v>
      </c>
      <c r="N462" s="32" t="str">
        <f t="shared" si="26"/>
        <v>Jânio</v>
      </c>
      <c r="O462" s="50" t="s">
        <v>77</v>
      </c>
      <c r="P462" s="38">
        <v>618.0</v>
      </c>
      <c r="Q462" s="38">
        <v>696.0</v>
      </c>
      <c r="R462" s="38">
        <v>89.0</v>
      </c>
      <c r="S462" s="38">
        <v>307.0</v>
      </c>
      <c r="T462" s="38">
        <v>69.0</v>
      </c>
      <c r="U462" s="48">
        <f t="shared" si="27"/>
        <v>1403</v>
      </c>
      <c r="V462" s="48">
        <f t="shared" si="28"/>
        <v>1779</v>
      </c>
      <c r="W462" s="49">
        <f t="shared" si="29"/>
        <v>0.4404846757</v>
      </c>
      <c r="X462" s="49">
        <f t="shared" si="30"/>
        <v>0.4960798289</v>
      </c>
      <c r="Y462" s="49">
        <f t="shared" si="31"/>
        <v>0.06343549537</v>
      </c>
      <c r="Z462" s="32" t="str">
        <f t="shared" si="32"/>
        <v>Milton</v>
      </c>
      <c r="AA462" s="50" t="s">
        <v>77</v>
      </c>
      <c r="AB462" s="38">
        <v>2039.0</v>
      </c>
      <c r="AC462" s="48">
        <f t="shared" si="37"/>
        <v>260</v>
      </c>
      <c r="AD462" s="51">
        <f t="shared" si="38"/>
        <v>0.872486513</v>
      </c>
    </row>
    <row r="463">
      <c r="A463" s="61" t="s">
        <v>3076</v>
      </c>
      <c r="B463" s="46" t="s">
        <v>3077</v>
      </c>
      <c r="C463" s="47"/>
      <c r="D463" s="38">
        <v>599.0</v>
      </c>
      <c r="E463" s="38">
        <v>867.0</v>
      </c>
      <c r="F463" s="38">
        <v>113.0</v>
      </c>
      <c r="G463" s="38">
        <v>72.0</v>
      </c>
      <c r="H463" s="38">
        <v>100.0</v>
      </c>
      <c r="I463" s="48">
        <f t="shared" si="21"/>
        <v>1579</v>
      </c>
      <c r="J463" s="48">
        <f t="shared" si="22"/>
        <v>1751</v>
      </c>
      <c r="K463" s="49">
        <f t="shared" si="23"/>
        <v>0.3793540215</v>
      </c>
      <c r="L463" s="49">
        <f t="shared" si="24"/>
        <v>0.5490816973</v>
      </c>
      <c r="M463" s="49">
        <f t="shared" si="25"/>
        <v>0.07156428119</v>
      </c>
      <c r="N463" s="32" t="str">
        <f t="shared" si="26"/>
        <v>Mal. Lott</v>
      </c>
      <c r="O463" s="50" t="s">
        <v>77</v>
      </c>
      <c r="P463" s="38">
        <v>728.0</v>
      </c>
      <c r="Q463" s="38">
        <v>496.0</v>
      </c>
      <c r="R463" s="38">
        <v>141.0</v>
      </c>
      <c r="S463" s="38">
        <v>332.0</v>
      </c>
      <c r="T463" s="38">
        <v>54.0</v>
      </c>
      <c r="U463" s="48">
        <f t="shared" si="27"/>
        <v>1365</v>
      </c>
      <c r="V463" s="48">
        <f t="shared" si="28"/>
        <v>1751</v>
      </c>
      <c r="W463" s="49">
        <f t="shared" si="29"/>
        <v>0.5333333333</v>
      </c>
      <c r="X463" s="49">
        <f t="shared" si="30"/>
        <v>0.3633699634</v>
      </c>
      <c r="Y463" s="49">
        <f t="shared" si="31"/>
        <v>0.1032967033</v>
      </c>
      <c r="Z463" s="32" t="str">
        <f t="shared" si="32"/>
        <v>Jango</v>
      </c>
      <c r="AA463" s="50" t="s">
        <v>77</v>
      </c>
      <c r="AB463" s="38">
        <v>2160.0</v>
      </c>
      <c r="AC463" s="48">
        <f t="shared" si="37"/>
        <v>409</v>
      </c>
      <c r="AD463" s="51">
        <f t="shared" si="38"/>
        <v>0.8106481481</v>
      </c>
    </row>
    <row r="464">
      <c r="A464" s="23"/>
      <c r="B464" s="46" t="s">
        <v>3078</v>
      </c>
      <c r="C464" s="47"/>
      <c r="D464" s="38">
        <v>423.0</v>
      </c>
      <c r="E464" s="38">
        <v>466.0</v>
      </c>
      <c r="F464" s="38">
        <v>97.0</v>
      </c>
      <c r="G464" s="38">
        <v>36.0</v>
      </c>
      <c r="H464" s="38">
        <v>95.0</v>
      </c>
      <c r="I464" s="48">
        <f t="shared" si="21"/>
        <v>986</v>
      </c>
      <c r="J464" s="48">
        <f t="shared" si="22"/>
        <v>1117</v>
      </c>
      <c r="K464" s="49">
        <f t="shared" si="23"/>
        <v>0.4290060852</v>
      </c>
      <c r="L464" s="49">
        <f t="shared" si="24"/>
        <v>0.4726166329</v>
      </c>
      <c r="M464" s="49">
        <f t="shared" si="25"/>
        <v>0.09837728195</v>
      </c>
      <c r="N464" s="32" t="str">
        <f t="shared" si="26"/>
        <v>Mal. Lott</v>
      </c>
      <c r="O464" s="50" t="s">
        <v>77</v>
      </c>
      <c r="P464" s="38">
        <v>508.0</v>
      </c>
      <c r="Q464" s="38">
        <v>371.0</v>
      </c>
      <c r="R464" s="38">
        <v>99.0</v>
      </c>
      <c r="S464" s="38">
        <v>90.0</v>
      </c>
      <c r="T464" s="38">
        <v>49.0</v>
      </c>
      <c r="U464" s="48">
        <f t="shared" si="27"/>
        <v>978</v>
      </c>
      <c r="V464" s="48">
        <f t="shared" si="28"/>
        <v>1117</v>
      </c>
      <c r="W464" s="49">
        <f t="shared" si="29"/>
        <v>0.5194274029</v>
      </c>
      <c r="X464" s="49">
        <f t="shared" si="30"/>
        <v>0.3793456033</v>
      </c>
      <c r="Y464" s="49">
        <f t="shared" si="31"/>
        <v>0.1012269939</v>
      </c>
      <c r="Z464" s="32" t="str">
        <f t="shared" si="32"/>
        <v>Jango</v>
      </c>
      <c r="AA464" s="50" t="s">
        <v>77</v>
      </c>
      <c r="AB464" s="38">
        <v>1351.0</v>
      </c>
      <c r="AC464" s="48">
        <f t="shared" si="37"/>
        <v>234</v>
      </c>
      <c r="AD464" s="51">
        <f t="shared" si="38"/>
        <v>0.8267949667</v>
      </c>
    </row>
    <row r="465">
      <c r="A465" s="24"/>
      <c r="B465" s="46" t="s">
        <v>3079</v>
      </c>
      <c r="C465" s="47"/>
      <c r="D465" s="38">
        <v>414.0</v>
      </c>
      <c r="E465" s="38">
        <v>607.0</v>
      </c>
      <c r="F465" s="38">
        <v>88.0</v>
      </c>
      <c r="G465" s="38">
        <v>70.0</v>
      </c>
      <c r="H465" s="38">
        <v>62.0</v>
      </c>
      <c r="I465" s="48">
        <f t="shared" si="21"/>
        <v>1109</v>
      </c>
      <c r="J465" s="48">
        <f t="shared" si="22"/>
        <v>1241</v>
      </c>
      <c r="K465" s="49">
        <f t="shared" si="23"/>
        <v>0.3733092876</v>
      </c>
      <c r="L465" s="49">
        <f t="shared" si="24"/>
        <v>0.5473399459</v>
      </c>
      <c r="M465" s="49">
        <f t="shared" si="25"/>
        <v>0.07935076646</v>
      </c>
      <c r="N465" s="32" t="str">
        <f t="shared" si="26"/>
        <v>Mal. Lott</v>
      </c>
      <c r="O465" s="50" t="s">
        <v>77</v>
      </c>
      <c r="P465" s="38">
        <v>616.0</v>
      </c>
      <c r="Q465" s="38">
        <v>329.0</v>
      </c>
      <c r="R465" s="38">
        <v>62.0</v>
      </c>
      <c r="S465" s="38">
        <v>184.0</v>
      </c>
      <c r="T465" s="38">
        <v>50.0</v>
      </c>
      <c r="U465" s="48">
        <f t="shared" si="27"/>
        <v>1007</v>
      </c>
      <c r="V465" s="48">
        <f t="shared" si="28"/>
        <v>1241</v>
      </c>
      <c r="W465" s="49">
        <f t="shared" si="29"/>
        <v>0.6117179742</v>
      </c>
      <c r="X465" s="49">
        <f t="shared" si="30"/>
        <v>0.3267130089</v>
      </c>
      <c r="Y465" s="49">
        <f t="shared" si="31"/>
        <v>0.06156901688</v>
      </c>
      <c r="Z465" s="32" t="str">
        <f t="shared" si="32"/>
        <v>Jango</v>
      </c>
      <c r="AA465" s="50" t="s">
        <v>77</v>
      </c>
      <c r="AB465" s="38">
        <v>1631.0</v>
      </c>
      <c r="AC465" s="48">
        <f t="shared" si="37"/>
        <v>390</v>
      </c>
      <c r="AD465" s="51">
        <f t="shared" si="38"/>
        <v>0.7608828939</v>
      </c>
    </row>
    <row r="466">
      <c r="A466" s="110" t="s">
        <v>3080</v>
      </c>
      <c r="B466" s="46" t="s">
        <v>3081</v>
      </c>
      <c r="C466" s="47"/>
      <c r="D466" s="38">
        <v>1479.0</v>
      </c>
      <c r="E466" s="38">
        <v>562.0</v>
      </c>
      <c r="F466" s="38">
        <v>127.0</v>
      </c>
      <c r="G466" s="38">
        <v>160.0</v>
      </c>
      <c r="H466" s="38">
        <v>169.0</v>
      </c>
      <c r="I466" s="48">
        <f t="shared" si="21"/>
        <v>2168</v>
      </c>
      <c r="J466" s="48">
        <f t="shared" si="22"/>
        <v>2497</v>
      </c>
      <c r="K466" s="49">
        <f t="shared" si="23"/>
        <v>0.682195572</v>
      </c>
      <c r="L466" s="49">
        <f t="shared" si="24"/>
        <v>0.2592250923</v>
      </c>
      <c r="M466" s="49">
        <f t="shared" si="25"/>
        <v>0.05857933579</v>
      </c>
      <c r="N466" s="32" t="str">
        <f t="shared" si="26"/>
        <v>Jânio</v>
      </c>
      <c r="O466" s="50" t="s">
        <v>77</v>
      </c>
      <c r="P466" s="38">
        <v>451.0</v>
      </c>
      <c r="Q466" s="38">
        <v>1528.0</v>
      </c>
      <c r="R466" s="38">
        <v>110.0</v>
      </c>
      <c r="S466" s="38">
        <v>306.0</v>
      </c>
      <c r="T466" s="38">
        <v>102.0</v>
      </c>
      <c r="U466" s="48">
        <f t="shared" si="27"/>
        <v>2089</v>
      </c>
      <c r="V466" s="48">
        <f t="shared" si="28"/>
        <v>2497</v>
      </c>
      <c r="W466" s="49">
        <f t="shared" si="29"/>
        <v>0.2158927717</v>
      </c>
      <c r="X466" s="49">
        <f t="shared" si="30"/>
        <v>0.7314504548</v>
      </c>
      <c r="Y466" s="49">
        <f t="shared" si="31"/>
        <v>0.05265677358</v>
      </c>
      <c r="Z466" s="32" t="str">
        <f t="shared" si="32"/>
        <v>Milton</v>
      </c>
      <c r="AA466" s="50" t="s">
        <v>77</v>
      </c>
      <c r="AB466" s="38">
        <v>3466.0</v>
      </c>
      <c r="AC466" s="48">
        <f t="shared" si="37"/>
        <v>969</v>
      </c>
      <c r="AD466" s="51">
        <f t="shared" si="38"/>
        <v>0.7204270052</v>
      </c>
    </row>
    <row r="467">
      <c r="A467" s="61" t="s">
        <v>3082</v>
      </c>
      <c r="B467" s="46" t="s">
        <v>3083</v>
      </c>
      <c r="C467" s="47"/>
      <c r="D467" s="38">
        <v>3098.0</v>
      </c>
      <c r="E467" s="38">
        <v>5324.0</v>
      </c>
      <c r="F467" s="38">
        <v>1127.0</v>
      </c>
      <c r="G467" s="38">
        <v>551.0</v>
      </c>
      <c r="H467" s="38">
        <v>607.0</v>
      </c>
      <c r="I467" s="48">
        <f t="shared" si="21"/>
        <v>9549</v>
      </c>
      <c r="J467" s="48">
        <f t="shared" si="22"/>
        <v>10707</v>
      </c>
      <c r="K467" s="49">
        <f t="shared" si="23"/>
        <v>0.3244318777</v>
      </c>
      <c r="L467" s="49">
        <f t="shared" si="24"/>
        <v>0.5575452927</v>
      </c>
      <c r="M467" s="49">
        <f t="shared" si="25"/>
        <v>0.1180228296</v>
      </c>
      <c r="N467" s="32" t="str">
        <f t="shared" si="26"/>
        <v>Mal. Lott</v>
      </c>
      <c r="O467" s="50" t="s">
        <v>77</v>
      </c>
      <c r="P467" s="38">
        <v>4662.0</v>
      </c>
      <c r="Q467" s="38">
        <v>3752.0</v>
      </c>
      <c r="R467" s="38">
        <v>742.0</v>
      </c>
      <c r="S467" s="38">
        <v>975.0</v>
      </c>
      <c r="T467" s="38">
        <v>576.0</v>
      </c>
      <c r="U467" s="48">
        <f t="shared" si="27"/>
        <v>9156</v>
      </c>
      <c r="V467" s="48">
        <f t="shared" si="28"/>
        <v>10707</v>
      </c>
      <c r="W467" s="49">
        <f t="shared" si="29"/>
        <v>0.5091743119</v>
      </c>
      <c r="X467" s="49">
        <f t="shared" si="30"/>
        <v>0.4097859327</v>
      </c>
      <c r="Y467" s="49">
        <f t="shared" si="31"/>
        <v>0.08103975535</v>
      </c>
      <c r="Z467" s="32" t="str">
        <f t="shared" si="32"/>
        <v>Jango</v>
      </c>
      <c r="AA467" s="50" t="s">
        <v>77</v>
      </c>
      <c r="AB467" s="38">
        <v>12426.0</v>
      </c>
      <c r="AC467" s="48">
        <f t="shared" si="37"/>
        <v>1719</v>
      </c>
      <c r="AD467" s="51">
        <f t="shared" si="38"/>
        <v>0.8616610333</v>
      </c>
    </row>
    <row r="468">
      <c r="A468" s="23"/>
      <c r="B468" s="46" t="s">
        <v>3084</v>
      </c>
      <c r="C468" s="47"/>
      <c r="D468" s="38">
        <v>488.0</v>
      </c>
      <c r="E468" s="38">
        <v>463.0</v>
      </c>
      <c r="F468" s="38">
        <v>173.0</v>
      </c>
      <c r="G468" s="38">
        <v>191.0</v>
      </c>
      <c r="H468" s="38">
        <v>126.0</v>
      </c>
      <c r="I468" s="48">
        <f t="shared" si="21"/>
        <v>1124</v>
      </c>
      <c r="J468" s="48">
        <f t="shared" si="22"/>
        <v>1441</v>
      </c>
      <c r="K468" s="49">
        <f t="shared" si="23"/>
        <v>0.4341637011</v>
      </c>
      <c r="L468" s="49">
        <f t="shared" si="24"/>
        <v>0.4119217082</v>
      </c>
      <c r="M468" s="49">
        <f t="shared" si="25"/>
        <v>0.1539145907</v>
      </c>
      <c r="N468" s="32" t="str">
        <f t="shared" si="26"/>
        <v>Jânio</v>
      </c>
      <c r="O468" s="50" t="s">
        <v>77</v>
      </c>
      <c r="P468" s="38">
        <v>510.0</v>
      </c>
      <c r="Q468" s="38">
        <v>405.0</v>
      </c>
      <c r="R468" s="38">
        <v>108.0</v>
      </c>
      <c r="S468" s="38">
        <v>324.0</v>
      </c>
      <c r="T468" s="38">
        <v>94.0</v>
      </c>
      <c r="U468" s="48">
        <f t="shared" si="27"/>
        <v>1023</v>
      </c>
      <c r="V468" s="48">
        <f t="shared" si="28"/>
        <v>1441</v>
      </c>
      <c r="W468" s="49">
        <f t="shared" si="29"/>
        <v>0.4985337243</v>
      </c>
      <c r="X468" s="49">
        <f t="shared" si="30"/>
        <v>0.3958944282</v>
      </c>
      <c r="Y468" s="49">
        <f t="shared" si="31"/>
        <v>0.1055718475</v>
      </c>
      <c r="Z468" s="32" t="str">
        <f t="shared" si="32"/>
        <v>Jango</v>
      </c>
      <c r="AA468" s="50" t="s">
        <v>77</v>
      </c>
      <c r="AB468" s="38">
        <v>1820.0</v>
      </c>
      <c r="AC468" s="48">
        <f t="shared" si="37"/>
        <v>379</v>
      </c>
      <c r="AD468" s="51">
        <f t="shared" si="38"/>
        <v>0.7917582418</v>
      </c>
    </row>
    <row r="469">
      <c r="A469" s="23"/>
      <c r="B469" s="46" t="s">
        <v>3085</v>
      </c>
      <c r="C469" s="47"/>
      <c r="D469" s="38">
        <v>559.0</v>
      </c>
      <c r="E469" s="38">
        <v>788.0</v>
      </c>
      <c r="F469" s="38">
        <v>201.0</v>
      </c>
      <c r="G469" s="38">
        <v>173.0</v>
      </c>
      <c r="H469" s="38">
        <v>152.0</v>
      </c>
      <c r="I469" s="48">
        <f t="shared" si="21"/>
        <v>1548</v>
      </c>
      <c r="J469" s="48">
        <f t="shared" si="22"/>
        <v>1873</v>
      </c>
      <c r="K469" s="49">
        <f t="shared" si="23"/>
        <v>0.3611111111</v>
      </c>
      <c r="L469" s="49">
        <f t="shared" si="24"/>
        <v>0.5090439276</v>
      </c>
      <c r="M469" s="49">
        <f t="shared" si="25"/>
        <v>0.1298449612</v>
      </c>
      <c r="N469" s="32" t="str">
        <f t="shared" si="26"/>
        <v>Mal. Lott</v>
      </c>
      <c r="O469" s="50" t="s">
        <v>77</v>
      </c>
      <c r="P469" s="38">
        <v>869.0</v>
      </c>
      <c r="Q469" s="38">
        <v>511.0</v>
      </c>
      <c r="R469" s="38">
        <v>114.0</v>
      </c>
      <c r="S469" s="38">
        <v>279.0</v>
      </c>
      <c r="T469" s="38">
        <v>100.0</v>
      </c>
      <c r="U469" s="48">
        <f t="shared" si="27"/>
        <v>1494</v>
      </c>
      <c r="V469" s="48">
        <f t="shared" si="28"/>
        <v>1873</v>
      </c>
      <c r="W469" s="49">
        <f t="shared" si="29"/>
        <v>0.5816599732</v>
      </c>
      <c r="X469" s="49">
        <f t="shared" si="30"/>
        <v>0.3420348059</v>
      </c>
      <c r="Y469" s="49">
        <f t="shared" si="31"/>
        <v>0.07630522088</v>
      </c>
      <c r="Z469" s="32" t="str">
        <f t="shared" si="32"/>
        <v>Jango</v>
      </c>
      <c r="AA469" s="50" t="s">
        <v>77</v>
      </c>
      <c r="AB469" s="38">
        <v>2338.0</v>
      </c>
      <c r="AC469" s="48">
        <f t="shared" si="37"/>
        <v>465</v>
      </c>
      <c r="AD469" s="51">
        <f t="shared" si="38"/>
        <v>0.8011120616</v>
      </c>
    </row>
    <row r="470">
      <c r="A470" s="23"/>
      <c r="B470" s="46" t="s">
        <v>3086</v>
      </c>
      <c r="C470" s="47"/>
      <c r="D470" s="38">
        <v>367.0</v>
      </c>
      <c r="E470" s="38">
        <v>874.0</v>
      </c>
      <c r="F470" s="38">
        <v>187.0</v>
      </c>
      <c r="G470" s="38">
        <v>203.0</v>
      </c>
      <c r="H470" s="38">
        <v>144.0</v>
      </c>
      <c r="I470" s="48">
        <f t="shared" si="21"/>
        <v>1428</v>
      </c>
      <c r="J470" s="48">
        <f t="shared" si="22"/>
        <v>1775</v>
      </c>
      <c r="K470" s="49">
        <f t="shared" si="23"/>
        <v>0.2570028011</v>
      </c>
      <c r="L470" s="49">
        <f t="shared" si="24"/>
        <v>0.6120448179</v>
      </c>
      <c r="M470" s="49">
        <f t="shared" si="25"/>
        <v>0.130952381</v>
      </c>
      <c r="N470" s="32" t="str">
        <f t="shared" si="26"/>
        <v>Mal. Lott</v>
      </c>
      <c r="O470" s="50" t="s">
        <v>77</v>
      </c>
      <c r="P470" s="38">
        <v>801.0</v>
      </c>
      <c r="Q470" s="38">
        <v>486.0</v>
      </c>
      <c r="R470" s="38">
        <v>91.0</v>
      </c>
      <c r="S470" s="38">
        <v>303.0</v>
      </c>
      <c r="T470" s="38">
        <v>94.0</v>
      </c>
      <c r="U470" s="48">
        <f t="shared" si="27"/>
        <v>1378</v>
      </c>
      <c r="V470" s="48">
        <f t="shared" si="28"/>
        <v>1775</v>
      </c>
      <c r="W470" s="49">
        <f t="shared" si="29"/>
        <v>0.5812772134</v>
      </c>
      <c r="X470" s="49">
        <f t="shared" si="30"/>
        <v>0.3526850508</v>
      </c>
      <c r="Y470" s="49">
        <f t="shared" si="31"/>
        <v>0.06603773585</v>
      </c>
      <c r="Z470" s="32" t="str">
        <f t="shared" si="32"/>
        <v>Jango</v>
      </c>
      <c r="AA470" s="50" t="s">
        <v>77</v>
      </c>
      <c r="AB470" s="38">
        <v>2450.0</v>
      </c>
      <c r="AC470" s="48">
        <f t="shared" si="37"/>
        <v>675</v>
      </c>
      <c r="AD470" s="51">
        <f t="shared" si="38"/>
        <v>0.7244897959</v>
      </c>
    </row>
    <row r="471">
      <c r="A471" s="24"/>
      <c r="B471" s="46" t="s">
        <v>3087</v>
      </c>
      <c r="C471" s="47"/>
      <c r="D471" s="38">
        <v>273.0</v>
      </c>
      <c r="E471" s="38">
        <v>358.0</v>
      </c>
      <c r="F471" s="38">
        <v>59.0</v>
      </c>
      <c r="G471" s="38">
        <v>91.0</v>
      </c>
      <c r="H471" s="38">
        <v>91.0</v>
      </c>
      <c r="I471" s="48">
        <f t="shared" si="21"/>
        <v>690</v>
      </c>
      <c r="J471" s="48">
        <f t="shared" si="22"/>
        <v>872</v>
      </c>
      <c r="K471" s="49">
        <f t="shared" si="23"/>
        <v>0.3956521739</v>
      </c>
      <c r="L471" s="49">
        <f t="shared" si="24"/>
        <v>0.5188405797</v>
      </c>
      <c r="M471" s="49">
        <f t="shared" si="25"/>
        <v>0.08550724638</v>
      </c>
      <c r="N471" s="32" t="str">
        <f t="shared" si="26"/>
        <v>Mal. Lott</v>
      </c>
      <c r="O471" s="50" t="s">
        <v>77</v>
      </c>
      <c r="P471" s="38">
        <v>381.0</v>
      </c>
      <c r="Q471" s="38">
        <v>175.0</v>
      </c>
      <c r="R471" s="38">
        <v>107.0</v>
      </c>
      <c r="S471" s="38">
        <v>138.0</v>
      </c>
      <c r="T471" s="38">
        <v>71.0</v>
      </c>
      <c r="U471" s="48">
        <f t="shared" si="27"/>
        <v>663</v>
      </c>
      <c r="V471" s="48">
        <f t="shared" si="28"/>
        <v>872</v>
      </c>
      <c r="W471" s="49">
        <f t="shared" si="29"/>
        <v>0.5746606335</v>
      </c>
      <c r="X471" s="49">
        <f t="shared" si="30"/>
        <v>0.2639517345</v>
      </c>
      <c r="Y471" s="49">
        <f t="shared" si="31"/>
        <v>0.161387632</v>
      </c>
      <c r="Z471" s="32" t="str">
        <f t="shared" si="32"/>
        <v>Jango</v>
      </c>
      <c r="AA471" s="50" t="s">
        <v>77</v>
      </c>
      <c r="AB471" s="38">
        <v>1261.0</v>
      </c>
      <c r="AC471" s="48">
        <f t="shared" si="37"/>
        <v>389</v>
      </c>
      <c r="AD471" s="51">
        <f t="shared" si="38"/>
        <v>0.6915146709</v>
      </c>
    </row>
    <row r="472">
      <c r="A472" s="110" t="s">
        <v>3088</v>
      </c>
      <c r="B472" s="46" t="s">
        <v>3089</v>
      </c>
      <c r="C472" s="47"/>
      <c r="D472" s="38">
        <v>733.0</v>
      </c>
      <c r="E472" s="38">
        <v>1128.0</v>
      </c>
      <c r="F472" s="38">
        <v>362.0</v>
      </c>
      <c r="G472" s="38">
        <v>174.0</v>
      </c>
      <c r="H472" s="38">
        <v>176.0</v>
      </c>
      <c r="I472" s="48">
        <f t="shared" si="21"/>
        <v>2223</v>
      </c>
      <c r="J472" s="48">
        <f t="shared" si="22"/>
        <v>2573</v>
      </c>
      <c r="K472" s="49">
        <f t="shared" si="23"/>
        <v>0.3297345929</v>
      </c>
      <c r="L472" s="49">
        <f t="shared" si="24"/>
        <v>0.5074224022</v>
      </c>
      <c r="M472" s="49">
        <f t="shared" si="25"/>
        <v>0.1628430049</v>
      </c>
      <c r="N472" s="32" t="str">
        <f t="shared" si="26"/>
        <v>Mal. Lott</v>
      </c>
      <c r="O472" s="50" t="s">
        <v>77</v>
      </c>
      <c r="P472" s="38">
        <v>1084.0</v>
      </c>
      <c r="Q472" s="38">
        <v>684.0</v>
      </c>
      <c r="R472" s="38">
        <v>166.0</v>
      </c>
      <c r="S472" s="38">
        <v>519.0</v>
      </c>
      <c r="T472" s="38">
        <v>120.0</v>
      </c>
      <c r="U472" s="48">
        <f t="shared" si="27"/>
        <v>1934</v>
      </c>
      <c r="V472" s="48">
        <f t="shared" si="28"/>
        <v>2573</v>
      </c>
      <c r="W472" s="49">
        <f t="shared" si="29"/>
        <v>0.5604963806</v>
      </c>
      <c r="X472" s="49">
        <f t="shared" si="30"/>
        <v>0.3536711479</v>
      </c>
      <c r="Y472" s="49">
        <f t="shared" si="31"/>
        <v>0.08583247156</v>
      </c>
      <c r="Z472" s="32" t="str">
        <f t="shared" si="32"/>
        <v>Jango</v>
      </c>
      <c r="AA472" s="50" t="s">
        <v>77</v>
      </c>
      <c r="AB472" s="38">
        <v>3361.0</v>
      </c>
      <c r="AC472" s="48">
        <f t="shared" si="37"/>
        <v>788</v>
      </c>
      <c r="AD472" s="51">
        <f t="shared" si="38"/>
        <v>0.7655459685</v>
      </c>
    </row>
    <row r="473">
      <c r="A473" s="110" t="s">
        <v>3090</v>
      </c>
      <c r="B473" s="46" t="s">
        <v>3091</v>
      </c>
      <c r="C473" s="47"/>
      <c r="D473" s="38">
        <v>2919.0</v>
      </c>
      <c r="E473" s="38">
        <v>2398.0</v>
      </c>
      <c r="F473" s="38">
        <v>330.0</v>
      </c>
      <c r="G473" s="38">
        <v>266.0</v>
      </c>
      <c r="H473" s="38">
        <v>287.0</v>
      </c>
      <c r="I473" s="48">
        <f t="shared" si="21"/>
        <v>5647</v>
      </c>
      <c r="J473" s="48">
        <f t="shared" si="22"/>
        <v>6200</v>
      </c>
      <c r="K473" s="49">
        <f t="shared" si="23"/>
        <v>0.5169116345</v>
      </c>
      <c r="L473" s="49">
        <f t="shared" si="24"/>
        <v>0.4246502568</v>
      </c>
      <c r="M473" s="49">
        <f t="shared" si="25"/>
        <v>0.05843810873</v>
      </c>
      <c r="N473" s="32" t="str">
        <f t="shared" si="26"/>
        <v>Jânio</v>
      </c>
      <c r="O473" s="50" t="s">
        <v>77</v>
      </c>
      <c r="P473" s="38">
        <v>2521.0</v>
      </c>
      <c r="Q473" s="38">
        <v>2705.0</v>
      </c>
      <c r="R473" s="38">
        <v>186.0</v>
      </c>
      <c r="S473" s="38">
        <v>686.0</v>
      </c>
      <c r="T473" s="38">
        <v>102.0</v>
      </c>
      <c r="U473" s="48">
        <f t="shared" si="27"/>
        <v>5412</v>
      </c>
      <c r="V473" s="48">
        <f t="shared" si="28"/>
        <v>6200</v>
      </c>
      <c r="W473" s="49">
        <f t="shared" si="29"/>
        <v>0.4658167036</v>
      </c>
      <c r="X473" s="49">
        <f t="shared" si="30"/>
        <v>0.4998152254</v>
      </c>
      <c r="Y473" s="49">
        <f t="shared" si="31"/>
        <v>0.03436807095</v>
      </c>
      <c r="Z473" s="32" t="str">
        <f t="shared" si="32"/>
        <v>Milton</v>
      </c>
      <c r="AA473" s="50" t="s">
        <v>77</v>
      </c>
      <c r="AB473" s="38">
        <v>7512.0</v>
      </c>
      <c r="AC473" s="48">
        <f t="shared" si="37"/>
        <v>1312</v>
      </c>
      <c r="AD473" s="51">
        <f t="shared" si="38"/>
        <v>0.8253461129</v>
      </c>
    </row>
    <row r="474">
      <c r="A474" s="110" t="s">
        <v>3092</v>
      </c>
      <c r="B474" s="46" t="s">
        <v>726</v>
      </c>
      <c r="C474" s="47"/>
      <c r="D474" s="38">
        <v>1855.0</v>
      </c>
      <c r="E474" s="38">
        <v>541.0</v>
      </c>
      <c r="F474" s="38">
        <v>352.0</v>
      </c>
      <c r="G474" s="38">
        <v>170.0</v>
      </c>
      <c r="H474" s="38">
        <v>274.0</v>
      </c>
      <c r="I474" s="48">
        <f t="shared" si="21"/>
        <v>2748</v>
      </c>
      <c r="J474" s="48">
        <f t="shared" si="22"/>
        <v>3192</v>
      </c>
      <c r="K474" s="49">
        <f t="shared" si="23"/>
        <v>0.6750363901</v>
      </c>
      <c r="L474" s="49">
        <f t="shared" si="24"/>
        <v>0.1968704512</v>
      </c>
      <c r="M474" s="49">
        <f t="shared" si="25"/>
        <v>0.1280931587</v>
      </c>
      <c r="N474" s="32" t="str">
        <f t="shared" si="26"/>
        <v>Jânio</v>
      </c>
      <c r="O474" s="50" t="s">
        <v>77</v>
      </c>
      <c r="P474" s="38">
        <v>1211.0</v>
      </c>
      <c r="Q474" s="38">
        <v>1166.0</v>
      </c>
      <c r="R474" s="38">
        <v>269.0</v>
      </c>
      <c r="S474" s="38">
        <v>368.0</v>
      </c>
      <c r="T474" s="38">
        <v>178.0</v>
      </c>
      <c r="U474" s="48">
        <f t="shared" si="27"/>
        <v>2646</v>
      </c>
      <c r="V474" s="48">
        <f t="shared" si="28"/>
        <v>3192</v>
      </c>
      <c r="W474" s="49">
        <f t="shared" si="29"/>
        <v>0.4576719577</v>
      </c>
      <c r="X474" s="49">
        <f t="shared" si="30"/>
        <v>0.440665155</v>
      </c>
      <c r="Y474" s="49">
        <f t="shared" si="31"/>
        <v>0.1016628874</v>
      </c>
      <c r="Z474" s="32" t="str">
        <f t="shared" si="32"/>
        <v>Jango</v>
      </c>
      <c r="AA474" s="50" t="s">
        <v>77</v>
      </c>
      <c r="AB474" s="38">
        <v>4706.0</v>
      </c>
      <c r="AC474" s="48">
        <f t="shared" si="37"/>
        <v>1514</v>
      </c>
      <c r="AD474" s="51">
        <f t="shared" si="38"/>
        <v>0.6782830429</v>
      </c>
    </row>
    <row r="475">
      <c r="A475" s="61" t="s">
        <v>3093</v>
      </c>
      <c r="B475" s="46" t="s">
        <v>3094</v>
      </c>
      <c r="C475" s="47"/>
      <c r="D475" s="38">
        <v>6194.0</v>
      </c>
      <c r="E475" s="38">
        <v>5444.0</v>
      </c>
      <c r="F475" s="38">
        <v>1041.0</v>
      </c>
      <c r="G475" s="38">
        <v>553.0</v>
      </c>
      <c r="H475" s="38">
        <v>741.0</v>
      </c>
      <c r="I475" s="48">
        <f t="shared" si="21"/>
        <v>12679</v>
      </c>
      <c r="J475" s="48">
        <f t="shared" si="22"/>
        <v>13973</v>
      </c>
      <c r="K475" s="49">
        <f t="shared" si="23"/>
        <v>0.4885243316</v>
      </c>
      <c r="L475" s="49">
        <f t="shared" si="24"/>
        <v>0.4293714015</v>
      </c>
      <c r="M475" s="49">
        <f t="shared" si="25"/>
        <v>0.0821042669</v>
      </c>
      <c r="N475" s="32" t="str">
        <f t="shared" si="26"/>
        <v>Jânio</v>
      </c>
      <c r="O475" s="50" t="s">
        <v>77</v>
      </c>
      <c r="P475" s="38">
        <v>5365.0</v>
      </c>
      <c r="Q475" s="38">
        <v>5246.0</v>
      </c>
      <c r="R475" s="38">
        <v>1119.0</v>
      </c>
      <c r="S475" s="38">
        <v>1757.0</v>
      </c>
      <c r="T475" s="38">
        <v>486.0</v>
      </c>
      <c r="U475" s="48">
        <f t="shared" si="27"/>
        <v>11730</v>
      </c>
      <c r="V475" s="48">
        <f t="shared" si="28"/>
        <v>13973</v>
      </c>
      <c r="W475" s="49">
        <f t="shared" si="29"/>
        <v>0.457374254</v>
      </c>
      <c r="X475" s="49">
        <f t="shared" si="30"/>
        <v>0.4472293265</v>
      </c>
      <c r="Y475" s="49">
        <f t="shared" si="31"/>
        <v>0.09539641944</v>
      </c>
      <c r="Z475" s="32" t="str">
        <f t="shared" si="32"/>
        <v>Jango</v>
      </c>
      <c r="AA475" s="50" t="s">
        <v>77</v>
      </c>
      <c r="AB475" s="38">
        <v>19569.0</v>
      </c>
      <c r="AC475" s="48">
        <f t="shared" si="37"/>
        <v>5596</v>
      </c>
      <c r="AD475" s="51">
        <f t="shared" si="38"/>
        <v>0.7140375083</v>
      </c>
    </row>
    <row r="476">
      <c r="A476" s="23"/>
      <c r="B476" s="46" t="s">
        <v>3095</v>
      </c>
      <c r="C476" s="47"/>
      <c r="D476" s="38">
        <v>1247.0</v>
      </c>
      <c r="E476" s="38">
        <v>922.0</v>
      </c>
      <c r="F476" s="38">
        <v>243.0</v>
      </c>
      <c r="G476" s="38">
        <v>207.0</v>
      </c>
      <c r="H476" s="38">
        <v>251.0</v>
      </c>
      <c r="I476" s="48">
        <f t="shared" si="21"/>
        <v>2412</v>
      </c>
      <c r="J476" s="48">
        <f t="shared" si="22"/>
        <v>2870</v>
      </c>
      <c r="K476" s="49">
        <f t="shared" si="23"/>
        <v>0.5169983416</v>
      </c>
      <c r="L476" s="49">
        <f t="shared" si="24"/>
        <v>0.3822553897</v>
      </c>
      <c r="M476" s="49">
        <f t="shared" si="25"/>
        <v>0.1007462687</v>
      </c>
      <c r="N476" s="32" t="str">
        <f t="shared" si="26"/>
        <v>Jânio</v>
      </c>
      <c r="O476" s="50" t="s">
        <v>77</v>
      </c>
      <c r="P476" s="38">
        <v>954.0</v>
      </c>
      <c r="Q476" s="38">
        <v>1040.0</v>
      </c>
      <c r="R476" s="38">
        <v>171.0</v>
      </c>
      <c r="S476" s="38">
        <v>592.0</v>
      </c>
      <c r="T476" s="38">
        <v>113.0</v>
      </c>
      <c r="U476" s="48">
        <f t="shared" si="27"/>
        <v>2165</v>
      </c>
      <c r="V476" s="48">
        <f t="shared" si="28"/>
        <v>2870</v>
      </c>
      <c r="W476" s="49">
        <f t="shared" si="29"/>
        <v>0.4406466513</v>
      </c>
      <c r="X476" s="49">
        <f t="shared" si="30"/>
        <v>0.480369515</v>
      </c>
      <c r="Y476" s="49">
        <f t="shared" si="31"/>
        <v>0.07898383372</v>
      </c>
      <c r="Z476" s="32" t="str">
        <f t="shared" si="32"/>
        <v>Milton</v>
      </c>
      <c r="AA476" s="50" t="s">
        <v>77</v>
      </c>
      <c r="AB476" s="38">
        <v>5517.0</v>
      </c>
      <c r="AC476" s="48">
        <f t="shared" si="37"/>
        <v>2647</v>
      </c>
      <c r="AD476" s="51">
        <f t="shared" si="38"/>
        <v>0.5202102592</v>
      </c>
    </row>
    <row r="477">
      <c r="A477" s="23"/>
      <c r="B477" s="46" t="s">
        <v>3096</v>
      </c>
      <c r="C477" s="47"/>
      <c r="D477" s="38">
        <v>393.0</v>
      </c>
      <c r="E477" s="38">
        <v>549.0</v>
      </c>
      <c r="F477" s="38">
        <v>89.0</v>
      </c>
      <c r="G477" s="38">
        <v>88.0</v>
      </c>
      <c r="H477" s="38">
        <v>100.0</v>
      </c>
      <c r="I477" s="48">
        <f t="shared" si="21"/>
        <v>1031</v>
      </c>
      <c r="J477" s="48">
        <f t="shared" si="22"/>
        <v>1219</v>
      </c>
      <c r="K477" s="49">
        <f t="shared" si="23"/>
        <v>0.3811833172</v>
      </c>
      <c r="L477" s="49">
        <f t="shared" si="24"/>
        <v>0.5324927255</v>
      </c>
      <c r="M477" s="49">
        <f t="shared" si="25"/>
        <v>0.08632395732</v>
      </c>
      <c r="N477" s="32" t="str">
        <f t="shared" si="26"/>
        <v>Mal. Lott</v>
      </c>
      <c r="O477" s="50" t="s">
        <v>77</v>
      </c>
      <c r="P477" s="38">
        <v>590.0</v>
      </c>
      <c r="Q477" s="38">
        <v>308.0</v>
      </c>
      <c r="R477" s="38">
        <v>70.0</v>
      </c>
      <c r="S477" s="38">
        <v>207.0</v>
      </c>
      <c r="T477" s="38">
        <v>44.0</v>
      </c>
      <c r="U477" s="48">
        <f t="shared" si="27"/>
        <v>968</v>
      </c>
      <c r="V477" s="48">
        <f t="shared" si="28"/>
        <v>1219</v>
      </c>
      <c r="W477" s="49">
        <f t="shared" si="29"/>
        <v>0.6095041322</v>
      </c>
      <c r="X477" s="49">
        <f t="shared" si="30"/>
        <v>0.3181818182</v>
      </c>
      <c r="Y477" s="49">
        <f t="shared" si="31"/>
        <v>0.07231404959</v>
      </c>
      <c r="Z477" s="32" t="str">
        <f t="shared" si="32"/>
        <v>Jango</v>
      </c>
      <c r="AA477" s="50" t="s">
        <v>77</v>
      </c>
      <c r="AB477" s="38">
        <v>1753.0</v>
      </c>
      <c r="AC477" s="48">
        <f t="shared" si="37"/>
        <v>534</v>
      </c>
      <c r="AD477" s="51">
        <f t="shared" si="38"/>
        <v>0.6953793497</v>
      </c>
    </row>
    <row r="478">
      <c r="A478" s="24"/>
      <c r="B478" s="46" t="s">
        <v>3097</v>
      </c>
      <c r="C478" s="47"/>
      <c r="D478" s="38">
        <v>390.0</v>
      </c>
      <c r="E478" s="38">
        <v>753.0</v>
      </c>
      <c r="F478" s="38">
        <v>132.0</v>
      </c>
      <c r="G478" s="38">
        <v>100.0</v>
      </c>
      <c r="H478" s="38">
        <v>122.0</v>
      </c>
      <c r="I478" s="48">
        <f t="shared" si="21"/>
        <v>1275</v>
      </c>
      <c r="J478" s="48">
        <f t="shared" si="22"/>
        <v>1497</v>
      </c>
      <c r="K478" s="49">
        <f t="shared" si="23"/>
        <v>0.3058823529</v>
      </c>
      <c r="L478" s="49">
        <f t="shared" si="24"/>
        <v>0.5905882353</v>
      </c>
      <c r="M478" s="49">
        <f t="shared" si="25"/>
        <v>0.1035294118</v>
      </c>
      <c r="N478" s="32" t="str">
        <f t="shared" si="26"/>
        <v>Mal. Lott</v>
      </c>
      <c r="O478" s="50" t="s">
        <v>77</v>
      </c>
      <c r="P478" s="38">
        <v>787.0</v>
      </c>
      <c r="Q478" s="38">
        <v>322.0</v>
      </c>
      <c r="R478" s="38">
        <v>79.0</v>
      </c>
      <c r="S478" s="38">
        <v>188.0</v>
      </c>
      <c r="T478" s="38">
        <v>121.0</v>
      </c>
      <c r="U478" s="48">
        <f t="shared" si="27"/>
        <v>1188</v>
      </c>
      <c r="V478" s="48">
        <f t="shared" si="28"/>
        <v>1497</v>
      </c>
      <c r="W478" s="49">
        <f t="shared" si="29"/>
        <v>0.6624579125</v>
      </c>
      <c r="X478" s="49">
        <f t="shared" si="30"/>
        <v>0.271043771</v>
      </c>
      <c r="Y478" s="49">
        <f t="shared" si="31"/>
        <v>0.0664983165</v>
      </c>
      <c r="Z478" s="32" t="str">
        <f t="shared" si="32"/>
        <v>Jango</v>
      </c>
      <c r="AA478" s="50" t="s">
        <v>77</v>
      </c>
      <c r="AB478" s="38">
        <v>1990.0</v>
      </c>
      <c r="AC478" s="48">
        <f t="shared" si="37"/>
        <v>493</v>
      </c>
      <c r="AD478" s="51">
        <f t="shared" si="38"/>
        <v>0.7522613065</v>
      </c>
    </row>
    <row r="479">
      <c r="A479" s="110" t="s">
        <v>3098</v>
      </c>
      <c r="B479" s="46" t="s">
        <v>3099</v>
      </c>
      <c r="C479" s="47"/>
      <c r="D479" s="38">
        <v>1372.0</v>
      </c>
      <c r="E479" s="38">
        <v>793.0</v>
      </c>
      <c r="F479" s="38">
        <v>153.0</v>
      </c>
      <c r="G479" s="38">
        <v>232.0</v>
      </c>
      <c r="H479" s="38">
        <v>199.0</v>
      </c>
      <c r="I479" s="48">
        <f t="shared" si="21"/>
        <v>2318</v>
      </c>
      <c r="J479" s="48">
        <f t="shared" si="22"/>
        <v>2749</v>
      </c>
      <c r="K479" s="49">
        <f t="shared" si="23"/>
        <v>0.59188956</v>
      </c>
      <c r="L479" s="49">
        <f t="shared" si="24"/>
        <v>0.3421052632</v>
      </c>
      <c r="M479" s="49">
        <f t="shared" si="25"/>
        <v>0.06600517688</v>
      </c>
      <c r="N479" s="32" t="str">
        <f t="shared" si="26"/>
        <v>Jânio</v>
      </c>
      <c r="O479" s="50" t="s">
        <v>77</v>
      </c>
      <c r="P479" s="38">
        <v>788.0</v>
      </c>
      <c r="Q479" s="38">
        <v>1263.0</v>
      </c>
      <c r="R479" s="38">
        <v>142.0</v>
      </c>
      <c r="S479" s="38">
        <v>411.0</v>
      </c>
      <c r="T479" s="38">
        <v>145.0</v>
      </c>
      <c r="U479" s="48">
        <f t="shared" si="27"/>
        <v>2193</v>
      </c>
      <c r="V479" s="48">
        <f t="shared" si="28"/>
        <v>2749</v>
      </c>
      <c r="W479" s="49">
        <f t="shared" si="29"/>
        <v>0.3593251254</v>
      </c>
      <c r="X479" s="49">
        <f t="shared" si="30"/>
        <v>0.5759233926</v>
      </c>
      <c r="Y479" s="49">
        <f t="shared" si="31"/>
        <v>0.06475148199</v>
      </c>
      <c r="Z479" s="32" t="str">
        <f t="shared" si="32"/>
        <v>Milton</v>
      </c>
      <c r="AA479" s="50" t="s">
        <v>77</v>
      </c>
      <c r="AB479" s="38">
        <v>3336.0</v>
      </c>
      <c r="AC479" s="48">
        <f t="shared" si="37"/>
        <v>587</v>
      </c>
      <c r="AD479" s="51">
        <f t="shared" si="38"/>
        <v>0.8240407674</v>
      </c>
    </row>
    <row r="480">
      <c r="A480" s="110" t="s">
        <v>3100</v>
      </c>
      <c r="B480" s="46" t="s">
        <v>3101</v>
      </c>
      <c r="C480" s="47"/>
      <c r="D480" s="38">
        <v>908.0</v>
      </c>
      <c r="E480" s="38">
        <v>1185.0</v>
      </c>
      <c r="F480" s="38">
        <v>196.0</v>
      </c>
      <c r="G480" s="38">
        <v>157.0</v>
      </c>
      <c r="H480" s="38">
        <v>177.0</v>
      </c>
      <c r="I480" s="48">
        <f t="shared" si="21"/>
        <v>2289</v>
      </c>
      <c r="J480" s="48">
        <f t="shared" si="22"/>
        <v>2623</v>
      </c>
      <c r="K480" s="49">
        <f t="shared" si="23"/>
        <v>0.3966797728</v>
      </c>
      <c r="L480" s="49">
        <f t="shared" si="24"/>
        <v>0.5176933159</v>
      </c>
      <c r="M480" s="49">
        <f t="shared" si="25"/>
        <v>0.08562691131</v>
      </c>
      <c r="N480" s="32" t="str">
        <f t="shared" si="26"/>
        <v>Mal. Lott</v>
      </c>
      <c r="O480" s="50" t="s">
        <v>77</v>
      </c>
      <c r="P480" s="38">
        <v>1318.0</v>
      </c>
      <c r="Q480" s="38">
        <v>708.0</v>
      </c>
      <c r="R480" s="38">
        <v>144.0</v>
      </c>
      <c r="S480" s="38">
        <v>338.0</v>
      </c>
      <c r="T480" s="38">
        <v>115.0</v>
      </c>
      <c r="U480" s="48">
        <f t="shared" si="27"/>
        <v>2170</v>
      </c>
      <c r="V480" s="48">
        <f t="shared" si="28"/>
        <v>2623</v>
      </c>
      <c r="W480" s="49">
        <f t="shared" si="29"/>
        <v>0.6073732719</v>
      </c>
      <c r="X480" s="49">
        <f t="shared" si="30"/>
        <v>0.3262672811</v>
      </c>
      <c r="Y480" s="49">
        <f t="shared" si="31"/>
        <v>0.066359447</v>
      </c>
      <c r="Z480" s="32" t="str">
        <f t="shared" si="32"/>
        <v>Jango</v>
      </c>
      <c r="AA480" s="50" t="s">
        <v>77</v>
      </c>
      <c r="AB480" s="38">
        <v>3109.0</v>
      </c>
      <c r="AC480" s="48">
        <f t="shared" si="37"/>
        <v>486</v>
      </c>
      <c r="AD480" s="51">
        <f t="shared" si="38"/>
        <v>0.8436796398</v>
      </c>
    </row>
    <row r="481">
      <c r="A481" s="110" t="s">
        <v>3102</v>
      </c>
      <c r="B481" s="46" t="s">
        <v>3103</v>
      </c>
      <c r="C481" s="47"/>
      <c r="D481" s="38">
        <v>1873.0</v>
      </c>
      <c r="E481" s="38">
        <v>1769.0</v>
      </c>
      <c r="F481" s="38">
        <v>1104.0</v>
      </c>
      <c r="G481" s="38">
        <v>275.0</v>
      </c>
      <c r="H481" s="38">
        <v>247.0</v>
      </c>
      <c r="I481" s="48">
        <f t="shared" si="21"/>
        <v>4746</v>
      </c>
      <c r="J481" s="48">
        <f t="shared" si="22"/>
        <v>5268</v>
      </c>
      <c r="K481" s="49">
        <f t="shared" si="23"/>
        <v>0.3946481247</v>
      </c>
      <c r="L481" s="49">
        <f t="shared" si="24"/>
        <v>0.3727349347</v>
      </c>
      <c r="M481" s="49">
        <f t="shared" si="25"/>
        <v>0.2326169406</v>
      </c>
      <c r="N481" s="32" t="str">
        <f t="shared" si="26"/>
        <v>Jânio</v>
      </c>
      <c r="O481" s="50" t="s">
        <v>77</v>
      </c>
      <c r="P481" s="38">
        <v>1942.0</v>
      </c>
      <c r="Q481" s="38">
        <v>1954.0</v>
      </c>
      <c r="R481" s="38">
        <v>463.0</v>
      </c>
      <c r="S481" s="38">
        <v>735.0</v>
      </c>
      <c r="T481" s="38">
        <v>174.0</v>
      </c>
      <c r="U481" s="48">
        <f t="shared" si="27"/>
        <v>4359</v>
      </c>
      <c r="V481" s="48">
        <f t="shared" si="28"/>
        <v>5268</v>
      </c>
      <c r="W481" s="49">
        <f t="shared" si="29"/>
        <v>0.4455150264</v>
      </c>
      <c r="X481" s="49">
        <f t="shared" si="30"/>
        <v>0.4482679514</v>
      </c>
      <c r="Y481" s="49">
        <f t="shared" si="31"/>
        <v>0.1062170223</v>
      </c>
      <c r="Z481" s="32" t="str">
        <f t="shared" si="32"/>
        <v>Milton</v>
      </c>
      <c r="AA481" s="50" t="s">
        <v>77</v>
      </c>
      <c r="AB481" s="38">
        <v>6251.0</v>
      </c>
      <c r="AC481" s="48">
        <f t="shared" si="37"/>
        <v>983</v>
      </c>
      <c r="AD481" s="51">
        <f t="shared" si="38"/>
        <v>0.8427451608</v>
      </c>
    </row>
    <row r="482">
      <c r="A482" s="110" t="s">
        <v>3104</v>
      </c>
      <c r="B482" s="46" t="s">
        <v>3105</v>
      </c>
      <c r="C482" s="47"/>
      <c r="D482" s="38">
        <v>1516.0</v>
      </c>
      <c r="E482" s="38">
        <v>1162.0</v>
      </c>
      <c r="F482" s="38">
        <v>1295.0</v>
      </c>
      <c r="G482" s="38">
        <v>230.0</v>
      </c>
      <c r="H482" s="38">
        <v>152.0</v>
      </c>
      <c r="I482" s="48">
        <f t="shared" si="21"/>
        <v>3973</v>
      </c>
      <c r="J482" s="48">
        <f t="shared" si="22"/>
        <v>4355</v>
      </c>
      <c r="K482" s="49">
        <f t="shared" si="23"/>
        <v>0.3815756355</v>
      </c>
      <c r="L482" s="49">
        <f t="shared" si="24"/>
        <v>0.2924742009</v>
      </c>
      <c r="M482" s="49">
        <f t="shared" si="25"/>
        <v>0.3259501636</v>
      </c>
      <c r="N482" s="32" t="str">
        <f t="shared" si="26"/>
        <v>Jânio</v>
      </c>
      <c r="O482" s="50" t="s">
        <v>77</v>
      </c>
      <c r="P482" s="38">
        <v>1241.0</v>
      </c>
      <c r="Q482" s="38">
        <v>1731.0</v>
      </c>
      <c r="R482" s="38">
        <v>718.0</v>
      </c>
      <c r="S482" s="38">
        <v>526.0</v>
      </c>
      <c r="T482" s="38">
        <v>139.0</v>
      </c>
      <c r="U482" s="48">
        <f t="shared" si="27"/>
        <v>3690</v>
      </c>
      <c r="V482" s="48">
        <f t="shared" si="28"/>
        <v>4355</v>
      </c>
      <c r="W482" s="49">
        <f t="shared" si="29"/>
        <v>0.3363143631</v>
      </c>
      <c r="X482" s="49">
        <f t="shared" si="30"/>
        <v>0.4691056911</v>
      </c>
      <c r="Y482" s="49">
        <f t="shared" si="31"/>
        <v>0.1945799458</v>
      </c>
      <c r="Z482" s="32" t="str">
        <f t="shared" si="32"/>
        <v>Milton</v>
      </c>
      <c r="AA482" s="50" t="s">
        <v>77</v>
      </c>
      <c r="AB482" s="38">
        <v>5024.0</v>
      </c>
      <c r="AC482" s="48">
        <f t="shared" si="37"/>
        <v>669</v>
      </c>
      <c r="AD482" s="51">
        <f t="shared" si="38"/>
        <v>0.866839172</v>
      </c>
    </row>
    <row r="483">
      <c r="A483" s="110" t="s">
        <v>3106</v>
      </c>
      <c r="B483" s="46" t="s">
        <v>3107</v>
      </c>
      <c r="C483" s="47"/>
      <c r="D483" s="38">
        <v>1395.0</v>
      </c>
      <c r="E483" s="38">
        <v>2257.0</v>
      </c>
      <c r="F483" s="38">
        <v>1377.0</v>
      </c>
      <c r="G483" s="38">
        <v>304.0</v>
      </c>
      <c r="H483" s="38">
        <v>269.0</v>
      </c>
      <c r="I483" s="48">
        <f t="shared" si="21"/>
        <v>5029</v>
      </c>
      <c r="J483" s="48">
        <f t="shared" si="22"/>
        <v>5602</v>
      </c>
      <c r="K483" s="49">
        <f t="shared" si="23"/>
        <v>0.2773911314</v>
      </c>
      <c r="L483" s="49">
        <f t="shared" si="24"/>
        <v>0.4487969775</v>
      </c>
      <c r="M483" s="49">
        <f t="shared" si="25"/>
        <v>0.273811891</v>
      </c>
      <c r="N483" s="32" t="str">
        <f t="shared" si="26"/>
        <v>Mal. Lott</v>
      </c>
      <c r="O483" s="50" t="s">
        <v>77</v>
      </c>
      <c r="P483" s="38">
        <v>2238.0</v>
      </c>
      <c r="Q483" s="38">
        <v>1533.0</v>
      </c>
      <c r="R483" s="38">
        <v>400.0</v>
      </c>
      <c r="S483" s="38">
        <v>995.0</v>
      </c>
      <c r="T483" s="38">
        <v>436.0</v>
      </c>
      <c r="U483" s="48">
        <f t="shared" si="27"/>
        <v>4171</v>
      </c>
      <c r="V483" s="48">
        <f t="shared" si="28"/>
        <v>5602</v>
      </c>
      <c r="W483" s="49">
        <f t="shared" si="29"/>
        <v>0.5365619755</v>
      </c>
      <c r="X483" s="49">
        <f t="shared" si="30"/>
        <v>0.3675377607</v>
      </c>
      <c r="Y483" s="49">
        <f t="shared" si="31"/>
        <v>0.09590026373</v>
      </c>
      <c r="Z483" s="32" t="str">
        <f t="shared" si="32"/>
        <v>Jango</v>
      </c>
      <c r="AA483" s="50" t="s">
        <v>77</v>
      </c>
      <c r="AB483" s="38">
        <v>7193.0</v>
      </c>
      <c r="AC483" s="48">
        <f t="shared" si="37"/>
        <v>1591</v>
      </c>
      <c r="AD483" s="51">
        <f t="shared" si="38"/>
        <v>0.7788127346</v>
      </c>
    </row>
    <row r="484">
      <c r="A484" s="61" t="s">
        <v>3108</v>
      </c>
      <c r="B484" s="46" t="s">
        <v>3109</v>
      </c>
      <c r="C484" s="47"/>
      <c r="D484" s="38">
        <v>5213.0</v>
      </c>
      <c r="E484" s="38">
        <v>4063.0</v>
      </c>
      <c r="F484" s="38">
        <v>592.0</v>
      </c>
      <c r="G484" s="38">
        <v>499.0</v>
      </c>
      <c r="H484" s="38">
        <v>512.0</v>
      </c>
      <c r="I484" s="48">
        <f t="shared" si="21"/>
        <v>9868</v>
      </c>
      <c r="J484" s="48">
        <f t="shared" si="22"/>
        <v>10879</v>
      </c>
      <c r="K484" s="49">
        <f t="shared" si="23"/>
        <v>0.5282732063</v>
      </c>
      <c r="L484" s="49">
        <f t="shared" si="24"/>
        <v>0.4117349007</v>
      </c>
      <c r="M484" s="49">
        <f t="shared" si="25"/>
        <v>0.05999189299</v>
      </c>
      <c r="N484" s="32" t="str">
        <f t="shared" si="26"/>
        <v>Jânio</v>
      </c>
      <c r="O484" s="50" t="s">
        <v>77</v>
      </c>
      <c r="P484" s="38">
        <v>3741.0</v>
      </c>
      <c r="Q484" s="38">
        <v>4654.0</v>
      </c>
      <c r="R484" s="38">
        <v>1048.0</v>
      </c>
      <c r="S484" s="38">
        <v>1020.0</v>
      </c>
      <c r="T484" s="38">
        <v>416.0</v>
      </c>
      <c r="U484" s="48">
        <f t="shared" si="27"/>
        <v>9443</v>
      </c>
      <c r="V484" s="48">
        <f t="shared" si="28"/>
        <v>10879</v>
      </c>
      <c r="W484" s="49">
        <f t="shared" si="29"/>
        <v>0.3961664725</v>
      </c>
      <c r="X484" s="49">
        <f t="shared" si="30"/>
        <v>0.4928518479</v>
      </c>
      <c r="Y484" s="49">
        <f t="shared" si="31"/>
        <v>0.1109816796</v>
      </c>
      <c r="Z484" s="32" t="str">
        <f t="shared" si="32"/>
        <v>Milton</v>
      </c>
      <c r="AA484" s="50" t="s">
        <v>77</v>
      </c>
      <c r="AB484" s="38">
        <v>14596.0</v>
      </c>
      <c r="AC484" s="48">
        <f t="shared" si="37"/>
        <v>3717</v>
      </c>
      <c r="AD484" s="51">
        <f t="shared" si="38"/>
        <v>0.7453411894</v>
      </c>
    </row>
    <row r="485">
      <c r="A485" s="23"/>
      <c r="B485" s="46" t="s">
        <v>3110</v>
      </c>
      <c r="C485" s="47"/>
      <c r="D485" s="38">
        <v>983.0</v>
      </c>
      <c r="E485" s="38">
        <v>722.0</v>
      </c>
      <c r="F485" s="38">
        <v>95.0</v>
      </c>
      <c r="G485" s="38">
        <v>97.0</v>
      </c>
      <c r="H485" s="38">
        <v>134.0</v>
      </c>
      <c r="I485" s="48">
        <f t="shared" si="21"/>
        <v>1800</v>
      </c>
      <c r="J485" s="48">
        <f t="shared" si="22"/>
        <v>2031</v>
      </c>
      <c r="K485" s="49">
        <f t="shared" si="23"/>
        <v>0.5461111111</v>
      </c>
      <c r="L485" s="49">
        <f t="shared" si="24"/>
        <v>0.4011111111</v>
      </c>
      <c r="M485" s="49">
        <f t="shared" si="25"/>
        <v>0.05277777778</v>
      </c>
      <c r="N485" s="32" t="str">
        <f t="shared" si="26"/>
        <v>Jânio</v>
      </c>
      <c r="O485" s="50" t="s">
        <v>77</v>
      </c>
      <c r="P485" s="38">
        <v>643.0</v>
      </c>
      <c r="Q485" s="38">
        <v>884.0</v>
      </c>
      <c r="R485" s="38">
        <v>154.0</v>
      </c>
      <c r="S485" s="38">
        <v>250.0</v>
      </c>
      <c r="T485" s="38">
        <v>100.0</v>
      </c>
      <c r="U485" s="48">
        <f t="shared" si="27"/>
        <v>1681</v>
      </c>
      <c r="V485" s="48">
        <f t="shared" si="28"/>
        <v>2031</v>
      </c>
      <c r="W485" s="49">
        <f t="shared" si="29"/>
        <v>0.3825104105</v>
      </c>
      <c r="X485" s="49">
        <f t="shared" si="30"/>
        <v>0.5258774539</v>
      </c>
      <c r="Y485" s="49">
        <f t="shared" si="31"/>
        <v>0.09161213563</v>
      </c>
      <c r="Z485" s="32" t="str">
        <f t="shared" si="32"/>
        <v>Milton</v>
      </c>
      <c r="AA485" s="50" t="s">
        <v>77</v>
      </c>
      <c r="AB485" s="38">
        <v>2836.0</v>
      </c>
      <c r="AC485" s="48">
        <f t="shared" si="37"/>
        <v>805</v>
      </c>
      <c r="AD485" s="51">
        <f t="shared" si="38"/>
        <v>0.7161495063</v>
      </c>
    </row>
    <row r="486">
      <c r="A486" s="24"/>
      <c r="B486" s="46" t="s">
        <v>3111</v>
      </c>
      <c r="C486" s="47"/>
      <c r="D486" s="38">
        <v>819.0</v>
      </c>
      <c r="E486" s="38">
        <v>1323.0</v>
      </c>
      <c r="F486" s="38">
        <v>128.0</v>
      </c>
      <c r="G486" s="38">
        <v>151.0</v>
      </c>
      <c r="H486" s="38">
        <v>156.0</v>
      </c>
      <c r="I486" s="48">
        <f t="shared" si="21"/>
        <v>2270</v>
      </c>
      <c r="J486" s="48">
        <f t="shared" si="22"/>
        <v>2577</v>
      </c>
      <c r="K486" s="49">
        <f t="shared" si="23"/>
        <v>0.3607929515</v>
      </c>
      <c r="L486" s="49">
        <f t="shared" si="24"/>
        <v>0.5828193833</v>
      </c>
      <c r="M486" s="49">
        <f t="shared" si="25"/>
        <v>0.0563876652</v>
      </c>
      <c r="N486" s="32" t="str">
        <f t="shared" si="26"/>
        <v>Mal. Lott</v>
      </c>
      <c r="O486" s="50" t="s">
        <v>77</v>
      </c>
      <c r="P486" s="38">
        <v>1306.0</v>
      </c>
      <c r="Q486" s="38">
        <v>725.0</v>
      </c>
      <c r="R486" s="38">
        <v>142.0</v>
      </c>
      <c r="S486" s="38">
        <v>303.0</v>
      </c>
      <c r="T486" s="38">
        <v>101.0</v>
      </c>
      <c r="U486" s="48">
        <f t="shared" si="27"/>
        <v>2173</v>
      </c>
      <c r="V486" s="48">
        <f t="shared" si="28"/>
        <v>2577</v>
      </c>
      <c r="W486" s="49">
        <f t="shared" si="29"/>
        <v>0.6010124252</v>
      </c>
      <c r="X486" s="49">
        <f t="shared" si="30"/>
        <v>0.3336401289</v>
      </c>
      <c r="Y486" s="49">
        <f t="shared" si="31"/>
        <v>0.06534744593</v>
      </c>
      <c r="Z486" s="32" t="str">
        <f t="shared" si="32"/>
        <v>Jango</v>
      </c>
      <c r="AA486" s="50" t="s">
        <v>77</v>
      </c>
      <c r="AB486" s="38">
        <v>3101.0</v>
      </c>
      <c r="AC486" s="48">
        <f t="shared" si="37"/>
        <v>524</v>
      </c>
      <c r="AD486" s="51">
        <f t="shared" si="38"/>
        <v>0.8310222509</v>
      </c>
    </row>
    <row r="487">
      <c r="A487" s="110" t="s">
        <v>3112</v>
      </c>
      <c r="B487" s="46" t="s">
        <v>3113</v>
      </c>
      <c r="C487" s="47"/>
      <c r="D487" s="38">
        <v>7987.0</v>
      </c>
      <c r="E487" s="38">
        <v>7980.0</v>
      </c>
      <c r="F487" s="38">
        <v>5904.0</v>
      </c>
      <c r="G487" s="38">
        <v>606.0</v>
      </c>
      <c r="H487" s="38">
        <v>597.0</v>
      </c>
      <c r="I487" s="48">
        <f t="shared" si="21"/>
        <v>21871</v>
      </c>
      <c r="J487" s="48">
        <f t="shared" si="22"/>
        <v>23074</v>
      </c>
      <c r="K487" s="49">
        <f t="shared" si="23"/>
        <v>0.365186777</v>
      </c>
      <c r="L487" s="49">
        <f t="shared" si="24"/>
        <v>0.3648667185</v>
      </c>
      <c r="M487" s="49">
        <f t="shared" si="25"/>
        <v>0.2699465045</v>
      </c>
      <c r="N487" s="32" t="str">
        <f t="shared" si="26"/>
        <v>Jânio</v>
      </c>
      <c r="O487" s="50" t="s">
        <v>77</v>
      </c>
      <c r="P487" s="38">
        <v>8707.0</v>
      </c>
      <c r="Q487" s="38">
        <v>7425.0</v>
      </c>
      <c r="R487" s="38">
        <v>3909.0</v>
      </c>
      <c r="S487" s="38">
        <v>2273.0</v>
      </c>
      <c r="T487" s="38">
        <v>760.0</v>
      </c>
      <c r="U487" s="48">
        <f t="shared" si="27"/>
        <v>20041</v>
      </c>
      <c r="V487" s="48">
        <f t="shared" si="28"/>
        <v>23074</v>
      </c>
      <c r="W487" s="49">
        <f t="shared" si="29"/>
        <v>0.4344593583</v>
      </c>
      <c r="X487" s="49">
        <f t="shared" si="30"/>
        <v>0.3704904945</v>
      </c>
      <c r="Y487" s="49">
        <f t="shared" si="31"/>
        <v>0.1950501472</v>
      </c>
      <c r="Z487" s="32" t="str">
        <f t="shared" si="32"/>
        <v>Jango</v>
      </c>
      <c r="AA487" s="50" t="s">
        <v>77</v>
      </c>
      <c r="AB487" s="38">
        <v>27075.0</v>
      </c>
      <c r="AC487" s="48">
        <f t="shared" si="37"/>
        <v>4001</v>
      </c>
      <c r="AD487" s="51">
        <f t="shared" si="38"/>
        <v>0.8522253001</v>
      </c>
    </row>
    <row r="488">
      <c r="A488" s="61" t="s">
        <v>3114</v>
      </c>
      <c r="B488" s="46" t="s">
        <v>3115</v>
      </c>
      <c r="C488" s="47"/>
      <c r="D488" s="38">
        <v>308.0</v>
      </c>
      <c r="E488" s="38">
        <v>328.0</v>
      </c>
      <c r="F488" s="38">
        <v>105.0</v>
      </c>
      <c r="G488" s="38">
        <v>65.0</v>
      </c>
      <c r="H488" s="38">
        <v>55.0</v>
      </c>
      <c r="I488" s="48">
        <f t="shared" si="21"/>
        <v>741</v>
      </c>
      <c r="J488" s="48">
        <f t="shared" si="22"/>
        <v>861</v>
      </c>
      <c r="K488" s="49">
        <f t="shared" si="23"/>
        <v>0.4156545209</v>
      </c>
      <c r="L488" s="49">
        <f t="shared" si="24"/>
        <v>0.4426450742</v>
      </c>
      <c r="M488" s="49">
        <f t="shared" si="25"/>
        <v>0.1417004049</v>
      </c>
      <c r="N488" s="32" t="str">
        <f t="shared" si="26"/>
        <v>Mal. Lott</v>
      </c>
      <c r="O488" s="50" t="s">
        <v>77</v>
      </c>
      <c r="P488" s="38">
        <v>341.0</v>
      </c>
      <c r="Q488" s="38">
        <v>221.0</v>
      </c>
      <c r="R488" s="38">
        <v>101.0</v>
      </c>
      <c r="S488" s="38">
        <v>163.0</v>
      </c>
      <c r="T488" s="38">
        <v>35.0</v>
      </c>
      <c r="U488" s="48">
        <f t="shared" si="27"/>
        <v>663</v>
      </c>
      <c r="V488" s="48">
        <f t="shared" si="28"/>
        <v>861</v>
      </c>
      <c r="W488" s="49">
        <f t="shared" si="29"/>
        <v>0.5143288084</v>
      </c>
      <c r="X488" s="49">
        <f t="shared" si="30"/>
        <v>0.3333333333</v>
      </c>
      <c r="Y488" s="49">
        <f t="shared" si="31"/>
        <v>0.1523378582</v>
      </c>
      <c r="Z488" s="32" t="str">
        <f t="shared" si="32"/>
        <v>Jango</v>
      </c>
      <c r="AA488" s="50" t="s">
        <v>77</v>
      </c>
      <c r="AB488" s="38">
        <v>1099.0</v>
      </c>
      <c r="AC488" s="48">
        <f t="shared" si="37"/>
        <v>238</v>
      </c>
      <c r="AD488" s="51">
        <f t="shared" si="38"/>
        <v>0.7834394904</v>
      </c>
    </row>
    <row r="489">
      <c r="A489" s="23"/>
      <c r="B489" s="46" t="s">
        <v>3116</v>
      </c>
      <c r="C489" s="47"/>
      <c r="D489" s="38">
        <v>583.0</v>
      </c>
      <c r="E489" s="38">
        <v>598.0</v>
      </c>
      <c r="F489" s="38">
        <v>84.0</v>
      </c>
      <c r="G489" s="38">
        <v>69.0</v>
      </c>
      <c r="H489" s="38">
        <v>56.0</v>
      </c>
      <c r="I489" s="48">
        <f t="shared" si="21"/>
        <v>1265</v>
      </c>
      <c r="J489" s="48">
        <f t="shared" si="22"/>
        <v>1390</v>
      </c>
      <c r="K489" s="49">
        <f t="shared" si="23"/>
        <v>0.4608695652</v>
      </c>
      <c r="L489" s="49">
        <f t="shared" si="24"/>
        <v>0.4727272727</v>
      </c>
      <c r="M489" s="49">
        <f t="shared" si="25"/>
        <v>0.06640316206</v>
      </c>
      <c r="N489" s="32" t="str">
        <f t="shared" si="26"/>
        <v>Mal. Lott</v>
      </c>
      <c r="O489" s="50" t="s">
        <v>77</v>
      </c>
      <c r="P489" s="38">
        <v>576.0</v>
      </c>
      <c r="Q489" s="38">
        <v>544.0</v>
      </c>
      <c r="R489" s="38">
        <v>56.0</v>
      </c>
      <c r="S489" s="38">
        <v>171.0</v>
      </c>
      <c r="T489" s="38">
        <v>43.0</v>
      </c>
      <c r="U489" s="48">
        <f t="shared" si="27"/>
        <v>1176</v>
      </c>
      <c r="V489" s="48">
        <f t="shared" si="28"/>
        <v>1390</v>
      </c>
      <c r="W489" s="49">
        <f t="shared" si="29"/>
        <v>0.4897959184</v>
      </c>
      <c r="X489" s="49">
        <f t="shared" si="30"/>
        <v>0.462585034</v>
      </c>
      <c r="Y489" s="49">
        <f t="shared" si="31"/>
        <v>0.04761904762</v>
      </c>
      <c r="Z489" s="32" t="str">
        <f t="shared" si="32"/>
        <v>Jango</v>
      </c>
      <c r="AA489" s="50" t="s">
        <v>77</v>
      </c>
      <c r="AB489" s="38">
        <v>1713.0</v>
      </c>
      <c r="AC489" s="48">
        <f t="shared" si="37"/>
        <v>323</v>
      </c>
      <c r="AD489" s="51">
        <f t="shared" si="38"/>
        <v>0.8114419148</v>
      </c>
    </row>
    <row r="490">
      <c r="A490" s="24"/>
      <c r="B490" s="46" t="s">
        <v>3117</v>
      </c>
      <c r="C490" s="47"/>
      <c r="D490" s="38">
        <v>573.0</v>
      </c>
      <c r="E490" s="38">
        <v>411.0</v>
      </c>
      <c r="F490" s="38">
        <v>216.0</v>
      </c>
      <c r="G490" s="38">
        <v>179.0</v>
      </c>
      <c r="H490" s="38">
        <v>88.0</v>
      </c>
      <c r="I490" s="48">
        <f t="shared" si="21"/>
        <v>1200</v>
      </c>
      <c r="J490" s="48">
        <f t="shared" si="22"/>
        <v>1467</v>
      </c>
      <c r="K490" s="49">
        <f t="shared" si="23"/>
        <v>0.4775</v>
      </c>
      <c r="L490" s="49">
        <f t="shared" si="24"/>
        <v>0.3425</v>
      </c>
      <c r="M490" s="49">
        <f t="shared" si="25"/>
        <v>0.18</v>
      </c>
      <c r="N490" s="32" t="str">
        <f t="shared" si="26"/>
        <v>Jânio</v>
      </c>
      <c r="O490" s="50" t="s">
        <v>77</v>
      </c>
      <c r="P490" s="38">
        <v>443.0</v>
      </c>
      <c r="Q490" s="38">
        <v>488.0</v>
      </c>
      <c r="R490" s="38">
        <v>94.0</v>
      </c>
      <c r="S490" s="38">
        <v>380.0</v>
      </c>
      <c r="T490" s="38">
        <v>62.0</v>
      </c>
      <c r="U490" s="48">
        <f t="shared" si="27"/>
        <v>1025</v>
      </c>
      <c r="V490" s="48">
        <f t="shared" si="28"/>
        <v>1467</v>
      </c>
      <c r="W490" s="49">
        <f t="shared" si="29"/>
        <v>0.432195122</v>
      </c>
      <c r="X490" s="49">
        <f t="shared" si="30"/>
        <v>0.476097561</v>
      </c>
      <c r="Y490" s="49">
        <f t="shared" si="31"/>
        <v>0.09170731707</v>
      </c>
      <c r="Z490" s="32" t="str">
        <f t="shared" si="32"/>
        <v>Milton</v>
      </c>
      <c r="AA490" s="50" t="s">
        <v>77</v>
      </c>
      <c r="AB490" s="38">
        <v>1916.0</v>
      </c>
      <c r="AC490" s="48">
        <f t="shared" si="37"/>
        <v>449</v>
      </c>
      <c r="AD490" s="51">
        <f t="shared" si="38"/>
        <v>0.76565762</v>
      </c>
    </row>
    <row r="491">
      <c r="A491" s="110" t="s">
        <v>3118</v>
      </c>
      <c r="B491" s="46" t="s">
        <v>3119</v>
      </c>
      <c r="C491" s="47"/>
      <c r="D491" s="38">
        <v>7892.0</v>
      </c>
      <c r="E491" s="38">
        <v>10021.0</v>
      </c>
      <c r="F491" s="38">
        <v>3402.0</v>
      </c>
      <c r="G491" s="38">
        <v>997.0</v>
      </c>
      <c r="H491" s="38">
        <v>725.0</v>
      </c>
      <c r="I491" s="48">
        <f t="shared" si="21"/>
        <v>21315</v>
      </c>
      <c r="J491" s="48">
        <f t="shared" si="22"/>
        <v>23037</v>
      </c>
      <c r="K491" s="49">
        <f t="shared" si="23"/>
        <v>0.3702556885</v>
      </c>
      <c r="L491" s="49">
        <f t="shared" si="24"/>
        <v>0.4701384002</v>
      </c>
      <c r="M491" s="49">
        <f t="shared" si="25"/>
        <v>0.1596059113</v>
      </c>
      <c r="N491" s="32" t="str">
        <f t="shared" si="26"/>
        <v>Mal. Lott</v>
      </c>
      <c r="O491" s="50" t="s">
        <v>77</v>
      </c>
      <c r="P491" s="38">
        <v>8755.0</v>
      </c>
      <c r="Q491" s="38">
        <v>7447.0</v>
      </c>
      <c r="R491" s="38">
        <v>2846.0</v>
      </c>
      <c r="S491" s="38">
        <v>3247.0</v>
      </c>
      <c r="T491" s="38">
        <v>742.0</v>
      </c>
      <c r="U491" s="48">
        <f t="shared" si="27"/>
        <v>19048</v>
      </c>
      <c r="V491" s="48">
        <f t="shared" si="28"/>
        <v>23037</v>
      </c>
      <c r="W491" s="49">
        <f t="shared" si="29"/>
        <v>0.4596283074</v>
      </c>
      <c r="X491" s="49">
        <f t="shared" si="30"/>
        <v>0.3909596808</v>
      </c>
      <c r="Y491" s="49">
        <f t="shared" si="31"/>
        <v>0.1494120118</v>
      </c>
      <c r="Z491" s="32" t="str">
        <f t="shared" si="32"/>
        <v>Jango</v>
      </c>
      <c r="AA491" s="50" t="s">
        <v>77</v>
      </c>
      <c r="AB491" s="38">
        <v>28909.0</v>
      </c>
      <c r="AC491" s="48">
        <f t="shared" si="37"/>
        <v>5872</v>
      </c>
      <c r="AD491" s="51">
        <f t="shared" si="38"/>
        <v>0.7968798644</v>
      </c>
    </row>
    <row r="492">
      <c r="A492" s="110" t="s">
        <v>3120</v>
      </c>
      <c r="B492" s="46" t="s">
        <v>3121</v>
      </c>
      <c r="C492" s="47"/>
      <c r="D492" s="38">
        <v>855.0</v>
      </c>
      <c r="E492" s="38">
        <v>1424.0</v>
      </c>
      <c r="F492" s="38">
        <v>237.0</v>
      </c>
      <c r="G492" s="38">
        <v>275.0</v>
      </c>
      <c r="H492" s="38">
        <v>241.0</v>
      </c>
      <c r="I492" s="48">
        <f t="shared" si="21"/>
        <v>2516</v>
      </c>
      <c r="J492" s="48">
        <f t="shared" si="22"/>
        <v>3032</v>
      </c>
      <c r="K492" s="49">
        <f t="shared" si="23"/>
        <v>0.3398251192</v>
      </c>
      <c r="L492" s="49">
        <f t="shared" si="24"/>
        <v>0.5659777424</v>
      </c>
      <c r="M492" s="49">
        <f t="shared" si="25"/>
        <v>0.09419713831</v>
      </c>
      <c r="N492" s="32" t="str">
        <f t="shared" si="26"/>
        <v>Mal. Lott</v>
      </c>
      <c r="O492" s="50" t="s">
        <v>77</v>
      </c>
      <c r="P492" s="38">
        <v>1426.0</v>
      </c>
      <c r="Q492" s="38">
        <v>658.0</v>
      </c>
      <c r="R492" s="38">
        <v>206.0</v>
      </c>
      <c r="S492" s="38">
        <v>631.0</v>
      </c>
      <c r="T492" s="38">
        <v>111.0</v>
      </c>
      <c r="U492" s="48">
        <f t="shared" si="27"/>
        <v>2290</v>
      </c>
      <c r="V492" s="48">
        <f t="shared" si="28"/>
        <v>3032</v>
      </c>
      <c r="W492" s="49">
        <f t="shared" si="29"/>
        <v>0.6227074236</v>
      </c>
      <c r="X492" s="49">
        <f t="shared" si="30"/>
        <v>0.2873362445</v>
      </c>
      <c r="Y492" s="49">
        <f t="shared" si="31"/>
        <v>0.08995633188</v>
      </c>
      <c r="Z492" s="32" t="str">
        <f t="shared" si="32"/>
        <v>Jango</v>
      </c>
      <c r="AA492" s="50" t="s">
        <v>77</v>
      </c>
      <c r="AB492" s="38">
        <v>5188.0</v>
      </c>
      <c r="AC492" s="48">
        <f t="shared" si="37"/>
        <v>2156</v>
      </c>
      <c r="AD492" s="51">
        <f t="shared" si="38"/>
        <v>0.5844255975</v>
      </c>
    </row>
    <row r="493">
      <c r="A493" s="61" t="s">
        <v>3122</v>
      </c>
      <c r="B493" s="46" t="s">
        <v>3123</v>
      </c>
      <c r="C493" s="47"/>
      <c r="D493" s="38">
        <v>2854.0</v>
      </c>
      <c r="E493" s="38">
        <v>1966.0</v>
      </c>
      <c r="F493" s="38">
        <v>1936.0</v>
      </c>
      <c r="G493" s="38">
        <v>229.0</v>
      </c>
      <c r="H493" s="38">
        <v>274.0</v>
      </c>
      <c r="I493" s="48">
        <f t="shared" si="21"/>
        <v>6756</v>
      </c>
      <c r="J493" s="48">
        <f t="shared" si="22"/>
        <v>7259</v>
      </c>
      <c r="K493" s="49">
        <f t="shared" si="23"/>
        <v>0.4224393132</v>
      </c>
      <c r="L493" s="49">
        <f t="shared" si="24"/>
        <v>0.2910005921</v>
      </c>
      <c r="M493" s="49">
        <f t="shared" si="25"/>
        <v>0.2865600947</v>
      </c>
      <c r="N493" s="32" t="str">
        <f t="shared" si="26"/>
        <v>Jânio</v>
      </c>
      <c r="O493" s="50" t="s">
        <v>77</v>
      </c>
      <c r="P493" s="38">
        <v>2226.0</v>
      </c>
      <c r="Q493" s="38">
        <v>3274.0</v>
      </c>
      <c r="R493" s="38">
        <v>732.0</v>
      </c>
      <c r="S493" s="38">
        <v>810.0</v>
      </c>
      <c r="T493" s="38">
        <v>217.0</v>
      </c>
      <c r="U493" s="48">
        <f t="shared" si="27"/>
        <v>6232</v>
      </c>
      <c r="V493" s="48">
        <f t="shared" si="28"/>
        <v>7259</v>
      </c>
      <c r="W493" s="49">
        <f t="shared" si="29"/>
        <v>0.3571887035</v>
      </c>
      <c r="X493" s="49">
        <f t="shared" si="30"/>
        <v>0.5253530167</v>
      </c>
      <c r="Y493" s="49">
        <f t="shared" si="31"/>
        <v>0.1174582798</v>
      </c>
      <c r="Z493" s="32" t="str">
        <f t="shared" si="32"/>
        <v>Milton</v>
      </c>
      <c r="AA493" s="50" t="s">
        <v>77</v>
      </c>
      <c r="AB493" s="38">
        <v>8302.0</v>
      </c>
      <c r="AC493" s="48">
        <f t="shared" si="37"/>
        <v>1043</v>
      </c>
      <c r="AD493" s="51">
        <f t="shared" si="38"/>
        <v>0.8743676223</v>
      </c>
    </row>
    <row r="494">
      <c r="A494" s="24"/>
      <c r="B494" s="46" t="s">
        <v>3124</v>
      </c>
      <c r="C494" s="47"/>
      <c r="D494" s="38">
        <v>634.0</v>
      </c>
      <c r="E494" s="38">
        <v>458.0</v>
      </c>
      <c r="F494" s="38">
        <v>178.0</v>
      </c>
      <c r="G494" s="38">
        <v>110.0</v>
      </c>
      <c r="H494" s="38">
        <v>95.0</v>
      </c>
      <c r="I494" s="48">
        <f t="shared" si="21"/>
        <v>1270</v>
      </c>
      <c r="J494" s="48">
        <f t="shared" si="22"/>
        <v>1475</v>
      </c>
      <c r="K494" s="49">
        <f t="shared" si="23"/>
        <v>0.4992125984</v>
      </c>
      <c r="L494" s="49">
        <f t="shared" si="24"/>
        <v>0.3606299213</v>
      </c>
      <c r="M494" s="49">
        <f t="shared" si="25"/>
        <v>0.1401574803</v>
      </c>
      <c r="N494" s="32" t="str">
        <f t="shared" si="26"/>
        <v>Jânio</v>
      </c>
      <c r="O494" s="50" t="s">
        <v>77</v>
      </c>
      <c r="P494" s="38">
        <v>439.0</v>
      </c>
      <c r="Q494" s="38">
        <v>683.0</v>
      </c>
      <c r="R494" s="38">
        <v>91.0</v>
      </c>
      <c r="S494" s="38">
        <v>203.0</v>
      </c>
      <c r="T494" s="38">
        <v>59.0</v>
      </c>
      <c r="U494" s="48">
        <f t="shared" si="27"/>
        <v>1213</v>
      </c>
      <c r="V494" s="48">
        <f t="shared" si="28"/>
        <v>1475</v>
      </c>
      <c r="W494" s="49">
        <f t="shared" si="29"/>
        <v>0.3619126134</v>
      </c>
      <c r="X494" s="49">
        <f t="shared" si="30"/>
        <v>0.5630667766</v>
      </c>
      <c r="Y494" s="49">
        <f t="shared" si="31"/>
        <v>0.07502061006</v>
      </c>
      <c r="Z494" s="32" t="str">
        <f t="shared" si="32"/>
        <v>Milton</v>
      </c>
      <c r="AA494" s="50" t="s">
        <v>77</v>
      </c>
      <c r="AB494" s="38">
        <v>1754.0</v>
      </c>
      <c r="AC494" s="48">
        <f t="shared" si="37"/>
        <v>279</v>
      </c>
      <c r="AD494" s="51">
        <f t="shared" si="38"/>
        <v>0.8409350057</v>
      </c>
    </row>
    <row r="495">
      <c r="A495" s="61" t="s">
        <v>3125</v>
      </c>
      <c r="B495" s="46" t="s">
        <v>906</v>
      </c>
      <c r="C495" s="47"/>
      <c r="D495" s="38">
        <v>3449.0</v>
      </c>
      <c r="E495" s="38">
        <v>1570.0</v>
      </c>
      <c r="F495" s="38">
        <v>485.0</v>
      </c>
      <c r="G495" s="38">
        <v>322.0</v>
      </c>
      <c r="H495" s="38">
        <v>348.0</v>
      </c>
      <c r="I495" s="48">
        <f t="shared" si="21"/>
        <v>5504</v>
      </c>
      <c r="J495" s="48">
        <f t="shared" si="22"/>
        <v>6174</v>
      </c>
      <c r="K495" s="49">
        <f t="shared" si="23"/>
        <v>0.6266351744</v>
      </c>
      <c r="L495" s="49">
        <f t="shared" si="24"/>
        <v>0.285247093</v>
      </c>
      <c r="M495" s="49">
        <f t="shared" si="25"/>
        <v>0.08811773256</v>
      </c>
      <c r="N495" s="32" t="str">
        <f t="shared" si="26"/>
        <v>Jânio</v>
      </c>
      <c r="O495" s="50" t="s">
        <v>77</v>
      </c>
      <c r="P495" s="38">
        <v>1365.0</v>
      </c>
      <c r="Q495" s="38">
        <v>2290.0</v>
      </c>
      <c r="R495" s="38">
        <v>1478.0</v>
      </c>
      <c r="S495" s="38">
        <v>765.0</v>
      </c>
      <c r="T495" s="38">
        <v>276.0</v>
      </c>
      <c r="U495" s="48">
        <f t="shared" si="27"/>
        <v>5133</v>
      </c>
      <c r="V495" s="48">
        <f t="shared" si="28"/>
        <v>6174</v>
      </c>
      <c r="W495" s="49">
        <f t="shared" si="29"/>
        <v>0.2659263589</v>
      </c>
      <c r="X495" s="49">
        <f t="shared" si="30"/>
        <v>0.4461328658</v>
      </c>
      <c r="Y495" s="49">
        <f t="shared" si="31"/>
        <v>0.2879407754</v>
      </c>
      <c r="Z495" s="32" t="str">
        <f t="shared" si="32"/>
        <v>Milton</v>
      </c>
      <c r="AA495" s="50" t="s">
        <v>77</v>
      </c>
      <c r="AB495" s="38">
        <v>7836.0</v>
      </c>
      <c r="AC495" s="48">
        <f t="shared" si="37"/>
        <v>1662</v>
      </c>
      <c r="AD495" s="51">
        <f t="shared" si="38"/>
        <v>0.7879019908</v>
      </c>
    </row>
    <row r="496">
      <c r="A496" s="23"/>
      <c r="B496" s="46" t="s">
        <v>3126</v>
      </c>
      <c r="C496" s="47"/>
      <c r="D496" s="38">
        <v>1089.0</v>
      </c>
      <c r="E496" s="38">
        <v>443.0</v>
      </c>
      <c r="F496" s="38">
        <v>138.0</v>
      </c>
      <c r="G496" s="38">
        <v>77.0</v>
      </c>
      <c r="H496" s="38">
        <v>86.0</v>
      </c>
      <c r="I496" s="48">
        <f t="shared" si="21"/>
        <v>1670</v>
      </c>
      <c r="J496" s="48">
        <f t="shared" si="22"/>
        <v>1833</v>
      </c>
      <c r="K496" s="49">
        <f t="shared" si="23"/>
        <v>0.6520958084</v>
      </c>
      <c r="L496" s="49">
        <f t="shared" si="24"/>
        <v>0.2652694611</v>
      </c>
      <c r="M496" s="49">
        <f t="shared" si="25"/>
        <v>0.08263473054</v>
      </c>
      <c r="N496" s="32" t="str">
        <f t="shared" si="26"/>
        <v>Jânio</v>
      </c>
      <c r="O496" s="50" t="s">
        <v>77</v>
      </c>
      <c r="P496" s="38">
        <v>475.0</v>
      </c>
      <c r="Q496" s="38">
        <v>936.0</v>
      </c>
      <c r="R496" s="38">
        <v>104.0</v>
      </c>
      <c r="S496" s="38">
        <v>268.0</v>
      </c>
      <c r="T496" s="38">
        <v>50.0</v>
      </c>
      <c r="U496" s="48">
        <f t="shared" si="27"/>
        <v>1515</v>
      </c>
      <c r="V496" s="48">
        <f t="shared" si="28"/>
        <v>1833</v>
      </c>
      <c r="W496" s="49">
        <f t="shared" si="29"/>
        <v>0.3135313531</v>
      </c>
      <c r="X496" s="49">
        <f t="shared" si="30"/>
        <v>0.6178217822</v>
      </c>
      <c r="Y496" s="49">
        <f t="shared" si="31"/>
        <v>0.06864686469</v>
      </c>
      <c r="Z496" s="32" t="str">
        <f t="shared" si="32"/>
        <v>Milton</v>
      </c>
      <c r="AA496" s="50" t="s">
        <v>77</v>
      </c>
      <c r="AB496" s="38">
        <v>2556.0</v>
      </c>
      <c r="AC496" s="48">
        <f t="shared" si="37"/>
        <v>723</v>
      </c>
      <c r="AD496" s="51">
        <f t="shared" si="38"/>
        <v>0.7171361502</v>
      </c>
    </row>
    <row r="497">
      <c r="A497" s="24"/>
      <c r="B497" s="46" t="s">
        <v>3127</v>
      </c>
      <c r="C497" s="47"/>
      <c r="D497" s="38">
        <v>875.0</v>
      </c>
      <c r="E497" s="38">
        <v>774.0</v>
      </c>
      <c r="F497" s="38">
        <v>308.0</v>
      </c>
      <c r="G497" s="38">
        <v>213.0</v>
      </c>
      <c r="H497" s="38">
        <v>138.0</v>
      </c>
      <c r="I497" s="48">
        <f t="shared" si="21"/>
        <v>1957</v>
      </c>
      <c r="J497" s="48">
        <f t="shared" si="22"/>
        <v>2308</v>
      </c>
      <c r="K497" s="49">
        <f t="shared" si="23"/>
        <v>0.447112928</v>
      </c>
      <c r="L497" s="49">
        <f t="shared" si="24"/>
        <v>0.3955033214</v>
      </c>
      <c r="M497" s="49">
        <f t="shared" si="25"/>
        <v>0.1573837506</v>
      </c>
      <c r="N497" s="32" t="str">
        <f t="shared" si="26"/>
        <v>Jânio</v>
      </c>
      <c r="O497" s="50" t="s">
        <v>77</v>
      </c>
      <c r="P497" s="38">
        <v>652.0</v>
      </c>
      <c r="Q497" s="38">
        <v>708.0</v>
      </c>
      <c r="R497" s="38">
        <v>402.0</v>
      </c>
      <c r="S497" s="38">
        <v>436.0</v>
      </c>
      <c r="T497" s="38">
        <v>110.0</v>
      </c>
      <c r="U497" s="48">
        <f t="shared" si="27"/>
        <v>1762</v>
      </c>
      <c r="V497" s="48">
        <f t="shared" si="28"/>
        <v>2308</v>
      </c>
      <c r="W497" s="49">
        <f t="shared" si="29"/>
        <v>0.3700340522</v>
      </c>
      <c r="X497" s="49">
        <f t="shared" si="30"/>
        <v>0.401816118</v>
      </c>
      <c r="Y497" s="49">
        <f t="shared" si="31"/>
        <v>0.2281498297</v>
      </c>
      <c r="Z497" s="32" t="str">
        <f t="shared" si="32"/>
        <v>Milton</v>
      </c>
      <c r="AA497" s="50" t="s">
        <v>77</v>
      </c>
      <c r="AB497" s="38">
        <v>3445.0</v>
      </c>
      <c r="AC497" s="48">
        <f t="shared" si="37"/>
        <v>1137</v>
      </c>
      <c r="AD497" s="51">
        <f t="shared" si="38"/>
        <v>0.6699564586</v>
      </c>
    </row>
    <row r="498">
      <c r="A498" s="110" t="s">
        <v>3128</v>
      </c>
      <c r="B498" s="46" t="s">
        <v>3129</v>
      </c>
      <c r="C498" s="47"/>
      <c r="D498" s="38">
        <v>1626.0</v>
      </c>
      <c r="E498" s="38">
        <v>1788.0</v>
      </c>
      <c r="F498" s="38">
        <v>299.0</v>
      </c>
      <c r="G498" s="38">
        <v>304.0</v>
      </c>
      <c r="H498" s="38">
        <v>297.0</v>
      </c>
      <c r="I498" s="48">
        <f t="shared" si="21"/>
        <v>3713</v>
      </c>
      <c r="J498" s="48">
        <f t="shared" si="22"/>
        <v>4314</v>
      </c>
      <c r="K498" s="49">
        <f t="shared" si="23"/>
        <v>0.4379208187</v>
      </c>
      <c r="L498" s="49">
        <f t="shared" si="24"/>
        <v>0.4815513062</v>
      </c>
      <c r="M498" s="49">
        <f t="shared" si="25"/>
        <v>0.08052787503</v>
      </c>
      <c r="N498" s="32" t="str">
        <f t="shared" si="26"/>
        <v>Mal. Lott</v>
      </c>
      <c r="O498" s="50" t="s">
        <v>77</v>
      </c>
      <c r="P498" s="38">
        <v>1819.0</v>
      </c>
      <c r="Q498" s="38">
        <v>1534.0</v>
      </c>
      <c r="R498" s="38">
        <v>191.0</v>
      </c>
      <c r="S498" s="38">
        <v>611.0</v>
      </c>
      <c r="T498" s="38">
        <v>159.0</v>
      </c>
      <c r="U498" s="48">
        <f t="shared" si="27"/>
        <v>3544</v>
      </c>
      <c r="V498" s="48">
        <f t="shared" si="28"/>
        <v>4314</v>
      </c>
      <c r="W498" s="49">
        <f t="shared" si="29"/>
        <v>0.513261851</v>
      </c>
      <c r="X498" s="49">
        <f t="shared" si="30"/>
        <v>0.4328442438</v>
      </c>
      <c r="Y498" s="49">
        <f t="shared" si="31"/>
        <v>0.05389390519</v>
      </c>
      <c r="Z498" s="32" t="str">
        <f t="shared" si="32"/>
        <v>Jango</v>
      </c>
      <c r="AA498" s="50" t="s">
        <v>77</v>
      </c>
      <c r="AB498" s="38">
        <v>5610.0</v>
      </c>
      <c r="AC498" s="48">
        <f t="shared" si="37"/>
        <v>1296</v>
      </c>
      <c r="AD498" s="51">
        <f t="shared" si="38"/>
        <v>0.7689839572</v>
      </c>
    </row>
    <row r="499">
      <c r="A499" s="61" t="s">
        <v>3130</v>
      </c>
      <c r="B499" s="46" t="s">
        <v>3131</v>
      </c>
      <c r="C499" s="47"/>
      <c r="D499" s="38">
        <v>1385.0</v>
      </c>
      <c r="E499" s="38">
        <v>3489.0</v>
      </c>
      <c r="F499" s="38">
        <v>388.0</v>
      </c>
      <c r="G499" s="38">
        <v>171.0</v>
      </c>
      <c r="H499" s="38">
        <v>140.0</v>
      </c>
      <c r="I499" s="48">
        <f t="shared" si="21"/>
        <v>5262</v>
      </c>
      <c r="J499" s="48">
        <f t="shared" si="22"/>
        <v>5573</v>
      </c>
      <c r="K499" s="49">
        <f t="shared" si="23"/>
        <v>0.2632079057</v>
      </c>
      <c r="L499" s="49">
        <f t="shared" si="24"/>
        <v>0.6630558723</v>
      </c>
      <c r="M499" s="49">
        <f t="shared" si="25"/>
        <v>0.07373622197</v>
      </c>
      <c r="N499" s="32" t="str">
        <f t="shared" si="26"/>
        <v>Mal. Lott</v>
      </c>
      <c r="O499" s="50" t="s">
        <v>77</v>
      </c>
      <c r="P499" s="38">
        <v>3544.0</v>
      </c>
      <c r="Q499" s="38">
        <v>952.0</v>
      </c>
      <c r="R499" s="38">
        <v>611.0</v>
      </c>
      <c r="S499" s="38">
        <v>332.0</v>
      </c>
      <c r="T499" s="38">
        <v>134.0</v>
      </c>
      <c r="U499" s="48">
        <f t="shared" si="27"/>
        <v>5107</v>
      </c>
      <c r="V499" s="48">
        <f t="shared" si="28"/>
        <v>5573</v>
      </c>
      <c r="W499" s="49">
        <f t="shared" si="29"/>
        <v>0.6939494811</v>
      </c>
      <c r="X499" s="49">
        <f t="shared" si="30"/>
        <v>0.1864108087</v>
      </c>
      <c r="Y499" s="49">
        <f t="shared" si="31"/>
        <v>0.1196397102</v>
      </c>
      <c r="Z499" s="32" t="str">
        <f t="shared" si="32"/>
        <v>Jango</v>
      </c>
      <c r="AA499" s="50" t="s">
        <v>77</v>
      </c>
      <c r="AB499" s="38">
        <v>6934.0</v>
      </c>
      <c r="AC499" s="48">
        <f t="shared" si="37"/>
        <v>1361</v>
      </c>
      <c r="AD499" s="51">
        <f t="shared" si="38"/>
        <v>0.8037207961</v>
      </c>
    </row>
    <row r="500">
      <c r="A500" s="23"/>
      <c r="B500" s="46" t="s">
        <v>3132</v>
      </c>
      <c r="C500" s="47"/>
      <c r="D500" s="38">
        <v>829.0</v>
      </c>
      <c r="E500" s="38">
        <v>1123.0</v>
      </c>
      <c r="F500" s="38">
        <v>250.0</v>
      </c>
      <c r="G500" s="38">
        <v>152.0</v>
      </c>
      <c r="H500" s="38">
        <v>180.0</v>
      </c>
      <c r="I500" s="48">
        <f t="shared" si="21"/>
        <v>2202</v>
      </c>
      <c r="J500" s="48">
        <f t="shared" si="22"/>
        <v>2534</v>
      </c>
      <c r="K500" s="49">
        <f t="shared" si="23"/>
        <v>0.376475931</v>
      </c>
      <c r="L500" s="49">
        <f t="shared" si="24"/>
        <v>0.5099909173</v>
      </c>
      <c r="M500" s="49">
        <f t="shared" si="25"/>
        <v>0.1135331517</v>
      </c>
      <c r="N500" s="32" t="str">
        <f t="shared" si="26"/>
        <v>Mal. Lott</v>
      </c>
      <c r="O500" s="50" t="s">
        <v>77</v>
      </c>
      <c r="P500" s="38">
        <v>1206.0</v>
      </c>
      <c r="Q500" s="38">
        <v>619.0</v>
      </c>
      <c r="R500" s="38">
        <v>251.0</v>
      </c>
      <c r="S500" s="38">
        <v>360.0</v>
      </c>
      <c r="T500" s="38">
        <v>98.0</v>
      </c>
      <c r="U500" s="48">
        <f t="shared" si="27"/>
        <v>2076</v>
      </c>
      <c r="V500" s="48">
        <f t="shared" si="28"/>
        <v>2534</v>
      </c>
      <c r="W500" s="49">
        <f t="shared" si="29"/>
        <v>0.5809248555</v>
      </c>
      <c r="X500" s="49">
        <f t="shared" si="30"/>
        <v>0.2981695568</v>
      </c>
      <c r="Y500" s="49">
        <f t="shared" si="31"/>
        <v>0.1209055877</v>
      </c>
      <c r="Z500" s="32" t="str">
        <f t="shared" si="32"/>
        <v>Jango</v>
      </c>
      <c r="AA500" s="50" t="s">
        <v>77</v>
      </c>
      <c r="AB500" s="38">
        <v>3543.0</v>
      </c>
      <c r="AC500" s="48">
        <f t="shared" si="37"/>
        <v>1009</v>
      </c>
      <c r="AD500" s="51">
        <f t="shared" si="38"/>
        <v>0.7152130962</v>
      </c>
    </row>
    <row r="501">
      <c r="A501" s="23"/>
      <c r="B501" s="46" t="s">
        <v>3133</v>
      </c>
      <c r="C501" s="47"/>
      <c r="D501" s="38">
        <v>307.0</v>
      </c>
      <c r="E501" s="38">
        <v>735.0</v>
      </c>
      <c r="F501" s="38">
        <v>121.0</v>
      </c>
      <c r="G501" s="38">
        <v>97.0</v>
      </c>
      <c r="H501" s="38">
        <v>66.0</v>
      </c>
      <c r="I501" s="48">
        <f t="shared" si="21"/>
        <v>1163</v>
      </c>
      <c r="J501" s="48">
        <f t="shared" si="22"/>
        <v>1326</v>
      </c>
      <c r="K501" s="49">
        <f t="shared" si="23"/>
        <v>0.263972485</v>
      </c>
      <c r="L501" s="49">
        <f t="shared" si="24"/>
        <v>0.6319862425</v>
      </c>
      <c r="M501" s="49">
        <f t="shared" si="25"/>
        <v>0.1040412726</v>
      </c>
      <c r="N501" s="32" t="str">
        <f t="shared" si="26"/>
        <v>Mal. Lott</v>
      </c>
      <c r="O501" s="50" t="s">
        <v>77</v>
      </c>
      <c r="P501" s="38">
        <v>736.0</v>
      </c>
      <c r="Q501" s="38">
        <v>317.0</v>
      </c>
      <c r="R501" s="38">
        <v>83.0</v>
      </c>
      <c r="S501" s="38">
        <v>154.0</v>
      </c>
      <c r="T501" s="38">
        <v>36.0</v>
      </c>
      <c r="U501" s="48">
        <f t="shared" si="27"/>
        <v>1136</v>
      </c>
      <c r="V501" s="48">
        <f t="shared" si="28"/>
        <v>1326</v>
      </c>
      <c r="W501" s="49">
        <f t="shared" si="29"/>
        <v>0.6478873239</v>
      </c>
      <c r="X501" s="49">
        <f t="shared" si="30"/>
        <v>0.2790492958</v>
      </c>
      <c r="Y501" s="49">
        <f t="shared" si="31"/>
        <v>0.07306338028</v>
      </c>
      <c r="Z501" s="32" t="str">
        <f t="shared" si="32"/>
        <v>Jango</v>
      </c>
      <c r="AA501" s="50" t="s">
        <v>77</v>
      </c>
      <c r="AB501" s="38">
        <v>1633.0</v>
      </c>
      <c r="AC501" s="48">
        <f t="shared" si="37"/>
        <v>307</v>
      </c>
      <c r="AD501" s="51">
        <f t="shared" si="38"/>
        <v>0.8120024495</v>
      </c>
    </row>
    <row r="502">
      <c r="A502" s="24"/>
      <c r="B502" s="46" t="s">
        <v>3134</v>
      </c>
      <c r="C502" s="47"/>
      <c r="D502" s="38">
        <v>646.0</v>
      </c>
      <c r="E502" s="38">
        <v>715.0</v>
      </c>
      <c r="F502" s="38">
        <v>142.0</v>
      </c>
      <c r="G502" s="38">
        <v>92.0</v>
      </c>
      <c r="H502" s="38">
        <v>70.0</v>
      </c>
      <c r="I502" s="48">
        <f t="shared" si="21"/>
        <v>1503</v>
      </c>
      <c r="J502" s="48">
        <f t="shared" si="22"/>
        <v>1665</v>
      </c>
      <c r="K502" s="49">
        <f t="shared" si="23"/>
        <v>0.4298070526</v>
      </c>
      <c r="L502" s="49">
        <f t="shared" si="24"/>
        <v>0.4757152362</v>
      </c>
      <c r="M502" s="49">
        <f t="shared" si="25"/>
        <v>0.09447771124</v>
      </c>
      <c r="N502" s="32" t="str">
        <f t="shared" si="26"/>
        <v>Mal. Lott</v>
      </c>
      <c r="O502" s="50" t="s">
        <v>77</v>
      </c>
      <c r="P502" s="38">
        <v>761.0</v>
      </c>
      <c r="Q502" s="38">
        <v>523.0</v>
      </c>
      <c r="R502" s="38">
        <v>133.0</v>
      </c>
      <c r="S502" s="38">
        <v>183.0</v>
      </c>
      <c r="T502" s="38">
        <v>65.0</v>
      </c>
      <c r="U502" s="48">
        <f t="shared" si="27"/>
        <v>1417</v>
      </c>
      <c r="V502" s="48">
        <f t="shared" si="28"/>
        <v>1665</v>
      </c>
      <c r="W502" s="49">
        <f t="shared" si="29"/>
        <v>0.5370501059</v>
      </c>
      <c r="X502" s="49">
        <f t="shared" si="30"/>
        <v>0.369089626</v>
      </c>
      <c r="Y502" s="49">
        <f t="shared" si="31"/>
        <v>0.09386026817</v>
      </c>
      <c r="Z502" s="32" t="str">
        <f t="shared" si="32"/>
        <v>Jango</v>
      </c>
      <c r="AA502" s="50" t="s">
        <v>77</v>
      </c>
      <c r="AB502" s="38">
        <v>2128.0</v>
      </c>
      <c r="AC502" s="48">
        <f t="shared" si="37"/>
        <v>463</v>
      </c>
      <c r="AD502" s="51">
        <f t="shared" si="38"/>
        <v>0.782424812</v>
      </c>
    </row>
    <row r="503">
      <c r="A503" s="69" t="s">
        <v>54</v>
      </c>
      <c r="B503" s="13"/>
      <c r="C503" s="47"/>
      <c r="D503" s="38">
        <f t="shared" ref="D503:H503" si="39">SUM(D79:D502,D13:D74)</f>
        <v>692044</v>
      </c>
      <c r="E503" s="38">
        <f t="shared" si="39"/>
        <v>679951</v>
      </c>
      <c r="F503" s="38">
        <f t="shared" si="39"/>
        <v>183599</v>
      </c>
      <c r="G503" s="38">
        <f t="shared" si="39"/>
        <v>88266</v>
      </c>
      <c r="H503" s="38">
        <f t="shared" si="39"/>
        <v>84595</v>
      </c>
      <c r="I503" s="48">
        <f t="shared" si="21"/>
        <v>1555594</v>
      </c>
      <c r="J503" s="48">
        <f t="shared" si="22"/>
        <v>1728455</v>
      </c>
      <c r="K503" s="49">
        <f t="shared" si="23"/>
        <v>0.4448744338</v>
      </c>
      <c r="L503" s="49">
        <f t="shared" si="24"/>
        <v>0.4371005545</v>
      </c>
      <c r="M503" s="49">
        <f t="shared" si="25"/>
        <v>0.1180250117</v>
      </c>
      <c r="N503" s="32" t="str">
        <f t="shared" si="26"/>
        <v>Jânio</v>
      </c>
      <c r="O503" s="50"/>
      <c r="P503" s="38">
        <f t="shared" ref="P503:T503" si="40">SUM(P79:P502,P13:P74)</f>
        <v>660337</v>
      </c>
      <c r="Q503" s="38">
        <f t="shared" si="40"/>
        <v>667573</v>
      </c>
      <c r="R503" s="38">
        <f t="shared" si="40"/>
        <v>132202</v>
      </c>
      <c r="S503" s="38">
        <f t="shared" si="40"/>
        <v>207052</v>
      </c>
      <c r="T503" s="38">
        <f t="shared" si="40"/>
        <v>61291</v>
      </c>
      <c r="U503" s="48">
        <f t="shared" si="27"/>
        <v>1460112</v>
      </c>
      <c r="V503" s="48">
        <f t="shared" si="28"/>
        <v>1728455</v>
      </c>
      <c r="W503" s="49">
        <f t="shared" si="29"/>
        <v>0.4522509232</v>
      </c>
      <c r="X503" s="49">
        <f t="shared" si="30"/>
        <v>0.4572067074</v>
      </c>
      <c r="Y503" s="49">
        <f t="shared" si="31"/>
        <v>0.09054236935</v>
      </c>
      <c r="Z503" s="32" t="str">
        <f t="shared" si="32"/>
        <v>Milton</v>
      </c>
      <c r="AA503" s="50"/>
      <c r="AB503" s="55">
        <v>2143670.0</v>
      </c>
      <c r="AC503" s="48">
        <f t="shared" si="37"/>
        <v>415215</v>
      </c>
      <c r="AD503" s="51">
        <f t="shared" si="38"/>
        <v>0.8063064744</v>
      </c>
    </row>
    <row r="504">
      <c r="O504" s="73"/>
    </row>
    <row r="505">
      <c r="B505" s="74" t="s">
        <v>138</v>
      </c>
      <c r="D505" s="75"/>
      <c r="E505" s="75"/>
      <c r="F505" s="75"/>
      <c r="G505" s="75"/>
    </row>
    <row r="506">
      <c r="B506" s="76" t="s">
        <v>139</v>
      </c>
      <c r="C506" s="33"/>
      <c r="D506" s="29"/>
      <c r="E506" s="29"/>
      <c r="F506" s="77"/>
      <c r="G506" s="77"/>
    </row>
    <row r="507">
      <c r="B507" s="76" t="s">
        <v>139</v>
      </c>
      <c r="D507" s="29"/>
      <c r="E507" s="29"/>
      <c r="F507" s="77"/>
      <c r="G507" s="77"/>
    </row>
    <row r="508">
      <c r="B508" s="76" t="s">
        <v>139</v>
      </c>
      <c r="D508" s="29"/>
      <c r="E508" s="29"/>
      <c r="F508" s="77"/>
      <c r="G508" s="77"/>
    </row>
    <row r="509">
      <c r="D509" s="29"/>
      <c r="E509" s="29"/>
      <c r="F509" s="77"/>
      <c r="G509" s="77"/>
    </row>
  </sheetData>
  <mergeCells count="170">
    <mergeCell ref="D2:G2"/>
    <mergeCell ref="A11:C11"/>
    <mergeCell ref="D11:N11"/>
    <mergeCell ref="P11:Z11"/>
    <mergeCell ref="AA11:AD11"/>
    <mergeCell ref="A14:A16"/>
    <mergeCell ref="A18:A19"/>
    <mergeCell ref="A21:A26"/>
    <mergeCell ref="A27:A30"/>
    <mergeCell ref="A31:A33"/>
    <mergeCell ref="A34:A36"/>
    <mergeCell ref="A38:A39"/>
    <mergeCell ref="A42:A48"/>
    <mergeCell ref="A50:A54"/>
    <mergeCell ref="A55:A56"/>
    <mergeCell ref="A57:A59"/>
    <mergeCell ref="A62:A63"/>
    <mergeCell ref="A64:A65"/>
    <mergeCell ref="A66:A72"/>
    <mergeCell ref="A73:A74"/>
    <mergeCell ref="A80:A81"/>
    <mergeCell ref="A82:A83"/>
    <mergeCell ref="A84:A85"/>
    <mergeCell ref="A86:A88"/>
    <mergeCell ref="A90:A92"/>
    <mergeCell ref="A93:A95"/>
    <mergeCell ref="A96:A97"/>
    <mergeCell ref="A105:A106"/>
    <mergeCell ref="A109:A111"/>
    <mergeCell ref="A112:A113"/>
    <mergeCell ref="A114:A116"/>
    <mergeCell ref="A118:A119"/>
    <mergeCell ref="A121:A122"/>
    <mergeCell ref="A123:A125"/>
    <mergeCell ref="A126:A127"/>
    <mergeCell ref="A128:A129"/>
    <mergeCell ref="A131:A132"/>
    <mergeCell ref="A133:A134"/>
    <mergeCell ref="A135:A138"/>
    <mergeCell ref="A139:A140"/>
    <mergeCell ref="A143:A145"/>
    <mergeCell ref="A148:A149"/>
    <mergeCell ref="A198:A199"/>
    <mergeCell ref="A201:A202"/>
    <mergeCell ref="A150:A151"/>
    <mergeCell ref="A152:A153"/>
    <mergeCell ref="A156:A157"/>
    <mergeCell ref="A158:A159"/>
    <mergeCell ref="A164:A165"/>
    <mergeCell ref="A168:A169"/>
    <mergeCell ref="A171:A172"/>
    <mergeCell ref="A173:A174"/>
    <mergeCell ref="A175:A176"/>
    <mergeCell ref="A179:A180"/>
    <mergeCell ref="A182:A183"/>
    <mergeCell ref="A184:A186"/>
    <mergeCell ref="A188:A191"/>
    <mergeCell ref="A195:A196"/>
    <mergeCell ref="B260:B261"/>
    <mergeCell ref="D260:D261"/>
    <mergeCell ref="E260:E261"/>
    <mergeCell ref="F260:F261"/>
    <mergeCell ref="G260:G261"/>
    <mergeCell ref="H260:H261"/>
    <mergeCell ref="I260:I261"/>
    <mergeCell ref="J260:J261"/>
    <mergeCell ref="K260:K261"/>
    <mergeCell ref="L260:L261"/>
    <mergeCell ref="M260:M261"/>
    <mergeCell ref="N260:N261"/>
    <mergeCell ref="O260:O261"/>
    <mergeCell ref="P260:P261"/>
    <mergeCell ref="X260:X261"/>
    <mergeCell ref="Y260:Y261"/>
    <mergeCell ref="Z260:Z261"/>
    <mergeCell ref="AA260:AA261"/>
    <mergeCell ref="AB260:AB261"/>
    <mergeCell ref="AC260:AC261"/>
    <mergeCell ref="AD260:AD261"/>
    <mergeCell ref="Q260:Q261"/>
    <mergeCell ref="R260:R261"/>
    <mergeCell ref="S260:S261"/>
    <mergeCell ref="T260:T261"/>
    <mergeCell ref="U260:U261"/>
    <mergeCell ref="V260:V261"/>
    <mergeCell ref="W260:W261"/>
    <mergeCell ref="A263:A264"/>
    <mergeCell ref="A266:A268"/>
    <mergeCell ref="A355:A356"/>
    <mergeCell ref="A357:A360"/>
    <mergeCell ref="A362:A363"/>
    <mergeCell ref="A364:A365"/>
    <mergeCell ref="A367:A371"/>
    <mergeCell ref="A372:A375"/>
    <mergeCell ref="A376:A380"/>
    <mergeCell ref="A381:A382"/>
    <mergeCell ref="A386:A388"/>
    <mergeCell ref="A389:A390"/>
    <mergeCell ref="A391:A393"/>
    <mergeCell ref="A394:A396"/>
    <mergeCell ref="A402:A403"/>
    <mergeCell ref="A404:A406"/>
    <mergeCell ref="A432:A433"/>
    <mergeCell ref="A434:A435"/>
    <mergeCell ref="A436:A438"/>
    <mergeCell ref="A440:A444"/>
    <mergeCell ref="A447:A448"/>
    <mergeCell ref="A449:A450"/>
    <mergeCell ref="A451:A453"/>
    <mergeCell ref="A488:A490"/>
    <mergeCell ref="A493:A494"/>
    <mergeCell ref="A495:A497"/>
    <mergeCell ref="A499:A502"/>
    <mergeCell ref="A503:B503"/>
    <mergeCell ref="A454:A455"/>
    <mergeCell ref="A456:A457"/>
    <mergeCell ref="A459:A461"/>
    <mergeCell ref="A463:A465"/>
    <mergeCell ref="A467:A471"/>
    <mergeCell ref="A475:A478"/>
    <mergeCell ref="A484:A486"/>
    <mergeCell ref="A204:A206"/>
    <mergeCell ref="A210:A211"/>
    <mergeCell ref="A217:A218"/>
    <mergeCell ref="A219:A221"/>
    <mergeCell ref="A222:A223"/>
    <mergeCell ref="A225:A226"/>
    <mergeCell ref="A227:A229"/>
    <mergeCell ref="A233:A234"/>
    <mergeCell ref="A238:A239"/>
    <mergeCell ref="A243:A245"/>
    <mergeCell ref="A246:A247"/>
    <mergeCell ref="A249:A251"/>
    <mergeCell ref="A252:A253"/>
    <mergeCell ref="A257:A258"/>
    <mergeCell ref="A269:A270"/>
    <mergeCell ref="A272:A273"/>
    <mergeCell ref="A274:A275"/>
    <mergeCell ref="A278:A279"/>
    <mergeCell ref="A280:A281"/>
    <mergeCell ref="A282:A283"/>
    <mergeCell ref="A284:A285"/>
    <mergeCell ref="A288:A289"/>
    <mergeCell ref="A290:A291"/>
    <mergeCell ref="A292:A293"/>
    <mergeCell ref="A295:A296"/>
    <mergeCell ref="A297:A298"/>
    <mergeCell ref="A299:A300"/>
    <mergeCell ref="A303:A304"/>
    <mergeCell ref="A307:A308"/>
    <mergeCell ref="A309:A311"/>
    <mergeCell ref="A314:A316"/>
    <mergeCell ref="A318:A319"/>
    <mergeCell ref="A324:A326"/>
    <mergeCell ref="A330:A331"/>
    <mergeCell ref="A333:A334"/>
    <mergeCell ref="A337:A338"/>
    <mergeCell ref="A339:A341"/>
    <mergeCell ref="A342:A343"/>
    <mergeCell ref="A344:A346"/>
    <mergeCell ref="A347:A348"/>
    <mergeCell ref="A350:A351"/>
    <mergeCell ref="A352:A353"/>
    <mergeCell ref="A408:A409"/>
    <mergeCell ref="A411:A412"/>
    <mergeCell ref="A414:A416"/>
    <mergeCell ref="A417:A418"/>
    <mergeCell ref="A421:A422"/>
    <mergeCell ref="A424:A425"/>
    <mergeCell ref="A427:A430"/>
  </mergeCells>
  <conditionalFormatting sqref="K13:M503 N13:N504 Z13:Z503 W260:Y261">
    <cfRule type="colorScale" priority="1">
      <colorScale>
        <cfvo type="percent" val="0"/>
        <cfvo type="percent" val="50"/>
        <cfvo type="percent" val="100"/>
        <color rgb="FFFFFFFF"/>
        <color rgb="FFABDDC5"/>
        <color rgb="FF57BB8A"/>
      </colorScale>
    </cfRule>
  </conditionalFormatting>
  <conditionalFormatting sqref="W13:Y503">
    <cfRule type="colorScale" priority="2">
      <colorScale>
        <cfvo type="percent" val="0"/>
        <cfvo type="percent" val="50"/>
        <cfvo type="percent" val="100"/>
        <color rgb="FFFFFFFF"/>
        <color rgb="FFABDDC5"/>
        <color rgb="FF57BB8A"/>
      </colorScale>
    </cfRule>
  </conditionalFormatting>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s>
  <sheetData>
    <row r="1">
      <c r="D1" s="109"/>
      <c r="E1" s="109"/>
      <c r="F1" s="109"/>
      <c r="G1" s="109"/>
    </row>
    <row r="2">
      <c r="D2" s="109"/>
      <c r="E2" s="109"/>
      <c r="F2" s="109"/>
      <c r="G2" s="109"/>
    </row>
    <row r="3">
      <c r="A3" s="139" t="s">
        <v>3135</v>
      </c>
      <c r="B3" s="12"/>
      <c r="C3" s="13"/>
    </row>
    <row r="4">
      <c r="A4" s="34"/>
      <c r="B4" s="12"/>
      <c r="C4" s="13"/>
      <c r="D4" s="35" t="s">
        <v>55</v>
      </c>
      <c r="E4" s="12"/>
      <c r="F4" s="12"/>
      <c r="G4" s="12"/>
      <c r="H4" s="12"/>
      <c r="I4" s="12"/>
      <c r="J4" s="12"/>
      <c r="K4" s="12"/>
      <c r="L4" s="12"/>
      <c r="M4" s="12"/>
      <c r="N4" s="13"/>
      <c r="O4" s="36"/>
      <c r="P4" s="35" t="s">
        <v>56</v>
      </c>
      <c r="Q4" s="12"/>
      <c r="R4" s="12"/>
      <c r="S4" s="12"/>
      <c r="T4" s="12"/>
      <c r="U4" s="12"/>
      <c r="V4" s="12"/>
      <c r="W4" s="12"/>
      <c r="X4" s="12"/>
      <c r="Y4" s="12"/>
      <c r="Z4" s="13"/>
      <c r="AA4" s="140"/>
    </row>
    <row r="5">
      <c r="A5" s="141" t="s">
        <v>77</v>
      </c>
      <c r="B5" s="13"/>
      <c r="C5" s="40"/>
      <c r="D5" s="38" t="s">
        <v>46</v>
      </c>
      <c r="E5" s="38" t="s">
        <v>48</v>
      </c>
      <c r="F5" s="38" t="s">
        <v>50</v>
      </c>
      <c r="G5" s="38" t="s">
        <v>59</v>
      </c>
      <c r="H5" s="38" t="s">
        <v>60</v>
      </c>
      <c r="I5" s="41" t="s">
        <v>61</v>
      </c>
      <c r="J5" s="41" t="s">
        <v>62</v>
      </c>
      <c r="K5" s="38" t="s">
        <v>63</v>
      </c>
      <c r="L5" s="38" t="s">
        <v>64</v>
      </c>
      <c r="M5" s="38" t="s">
        <v>65</v>
      </c>
      <c r="N5" s="38" t="s">
        <v>66</v>
      </c>
      <c r="O5" s="42"/>
      <c r="P5" s="38" t="s">
        <v>47</v>
      </c>
      <c r="Q5" s="38" t="s">
        <v>49</v>
      </c>
      <c r="R5" s="38" t="s">
        <v>51</v>
      </c>
      <c r="S5" s="38" t="s">
        <v>59</v>
      </c>
      <c r="T5" s="38" t="s">
        <v>60</v>
      </c>
      <c r="U5" s="41" t="s">
        <v>61</v>
      </c>
      <c r="V5" s="41" t="s">
        <v>62</v>
      </c>
      <c r="W5" s="43" t="s">
        <v>67</v>
      </c>
      <c r="X5" s="43" t="s">
        <v>68</v>
      </c>
      <c r="Y5" s="43" t="s">
        <v>69</v>
      </c>
      <c r="Z5" s="38" t="s">
        <v>66</v>
      </c>
      <c r="AA5" s="44"/>
    </row>
    <row r="6">
      <c r="A6" s="142" t="s">
        <v>3136</v>
      </c>
      <c r="B6" s="143" t="s">
        <v>3137</v>
      </c>
      <c r="C6" s="47"/>
      <c r="D6" s="38">
        <v>1316.0</v>
      </c>
      <c r="E6" s="38">
        <v>1469.0</v>
      </c>
      <c r="F6" s="38">
        <v>357.0</v>
      </c>
      <c r="G6" s="38" t="s">
        <v>77</v>
      </c>
      <c r="H6" s="38" t="s">
        <v>77</v>
      </c>
      <c r="I6" s="48">
        <f t="shared" ref="I6:I14" si="1">SUM(D6:F6)</f>
        <v>3142</v>
      </c>
      <c r="J6" s="38" t="s">
        <v>77</v>
      </c>
      <c r="K6" s="49">
        <f t="shared" ref="K6:K14" si="2">D6/I6</f>
        <v>0.4188415022</v>
      </c>
      <c r="L6" s="49">
        <f t="shared" ref="L6:L14" si="3">E6/I6</f>
        <v>0.4675366009</v>
      </c>
      <c r="M6" s="49">
        <f t="shared" ref="M6:M14" si="4">F6/I6</f>
        <v>0.1136218969</v>
      </c>
      <c r="N6" s="22" t="s">
        <v>48</v>
      </c>
      <c r="O6" s="50"/>
      <c r="P6" s="38">
        <v>1550.0</v>
      </c>
      <c r="Q6" s="38">
        <v>932.0</v>
      </c>
      <c r="R6" s="38">
        <v>509.0</v>
      </c>
      <c r="S6" s="38" t="s">
        <v>77</v>
      </c>
      <c r="T6" s="38" t="s">
        <v>77</v>
      </c>
      <c r="U6" s="48">
        <f t="shared" ref="U6:U14" si="5">SUM(P6:R6)</f>
        <v>2991</v>
      </c>
      <c r="V6" s="38" t="s">
        <v>77</v>
      </c>
      <c r="W6" s="49">
        <f t="shared" ref="W6:W14" si="6">P6/U6</f>
        <v>0.5182213307</v>
      </c>
      <c r="X6" s="49">
        <f t="shared" ref="X6:X14" si="7">Q6/U6</f>
        <v>0.3116014711</v>
      </c>
      <c r="Y6" s="49">
        <f t="shared" ref="Y6:Y14" si="8">R6/U6</f>
        <v>0.1701771983</v>
      </c>
      <c r="Z6" s="22" t="s">
        <v>47</v>
      </c>
      <c r="AA6" s="50"/>
    </row>
    <row r="7">
      <c r="B7" s="143" t="s">
        <v>1578</v>
      </c>
      <c r="C7" s="47"/>
      <c r="D7" s="38">
        <v>355.0</v>
      </c>
      <c r="E7" s="38">
        <v>581.0</v>
      </c>
      <c r="F7" s="38">
        <v>87.0</v>
      </c>
      <c r="G7" s="38" t="s">
        <v>77</v>
      </c>
      <c r="H7" s="38" t="s">
        <v>77</v>
      </c>
      <c r="I7" s="48">
        <f t="shared" si="1"/>
        <v>1023</v>
      </c>
      <c r="J7" s="38" t="s">
        <v>77</v>
      </c>
      <c r="K7" s="49">
        <f t="shared" si="2"/>
        <v>0.3470185728</v>
      </c>
      <c r="L7" s="49">
        <f t="shared" si="3"/>
        <v>0.5679374389</v>
      </c>
      <c r="M7" s="49">
        <f t="shared" si="4"/>
        <v>0.08504398827</v>
      </c>
      <c r="N7" s="22" t="s">
        <v>48</v>
      </c>
      <c r="O7" s="50"/>
      <c r="P7" s="38">
        <v>603.0</v>
      </c>
      <c r="Q7" s="38">
        <v>244.0</v>
      </c>
      <c r="R7" s="38">
        <v>99.0</v>
      </c>
      <c r="S7" s="38" t="s">
        <v>77</v>
      </c>
      <c r="T7" s="38" t="s">
        <v>77</v>
      </c>
      <c r="U7" s="48">
        <f t="shared" si="5"/>
        <v>946</v>
      </c>
      <c r="V7" s="38" t="s">
        <v>77</v>
      </c>
      <c r="W7" s="49">
        <f t="shared" si="6"/>
        <v>0.6374207188</v>
      </c>
      <c r="X7" s="49">
        <f t="shared" si="7"/>
        <v>0.2579281184</v>
      </c>
      <c r="Y7" s="49">
        <f t="shared" si="8"/>
        <v>0.1046511628</v>
      </c>
      <c r="Z7" s="22" t="s">
        <v>47</v>
      </c>
      <c r="AA7" s="50"/>
    </row>
    <row r="8">
      <c r="B8" s="143" t="s">
        <v>1422</v>
      </c>
      <c r="C8" s="47"/>
      <c r="D8" s="38">
        <v>774.0</v>
      </c>
      <c r="E8" s="38">
        <v>1064.0</v>
      </c>
      <c r="F8" s="38">
        <v>198.0</v>
      </c>
      <c r="G8" s="38" t="s">
        <v>77</v>
      </c>
      <c r="H8" s="38" t="s">
        <v>77</v>
      </c>
      <c r="I8" s="48">
        <f t="shared" si="1"/>
        <v>2036</v>
      </c>
      <c r="J8" s="38" t="s">
        <v>77</v>
      </c>
      <c r="K8" s="49">
        <f t="shared" si="2"/>
        <v>0.3801571709</v>
      </c>
      <c r="L8" s="49">
        <f t="shared" si="3"/>
        <v>0.5225933202</v>
      </c>
      <c r="M8" s="49">
        <f t="shared" si="4"/>
        <v>0.09724950884</v>
      </c>
      <c r="N8" s="22" t="s">
        <v>48</v>
      </c>
      <c r="O8" s="50"/>
      <c r="P8" s="38">
        <v>1080.0</v>
      </c>
      <c r="Q8" s="38">
        <v>552.0</v>
      </c>
      <c r="R8" s="38">
        <v>186.0</v>
      </c>
      <c r="S8" s="38" t="s">
        <v>77</v>
      </c>
      <c r="T8" s="38" t="s">
        <v>77</v>
      </c>
      <c r="U8" s="48">
        <f t="shared" si="5"/>
        <v>1818</v>
      </c>
      <c r="V8" s="38" t="s">
        <v>77</v>
      </c>
      <c r="W8" s="49">
        <f t="shared" si="6"/>
        <v>0.5940594059</v>
      </c>
      <c r="X8" s="49">
        <f t="shared" si="7"/>
        <v>0.303630363</v>
      </c>
      <c r="Y8" s="49">
        <f t="shared" si="8"/>
        <v>0.102310231</v>
      </c>
      <c r="Z8" s="22" t="s">
        <v>47</v>
      </c>
      <c r="AA8" s="50"/>
    </row>
    <row r="9">
      <c r="B9" s="143" t="s">
        <v>3138</v>
      </c>
      <c r="C9" s="47"/>
      <c r="D9" s="38">
        <v>131.0</v>
      </c>
      <c r="E9" s="38">
        <v>176.0</v>
      </c>
      <c r="F9" s="38">
        <v>32.0</v>
      </c>
      <c r="G9" s="38" t="s">
        <v>77</v>
      </c>
      <c r="H9" s="38" t="s">
        <v>77</v>
      </c>
      <c r="I9" s="48">
        <f t="shared" si="1"/>
        <v>339</v>
      </c>
      <c r="J9" s="38" t="s">
        <v>77</v>
      </c>
      <c r="K9" s="49">
        <f t="shared" si="2"/>
        <v>0.3864306785</v>
      </c>
      <c r="L9" s="49">
        <f t="shared" si="3"/>
        <v>0.5191740413</v>
      </c>
      <c r="M9" s="49">
        <f t="shared" si="4"/>
        <v>0.09439528024</v>
      </c>
      <c r="N9" s="22" t="s">
        <v>48</v>
      </c>
      <c r="O9" s="50"/>
      <c r="P9" s="38">
        <v>176.0</v>
      </c>
      <c r="Q9" s="38">
        <v>100.0</v>
      </c>
      <c r="R9" s="38">
        <v>29.0</v>
      </c>
      <c r="S9" s="38" t="s">
        <v>77</v>
      </c>
      <c r="T9" s="38" t="s">
        <v>77</v>
      </c>
      <c r="U9" s="48">
        <f t="shared" si="5"/>
        <v>305</v>
      </c>
      <c r="V9" s="38" t="s">
        <v>77</v>
      </c>
      <c r="W9" s="49">
        <f t="shared" si="6"/>
        <v>0.5770491803</v>
      </c>
      <c r="X9" s="49">
        <f t="shared" si="7"/>
        <v>0.3278688525</v>
      </c>
      <c r="Y9" s="49">
        <f t="shared" si="8"/>
        <v>0.09508196721</v>
      </c>
      <c r="Z9" s="22" t="s">
        <v>47</v>
      </c>
      <c r="AA9" s="50"/>
    </row>
    <row r="10">
      <c r="B10" s="143" t="s">
        <v>3139</v>
      </c>
      <c r="C10" s="47"/>
      <c r="D10" s="38">
        <f t="shared" ref="D10:F10" si="9">D14-SUM(D6:D9)</f>
        <v>4942</v>
      </c>
      <c r="E10" s="38">
        <f t="shared" si="9"/>
        <v>7154</v>
      </c>
      <c r="F10" s="38">
        <f t="shared" si="9"/>
        <v>1139</v>
      </c>
      <c r="G10" s="38" t="s">
        <v>77</v>
      </c>
      <c r="H10" s="38" t="s">
        <v>77</v>
      </c>
      <c r="I10" s="48">
        <f t="shared" si="1"/>
        <v>13235</v>
      </c>
      <c r="J10" s="38" t="s">
        <v>77</v>
      </c>
      <c r="K10" s="49">
        <f t="shared" si="2"/>
        <v>0.3734038534</v>
      </c>
      <c r="L10" s="49">
        <f t="shared" si="3"/>
        <v>0.5405364564</v>
      </c>
      <c r="M10" s="49">
        <f t="shared" si="4"/>
        <v>0.08605969022</v>
      </c>
      <c r="N10" s="22" t="s">
        <v>48</v>
      </c>
      <c r="O10" s="50"/>
      <c r="P10" s="38">
        <f t="shared" ref="P10:R10" si="10">P14-SUM(P6:P9)</f>
        <v>6725</v>
      </c>
      <c r="Q10" s="38">
        <f t="shared" si="10"/>
        <v>3858</v>
      </c>
      <c r="R10" s="38">
        <f t="shared" si="10"/>
        <v>1974</v>
      </c>
      <c r="S10" s="38" t="s">
        <v>77</v>
      </c>
      <c r="T10" s="38" t="s">
        <v>77</v>
      </c>
      <c r="U10" s="48">
        <f t="shared" si="5"/>
        <v>12557</v>
      </c>
      <c r="V10" s="38" t="s">
        <v>77</v>
      </c>
      <c r="W10" s="49">
        <f t="shared" si="6"/>
        <v>0.5355578562</v>
      </c>
      <c r="X10" s="49">
        <f t="shared" si="7"/>
        <v>0.3072389902</v>
      </c>
      <c r="Y10" s="49">
        <f t="shared" si="8"/>
        <v>0.1572031536</v>
      </c>
      <c r="Z10" s="22" t="s">
        <v>47</v>
      </c>
      <c r="AA10" s="50"/>
    </row>
    <row r="11">
      <c r="A11" s="144" t="s">
        <v>3140</v>
      </c>
      <c r="B11" s="46" t="s">
        <v>3141</v>
      </c>
      <c r="C11" s="47"/>
      <c r="D11" s="38">
        <v>2338.0</v>
      </c>
      <c r="E11" s="55">
        <v>3543.0</v>
      </c>
      <c r="F11" s="38">
        <v>654.0</v>
      </c>
      <c r="G11" s="38">
        <v>254.0</v>
      </c>
      <c r="H11" s="38">
        <v>472.0</v>
      </c>
      <c r="I11" s="48">
        <f t="shared" si="1"/>
        <v>6535</v>
      </c>
      <c r="J11" s="48">
        <f t="shared" ref="J11:J14" si="11">SUM(G11:I11)</f>
        <v>7261</v>
      </c>
      <c r="K11" s="49">
        <f t="shared" si="2"/>
        <v>0.3577658761</v>
      </c>
      <c r="L11" s="49">
        <f t="shared" si="3"/>
        <v>0.5421576129</v>
      </c>
      <c r="M11" s="49">
        <f t="shared" si="4"/>
        <v>0.1000765111</v>
      </c>
      <c r="N11" s="22" t="s">
        <v>48</v>
      </c>
      <c r="O11" s="50"/>
      <c r="P11" s="38">
        <v>3233.0</v>
      </c>
      <c r="Q11" s="38">
        <v>1786.0</v>
      </c>
      <c r="R11" s="38">
        <v>860.0</v>
      </c>
      <c r="S11" s="38">
        <v>828.0</v>
      </c>
      <c r="T11" s="38">
        <v>351.0</v>
      </c>
      <c r="U11" s="48">
        <f t="shared" si="5"/>
        <v>5879</v>
      </c>
      <c r="V11" s="48">
        <f t="shared" ref="V11:V14" si="12">SUM(S11:U11)</f>
        <v>7058</v>
      </c>
      <c r="W11" s="49">
        <f t="shared" si="6"/>
        <v>0.5499234564</v>
      </c>
      <c r="X11" s="49">
        <f t="shared" si="7"/>
        <v>0.3037931621</v>
      </c>
      <c r="Y11" s="49">
        <f t="shared" si="8"/>
        <v>0.1462833815</v>
      </c>
      <c r="Z11" s="22" t="s">
        <v>47</v>
      </c>
      <c r="AA11" s="50"/>
    </row>
    <row r="12">
      <c r="A12" s="23"/>
      <c r="B12" s="46" t="s">
        <v>3142</v>
      </c>
      <c r="C12" s="47"/>
      <c r="D12" s="38">
        <v>2710.0</v>
      </c>
      <c r="E12" s="38">
        <v>3556.0</v>
      </c>
      <c r="F12" s="38">
        <v>608.0</v>
      </c>
      <c r="G12" s="38">
        <v>244.0</v>
      </c>
      <c r="H12" s="38">
        <v>396.0</v>
      </c>
      <c r="I12" s="48">
        <f t="shared" si="1"/>
        <v>6874</v>
      </c>
      <c r="J12" s="48">
        <f t="shared" si="11"/>
        <v>7514</v>
      </c>
      <c r="K12" s="49">
        <f t="shared" si="2"/>
        <v>0.3942391621</v>
      </c>
      <c r="L12" s="49">
        <f t="shared" si="3"/>
        <v>0.517311609</v>
      </c>
      <c r="M12" s="49">
        <f t="shared" si="4"/>
        <v>0.08844922898</v>
      </c>
      <c r="N12" s="22" t="s">
        <v>48</v>
      </c>
      <c r="O12" s="50"/>
      <c r="P12" s="38">
        <v>3556.0</v>
      </c>
      <c r="Q12" s="38">
        <v>2035.0</v>
      </c>
      <c r="R12" s="38">
        <v>1018.0</v>
      </c>
      <c r="S12" s="38">
        <v>680.0</v>
      </c>
      <c r="T12" s="38">
        <v>321.0</v>
      </c>
      <c r="U12" s="48">
        <f t="shared" si="5"/>
        <v>6609</v>
      </c>
      <c r="V12" s="48">
        <f t="shared" si="12"/>
        <v>7610</v>
      </c>
      <c r="W12" s="49">
        <f t="shared" si="6"/>
        <v>0.5380541686</v>
      </c>
      <c r="X12" s="49">
        <f t="shared" si="7"/>
        <v>0.3079134514</v>
      </c>
      <c r="Y12" s="49">
        <f t="shared" si="8"/>
        <v>0.1540323801</v>
      </c>
      <c r="Z12" s="22" t="s">
        <v>47</v>
      </c>
      <c r="AA12" s="50"/>
    </row>
    <row r="13">
      <c r="A13" s="24"/>
      <c r="B13" s="46" t="s">
        <v>3143</v>
      </c>
      <c r="C13" s="47"/>
      <c r="D13" s="38">
        <v>2470.0</v>
      </c>
      <c r="E13" s="38">
        <v>3345.0</v>
      </c>
      <c r="F13" s="38">
        <v>551.0</v>
      </c>
      <c r="G13" s="38">
        <v>281.0</v>
      </c>
      <c r="H13" s="38">
        <v>420.0</v>
      </c>
      <c r="I13" s="48">
        <f t="shared" si="1"/>
        <v>6366</v>
      </c>
      <c r="J13" s="48">
        <f t="shared" si="11"/>
        <v>7067</v>
      </c>
      <c r="K13" s="49">
        <f t="shared" si="2"/>
        <v>0.3879987433</v>
      </c>
      <c r="L13" s="49">
        <f t="shared" si="3"/>
        <v>0.5254476909</v>
      </c>
      <c r="M13" s="49">
        <f t="shared" si="4"/>
        <v>0.08655356582</v>
      </c>
      <c r="N13" s="22" t="s">
        <v>48</v>
      </c>
      <c r="O13" s="50"/>
      <c r="P13" s="38">
        <v>3345.0</v>
      </c>
      <c r="Q13" s="38">
        <v>1865.0</v>
      </c>
      <c r="R13" s="38">
        <v>919.0</v>
      </c>
      <c r="S13" s="38">
        <v>677.0</v>
      </c>
      <c r="T13" s="38">
        <v>368.0</v>
      </c>
      <c r="U13" s="48">
        <f t="shared" si="5"/>
        <v>6129</v>
      </c>
      <c r="V13" s="48">
        <f t="shared" si="12"/>
        <v>7174</v>
      </c>
      <c r="W13" s="49">
        <f t="shared" si="6"/>
        <v>0.5457660303</v>
      </c>
      <c r="X13" s="49">
        <f t="shared" si="7"/>
        <v>0.3042910752</v>
      </c>
      <c r="Y13" s="49">
        <f t="shared" si="8"/>
        <v>0.1499428944</v>
      </c>
      <c r="Z13" s="22" t="s">
        <v>47</v>
      </c>
      <c r="AA13" s="50"/>
    </row>
    <row r="14">
      <c r="A14" s="69" t="s">
        <v>54</v>
      </c>
      <c r="B14" s="13"/>
      <c r="C14" s="47"/>
      <c r="D14" s="38">
        <f t="shared" ref="D14:H14" si="13">SUM(D11:D13)</f>
        <v>7518</v>
      </c>
      <c r="E14" s="38">
        <f t="shared" si="13"/>
        <v>10444</v>
      </c>
      <c r="F14" s="38">
        <f t="shared" si="13"/>
        <v>1813</v>
      </c>
      <c r="G14" s="38">
        <f t="shared" si="13"/>
        <v>779</v>
      </c>
      <c r="H14" s="38">
        <f t="shared" si="13"/>
        <v>1288</v>
      </c>
      <c r="I14" s="48">
        <f t="shared" si="1"/>
        <v>19775</v>
      </c>
      <c r="J14" s="48">
        <f t="shared" si="11"/>
        <v>21842</v>
      </c>
      <c r="K14" s="49">
        <f t="shared" si="2"/>
        <v>0.3801769912</v>
      </c>
      <c r="L14" s="49">
        <f t="shared" si="3"/>
        <v>0.5281415929</v>
      </c>
      <c r="M14" s="49">
        <f t="shared" si="4"/>
        <v>0.09168141593</v>
      </c>
      <c r="N14" s="22" t="s">
        <v>48</v>
      </c>
      <c r="O14" s="50"/>
      <c r="P14" s="38">
        <f t="shared" ref="P14:T14" si="14">SUM(P11:P13)</f>
        <v>10134</v>
      </c>
      <c r="Q14" s="38">
        <f t="shared" si="14"/>
        <v>5686</v>
      </c>
      <c r="R14" s="38">
        <f t="shared" si="14"/>
        <v>2797</v>
      </c>
      <c r="S14" s="38">
        <f t="shared" si="14"/>
        <v>2185</v>
      </c>
      <c r="T14" s="38">
        <f t="shared" si="14"/>
        <v>1040</v>
      </c>
      <c r="U14" s="48">
        <f t="shared" si="5"/>
        <v>18617</v>
      </c>
      <c r="V14" s="48">
        <f t="shared" si="12"/>
        <v>21842</v>
      </c>
      <c r="W14" s="49">
        <f t="shared" si="6"/>
        <v>0.5443411935</v>
      </c>
      <c r="X14" s="49">
        <f t="shared" si="7"/>
        <v>0.3054197776</v>
      </c>
      <c r="Y14" s="49">
        <f t="shared" si="8"/>
        <v>0.1502390288</v>
      </c>
      <c r="Z14" s="22" t="s">
        <v>47</v>
      </c>
      <c r="AA14" s="50"/>
    </row>
    <row r="15">
      <c r="D15" s="29"/>
      <c r="E15" s="29"/>
      <c r="F15" s="77"/>
      <c r="G15" s="77"/>
    </row>
    <row r="16">
      <c r="D16" s="29"/>
      <c r="E16" s="29"/>
      <c r="F16" s="77"/>
      <c r="G16" s="77"/>
    </row>
    <row r="17">
      <c r="A17" s="139" t="s">
        <v>3144</v>
      </c>
      <c r="B17" s="12"/>
      <c r="C17" s="13"/>
    </row>
    <row r="18">
      <c r="A18" s="34"/>
      <c r="B18" s="12"/>
      <c r="C18" s="13"/>
      <c r="D18" s="35" t="s">
        <v>55</v>
      </c>
      <c r="E18" s="12"/>
      <c r="F18" s="12"/>
      <c r="G18" s="12"/>
      <c r="H18" s="12"/>
      <c r="I18" s="12"/>
      <c r="J18" s="12"/>
      <c r="K18" s="12"/>
      <c r="L18" s="12"/>
      <c r="M18" s="12"/>
      <c r="N18" s="13"/>
      <c r="O18" s="36"/>
      <c r="P18" s="35" t="s">
        <v>56</v>
      </c>
      <c r="Q18" s="12"/>
      <c r="R18" s="12"/>
      <c r="S18" s="12"/>
      <c r="T18" s="12"/>
      <c r="U18" s="12"/>
      <c r="V18" s="12"/>
      <c r="W18" s="12"/>
      <c r="X18" s="12"/>
      <c r="Y18" s="12"/>
      <c r="Z18" s="13"/>
      <c r="AA18" s="140"/>
    </row>
    <row r="19">
      <c r="A19" s="141" t="s">
        <v>58</v>
      </c>
      <c r="B19" s="13"/>
      <c r="C19" s="40"/>
      <c r="D19" s="38" t="s">
        <v>46</v>
      </c>
      <c r="E19" s="38" t="s">
        <v>48</v>
      </c>
      <c r="F19" s="38" t="s">
        <v>50</v>
      </c>
      <c r="G19" s="38" t="s">
        <v>59</v>
      </c>
      <c r="H19" s="38" t="s">
        <v>60</v>
      </c>
      <c r="I19" s="41" t="s">
        <v>61</v>
      </c>
      <c r="J19" s="41" t="s">
        <v>62</v>
      </c>
      <c r="K19" s="38" t="s">
        <v>63</v>
      </c>
      <c r="L19" s="38" t="s">
        <v>64</v>
      </c>
      <c r="M19" s="38" t="s">
        <v>65</v>
      </c>
      <c r="N19" s="38" t="s">
        <v>66</v>
      </c>
      <c r="O19" s="42"/>
      <c r="P19" s="38" t="s">
        <v>47</v>
      </c>
      <c r="Q19" s="38" t="s">
        <v>49</v>
      </c>
      <c r="R19" s="38" t="s">
        <v>51</v>
      </c>
      <c r="S19" s="38" t="s">
        <v>59</v>
      </c>
      <c r="T19" s="38" t="s">
        <v>60</v>
      </c>
      <c r="U19" s="41" t="s">
        <v>61</v>
      </c>
      <c r="V19" s="41" t="s">
        <v>62</v>
      </c>
      <c r="W19" s="43" t="s">
        <v>67</v>
      </c>
      <c r="X19" s="43" t="s">
        <v>68</v>
      </c>
      <c r="Y19" s="43" t="s">
        <v>69</v>
      </c>
      <c r="Z19" s="38" t="s">
        <v>66</v>
      </c>
      <c r="AA19" s="44"/>
    </row>
    <row r="20">
      <c r="A20" s="143" t="s">
        <v>3145</v>
      </c>
      <c r="B20" s="13"/>
      <c r="C20" s="47"/>
      <c r="D20" s="38">
        <v>3179.0</v>
      </c>
      <c r="E20" s="38">
        <v>2224.0</v>
      </c>
      <c r="F20" s="38">
        <v>453.0</v>
      </c>
      <c r="G20" s="38" t="s">
        <v>77</v>
      </c>
      <c r="H20" s="38" t="s">
        <v>77</v>
      </c>
      <c r="I20" s="48">
        <f t="shared" ref="I20:I28" si="15">SUM(D20:F20)</f>
        <v>5856</v>
      </c>
      <c r="J20" s="48">
        <f t="shared" ref="J20:J28" si="16">SUM(G20:I20)</f>
        <v>5856</v>
      </c>
      <c r="K20" s="49">
        <f t="shared" ref="K20:K28" si="17">D20/I20</f>
        <v>0.5428620219</v>
      </c>
      <c r="L20" s="49">
        <f t="shared" ref="L20:L28" si="18">E20/I20</f>
        <v>0.3797814208</v>
      </c>
      <c r="M20" s="49">
        <f t="shared" ref="M20:M28" si="19">F20/I20</f>
        <v>0.07735655738</v>
      </c>
      <c r="N20" s="22" t="s">
        <v>46</v>
      </c>
      <c r="O20" s="50"/>
      <c r="P20" s="38">
        <v>3146.0</v>
      </c>
      <c r="Q20" s="38">
        <v>1912.0</v>
      </c>
      <c r="R20" s="38">
        <v>507.0</v>
      </c>
      <c r="S20" s="38" t="s">
        <v>77</v>
      </c>
      <c r="T20" s="38" t="s">
        <v>77</v>
      </c>
      <c r="U20" s="48">
        <f t="shared" ref="U20:U28" si="20">SUM(P20:R20)</f>
        <v>5565</v>
      </c>
      <c r="V20" s="48">
        <f t="shared" ref="V20:V28" si="21">SUM(S20:U20)</f>
        <v>5565</v>
      </c>
      <c r="W20" s="49">
        <f t="shared" ref="W20:W28" si="22">P20/U20</f>
        <v>0.5653189578</v>
      </c>
      <c r="X20" s="49">
        <f t="shared" ref="X20:X28" si="23">Q20/U20</f>
        <v>0.3435759209</v>
      </c>
      <c r="Y20" s="49">
        <f t="shared" ref="Y20:Y28" si="24">R20/U20</f>
        <v>0.09110512129</v>
      </c>
      <c r="Z20" s="22" t="s">
        <v>47</v>
      </c>
      <c r="AA20" s="50"/>
    </row>
    <row r="21">
      <c r="A21" s="143" t="s">
        <v>3146</v>
      </c>
      <c r="B21" s="13"/>
      <c r="C21" s="47"/>
      <c r="D21" s="38">
        <v>554.0</v>
      </c>
      <c r="E21" s="38">
        <v>460.0</v>
      </c>
      <c r="F21" s="38">
        <v>36.0</v>
      </c>
      <c r="G21" s="38" t="s">
        <v>77</v>
      </c>
      <c r="H21" s="38" t="s">
        <v>77</v>
      </c>
      <c r="I21" s="48">
        <f t="shared" si="15"/>
        <v>1050</v>
      </c>
      <c r="J21" s="48">
        <f t="shared" si="16"/>
        <v>1050</v>
      </c>
      <c r="K21" s="49">
        <f t="shared" si="17"/>
        <v>0.5276190476</v>
      </c>
      <c r="L21" s="49">
        <f t="shared" si="18"/>
        <v>0.4380952381</v>
      </c>
      <c r="M21" s="49">
        <f t="shared" si="19"/>
        <v>0.03428571429</v>
      </c>
      <c r="N21" s="22" t="s">
        <v>46</v>
      </c>
      <c r="O21" s="50"/>
      <c r="P21" s="38">
        <v>757.0</v>
      </c>
      <c r="Q21" s="38">
        <v>61.0</v>
      </c>
      <c r="R21" s="38">
        <v>13.0</v>
      </c>
      <c r="S21" s="38" t="s">
        <v>77</v>
      </c>
      <c r="T21" s="38" t="s">
        <v>77</v>
      </c>
      <c r="U21" s="48">
        <f t="shared" si="20"/>
        <v>831</v>
      </c>
      <c r="V21" s="48">
        <f t="shared" si="21"/>
        <v>831</v>
      </c>
      <c r="W21" s="49">
        <f t="shared" si="22"/>
        <v>0.9109506619</v>
      </c>
      <c r="X21" s="49">
        <f t="shared" si="23"/>
        <v>0.0734055355</v>
      </c>
      <c r="Y21" s="49">
        <f t="shared" si="24"/>
        <v>0.01564380265</v>
      </c>
      <c r="Z21" s="22" t="s">
        <v>47</v>
      </c>
      <c r="AA21" s="50"/>
    </row>
    <row r="22">
      <c r="A22" s="143" t="s">
        <v>3147</v>
      </c>
      <c r="B22" s="13"/>
      <c r="C22" s="47"/>
      <c r="D22" s="38">
        <v>397.0</v>
      </c>
      <c r="E22" s="38">
        <v>356.0</v>
      </c>
      <c r="F22" s="38">
        <v>26.0</v>
      </c>
      <c r="G22" s="38" t="s">
        <v>77</v>
      </c>
      <c r="H22" s="38" t="s">
        <v>77</v>
      </c>
      <c r="I22" s="48">
        <f t="shared" si="15"/>
        <v>779</v>
      </c>
      <c r="J22" s="48">
        <f t="shared" si="16"/>
        <v>779</v>
      </c>
      <c r="K22" s="49">
        <f t="shared" si="17"/>
        <v>0.5096277279</v>
      </c>
      <c r="L22" s="49">
        <f t="shared" si="18"/>
        <v>0.4569961489</v>
      </c>
      <c r="M22" s="49">
        <f t="shared" si="19"/>
        <v>0.03337612323</v>
      </c>
      <c r="N22" s="22" t="s">
        <v>46</v>
      </c>
      <c r="O22" s="50"/>
      <c r="P22" s="38">
        <v>567.0</v>
      </c>
      <c r="Q22" s="38">
        <v>109.0</v>
      </c>
      <c r="R22" s="38">
        <v>67.0</v>
      </c>
      <c r="S22" s="38" t="s">
        <v>77</v>
      </c>
      <c r="T22" s="38" t="s">
        <v>77</v>
      </c>
      <c r="U22" s="48">
        <f t="shared" si="20"/>
        <v>743</v>
      </c>
      <c r="V22" s="48">
        <f t="shared" si="21"/>
        <v>743</v>
      </c>
      <c r="W22" s="49">
        <f t="shared" si="22"/>
        <v>0.7631224764</v>
      </c>
      <c r="X22" s="49">
        <f t="shared" si="23"/>
        <v>0.1467025572</v>
      </c>
      <c r="Y22" s="49">
        <f t="shared" si="24"/>
        <v>0.09017496635</v>
      </c>
      <c r="Z22" s="22" t="s">
        <v>47</v>
      </c>
      <c r="AA22" s="50"/>
    </row>
    <row r="23">
      <c r="A23" s="143" t="s">
        <v>3148</v>
      </c>
      <c r="B23" s="13"/>
      <c r="C23" s="47"/>
      <c r="D23" s="38">
        <v>338.0</v>
      </c>
      <c r="E23" s="38">
        <v>337.0</v>
      </c>
      <c r="F23" s="38">
        <v>18.0</v>
      </c>
      <c r="G23" s="38" t="s">
        <v>77</v>
      </c>
      <c r="H23" s="38" t="s">
        <v>77</v>
      </c>
      <c r="I23" s="48">
        <f t="shared" si="15"/>
        <v>693</v>
      </c>
      <c r="J23" s="48">
        <f t="shared" si="16"/>
        <v>693</v>
      </c>
      <c r="K23" s="49">
        <f t="shared" si="17"/>
        <v>0.4877344877</v>
      </c>
      <c r="L23" s="49">
        <f t="shared" si="18"/>
        <v>0.4862914863</v>
      </c>
      <c r="M23" s="49">
        <f t="shared" si="19"/>
        <v>0.02597402597</v>
      </c>
      <c r="N23" s="22" t="s">
        <v>46</v>
      </c>
      <c r="O23" s="50"/>
      <c r="P23" s="38">
        <v>482.0</v>
      </c>
      <c r="Q23" s="38">
        <v>175.0</v>
      </c>
      <c r="R23" s="38">
        <v>18.0</v>
      </c>
      <c r="S23" s="38" t="s">
        <v>77</v>
      </c>
      <c r="T23" s="38" t="s">
        <v>77</v>
      </c>
      <c r="U23" s="48">
        <f t="shared" si="20"/>
        <v>675</v>
      </c>
      <c r="V23" s="48">
        <f t="shared" si="21"/>
        <v>675</v>
      </c>
      <c r="W23" s="49">
        <f t="shared" si="22"/>
        <v>0.7140740741</v>
      </c>
      <c r="X23" s="49">
        <f t="shared" si="23"/>
        <v>0.2592592593</v>
      </c>
      <c r="Y23" s="49">
        <f t="shared" si="24"/>
        <v>0.02666666667</v>
      </c>
      <c r="Z23" s="22" t="s">
        <v>47</v>
      </c>
      <c r="AA23" s="50"/>
    </row>
    <row r="24">
      <c r="A24" s="143" t="s">
        <v>3149</v>
      </c>
      <c r="B24" s="13"/>
      <c r="C24" s="47"/>
      <c r="D24" s="38">
        <v>162.0</v>
      </c>
      <c r="E24" s="38">
        <v>234.0</v>
      </c>
      <c r="F24" s="38">
        <v>10.0</v>
      </c>
      <c r="G24" s="38" t="s">
        <v>77</v>
      </c>
      <c r="H24" s="38" t="s">
        <v>77</v>
      </c>
      <c r="I24" s="48">
        <f t="shared" si="15"/>
        <v>406</v>
      </c>
      <c r="J24" s="48">
        <f t="shared" si="16"/>
        <v>406</v>
      </c>
      <c r="K24" s="49">
        <f t="shared" si="17"/>
        <v>0.3990147783</v>
      </c>
      <c r="L24" s="49">
        <f t="shared" si="18"/>
        <v>0.5763546798</v>
      </c>
      <c r="M24" s="49">
        <f t="shared" si="19"/>
        <v>0.02463054187</v>
      </c>
      <c r="N24" s="22" t="s">
        <v>48</v>
      </c>
      <c r="O24" s="50"/>
      <c r="P24" s="38">
        <v>269.0</v>
      </c>
      <c r="Q24" s="38">
        <v>105.0</v>
      </c>
      <c r="R24" s="38">
        <v>19.0</v>
      </c>
      <c r="S24" s="38" t="s">
        <v>77</v>
      </c>
      <c r="T24" s="38" t="s">
        <v>77</v>
      </c>
      <c r="U24" s="48">
        <f t="shared" si="20"/>
        <v>393</v>
      </c>
      <c r="V24" s="48">
        <f t="shared" si="21"/>
        <v>393</v>
      </c>
      <c r="W24" s="49">
        <f t="shared" si="22"/>
        <v>0.6844783715</v>
      </c>
      <c r="X24" s="49">
        <f t="shared" si="23"/>
        <v>0.2671755725</v>
      </c>
      <c r="Y24" s="49">
        <f t="shared" si="24"/>
        <v>0.04834605598</v>
      </c>
      <c r="Z24" s="22" t="s">
        <v>47</v>
      </c>
      <c r="AA24" s="50"/>
    </row>
    <row r="25">
      <c r="A25" s="143" t="s">
        <v>3150</v>
      </c>
      <c r="B25" s="13"/>
      <c r="C25" s="47"/>
      <c r="D25" s="38">
        <v>207.0</v>
      </c>
      <c r="E25" s="38">
        <v>327.0</v>
      </c>
      <c r="F25" s="38">
        <v>44.0</v>
      </c>
      <c r="G25" s="38" t="s">
        <v>77</v>
      </c>
      <c r="H25" s="38" t="s">
        <v>77</v>
      </c>
      <c r="I25" s="48">
        <f t="shared" si="15"/>
        <v>578</v>
      </c>
      <c r="J25" s="48">
        <f t="shared" si="16"/>
        <v>578</v>
      </c>
      <c r="K25" s="49">
        <f t="shared" si="17"/>
        <v>0.3581314879</v>
      </c>
      <c r="L25" s="49">
        <f t="shared" si="18"/>
        <v>0.5657439446</v>
      </c>
      <c r="M25" s="49">
        <f t="shared" si="19"/>
        <v>0.07612456747</v>
      </c>
      <c r="N25" s="22" t="s">
        <v>48</v>
      </c>
      <c r="O25" s="50"/>
      <c r="P25" s="38">
        <v>386.0</v>
      </c>
      <c r="Q25" s="38">
        <v>111.0</v>
      </c>
      <c r="R25" s="38">
        <v>51.0</v>
      </c>
      <c r="S25" s="38" t="s">
        <v>77</v>
      </c>
      <c r="T25" s="38" t="s">
        <v>77</v>
      </c>
      <c r="U25" s="48">
        <f t="shared" si="20"/>
        <v>548</v>
      </c>
      <c r="V25" s="48">
        <f t="shared" si="21"/>
        <v>548</v>
      </c>
      <c r="W25" s="49">
        <f t="shared" si="22"/>
        <v>0.704379562</v>
      </c>
      <c r="X25" s="49">
        <f t="shared" si="23"/>
        <v>0.2025547445</v>
      </c>
      <c r="Y25" s="49">
        <f t="shared" si="24"/>
        <v>0.09306569343</v>
      </c>
      <c r="Z25" s="22" t="s">
        <v>47</v>
      </c>
      <c r="AA25" s="50"/>
    </row>
    <row r="26">
      <c r="A26" s="143" t="s">
        <v>1859</v>
      </c>
      <c r="B26" s="13"/>
      <c r="C26" s="47"/>
      <c r="D26" s="38">
        <v>586.0</v>
      </c>
      <c r="E26" s="38">
        <v>614.0</v>
      </c>
      <c r="F26" s="38">
        <v>44.0</v>
      </c>
      <c r="G26" s="38" t="s">
        <v>77</v>
      </c>
      <c r="H26" s="38" t="s">
        <v>77</v>
      </c>
      <c r="I26" s="48">
        <f t="shared" si="15"/>
        <v>1244</v>
      </c>
      <c r="J26" s="48">
        <f t="shared" si="16"/>
        <v>1244</v>
      </c>
      <c r="K26" s="49">
        <f t="shared" si="17"/>
        <v>0.4710610932</v>
      </c>
      <c r="L26" s="49">
        <f t="shared" si="18"/>
        <v>0.4935691318</v>
      </c>
      <c r="M26" s="49">
        <f t="shared" si="19"/>
        <v>0.03536977492</v>
      </c>
      <c r="N26" s="22" t="s">
        <v>48</v>
      </c>
      <c r="O26" s="50"/>
      <c r="P26" s="38">
        <v>916.0</v>
      </c>
      <c r="Q26" s="38">
        <v>114.0</v>
      </c>
      <c r="R26" s="38">
        <v>190.0</v>
      </c>
      <c r="S26" s="38" t="s">
        <v>77</v>
      </c>
      <c r="T26" s="38" t="s">
        <v>77</v>
      </c>
      <c r="U26" s="48">
        <f t="shared" si="20"/>
        <v>1220</v>
      </c>
      <c r="V26" s="48">
        <f t="shared" si="21"/>
        <v>1220</v>
      </c>
      <c r="W26" s="49">
        <f t="shared" si="22"/>
        <v>0.7508196721</v>
      </c>
      <c r="X26" s="49">
        <f t="shared" si="23"/>
        <v>0.09344262295</v>
      </c>
      <c r="Y26" s="49">
        <f t="shared" si="24"/>
        <v>0.1557377049</v>
      </c>
      <c r="Z26" s="22" t="s">
        <v>47</v>
      </c>
      <c r="AA26" s="50"/>
    </row>
    <row r="27">
      <c r="A27" s="69" t="s">
        <v>3151</v>
      </c>
      <c r="B27" s="13"/>
      <c r="C27" s="47"/>
      <c r="D27" s="55">
        <f t="shared" ref="D27:F27" si="25">SUM(D20:D26)</f>
        <v>5423</v>
      </c>
      <c r="E27" s="55">
        <f t="shared" si="25"/>
        <v>4552</v>
      </c>
      <c r="F27" s="55">
        <f t="shared" si="25"/>
        <v>631</v>
      </c>
      <c r="G27" s="55" t="s">
        <v>77</v>
      </c>
      <c r="H27" s="55" t="s">
        <v>77</v>
      </c>
      <c r="I27" s="114">
        <f t="shared" si="15"/>
        <v>10606</v>
      </c>
      <c r="J27" s="114">
        <f t="shared" si="16"/>
        <v>10606</v>
      </c>
      <c r="K27" s="145">
        <f t="shared" si="17"/>
        <v>0.5113143504</v>
      </c>
      <c r="L27" s="145">
        <f t="shared" si="18"/>
        <v>0.4291910239</v>
      </c>
      <c r="M27" s="145">
        <f t="shared" si="19"/>
        <v>0.05949462568</v>
      </c>
      <c r="N27" s="22" t="s">
        <v>46</v>
      </c>
      <c r="O27" s="50"/>
      <c r="P27" s="55">
        <f t="shared" ref="P27:R27" si="26">SUM(P20:P26)</f>
        <v>6523</v>
      </c>
      <c r="Q27" s="55">
        <f t="shared" si="26"/>
        <v>2587</v>
      </c>
      <c r="R27" s="55">
        <f t="shared" si="26"/>
        <v>865</v>
      </c>
      <c r="S27" s="55" t="s">
        <v>77</v>
      </c>
      <c r="T27" s="55" t="s">
        <v>77</v>
      </c>
      <c r="U27" s="114">
        <f t="shared" si="20"/>
        <v>9975</v>
      </c>
      <c r="V27" s="114">
        <f t="shared" si="21"/>
        <v>9975</v>
      </c>
      <c r="W27" s="145">
        <f t="shared" si="22"/>
        <v>0.6539348371</v>
      </c>
      <c r="X27" s="145">
        <f t="shared" si="23"/>
        <v>0.2593483709</v>
      </c>
      <c r="Y27" s="145">
        <f t="shared" si="24"/>
        <v>0.08671679198</v>
      </c>
      <c r="Z27" s="22" t="s">
        <v>47</v>
      </c>
      <c r="AA27" s="50"/>
    </row>
    <row r="28">
      <c r="A28" s="69" t="s">
        <v>3152</v>
      </c>
      <c r="B28" s="13"/>
      <c r="C28" s="47"/>
      <c r="D28" s="38">
        <v>5496.0</v>
      </c>
      <c r="E28" s="38">
        <v>4336.0</v>
      </c>
      <c r="F28" s="38">
        <v>783.0</v>
      </c>
      <c r="G28" s="38">
        <v>283.0</v>
      </c>
      <c r="H28" s="38">
        <v>459.0</v>
      </c>
      <c r="I28" s="48">
        <f t="shared" si="15"/>
        <v>10615</v>
      </c>
      <c r="J28" s="48">
        <f t="shared" si="16"/>
        <v>11357</v>
      </c>
      <c r="K28" s="49">
        <f t="shared" si="17"/>
        <v>0.5177578898</v>
      </c>
      <c r="L28" s="49">
        <f t="shared" si="18"/>
        <v>0.4084785681</v>
      </c>
      <c r="M28" s="49">
        <f t="shared" si="19"/>
        <v>0.07376354216</v>
      </c>
      <c r="N28" s="22" t="s">
        <v>46</v>
      </c>
      <c r="O28" s="50"/>
      <c r="P28" s="38">
        <v>6360.0</v>
      </c>
      <c r="Q28" s="38">
        <v>2572.0</v>
      </c>
      <c r="R28" s="38">
        <v>1163.0</v>
      </c>
      <c r="S28" s="38">
        <v>945.0</v>
      </c>
      <c r="T28" s="38">
        <v>317.0</v>
      </c>
      <c r="U28" s="48">
        <f t="shared" si="20"/>
        <v>10095</v>
      </c>
      <c r="V28" s="48">
        <f t="shared" si="21"/>
        <v>11357</v>
      </c>
      <c r="W28" s="49">
        <f t="shared" si="22"/>
        <v>0.6300148588</v>
      </c>
      <c r="X28" s="49">
        <f t="shared" si="23"/>
        <v>0.2547795939</v>
      </c>
      <c r="Y28" s="49">
        <f t="shared" si="24"/>
        <v>0.1152055473</v>
      </c>
      <c r="Z28" s="22" t="s">
        <v>47</v>
      </c>
      <c r="AA28" s="50"/>
    </row>
    <row r="29">
      <c r="O29" s="73"/>
    </row>
    <row r="30">
      <c r="O30" s="73"/>
    </row>
    <row r="31">
      <c r="A31" s="69" t="s">
        <v>3153</v>
      </c>
      <c r="B31" s="12"/>
      <c r="C31" s="13"/>
      <c r="D31" s="84"/>
      <c r="E31" s="84"/>
      <c r="F31" s="84"/>
      <c r="G31" s="84"/>
      <c r="H31" s="84"/>
      <c r="I31" s="84"/>
      <c r="J31" s="84"/>
      <c r="K31" s="84"/>
      <c r="L31" s="84"/>
      <c r="M31" s="84"/>
      <c r="N31" s="84"/>
      <c r="O31" s="84"/>
      <c r="P31" s="84"/>
      <c r="Q31" s="84"/>
      <c r="R31" s="84"/>
      <c r="S31" s="84"/>
      <c r="T31" s="84"/>
      <c r="U31" s="84"/>
      <c r="V31" s="84"/>
      <c r="W31" s="84"/>
      <c r="X31" s="84"/>
      <c r="Y31" s="84"/>
      <c r="Z31" s="84"/>
      <c r="AA31" s="84"/>
      <c r="AB31" s="84"/>
    </row>
    <row r="32">
      <c r="A32" s="146"/>
      <c r="B32" s="12"/>
      <c r="C32" s="13"/>
      <c r="D32" s="147" t="s">
        <v>55</v>
      </c>
      <c r="E32" s="12"/>
      <c r="F32" s="12"/>
      <c r="G32" s="12"/>
      <c r="H32" s="12"/>
      <c r="I32" s="12"/>
      <c r="J32" s="12"/>
      <c r="K32" s="12"/>
      <c r="L32" s="12"/>
      <c r="M32" s="12"/>
      <c r="N32" s="13"/>
      <c r="O32" s="148"/>
      <c r="P32" s="147" t="s">
        <v>56</v>
      </c>
      <c r="Q32" s="12"/>
      <c r="R32" s="12"/>
      <c r="S32" s="12"/>
      <c r="T32" s="12"/>
      <c r="U32" s="12"/>
      <c r="V32" s="12"/>
      <c r="W32" s="12"/>
      <c r="X32" s="12"/>
      <c r="Y32" s="12"/>
      <c r="Z32" s="13"/>
      <c r="AA32" s="148"/>
      <c r="AB32" s="84"/>
    </row>
    <row r="33">
      <c r="A33" s="149" t="s">
        <v>58</v>
      </c>
      <c r="B33" s="13"/>
      <c r="C33" s="150"/>
      <c r="D33" s="38" t="s">
        <v>46</v>
      </c>
      <c r="E33" s="38" t="s">
        <v>48</v>
      </c>
      <c r="F33" s="38" t="s">
        <v>50</v>
      </c>
      <c r="G33" s="39" t="s">
        <v>59</v>
      </c>
      <c r="H33" s="39" t="s">
        <v>60</v>
      </c>
      <c r="I33" s="41" t="s">
        <v>61</v>
      </c>
      <c r="J33" s="41" t="s">
        <v>62</v>
      </c>
      <c r="K33" s="39" t="s">
        <v>63</v>
      </c>
      <c r="L33" s="39" t="s">
        <v>64</v>
      </c>
      <c r="M33" s="39" t="s">
        <v>65</v>
      </c>
      <c r="N33" s="39" t="s">
        <v>66</v>
      </c>
      <c r="O33" s="150"/>
      <c r="P33" s="38" t="s">
        <v>47</v>
      </c>
      <c r="Q33" s="38" t="s">
        <v>49</v>
      </c>
      <c r="R33" s="38" t="s">
        <v>51</v>
      </c>
      <c r="S33" s="39" t="s">
        <v>59</v>
      </c>
      <c r="T33" s="39" t="s">
        <v>60</v>
      </c>
      <c r="U33" s="41" t="s">
        <v>61</v>
      </c>
      <c r="V33" s="41" t="s">
        <v>62</v>
      </c>
      <c r="W33" s="151" t="s">
        <v>67</v>
      </c>
      <c r="X33" s="151" t="s">
        <v>68</v>
      </c>
      <c r="Y33" s="151" t="s">
        <v>69</v>
      </c>
      <c r="Z33" s="39" t="s">
        <v>66</v>
      </c>
      <c r="AA33" s="150"/>
      <c r="AB33" s="84"/>
    </row>
    <row r="34">
      <c r="A34" s="143" t="s">
        <v>3154</v>
      </c>
      <c r="B34" s="13"/>
      <c r="C34" s="132"/>
      <c r="D34" s="38">
        <v>707.0</v>
      </c>
      <c r="E34" s="38">
        <v>1469.0</v>
      </c>
      <c r="F34" s="38">
        <v>1826.0</v>
      </c>
      <c r="G34" s="39" t="s">
        <v>77</v>
      </c>
      <c r="H34" s="39" t="s">
        <v>77</v>
      </c>
      <c r="I34" s="39">
        <f t="shared" ref="I34:I36" si="28">SUM(D34:F34)</f>
        <v>4002</v>
      </c>
      <c r="J34" s="39">
        <f t="shared" ref="J34:J36" si="29">SUM(G34:I34)</f>
        <v>4002</v>
      </c>
      <c r="K34" s="152">
        <f t="shared" ref="K34:K36" si="30">D34/I34</f>
        <v>0.1766616692</v>
      </c>
      <c r="L34" s="153">
        <f t="shared" ref="L34:L36" si="31">E34/I34</f>
        <v>0.3670664668</v>
      </c>
      <c r="M34" s="154">
        <f t="shared" ref="M34:M36" si="32">F34/I34</f>
        <v>0.4562718641</v>
      </c>
      <c r="N34" s="38" t="s">
        <v>50</v>
      </c>
      <c r="O34" s="132"/>
      <c r="P34" s="38">
        <v>1601.0</v>
      </c>
      <c r="Q34" s="38">
        <v>423.0</v>
      </c>
      <c r="R34" s="38">
        <v>1736.0</v>
      </c>
      <c r="S34" s="39" t="s">
        <v>77</v>
      </c>
      <c r="T34" s="39" t="s">
        <v>77</v>
      </c>
      <c r="U34" s="39">
        <f t="shared" ref="U34:U36" si="34">SUM(P34:R34)</f>
        <v>3760</v>
      </c>
      <c r="V34" s="39">
        <f t="shared" ref="V34:V36" si="35">SUM(S34:U34)</f>
        <v>3760</v>
      </c>
      <c r="W34" s="155">
        <f t="shared" ref="W34:W36" si="36">P34/U34</f>
        <v>0.4257978723</v>
      </c>
      <c r="X34" s="156">
        <f t="shared" ref="X34:X36" si="37">Q34/U34</f>
        <v>0.1125</v>
      </c>
      <c r="Y34" s="157">
        <f t="shared" ref="Y34:Y36" si="38">R34/U34</f>
        <v>0.4617021277</v>
      </c>
      <c r="Z34" s="38" t="s">
        <v>51</v>
      </c>
      <c r="AA34" s="132"/>
      <c r="AB34" s="84"/>
    </row>
    <row r="35">
      <c r="A35" s="143" t="s">
        <v>3155</v>
      </c>
      <c r="B35" s="13"/>
      <c r="C35" s="132"/>
      <c r="D35" s="158">
        <f t="shared" ref="D35:F35" si="27">D36-D34</f>
        <v>533</v>
      </c>
      <c r="E35" s="158">
        <f t="shared" si="27"/>
        <v>272</v>
      </c>
      <c r="F35" s="158">
        <f t="shared" si="27"/>
        <v>475</v>
      </c>
      <c r="G35" s="158" t="s">
        <v>77</v>
      </c>
      <c r="H35" s="158" t="s">
        <v>77</v>
      </c>
      <c r="I35" s="158">
        <f t="shared" si="28"/>
        <v>1280</v>
      </c>
      <c r="J35" s="158">
        <f t="shared" si="29"/>
        <v>1280</v>
      </c>
      <c r="K35" s="159">
        <f t="shared" si="30"/>
        <v>0.41640625</v>
      </c>
      <c r="L35" s="160">
        <f t="shared" si="31"/>
        <v>0.2125</v>
      </c>
      <c r="M35" s="161">
        <f t="shared" si="32"/>
        <v>0.37109375</v>
      </c>
      <c r="N35" s="39" t="s">
        <v>46</v>
      </c>
      <c r="O35" s="132"/>
      <c r="P35" s="55">
        <f t="shared" ref="P35:R35" si="33">P36-P34</f>
        <v>495</v>
      </c>
      <c r="Q35" s="55">
        <f t="shared" si="33"/>
        <v>331</v>
      </c>
      <c r="R35" s="55">
        <f t="shared" si="33"/>
        <v>390</v>
      </c>
      <c r="S35" s="158" t="s">
        <v>77</v>
      </c>
      <c r="T35" s="158" t="s">
        <v>77</v>
      </c>
      <c r="U35" s="158">
        <f t="shared" si="34"/>
        <v>1216</v>
      </c>
      <c r="V35" s="158">
        <f t="shared" si="35"/>
        <v>1216</v>
      </c>
      <c r="W35" s="162">
        <f t="shared" si="36"/>
        <v>0.4070723684</v>
      </c>
      <c r="X35" s="163">
        <f t="shared" si="37"/>
        <v>0.2722039474</v>
      </c>
      <c r="Y35" s="145">
        <f t="shared" si="38"/>
        <v>0.3207236842</v>
      </c>
      <c r="Z35" s="39" t="s">
        <v>47</v>
      </c>
      <c r="AA35" s="132"/>
      <c r="AB35" s="84"/>
    </row>
    <row r="36">
      <c r="A36" s="69" t="s">
        <v>54</v>
      </c>
      <c r="B36" s="13"/>
      <c r="C36" s="47"/>
      <c r="D36" s="38">
        <v>1240.0</v>
      </c>
      <c r="E36" s="38">
        <v>1741.0</v>
      </c>
      <c r="F36" s="38">
        <v>2301.0</v>
      </c>
      <c r="G36" s="38">
        <v>148.0</v>
      </c>
      <c r="H36" s="38">
        <v>165.0</v>
      </c>
      <c r="I36" s="48">
        <f t="shared" si="28"/>
        <v>5282</v>
      </c>
      <c r="J36" s="48">
        <f t="shared" si="29"/>
        <v>5595</v>
      </c>
      <c r="K36" s="49">
        <f t="shared" si="30"/>
        <v>0.2347595608</v>
      </c>
      <c r="L36" s="49">
        <f t="shared" si="31"/>
        <v>0.3296099962</v>
      </c>
      <c r="M36" s="49">
        <f t="shared" si="32"/>
        <v>0.435630443</v>
      </c>
      <c r="N36" s="22" t="s">
        <v>50</v>
      </c>
      <c r="O36" s="50"/>
      <c r="P36" s="38">
        <v>2096.0</v>
      </c>
      <c r="Q36" s="38">
        <v>754.0</v>
      </c>
      <c r="R36" s="38">
        <v>2126.0</v>
      </c>
      <c r="S36" s="38">
        <v>482.0</v>
      </c>
      <c r="T36" s="38">
        <v>137.0</v>
      </c>
      <c r="U36" s="48">
        <f t="shared" si="34"/>
        <v>4976</v>
      </c>
      <c r="V36" s="48">
        <f t="shared" si="35"/>
        <v>5595</v>
      </c>
      <c r="W36" s="49">
        <f t="shared" si="36"/>
        <v>0.421221865</v>
      </c>
      <c r="X36" s="49">
        <f t="shared" si="37"/>
        <v>0.1515273312</v>
      </c>
      <c r="Y36" s="49">
        <f t="shared" si="38"/>
        <v>0.4272508039</v>
      </c>
      <c r="Z36" s="22" t="s">
        <v>51</v>
      </c>
      <c r="AA36" s="50"/>
    </row>
    <row r="37">
      <c r="O37" s="73"/>
    </row>
    <row r="38">
      <c r="B38" s="74" t="s">
        <v>138</v>
      </c>
      <c r="D38" s="75"/>
      <c r="E38" s="75"/>
      <c r="F38" s="75"/>
      <c r="G38" s="75"/>
    </row>
    <row r="39">
      <c r="B39" s="76" t="s">
        <v>139</v>
      </c>
      <c r="C39" s="33"/>
      <c r="D39" s="29"/>
      <c r="E39" s="29"/>
      <c r="F39" s="77"/>
      <c r="G39" s="77"/>
    </row>
    <row r="40">
      <c r="B40" s="76" t="s">
        <v>139</v>
      </c>
      <c r="D40" s="29"/>
      <c r="E40" s="29"/>
      <c r="F40" s="77"/>
      <c r="G40" s="77"/>
    </row>
    <row r="41">
      <c r="D41" s="29"/>
      <c r="E41" s="29"/>
      <c r="F41" s="77"/>
      <c r="G41" s="77"/>
    </row>
  </sheetData>
  <mergeCells count="30">
    <mergeCell ref="A3:C3"/>
    <mergeCell ref="A4:C4"/>
    <mergeCell ref="D4:N4"/>
    <mergeCell ref="P4:Z4"/>
    <mergeCell ref="A5:B5"/>
    <mergeCell ref="A6:A10"/>
    <mergeCell ref="A11:A13"/>
    <mergeCell ref="A14:B14"/>
    <mergeCell ref="A17:C17"/>
    <mergeCell ref="A18:C18"/>
    <mergeCell ref="D18:N18"/>
    <mergeCell ref="P18:Z18"/>
    <mergeCell ref="A19:B19"/>
    <mergeCell ref="A20:B20"/>
    <mergeCell ref="A28:B28"/>
    <mergeCell ref="A31:C31"/>
    <mergeCell ref="A32:C32"/>
    <mergeCell ref="D32:N32"/>
    <mergeCell ref="P32:Z32"/>
    <mergeCell ref="A33:B33"/>
    <mergeCell ref="A34:B34"/>
    <mergeCell ref="A35:B35"/>
    <mergeCell ref="A36:B36"/>
    <mergeCell ref="A21:B21"/>
    <mergeCell ref="A22:B22"/>
    <mergeCell ref="A23:B23"/>
    <mergeCell ref="A24:B24"/>
    <mergeCell ref="A25:B25"/>
    <mergeCell ref="A26:B26"/>
    <mergeCell ref="A27:B27"/>
  </mergeCells>
  <conditionalFormatting sqref="K6:N14 Z6:Z14 K20:M28 N20:N31 Z20:Z28 N33:N37 K36:M36 Z36">
    <cfRule type="colorScale" priority="1">
      <colorScale>
        <cfvo type="percent" val="0"/>
        <cfvo type="percent" val="50"/>
        <cfvo type="percent" val="100"/>
        <color rgb="FFFFFFFF"/>
        <color rgb="FFABDDC5"/>
        <color rgb="FF57BB8A"/>
      </colorScale>
    </cfRule>
  </conditionalFormatting>
  <conditionalFormatting sqref="K34:M36">
    <cfRule type="colorScale" priority="2">
      <colorScale>
        <cfvo type="min"/>
        <cfvo type="max"/>
        <color rgb="FFFFFFFF"/>
        <color rgb="FF57BB8A"/>
      </colorScale>
    </cfRule>
  </conditionalFormatting>
  <conditionalFormatting sqref="W34:Y36">
    <cfRule type="colorScale" priority="3">
      <colorScale>
        <cfvo type="min"/>
        <cfvo type="max"/>
        <color rgb="FFFFFFFF"/>
        <color rgb="FF57BB8A"/>
      </colorScale>
    </cfRule>
  </conditionalFormatting>
  <conditionalFormatting sqref="W6:Y14">
    <cfRule type="colorScale" priority="4">
      <colorScale>
        <cfvo type="min"/>
        <cfvo type="max"/>
        <color rgb="FFFFFFFF"/>
        <color rgb="FF57BB8A"/>
      </colorScale>
    </cfRule>
  </conditionalFormatting>
  <conditionalFormatting sqref="W20:Y28">
    <cfRule type="colorScale" priority="5">
      <colorScale>
        <cfvo type="min"/>
        <cfvo type="max"/>
        <color rgb="FFFFFFFF"/>
        <color rgb="FF57BB8A"/>
      </colorScale>
    </cfRule>
  </conditionalFormatting>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28" max="28" width="12.13"/>
  </cols>
  <sheetData>
    <row r="1">
      <c r="D1" s="30"/>
      <c r="E1" s="30"/>
      <c r="F1" s="30"/>
      <c r="G1" s="30"/>
    </row>
    <row r="2">
      <c r="D2" s="69" t="s">
        <v>3156</v>
      </c>
      <c r="E2" s="12"/>
      <c r="F2" s="12"/>
      <c r="G2" s="13"/>
    </row>
    <row r="3">
      <c r="D3" s="139" t="s">
        <v>3157</v>
      </c>
      <c r="E3" s="12"/>
      <c r="F3" s="12"/>
      <c r="G3" s="13"/>
    </row>
    <row r="4">
      <c r="D4" s="32" t="s">
        <v>46</v>
      </c>
      <c r="E4" s="22">
        <f t="shared" ref="E4:E8" si="1">IF(COUNTIF($N$14:$N$113,D4)=0,"-",COUNTIF($N$14:$N$113,D4))</f>
        <v>100</v>
      </c>
      <c r="F4" s="32" t="s">
        <v>47</v>
      </c>
      <c r="G4" s="22">
        <f t="shared" ref="G4:G8" si="2">IF(COUNTIF($Z$14:$Z$113,F4)=0,"-",COUNTIF($Z$14:$Z$113,F4))</f>
        <v>6</v>
      </c>
    </row>
    <row r="5">
      <c r="D5" s="32" t="s">
        <v>48</v>
      </c>
      <c r="E5" s="22" t="str">
        <f t="shared" si="1"/>
        <v>-</v>
      </c>
      <c r="F5" s="32" t="s">
        <v>49</v>
      </c>
      <c r="G5" s="22">
        <f t="shared" si="2"/>
        <v>93</v>
      </c>
    </row>
    <row r="6">
      <c r="D6" s="32" t="s">
        <v>50</v>
      </c>
      <c r="E6" s="22" t="str">
        <f t="shared" si="1"/>
        <v>-</v>
      </c>
      <c r="F6" s="32" t="s">
        <v>51</v>
      </c>
      <c r="G6" s="22" t="str">
        <f t="shared" si="2"/>
        <v>-</v>
      </c>
    </row>
    <row r="7">
      <c r="D7" s="32" t="s">
        <v>52</v>
      </c>
      <c r="E7" s="22" t="str">
        <f t="shared" si="1"/>
        <v>-</v>
      </c>
      <c r="F7" s="32" t="s">
        <v>52</v>
      </c>
      <c r="G7" s="22">
        <f t="shared" si="2"/>
        <v>1</v>
      </c>
    </row>
    <row r="8">
      <c r="D8" s="32" t="s">
        <v>53</v>
      </c>
      <c r="E8" s="22" t="str">
        <f t="shared" si="1"/>
        <v>-</v>
      </c>
      <c r="F8" s="32" t="s">
        <v>53</v>
      </c>
      <c r="G8" s="22" t="str">
        <f t="shared" si="2"/>
        <v>-</v>
      </c>
    </row>
    <row r="9">
      <c r="D9" s="32" t="s">
        <v>54</v>
      </c>
      <c r="E9" s="32">
        <f>SUM(E4:E8)</f>
        <v>100</v>
      </c>
      <c r="F9" s="32" t="s">
        <v>54</v>
      </c>
      <c r="G9" s="32">
        <f>SUM(G4:G8)</f>
        <v>100</v>
      </c>
    </row>
    <row r="10">
      <c r="D10" s="109"/>
      <c r="E10" s="109"/>
      <c r="F10" s="109"/>
      <c r="G10" s="109"/>
    </row>
    <row r="12">
      <c r="A12" s="34"/>
      <c r="B12" s="12"/>
      <c r="C12" s="13"/>
      <c r="D12" s="35" t="s">
        <v>55</v>
      </c>
      <c r="E12" s="12"/>
      <c r="F12" s="12"/>
      <c r="G12" s="12"/>
      <c r="H12" s="12"/>
      <c r="I12" s="12"/>
      <c r="J12" s="12"/>
      <c r="K12" s="12"/>
      <c r="L12" s="12"/>
      <c r="M12" s="12"/>
      <c r="N12" s="13"/>
      <c r="O12" s="36"/>
      <c r="P12" s="35" t="s">
        <v>56</v>
      </c>
      <c r="Q12" s="12"/>
      <c r="R12" s="12"/>
      <c r="S12" s="12"/>
      <c r="T12" s="12"/>
      <c r="U12" s="12"/>
      <c r="V12" s="12"/>
      <c r="W12" s="12"/>
      <c r="X12" s="12"/>
      <c r="Y12" s="12"/>
      <c r="Z12" s="13"/>
      <c r="AA12" s="37"/>
    </row>
    <row r="13">
      <c r="A13" s="141" t="s">
        <v>3158</v>
      </c>
      <c r="B13" s="13"/>
      <c r="C13" s="40"/>
      <c r="D13" s="38" t="s">
        <v>46</v>
      </c>
      <c r="E13" s="38" t="s">
        <v>48</v>
      </c>
      <c r="F13" s="38" t="s">
        <v>50</v>
      </c>
      <c r="G13" s="38" t="s">
        <v>59</v>
      </c>
      <c r="H13" s="38" t="s">
        <v>60</v>
      </c>
      <c r="I13" s="41" t="s">
        <v>61</v>
      </c>
      <c r="J13" s="41" t="s">
        <v>62</v>
      </c>
      <c r="K13" s="38" t="s">
        <v>63</v>
      </c>
      <c r="L13" s="38" t="s">
        <v>64</v>
      </c>
      <c r="M13" s="38" t="s">
        <v>65</v>
      </c>
      <c r="N13" s="38" t="s">
        <v>66</v>
      </c>
      <c r="O13" s="42"/>
      <c r="P13" s="38" t="s">
        <v>47</v>
      </c>
      <c r="Q13" s="38" t="s">
        <v>49</v>
      </c>
      <c r="R13" s="38" t="s">
        <v>51</v>
      </c>
      <c r="S13" s="38" t="s">
        <v>59</v>
      </c>
      <c r="T13" s="38" t="s">
        <v>60</v>
      </c>
      <c r="U13" s="41" t="s">
        <v>61</v>
      </c>
      <c r="V13" s="41" t="s">
        <v>62</v>
      </c>
      <c r="W13" s="43" t="s">
        <v>67</v>
      </c>
      <c r="X13" s="43" t="s">
        <v>68</v>
      </c>
      <c r="Y13" s="43" t="s">
        <v>69</v>
      </c>
      <c r="Z13" s="38" t="s">
        <v>66</v>
      </c>
      <c r="AA13" s="44"/>
    </row>
    <row r="14">
      <c r="A14" s="143" t="s">
        <v>3159</v>
      </c>
      <c r="B14" s="13"/>
      <c r="C14" s="164"/>
      <c r="D14" s="38">
        <v>9413.0</v>
      </c>
      <c r="E14" s="38">
        <v>3131.0</v>
      </c>
      <c r="F14" s="38">
        <v>3581.0</v>
      </c>
      <c r="G14" s="38">
        <v>222.0</v>
      </c>
      <c r="H14" s="38">
        <v>293.0</v>
      </c>
      <c r="I14" s="48">
        <f t="shared" ref="I14:I115" si="3">SUM(D14:F14)</f>
        <v>16125</v>
      </c>
      <c r="J14" s="48">
        <f t="shared" ref="J14:J115" si="4">SUM(G14:I14)</f>
        <v>16640</v>
      </c>
      <c r="K14" s="49">
        <f t="shared" ref="K14:K115" si="5">D14/I14</f>
        <v>0.583751938</v>
      </c>
      <c r="L14" s="49">
        <f t="shared" ref="L14:L115" si="6">E14/I14</f>
        <v>0.1941705426</v>
      </c>
      <c r="M14" s="49">
        <f t="shared" ref="M14:M115" si="7">F14/I14</f>
        <v>0.2220775194</v>
      </c>
      <c r="N14" s="32" t="str">
        <f t="shared" ref="N14:N115" si="8">IF(LARGE(D14:F14,1)=0,$D$8,IF(LARGE(D14:F14,1)=LARGE(D14:F14,2),$D$7,IF(LARGE(D14:F14,1)=D14,$D$4,IF(LARGE(D14:F14,1)=E14,$D$5,IF(LARGE(D14:F14,1)=F14,$D$6)))))</f>
        <v>Jânio</v>
      </c>
      <c r="O14" s="50" t="s">
        <v>77</v>
      </c>
      <c r="P14" s="38">
        <v>4123.0</v>
      </c>
      <c r="Q14" s="38">
        <v>8880.0</v>
      </c>
      <c r="R14" s="38">
        <v>2711.0</v>
      </c>
      <c r="S14" s="38">
        <v>660.0</v>
      </c>
      <c r="T14" s="38">
        <v>266.0</v>
      </c>
      <c r="U14" s="48">
        <f t="shared" ref="U14:U115" si="9">SUM(P14:R14)</f>
        <v>15714</v>
      </c>
      <c r="V14" s="48">
        <f t="shared" ref="V14:V115" si="10">SUM(S14:U14)</f>
        <v>16640</v>
      </c>
      <c r="W14" s="49">
        <f t="shared" ref="W14:W115" si="11">P14/U14</f>
        <v>0.2623774978</v>
      </c>
      <c r="X14" s="49">
        <f t="shared" ref="X14:X115" si="12">Q14/U14</f>
        <v>0.5651011837</v>
      </c>
      <c r="Y14" s="49">
        <f t="shared" ref="Y14:Y115" si="13">R14/U14</f>
        <v>0.1725213186</v>
      </c>
      <c r="Z14" s="32" t="str">
        <f t="shared" ref="Z14:Z115" si="14">IF(LARGE(P14:R14,1)=0,$F$8,IF(LARGE(P14:R14,1)=LARGE(P14:R14,2),$F$7,IF(LARGE(P14:R14,1)=P14,$F$4,IF(LARGE(P14:R14,1)=Q14,$F$5,IF(LARGE(P14:R14,1)=R14,$F$6)))))</f>
        <v>Milton</v>
      </c>
      <c r="AA14" s="50" t="s">
        <v>77</v>
      </c>
    </row>
    <row r="15">
      <c r="A15" s="143" t="s">
        <v>387</v>
      </c>
      <c r="B15" s="13"/>
      <c r="C15" s="164"/>
      <c r="D15" s="38">
        <v>1801.0</v>
      </c>
      <c r="E15" s="38">
        <v>537.0</v>
      </c>
      <c r="F15" s="38">
        <v>859.0</v>
      </c>
      <c r="G15" s="38">
        <v>50.0</v>
      </c>
      <c r="H15" s="38">
        <v>65.0</v>
      </c>
      <c r="I15" s="48">
        <f t="shared" si="3"/>
        <v>3197</v>
      </c>
      <c r="J15" s="48">
        <f t="shared" si="4"/>
        <v>3312</v>
      </c>
      <c r="K15" s="49">
        <f t="shared" si="5"/>
        <v>0.5633406318</v>
      </c>
      <c r="L15" s="49">
        <f t="shared" si="6"/>
        <v>0.1679699718</v>
      </c>
      <c r="M15" s="49">
        <f t="shared" si="7"/>
        <v>0.2686893963</v>
      </c>
      <c r="N15" s="32" t="str">
        <f t="shared" si="8"/>
        <v>Jânio</v>
      </c>
      <c r="O15" s="50" t="s">
        <v>77</v>
      </c>
      <c r="P15" s="38">
        <v>986.0</v>
      </c>
      <c r="Q15" s="38">
        <v>1587.0</v>
      </c>
      <c r="R15" s="38">
        <v>498.0</v>
      </c>
      <c r="S15" s="38">
        <v>175.0</v>
      </c>
      <c r="T15" s="38">
        <v>66.0</v>
      </c>
      <c r="U15" s="48">
        <f t="shared" si="9"/>
        <v>3071</v>
      </c>
      <c r="V15" s="48">
        <f t="shared" si="10"/>
        <v>3312</v>
      </c>
      <c r="W15" s="49">
        <f t="shared" si="11"/>
        <v>0.321068056</v>
      </c>
      <c r="X15" s="49">
        <f t="shared" si="12"/>
        <v>0.5167697818</v>
      </c>
      <c r="Y15" s="49">
        <f t="shared" si="13"/>
        <v>0.1621621622</v>
      </c>
      <c r="Z15" s="32" t="str">
        <f t="shared" si="14"/>
        <v>Milton</v>
      </c>
      <c r="AA15" s="50" t="s">
        <v>77</v>
      </c>
    </row>
    <row r="16">
      <c r="A16" s="143" t="s">
        <v>3160</v>
      </c>
      <c r="B16" s="13"/>
      <c r="C16" s="164"/>
      <c r="D16" s="38">
        <v>10668.0</v>
      </c>
      <c r="E16" s="38">
        <v>2464.0</v>
      </c>
      <c r="F16" s="38">
        <v>4751.0</v>
      </c>
      <c r="G16" s="38">
        <v>232.0</v>
      </c>
      <c r="H16" s="38">
        <v>708.0</v>
      </c>
      <c r="I16" s="48">
        <f t="shared" si="3"/>
        <v>17883</v>
      </c>
      <c r="J16" s="48">
        <f t="shared" si="4"/>
        <v>18823</v>
      </c>
      <c r="K16" s="49">
        <f t="shared" si="5"/>
        <v>0.596544204</v>
      </c>
      <c r="L16" s="49">
        <f t="shared" si="6"/>
        <v>0.1377844881</v>
      </c>
      <c r="M16" s="49">
        <f t="shared" si="7"/>
        <v>0.2656713079</v>
      </c>
      <c r="N16" s="32" t="str">
        <f t="shared" si="8"/>
        <v>Jânio</v>
      </c>
      <c r="O16" s="50" t="s">
        <v>77</v>
      </c>
      <c r="P16" s="38">
        <v>5603.0</v>
      </c>
      <c r="Q16" s="38">
        <v>9115.0</v>
      </c>
      <c r="R16" s="38">
        <v>2356.0</v>
      </c>
      <c r="S16" s="38">
        <v>1147.0</v>
      </c>
      <c r="T16" s="38">
        <v>602.0</v>
      </c>
      <c r="U16" s="48">
        <f t="shared" si="9"/>
        <v>17074</v>
      </c>
      <c r="V16" s="48">
        <f t="shared" si="10"/>
        <v>18823</v>
      </c>
      <c r="W16" s="49">
        <f t="shared" si="11"/>
        <v>0.3281597751</v>
      </c>
      <c r="X16" s="49">
        <f t="shared" si="12"/>
        <v>0.5338526414</v>
      </c>
      <c r="Y16" s="49">
        <f t="shared" si="13"/>
        <v>0.1379875835</v>
      </c>
      <c r="Z16" s="32" t="str">
        <f t="shared" si="14"/>
        <v>Milton</v>
      </c>
      <c r="AA16" s="50" t="s">
        <v>77</v>
      </c>
    </row>
    <row r="17">
      <c r="A17" s="143" t="s">
        <v>3161</v>
      </c>
      <c r="B17" s="13"/>
      <c r="C17" s="164"/>
      <c r="D17" s="38">
        <v>2133.0</v>
      </c>
      <c r="E17" s="38">
        <v>563.0</v>
      </c>
      <c r="F17" s="38">
        <v>785.0</v>
      </c>
      <c r="G17" s="38">
        <v>109.0</v>
      </c>
      <c r="H17" s="38">
        <v>310.0</v>
      </c>
      <c r="I17" s="48">
        <f t="shared" si="3"/>
        <v>3481</v>
      </c>
      <c r="J17" s="48">
        <f t="shared" si="4"/>
        <v>3900</v>
      </c>
      <c r="K17" s="49">
        <f t="shared" si="5"/>
        <v>0.6127549555</v>
      </c>
      <c r="L17" s="49">
        <f t="shared" si="6"/>
        <v>0.1617351336</v>
      </c>
      <c r="M17" s="49">
        <f t="shared" si="7"/>
        <v>0.2255099109</v>
      </c>
      <c r="N17" s="32" t="str">
        <f t="shared" si="8"/>
        <v>Jânio</v>
      </c>
      <c r="O17" s="50" t="s">
        <v>77</v>
      </c>
      <c r="P17" s="38">
        <v>1171.0</v>
      </c>
      <c r="Q17" s="38">
        <v>1704.0</v>
      </c>
      <c r="R17" s="38">
        <v>368.0</v>
      </c>
      <c r="S17" s="38">
        <v>390.0</v>
      </c>
      <c r="T17" s="38">
        <v>267.0</v>
      </c>
      <c r="U17" s="48">
        <f t="shared" si="9"/>
        <v>3243</v>
      </c>
      <c r="V17" s="48">
        <f t="shared" si="10"/>
        <v>3900</v>
      </c>
      <c r="W17" s="49">
        <f t="shared" si="11"/>
        <v>0.3610854147</v>
      </c>
      <c r="X17" s="49">
        <f t="shared" si="12"/>
        <v>0.525439408</v>
      </c>
      <c r="Y17" s="49">
        <f t="shared" si="13"/>
        <v>0.1134751773</v>
      </c>
      <c r="Z17" s="32" t="str">
        <f t="shared" si="14"/>
        <v>Milton</v>
      </c>
      <c r="AA17" s="50" t="s">
        <v>77</v>
      </c>
    </row>
    <row r="18">
      <c r="A18" s="143" t="s">
        <v>3162</v>
      </c>
      <c r="B18" s="13"/>
      <c r="C18" s="164"/>
      <c r="D18" s="38">
        <v>590.0</v>
      </c>
      <c r="E18" s="38">
        <v>183.0</v>
      </c>
      <c r="F18" s="38">
        <v>249.0</v>
      </c>
      <c r="G18" s="38">
        <v>11.0</v>
      </c>
      <c r="H18" s="38">
        <v>29.0</v>
      </c>
      <c r="I18" s="48">
        <f t="shared" si="3"/>
        <v>1022</v>
      </c>
      <c r="J18" s="48">
        <f t="shared" si="4"/>
        <v>1062</v>
      </c>
      <c r="K18" s="49">
        <f t="shared" si="5"/>
        <v>0.5772994129</v>
      </c>
      <c r="L18" s="49">
        <f t="shared" si="6"/>
        <v>0.1790606654</v>
      </c>
      <c r="M18" s="49">
        <f t="shared" si="7"/>
        <v>0.2436399217</v>
      </c>
      <c r="N18" s="32" t="str">
        <f t="shared" si="8"/>
        <v>Jânio</v>
      </c>
      <c r="O18" s="50" t="s">
        <v>77</v>
      </c>
      <c r="P18" s="38">
        <v>358.0</v>
      </c>
      <c r="Q18" s="38">
        <v>499.0</v>
      </c>
      <c r="R18" s="38">
        <v>102.0</v>
      </c>
      <c r="S18" s="38">
        <v>85.0</v>
      </c>
      <c r="T18" s="38">
        <v>18.0</v>
      </c>
      <c r="U18" s="48">
        <f t="shared" si="9"/>
        <v>959</v>
      </c>
      <c r="V18" s="48">
        <f t="shared" si="10"/>
        <v>1062</v>
      </c>
      <c r="W18" s="49">
        <f t="shared" si="11"/>
        <v>0.3733055266</v>
      </c>
      <c r="X18" s="49">
        <f t="shared" si="12"/>
        <v>0.5203336809</v>
      </c>
      <c r="Y18" s="49">
        <f t="shared" si="13"/>
        <v>0.1063607925</v>
      </c>
      <c r="Z18" s="32" t="str">
        <f t="shared" si="14"/>
        <v>Milton</v>
      </c>
      <c r="AA18" s="50" t="s">
        <v>77</v>
      </c>
    </row>
    <row r="19">
      <c r="A19" s="143" t="s">
        <v>3163</v>
      </c>
      <c r="B19" s="13"/>
      <c r="C19" s="164"/>
      <c r="D19" s="38">
        <v>3342.0</v>
      </c>
      <c r="E19" s="38">
        <v>997.0</v>
      </c>
      <c r="F19" s="38">
        <v>2489.0</v>
      </c>
      <c r="G19" s="38">
        <v>91.0</v>
      </c>
      <c r="H19" s="38">
        <v>196.0</v>
      </c>
      <c r="I19" s="48">
        <f t="shared" si="3"/>
        <v>6828</v>
      </c>
      <c r="J19" s="48">
        <f t="shared" si="4"/>
        <v>7115</v>
      </c>
      <c r="K19" s="49">
        <f t="shared" si="5"/>
        <v>0.4894551845</v>
      </c>
      <c r="L19" s="49">
        <f t="shared" si="6"/>
        <v>0.146016403</v>
      </c>
      <c r="M19" s="49">
        <f t="shared" si="7"/>
        <v>0.3645284124</v>
      </c>
      <c r="N19" s="32" t="str">
        <f t="shared" si="8"/>
        <v>Jânio</v>
      </c>
      <c r="O19" s="50" t="s">
        <v>77</v>
      </c>
      <c r="P19" s="38">
        <v>2474.0</v>
      </c>
      <c r="Q19" s="38">
        <v>2861.0</v>
      </c>
      <c r="R19" s="38">
        <v>1134.0</v>
      </c>
      <c r="S19" s="38">
        <v>420.0</v>
      </c>
      <c r="T19" s="38">
        <v>226.0</v>
      </c>
      <c r="U19" s="48">
        <f t="shared" si="9"/>
        <v>6469</v>
      </c>
      <c r="V19" s="48">
        <f t="shared" si="10"/>
        <v>7115</v>
      </c>
      <c r="W19" s="49">
        <f t="shared" si="11"/>
        <v>0.382439326</v>
      </c>
      <c r="X19" s="49">
        <f t="shared" si="12"/>
        <v>0.4422631009</v>
      </c>
      <c r="Y19" s="49">
        <f t="shared" si="13"/>
        <v>0.175297573</v>
      </c>
      <c r="Z19" s="32" t="str">
        <f t="shared" si="14"/>
        <v>Milton</v>
      </c>
      <c r="AA19" s="50" t="s">
        <v>77</v>
      </c>
    </row>
    <row r="20">
      <c r="A20" s="143" t="s">
        <v>1288</v>
      </c>
      <c r="B20" s="13"/>
      <c r="C20" s="164"/>
      <c r="D20" s="38">
        <v>13526.0</v>
      </c>
      <c r="E20" s="38">
        <v>5172.0</v>
      </c>
      <c r="F20" s="38">
        <v>6933.0</v>
      </c>
      <c r="G20" s="38">
        <v>313.0</v>
      </c>
      <c r="H20" s="38">
        <v>622.0</v>
      </c>
      <c r="I20" s="48">
        <f t="shared" si="3"/>
        <v>25631</v>
      </c>
      <c r="J20" s="48">
        <f t="shared" si="4"/>
        <v>26566</v>
      </c>
      <c r="K20" s="49">
        <f t="shared" si="5"/>
        <v>0.5277203387</v>
      </c>
      <c r="L20" s="49">
        <f t="shared" si="6"/>
        <v>0.2017868987</v>
      </c>
      <c r="M20" s="49">
        <f t="shared" si="7"/>
        <v>0.2704927627</v>
      </c>
      <c r="N20" s="32" t="str">
        <f t="shared" si="8"/>
        <v>Jânio</v>
      </c>
      <c r="O20" s="50" t="s">
        <v>77</v>
      </c>
      <c r="P20" s="38">
        <v>8410.0</v>
      </c>
      <c r="Q20" s="38">
        <v>12276.0</v>
      </c>
      <c r="R20" s="38">
        <v>4003.0</v>
      </c>
      <c r="S20" s="38">
        <v>1322.0</v>
      </c>
      <c r="T20" s="38">
        <v>555.0</v>
      </c>
      <c r="U20" s="48">
        <f t="shared" si="9"/>
        <v>24689</v>
      </c>
      <c r="V20" s="48">
        <f t="shared" si="10"/>
        <v>26566</v>
      </c>
      <c r="W20" s="49">
        <f t="shared" si="11"/>
        <v>0.3406375309</v>
      </c>
      <c r="X20" s="49">
        <f t="shared" si="12"/>
        <v>0.497225485</v>
      </c>
      <c r="Y20" s="49">
        <f t="shared" si="13"/>
        <v>0.1621369841</v>
      </c>
      <c r="Z20" s="32" t="str">
        <f t="shared" si="14"/>
        <v>Milton</v>
      </c>
      <c r="AA20" s="50" t="s">
        <v>77</v>
      </c>
    </row>
    <row r="21">
      <c r="A21" s="143" t="s">
        <v>3164</v>
      </c>
      <c r="B21" s="13"/>
      <c r="C21" s="164"/>
      <c r="D21" s="38">
        <v>15190.0</v>
      </c>
      <c r="E21" s="38">
        <v>3979.0</v>
      </c>
      <c r="F21" s="38">
        <v>6498.0</v>
      </c>
      <c r="G21" s="38">
        <v>341.0</v>
      </c>
      <c r="H21" s="38">
        <v>1221.0</v>
      </c>
      <c r="I21" s="48">
        <f t="shared" si="3"/>
        <v>25667</v>
      </c>
      <c r="J21" s="48">
        <f t="shared" si="4"/>
        <v>27229</v>
      </c>
      <c r="K21" s="49">
        <f t="shared" si="5"/>
        <v>0.591810496</v>
      </c>
      <c r="L21" s="49">
        <f t="shared" si="6"/>
        <v>0.1550239607</v>
      </c>
      <c r="M21" s="49">
        <f t="shared" si="7"/>
        <v>0.2531655433</v>
      </c>
      <c r="N21" s="32" t="str">
        <f t="shared" si="8"/>
        <v>Jânio</v>
      </c>
      <c r="O21" s="50" t="s">
        <v>77</v>
      </c>
      <c r="P21" s="38">
        <v>7893.0</v>
      </c>
      <c r="Q21" s="38">
        <v>13336.0</v>
      </c>
      <c r="R21" s="38">
        <v>3382.0</v>
      </c>
      <c r="S21" s="38">
        <v>1493.0</v>
      </c>
      <c r="T21" s="38">
        <v>1125.0</v>
      </c>
      <c r="U21" s="48">
        <f t="shared" si="9"/>
        <v>24611</v>
      </c>
      <c r="V21" s="48">
        <f t="shared" si="10"/>
        <v>27229</v>
      </c>
      <c r="W21" s="49">
        <f t="shared" si="11"/>
        <v>0.3207102515</v>
      </c>
      <c r="X21" s="49">
        <f t="shared" si="12"/>
        <v>0.5418715209</v>
      </c>
      <c r="Y21" s="49">
        <f t="shared" si="13"/>
        <v>0.1374182276</v>
      </c>
      <c r="Z21" s="32" t="str">
        <f t="shared" si="14"/>
        <v>Milton</v>
      </c>
      <c r="AA21" s="50" t="s">
        <v>77</v>
      </c>
    </row>
    <row r="22">
      <c r="A22" s="143" t="s">
        <v>1639</v>
      </c>
      <c r="B22" s="13"/>
      <c r="C22" s="164"/>
      <c r="D22" s="38">
        <v>5900.0</v>
      </c>
      <c r="E22" s="38">
        <v>2683.0</v>
      </c>
      <c r="F22" s="38">
        <v>3482.0</v>
      </c>
      <c r="G22" s="38">
        <v>177.0</v>
      </c>
      <c r="H22" s="38">
        <v>296.0</v>
      </c>
      <c r="I22" s="48">
        <f t="shared" si="3"/>
        <v>12065</v>
      </c>
      <c r="J22" s="48">
        <f t="shared" si="4"/>
        <v>12538</v>
      </c>
      <c r="K22" s="49">
        <f t="shared" si="5"/>
        <v>0.4890178201</v>
      </c>
      <c r="L22" s="49">
        <f t="shared" si="6"/>
        <v>0.2223787816</v>
      </c>
      <c r="M22" s="49">
        <f t="shared" si="7"/>
        <v>0.2886033983</v>
      </c>
      <c r="N22" s="32" t="str">
        <f t="shared" si="8"/>
        <v>Jânio</v>
      </c>
      <c r="O22" s="50" t="s">
        <v>77</v>
      </c>
      <c r="P22" s="38">
        <v>4472.0</v>
      </c>
      <c r="Q22" s="38">
        <v>4815.0</v>
      </c>
      <c r="R22" s="38">
        <v>2267.0</v>
      </c>
      <c r="S22" s="38">
        <v>731.0</v>
      </c>
      <c r="T22" s="38">
        <v>253.0</v>
      </c>
      <c r="U22" s="48">
        <f t="shared" si="9"/>
        <v>11554</v>
      </c>
      <c r="V22" s="48">
        <f t="shared" si="10"/>
        <v>12538</v>
      </c>
      <c r="W22" s="49">
        <f t="shared" si="11"/>
        <v>0.3870521032</v>
      </c>
      <c r="X22" s="49">
        <f t="shared" si="12"/>
        <v>0.4167387918</v>
      </c>
      <c r="Y22" s="49">
        <f t="shared" si="13"/>
        <v>0.1962091051</v>
      </c>
      <c r="Z22" s="32" t="str">
        <f t="shared" si="14"/>
        <v>Milton</v>
      </c>
      <c r="AA22" s="50" t="s">
        <v>77</v>
      </c>
    </row>
    <row r="23">
      <c r="A23" s="143" t="s">
        <v>3165</v>
      </c>
      <c r="B23" s="13"/>
      <c r="C23" s="164"/>
      <c r="D23" s="38">
        <v>15440.0</v>
      </c>
      <c r="E23" s="38">
        <v>5051.0</v>
      </c>
      <c r="F23" s="38">
        <v>8629.0</v>
      </c>
      <c r="G23" s="38">
        <v>343.0</v>
      </c>
      <c r="H23" s="38">
        <v>896.0</v>
      </c>
      <c r="I23" s="48">
        <f t="shared" si="3"/>
        <v>29120</v>
      </c>
      <c r="J23" s="48">
        <f t="shared" si="4"/>
        <v>30359</v>
      </c>
      <c r="K23" s="49">
        <f t="shared" si="5"/>
        <v>0.5302197802</v>
      </c>
      <c r="L23" s="49">
        <f t="shared" si="6"/>
        <v>0.1734546703</v>
      </c>
      <c r="M23" s="49">
        <f t="shared" si="7"/>
        <v>0.2963255495</v>
      </c>
      <c r="N23" s="32" t="str">
        <f t="shared" si="8"/>
        <v>Jânio</v>
      </c>
      <c r="O23" s="50" t="s">
        <v>77</v>
      </c>
      <c r="P23" s="38">
        <v>9958.0</v>
      </c>
      <c r="Q23" s="38">
        <v>13432.0</v>
      </c>
      <c r="R23" s="38">
        <v>4542.0</v>
      </c>
      <c r="S23" s="38">
        <v>1650.0</v>
      </c>
      <c r="T23" s="38">
        <v>777.0</v>
      </c>
      <c r="U23" s="48">
        <f t="shared" si="9"/>
        <v>27932</v>
      </c>
      <c r="V23" s="48">
        <f t="shared" si="10"/>
        <v>30359</v>
      </c>
      <c r="W23" s="49">
        <f t="shared" si="11"/>
        <v>0.3565086639</v>
      </c>
      <c r="X23" s="49">
        <f t="shared" si="12"/>
        <v>0.4808821423</v>
      </c>
      <c r="Y23" s="49">
        <f t="shared" si="13"/>
        <v>0.1626091938</v>
      </c>
      <c r="Z23" s="32" t="str">
        <f t="shared" si="14"/>
        <v>Milton</v>
      </c>
      <c r="AA23" s="50" t="s">
        <v>77</v>
      </c>
    </row>
    <row r="24">
      <c r="A24" s="143" t="s">
        <v>3166</v>
      </c>
      <c r="B24" s="13"/>
      <c r="C24" s="164"/>
      <c r="D24" s="38">
        <v>8811.0</v>
      </c>
      <c r="E24" s="38">
        <v>2799.0</v>
      </c>
      <c r="F24" s="38">
        <v>7052.0</v>
      </c>
      <c r="G24" s="38">
        <v>294.0</v>
      </c>
      <c r="H24" s="38">
        <v>758.0</v>
      </c>
      <c r="I24" s="48">
        <f t="shared" si="3"/>
        <v>18662</v>
      </c>
      <c r="J24" s="48">
        <f t="shared" si="4"/>
        <v>19714</v>
      </c>
      <c r="K24" s="49">
        <f t="shared" si="5"/>
        <v>0.4721358911</v>
      </c>
      <c r="L24" s="49">
        <f t="shared" si="6"/>
        <v>0.1499839246</v>
      </c>
      <c r="M24" s="49">
        <f t="shared" si="7"/>
        <v>0.3778801843</v>
      </c>
      <c r="N24" s="32" t="str">
        <f t="shared" si="8"/>
        <v>Jânio</v>
      </c>
      <c r="O24" s="50" t="s">
        <v>77</v>
      </c>
      <c r="P24" s="38">
        <v>7065.0</v>
      </c>
      <c r="Q24" s="38">
        <v>8009.0</v>
      </c>
      <c r="R24" s="38">
        <v>2368.0</v>
      </c>
      <c r="S24" s="38">
        <v>1580.0</v>
      </c>
      <c r="T24" s="38">
        <v>692.0</v>
      </c>
      <c r="U24" s="48">
        <f t="shared" si="9"/>
        <v>17442</v>
      </c>
      <c r="V24" s="48">
        <f t="shared" si="10"/>
        <v>19714</v>
      </c>
      <c r="W24" s="49">
        <f t="shared" si="11"/>
        <v>0.4050567595</v>
      </c>
      <c r="X24" s="49">
        <f t="shared" si="12"/>
        <v>0.4591789932</v>
      </c>
      <c r="Y24" s="49">
        <f t="shared" si="13"/>
        <v>0.1357642472</v>
      </c>
      <c r="Z24" s="32" t="str">
        <f t="shared" si="14"/>
        <v>Milton</v>
      </c>
      <c r="AA24" s="50" t="s">
        <v>77</v>
      </c>
    </row>
    <row r="25">
      <c r="A25" s="143" t="s">
        <v>3167</v>
      </c>
      <c r="B25" s="13"/>
      <c r="C25" s="164"/>
      <c r="D25" s="38">
        <v>1938.0</v>
      </c>
      <c r="E25" s="38">
        <v>410.0</v>
      </c>
      <c r="F25" s="38">
        <v>1024.0</v>
      </c>
      <c r="G25" s="38">
        <v>56.0</v>
      </c>
      <c r="H25" s="38">
        <v>150.0</v>
      </c>
      <c r="I25" s="48">
        <f t="shared" si="3"/>
        <v>3372</v>
      </c>
      <c r="J25" s="48">
        <f t="shared" si="4"/>
        <v>3578</v>
      </c>
      <c r="K25" s="49">
        <f t="shared" si="5"/>
        <v>0.5747330961</v>
      </c>
      <c r="L25" s="49">
        <f t="shared" si="6"/>
        <v>0.1215895611</v>
      </c>
      <c r="M25" s="49">
        <f t="shared" si="7"/>
        <v>0.3036773428</v>
      </c>
      <c r="N25" s="32" t="str">
        <f t="shared" si="8"/>
        <v>Jânio</v>
      </c>
      <c r="O25" s="50" t="s">
        <v>77</v>
      </c>
      <c r="P25" s="38">
        <v>1290.0</v>
      </c>
      <c r="Q25" s="38">
        <v>1498.0</v>
      </c>
      <c r="R25" s="38">
        <v>372.0</v>
      </c>
      <c r="S25" s="38">
        <v>271.0</v>
      </c>
      <c r="T25" s="38">
        <v>147.0</v>
      </c>
      <c r="U25" s="48">
        <f t="shared" si="9"/>
        <v>3160</v>
      </c>
      <c r="V25" s="48">
        <f t="shared" si="10"/>
        <v>3578</v>
      </c>
      <c r="W25" s="49">
        <f t="shared" si="11"/>
        <v>0.4082278481</v>
      </c>
      <c r="X25" s="49">
        <f t="shared" si="12"/>
        <v>0.4740506329</v>
      </c>
      <c r="Y25" s="49">
        <f t="shared" si="13"/>
        <v>0.117721519</v>
      </c>
      <c r="Z25" s="32" t="str">
        <f t="shared" si="14"/>
        <v>Milton</v>
      </c>
      <c r="AA25" s="50" t="s">
        <v>77</v>
      </c>
    </row>
    <row r="26">
      <c r="A26" s="143" t="s">
        <v>1942</v>
      </c>
      <c r="B26" s="13"/>
      <c r="C26" s="164"/>
      <c r="D26" s="38">
        <v>12687.0</v>
      </c>
      <c r="E26" s="38">
        <v>3869.0</v>
      </c>
      <c r="F26" s="38">
        <v>5926.0</v>
      </c>
      <c r="G26" s="38">
        <v>247.0</v>
      </c>
      <c r="H26" s="38">
        <v>515.0</v>
      </c>
      <c r="I26" s="48">
        <f t="shared" si="3"/>
        <v>22482</v>
      </c>
      <c r="J26" s="48">
        <f t="shared" si="4"/>
        <v>23244</v>
      </c>
      <c r="K26" s="49">
        <f t="shared" si="5"/>
        <v>0.5643181212</v>
      </c>
      <c r="L26" s="49">
        <f t="shared" si="6"/>
        <v>0.1720932301</v>
      </c>
      <c r="M26" s="49">
        <f t="shared" si="7"/>
        <v>0.2635886487</v>
      </c>
      <c r="N26" s="32" t="str">
        <f t="shared" si="8"/>
        <v>Jânio</v>
      </c>
      <c r="O26" s="50" t="s">
        <v>77</v>
      </c>
      <c r="P26" s="38">
        <v>6799.0</v>
      </c>
      <c r="Q26" s="38">
        <v>11272.0</v>
      </c>
      <c r="R26" s="38">
        <v>3472.0</v>
      </c>
      <c r="S26" s="38">
        <v>1243.0</v>
      </c>
      <c r="T26" s="38">
        <v>458.0</v>
      </c>
      <c r="U26" s="48">
        <f t="shared" si="9"/>
        <v>21543</v>
      </c>
      <c r="V26" s="48">
        <f t="shared" si="10"/>
        <v>23244</v>
      </c>
      <c r="W26" s="49">
        <f t="shared" si="11"/>
        <v>0.3156013554</v>
      </c>
      <c r="X26" s="49">
        <f t="shared" si="12"/>
        <v>0.5232326046</v>
      </c>
      <c r="Y26" s="49">
        <f t="shared" si="13"/>
        <v>0.16116604</v>
      </c>
      <c r="Z26" s="32" t="str">
        <f t="shared" si="14"/>
        <v>Milton</v>
      </c>
      <c r="AA26" s="50" t="s">
        <v>77</v>
      </c>
    </row>
    <row r="27">
      <c r="A27" s="143" t="s">
        <v>960</v>
      </c>
      <c r="B27" s="13"/>
      <c r="C27" s="164"/>
      <c r="D27" s="38">
        <v>425.0</v>
      </c>
      <c r="E27" s="38">
        <v>137.0</v>
      </c>
      <c r="F27" s="38">
        <v>365.0</v>
      </c>
      <c r="G27" s="38">
        <v>15.0</v>
      </c>
      <c r="H27" s="38">
        <v>47.0</v>
      </c>
      <c r="I27" s="48">
        <f t="shared" si="3"/>
        <v>927</v>
      </c>
      <c r="J27" s="48">
        <f t="shared" si="4"/>
        <v>989</v>
      </c>
      <c r="K27" s="49">
        <f t="shared" si="5"/>
        <v>0.4584681769</v>
      </c>
      <c r="L27" s="49">
        <f t="shared" si="6"/>
        <v>0.1477885653</v>
      </c>
      <c r="M27" s="49">
        <f t="shared" si="7"/>
        <v>0.3937432578</v>
      </c>
      <c r="N27" s="32" t="str">
        <f t="shared" si="8"/>
        <v>Jânio</v>
      </c>
      <c r="O27" s="50" t="s">
        <v>77</v>
      </c>
      <c r="P27" s="38">
        <v>406.0</v>
      </c>
      <c r="Q27" s="38">
        <v>345.0</v>
      </c>
      <c r="R27" s="38">
        <v>87.0</v>
      </c>
      <c r="S27" s="38">
        <v>121.0</v>
      </c>
      <c r="T27" s="38">
        <v>30.0</v>
      </c>
      <c r="U27" s="48">
        <f t="shared" si="9"/>
        <v>838</v>
      </c>
      <c r="V27" s="48">
        <f t="shared" si="10"/>
        <v>989</v>
      </c>
      <c r="W27" s="49">
        <f t="shared" si="11"/>
        <v>0.4844868735</v>
      </c>
      <c r="X27" s="49">
        <f t="shared" si="12"/>
        <v>0.4116945107</v>
      </c>
      <c r="Y27" s="49">
        <f t="shared" si="13"/>
        <v>0.1038186158</v>
      </c>
      <c r="Z27" s="32" t="str">
        <f t="shared" si="14"/>
        <v>Jango</v>
      </c>
      <c r="AA27" s="50" t="s">
        <v>77</v>
      </c>
    </row>
    <row r="28">
      <c r="A28" s="143" t="s">
        <v>3168</v>
      </c>
      <c r="B28" s="13"/>
      <c r="C28" s="164"/>
      <c r="D28" s="38">
        <v>5010.0</v>
      </c>
      <c r="E28" s="38">
        <v>2055.0</v>
      </c>
      <c r="F28" s="38">
        <v>2737.0</v>
      </c>
      <c r="G28" s="38">
        <v>125.0</v>
      </c>
      <c r="H28" s="38">
        <v>222.0</v>
      </c>
      <c r="I28" s="48">
        <f t="shared" si="3"/>
        <v>9802</v>
      </c>
      <c r="J28" s="48">
        <f t="shared" si="4"/>
        <v>10149</v>
      </c>
      <c r="K28" s="49">
        <f t="shared" si="5"/>
        <v>0.5111201796</v>
      </c>
      <c r="L28" s="49">
        <f t="shared" si="6"/>
        <v>0.2096510916</v>
      </c>
      <c r="M28" s="49">
        <f t="shared" si="7"/>
        <v>0.2792287288</v>
      </c>
      <c r="N28" s="32" t="str">
        <f t="shared" si="8"/>
        <v>Jânio</v>
      </c>
      <c r="O28" s="50" t="s">
        <v>77</v>
      </c>
      <c r="P28" s="38">
        <v>3338.0</v>
      </c>
      <c r="Q28" s="38">
        <v>4566.0</v>
      </c>
      <c r="R28" s="38">
        <v>1509.0</v>
      </c>
      <c r="S28" s="38">
        <v>547.0</v>
      </c>
      <c r="T28" s="38">
        <v>189.0</v>
      </c>
      <c r="U28" s="48">
        <f t="shared" si="9"/>
        <v>9413</v>
      </c>
      <c r="V28" s="48">
        <f t="shared" si="10"/>
        <v>10149</v>
      </c>
      <c r="W28" s="49">
        <f t="shared" si="11"/>
        <v>0.3546159567</v>
      </c>
      <c r="X28" s="49">
        <f t="shared" si="12"/>
        <v>0.4850738341</v>
      </c>
      <c r="Y28" s="49">
        <f t="shared" si="13"/>
        <v>0.1603102093</v>
      </c>
      <c r="Z28" s="32" t="str">
        <f t="shared" si="14"/>
        <v>Milton</v>
      </c>
      <c r="AA28" s="50" t="s">
        <v>77</v>
      </c>
    </row>
    <row r="29">
      <c r="A29" s="143" t="s">
        <v>3169</v>
      </c>
      <c r="B29" s="13"/>
      <c r="C29" s="164"/>
      <c r="D29" s="38">
        <v>372.0</v>
      </c>
      <c r="E29" s="38">
        <v>67.0</v>
      </c>
      <c r="F29" s="38">
        <v>135.0</v>
      </c>
      <c r="G29" s="38">
        <v>6.0</v>
      </c>
      <c r="H29" s="38">
        <v>18.0</v>
      </c>
      <c r="I29" s="48">
        <f t="shared" si="3"/>
        <v>574</v>
      </c>
      <c r="J29" s="48">
        <f t="shared" si="4"/>
        <v>598</v>
      </c>
      <c r="K29" s="49">
        <f t="shared" si="5"/>
        <v>0.6480836237</v>
      </c>
      <c r="L29" s="49">
        <f t="shared" si="6"/>
        <v>0.1167247387</v>
      </c>
      <c r="M29" s="49">
        <f t="shared" si="7"/>
        <v>0.2351916376</v>
      </c>
      <c r="N29" s="32" t="str">
        <f t="shared" si="8"/>
        <v>Jânio</v>
      </c>
      <c r="O29" s="50" t="s">
        <v>77</v>
      </c>
      <c r="P29" s="38">
        <v>165.0</v>
      </c>
      <c r="Q29" s="38">
        <v>321.0</v>
      </c>
      <c r="R29" s="38">
        <v>54.0</v>
      </c>
      <c r="S29" s="38">
        <v>44.0</v>
      </c>
      <c r="T29" s="38">
        <v>14.0</v>
      </c>
      <c r="U29" s="48">
        <f t="shared" si="9"/>
        <v>540</v>
      </c>
      <c r="V29" s="48">
        <f t="shared" si="10"/>
        <v>598</v>
      </c>
      <c r="W29" s="49">
        <f t="shared" si="11"/>
        <v>0.3055555556</v>
      </c>
      <c r="X29" s="49">
        <f t="shared" si="12"/>
        <v>0.5944444444</v>
      </c>
      <c r="Y29" s="49">
        <f t="shared" si="13"/>
        <v>0.1</v>
      </c>
      <c r="Z29" s="32" t="str">
        <f t="shared" si="14"/>
        <v>Milton</v>
      </c>
      <c r="AA29" s="50" t="s">
        <v>77</v>
      </c>
    </row>
    <row r="30">
      <c r="A30" s="143" t="s">
        <v>3170</v>
      </c>
      <c r="B30" s="13"/>
      <c r="C30" s="164"/>
      <c r="D30" s="38">
        <v>461.0</v>
      </c>
      <c r="E30" s="38">
        <v>110.0</v>
      </c>
      <c r="F30" s="38">
        <v>435.0</v>
      </c>
      <c r="G30" s="38">
        <v>16.0</v>
      </c>
      <c r="H30" s="38">
        <v>38.0</v>
      </c>
      <c r="I30" s="48">
        <f t="shared" si="3"/>
        <v>1006</v>
      </c>
      <c r="J30" s="48">
        <f t="shared" si="4"/>
        <v>1060</v>
      </c>
      <c r="K30" s="49">
        <f t="shared" si="5"/>
        <v>0.458250497</v>
      </c>
      <c r="L30" s="49">
        <f t="shared" si="6"/>
        <v>0.1093439364</v>
      </c>
      <c r="M30" s="49">
        <f t="shared" si="7"/>
        <v>0.4324055666</v>
      </c>
      <c r="N30" s="32" t="str">
        <f t="shared" si="8"/>
        <v>Jânio</v>
      </c>
      <c r="O30" s="50" t="s">
        <v>77</v>
      </c>
      <c r="P30" s="38">
        <v>396.0</v>
      </c>
      <c r="Q30" s="38">
        <v>398.0</v>
      </c>
      <c r="R30" s="38">
        <v>116.0</v>
      </c>
      <c r="S30" s="38">
        <v>107.0</v>
      </c>
      <c r="T30" s="38">
        <v>43.0</v>
      </c>
      <c r="U30" s="48">
        <f t="shared" si="9"/>
        <v>910</v>
      </c>
      <c r="V30" s="48">
        <f t="shared" si="10"/>
        <v>1060</v>
      </c>
      <c r="W30" s="49">
        <f t="shared" si="11"/>
        <v>0.4351648352</v>
      </c>
      <c r="X30" s="49">
        <f t="shared" si="12"/>
        <v>0.4373626374</v>
      </c>
      <c r="Y30" s="49">
        <f t="shared" si="13"/>
        <v>0.1274725275</v>
      </c>
      <c r="Z30" s="32" t="str">
        <f t="shared" si="14"/>
        <v>Milton</v>
      </c>
      <c r="AA30" s="50" t="s">
        <v>77</v>
      </c>
    </row>
    <row r="31">
      <c r="A31" s="143" t="s">
        <v>3171</v>
      </c>
      <c r="B31" s="13"/>
      <c r="C31" s="164"/>
      <c r="D31" s="38">
        <v>9831.0</v>
      </c>
      <c r="E31" s="38">
        <v>2315.0</v>
      </c>
      <c r="F31" s="38">
        <v>5940.0</v>
      </c>
      <c r="G31" s="38">
        <v>304.0</v>
      </c>
      <c r="H31" s="38">
        <v>650.0</v>
      </c>
      <c r="I31" s="48">
        <f t="shared" si="3"/>
        <v>18086</v>
      </c>
      <c r="J31" s="48">
        <f t="shared" si="4"/>
        <v>19040</v>
      </c>
      <c r="K31" s="49">
        <f t="shared" si="5"/>
        <v>0.5435696119</v>
      </c>
      <c r="L31" s="49">
        <f t="shared" si="6"/>
        <v>0.1279995577</v>
      </c>
      <c r="M31" s="49">
        <f t="shared" si="7"/>
        <v>0.3284308305</v>
      </c>
      <c r="N31" s="32" t="str">
        <f t="shared" si="8"/>
        <v>Jânio</v>
      </c>
      <c r="O31" s="50" t="s">
        <v>77</v>
      </c>
      <c r="P31" s="38">
        <v>6648.0</v>
      </c>
      <c r="Q31" s="38">
        <v>7914.0</v>
      </c>
      <c r="R31" s="38">
        <v>2292.0</v>
      </c>
      <c r="S31" s="38">
        <v>1478.0</v>
      </c>
      <c r="T31" s="38">
        <v>708.0</v>
      </c>
      <c r="U31" s="48">
        <f t="shared" si="9"/>
        <v>16854</v>
      </c>
      <c r="V31" s="48">
        <f t="shared" si="10"/>
        <v>19040</v>
      </c>
      <c r="W31" s="49">
        <f t="shared" si="11"/>
        <v>0.3944464222</v>
      </c>
      <c r="X31" s="49">
        <f t="shared" si="12"/>
        <v>0.4695621218</v>
      </c>
      <c r="Y31" s="49">
        <f t="shared" si="13"/>
        <v>0.135991456</v>
      </c>
      <c r="Z31" s="32" t="str">
        <f t="shared" si="14"/>
        <v>Milton</v>
      </c>
      <c r="AA31" s="50" t="s">
        <v>77</v>
      </c>
    </row>
    <row r="32">
      <c r="A32" s="143" t="s">
        <v>2050</v>
      </c>
      <c r="B32" s="13"/>
      <c r="C32" s="164"/>
      <c r="D32" s="38">
        <v>6945.0</v>
      </c>
      <c r="E32" s="38">
        <v>2430.0</v>
      </c>
      <c r="F32" s="38">
        <v>2424.0</v>
      </c>
      <c r="G32" s="38">
        <v>137.0</v>
      </c>
      <c r="H32" s="38">
        <v>195.0</v>
      </c>
      <c r="I32" s="48">
        <f t="shared" si="3"/>
        <v>11799</v>
      </c>
      <c r="J32" s="48">
        <f t="shared" si="4"/>
        <v>12131</v>
      </c>
      <c r="K32" s="49">
        <f t="shared" si="5"/>
        <v>0.5886092042</v>
      </c>
      <c r="L32" s="49">
        <f t="shared" si="6"/>
        <v>0.2059496568</v>
      </c>
      <c r="M32" s="49">
        <f t="shared" si="7"/>
        <v>0.2054411391</v>
      </c>
      <c r="N32" s="32" t="str">
        <f t="shared" si="8"/>
        <v>Jânio</v>
      </c>
      <c r="O32" s="50" t="s">
        <v>77</v>
      </c>
      <c r="P32" s="38">
        <v>2980.0</v>
      </c>
      <c r="Q32" s="38">
        <v>6742.0</v>
      </c>
      <c r="R32" s="38">
        <v>1809.0</v>
      </c>
      <c r="S32" s="38">
        <v>440.0</v>
      </c>
      <c r="T32" s="38">
        <v>160.0</v>
      </c>
      <c r="U32" s="48">
        <f t="shared" si="9"/>
        <v>11531</v>
      </c>
      <c r="V32" s="48">
        <f t="shared" si="10"/>
        <v>12131</v>
      </c>
      <c r="W32" s="49">
        <f t="shared" si="11"/>
        <v>0.2584337872</v>
      </c>
      <c r="X32" s="49">
        <f t="shared" si="12"/>
        <v>0.5846847628</v>
      </c>
      <c r="Y32" s="49">
        <f t="shared" si="13"/>
        <v>0.15688145</v>
      </c>
      <c r="Z32" s="32" t="str">
        <f t="shared" si="14"/>
        <v>Milton</v>
      </c>
      <c r="AA32" s="50" t="s">
        <v>77</v>
      </c>
    </row>
    <row r="33">
      <c r="A33" s="143" t="s">
        <v>3172</v>
      </c>
      <c r="B33" s="13"/>
      <c r="C33" s="164"/>
      <c r="D33" s="38">
        <v>824.0</v>
      </c>
      <c r="E33" s="38">
        <v>283.0</v>
      </c>
      <c r="F33" s="38">
        <v>693.0</v>
      </c>
      <c r="G33" s="38">
        <v>23.0</v>
      </c>
      <c r="H33" s="38">
        <v>140.0</v>
      </c>
      <c r="I33" s="48">
        <f t="shared" si="3"/>
        <v>1800</v>
      </c>
      <c r="J33" s="48">
        <f t="shared" si="4"/>
        <v>1963</v>
      </c>
      <c r="K33" s="49">
        <f t="shared" si="5"/>
        <v>0.4577777778</v>
      </c>
      <c r="L33" s="49">
        <f t="shared" si="6"/>
        <v>0.1572222222</v>
      </c>
      <c r="M33" s="49">
        <f t="shared" si="7"/>
        <v>0.385</v>
      </c>
      <c r="N33" s="32" t="str">
        <f t="shared" si="8"/>
        <v>Jânio</v>
      </c>
      <c r="O33" s="50" t="s">
        <v>77</v>
      </c>
      <c r="P33" s="38">
        <v>790.0</v>
      </c>
      <c r="Q33" s="38">
        <v>691.0</v>
      </c>
      <c r="R33" s="38">
        <v>183.0</v>
      </c>
      <c r="S33" s="38">
        <v>190.0</v>
      </c>
      <c r="T33" s="38">
        <v>109.0</v>
      </c>
      <c r="U33" s="48">
        <f t="shared" si="9"/>
        <v>1664</v>
      </c>
      <c r="V33" s="48">
        <f t="shared" si="10"/>
        <v>1963</v>
      </c>
      <c r="W33" s="49">
        <f t="shared" si="11"/>
        <v>0.4747596154</v>
      </c>
      <c r="X33" s="49">
        <f t="shared" si="12"/>
        <v>0.4152644231</v>
      </c>
      <c r="Y33" s="49">
        <f t="shared" si="13"/>
        <v>0.1099759615</v>
      </c>
      <c r="Z33" s="32" t="str">
        <f t="shared" si="14"/>
        <v>Jango</v>
      </c>
      <c r="AA33" s="50" t="s">
        <v>77</v>
      </c>
    </row>
    <row r="34">
      <c r="A34" s="143" t="s">
        <v>3173</v>
      </c>
      <c r="B34" s="13"/>
      <c r="C34" s="164"/>
      <c r="D34" s="38">
        <v>1142.0</v>
      </c>
      <c r="E34" s="38">
        <v>218.0</v>
      </c>
      <c r="F34" s="38">
        <v>458.0</v>
      </c>
      <c r="G34" s="38">
        <v>19.0</v>
      </c>
      <c r="H34" s="38">
        <v>69.0</v>
      </c>
      <c r="I34" s="48">
        <f t="shared" si="3"/>
        <v>1818</v>
      </c>
      <c r="J34" s="48">
        <f t="shared" si="4"/>
        <v>1906</v>
      </c>
      <c r="K34" s="49">
        <f t="shared" si="5"/>
        <v>0.6281628163</v>
      </c>
      <c r="L34" s="49">
        <f t="shared" si="6"/>
        <v>0.1199119912</v>
      </c>
      <c r="M34" s="49">
        <f t="shared" si="7"/>
        <v>0.2519251925</v>
      </c>
      <c r="N34" s="32" t="str">
        <f t="shared" si="8"/>
        <v>Jânio</v>
      </c>
      <c r="O34" s="50" t="s">
        <v>77</v>
      </c>
      <c r="P34" s="38">
        <v>570.0</v>
      </c>
      <c r="Q34" s="38">
        <v>926.0</v>
      </c>
      <c r="R34" s="38">
        <v>209.0</v>
      </c>
      <c r="S34" s="38">
        <v>149.0</v>
      </c>
      <c r="T34" s="38">
        <v>52.0</v>
      </c>
      <c r="U34" s="48">
        <f t="shared" si="9"/>
        <v>1705</v>
      </c>
      <c r="V34" s="48">
        <f t="shared" si="10"/>
        <v>1906</v>
      </c>
      <c r="W34" s="49">
        <f t="shared" si="11"/>
        <v>0.3343108504</v>
      </c>
      <c r="X34" s="49">
        <f t="shared" si="12"/>
        <v>0.5431085044</v>
      </c>
      <c r="Y34" s="49">
        <f t="shared" si="13"/>
        <v>0.1225806452</v>
      </c>
      <c r="Z34" s="32" t="str">
        <f t="shared" si="14"/>
        <v>Milton</v>
      </c>
      <c r="AA34" s="50" t="s">
        <v>77</v>
      </c>
    </row>
    <row r="35">
      <c r="A35" s="143" t="s">
        <v>3174</v>
      </c>
      <c r="B35" s="13"/>
      <c r="C35" s="164"/>
      <c r="D35" s="38">
        <v>671.0</v>
      </c>
      <c r="E35" s="38">
        <v>142.0</v>
      </c>
      <c r="F35" s="38">
        <v>317.0</v>
      </c>
      <c r="G35" s="38">
        <v>19.0</v>
      </c>
      <c r="H35" s="38">
        <v>31.0</v>
      </c>
      <c r="I35" s="48">
        <f t="shared" si="3"/>
        <v>1130</v>
      </c>
      <c r="J35" s="48">
        <f t="shared" si="4"/>
        <v>1180</v>
      </c>
      <c r="K35" s="49">
        <f t="shared" si="5"/>
        <v>0.5938053097</v>
      </c>
      <c r="L35" s="49">
        <f t="shared" si="6"/>
        <v>0.1256637168</v>
      </c>
      <c r="M35" s="49">
        <f t="shared" si="7"/>
        <v>0.2805309735</v>
      </c>
      <c r="N35" s="32" t="str">
        <f t="shared" si="8"/>
        <v>Jânio</v>
      </c>
      <c r="O35" s="50" t="s">
        <v>77</v>
      </c>
      <c r="P35" s="38">
        <v>335.0</v>
      </c>
      <c r="Q35" s="38">
        <v>623.0</v>
      </c>
      <c r="R35" s="38">
        <v>135.0</v>
      </c>
      <c r="S35" s="38">
        <v>53.0</v>
      </c>
      <c r="T35" s="38">
        <v>34.0</v>
      </c>
      <c r="U35" s="48">
        <f t="shared" si="9"/>
        <v>1093</v>
      </c>
      <c r="V35" s="48">
        <f t="shared" si="10"/>
        <v>1180</v>
      </c>
      <c r="W35" s="49">
        <f t="shared" si="11"/>
        <v>0.3064958829</v>
      </c>
      <c r="X35" s="49">
        <f t="shared" si="12"/>
        <v>0.5699908509</v>
      </c>
      <c r="Y35" s="49">
        <f t="shared" si="13"/>
        <v>0.1235132662</v>
      </c>
      <c r="Z35" s="32" t="str">
        <f t="shared" si="14"/>
        <v>Milton</v>
      </c>
      <c r="AA35" s="50" t="s">
        <v>77</v>
      </c>
    </row>
    <row r="36">
      <c r="A36" s="143" t="s">
        <v>3175</v>
      </c>
      <c r="B36" s="13"/>
      <c r="C36" s="164"/>
      <c r="D36" s="38">
        <v>449.0</v>
      </c>
      <c r="E36" s="38">
        <v>191.0</v>
      </c>
      <c r="F36" s="38">
        <v>222.0</v>
      </c>
      <c r="G36" s="38">
        <v>10.0</v>
      </c>
      <c r="H36" s="38">
        <v>16.0</v>
      </c>
      <c r="I36" s="48">
        <f t="shared" si="3"/>
        <v>862</v>
      </c>
      <c r="J36" s="48">
        <f t="shared" si="4"/>
        <v>888</v>
      </c>
      <c r="K36" s="49">
        <f t="shared" si="5"/>
        <v>0.5208816705</v>
      </c>
      <c r="L36" s="49">
        <f t="shared" si="6"/>
        <v>0.2215777262</v>
      </c>
      <c r="M36" s="49">
        <f t="shared" si="7"/>
        <v>0.2575406032</v>
      </c>
      <c r="N36" s="32" t="str">
        <f t="shared" si="8"/>
        <v>Jânio</v>
      </c>
      <c r="O36" s="50" t="s">
        <v>77</v>
      </c>
      <c r="P36" s="38">
        <v>301.0</v>
      </c>
      <c r="Q36" s="38">
        <v>398.0</v>
      </c>
      <c r="R36" s="38">
        <v>131.0</v>
      </c>
      <c r="S36" s="38">
        <v>46.0</v>
      </c>
      <c r="T36" s="38">
        <v>12.0</v>
      </c>
      <c r="U36" s="48">
        <f t="shared" si="9"/>
        <v>830</v>
      </c>
      <c r="V36" s="48">
        <f t="shared" si="10"/>
        <v>888</v>
      </c>
      <c r="W36" s="49">
        <f t="shared" si="11"/>
        <v>0.3626506024</v>
      </c>
      <c r="X36" s="49">
        <f t="shared" si="12"/>
        <v>0.4795180723</v>
      </c>
      <c r="Y36" s="49">
        <f t="shared" si="13"/>
        <v>0.1578313253</v>
      </c>
      <c r="Z36" s="32" t="str">
        <f t="shared" si="14"/>
        <v>Milton</v>
      </c>
      <c r="AA36" s="50" t="s">
        <v>77</v>
      </c>
    </row>
    <row r="37">
      <c r="A37" s="143" t="s">
        <v>2701</v>
      </c>
      <c r="B37" s="13"/>
      <c r="C37" s="164"/>
      <c r="D37" s="38">
        <v>1040.0</v>
      </c>
      <c r="E37" s="38">
        <v>482.0</v>
      </c>
      <c r="F37" s="38">
        <v>619.0</v>
      </c>
      <c r="G37" s="38">
        <v>28.0</v>
      </c>
      <c r="H37" s="38">
        <v>65.0</v>
      </c>
      <c r="I37" s="48">
        <f t="shared" si="3"/>
        <v>2141</v>
      </c>
      <c r="J37" s="48">
        <f t="shared" si="4"/>
        <v>2234</v>
      </c>
      <c r="K37" s="49">
        <f t="shared" si="5"/>
        <v>0.4857543204</v>
      </c>
      <c r="L37" s="49">
        <f t="shared" si="6"/>
        <v>0.2251284447</v>
      </c>
      <c r="M37" s="49">
        <f t="shared" si="7"/>
        <v>0.2891172349</v>
      </c>
      <c r="N37" s="32" t="str">
        <f t="shared" si="8"/>
        <v>Jânio</v>
      </c>
      <c r="O37" s="50" t="s">
        <v>77</v>
      </c>
      <c r="P37" s="38">
        <v>847.0</v>
      </c>
      <c r="Q37" s="38">
        <v>922.0</v>
      </c>
      <c r="R37" s="38">
        <v>265.0</v>
      </c>
      <c r="S37" s="38">
        <v>155.0</v>
      </c>
      <c r="T37" s="38">
        <v>45.0</v>
      </c>
      <c r="U37" s="48">
        <f t="shared" si="9"/>
        <v>2034</v>
      </c>
      <c r="V37" s="48">
        <f t="shared" si="10"/>
        <v>2234</v>
      </c>
      <c r="W37" s="49">
        <f t="shared" si="11"/>
        <v>0.4164208456</v>
      </c>
      <c r="X37" s="49">
        <f t="shared" si="12"/>
        <v>0.453294002</v>
      </c>
      <c r="Y37" s="49">
        <f t="shared" si="13"/>
        <v>0.1302851524</v>
      </c>
      <c r="Z37" s="32" t="str">
        <f t="shared" si="14"/>
        <v>Milton</v>
      </c>
      <c r="AA37" s="50" t="s">
        <v>77</v>
      </c>
    </row>
    <row r="38">
      <c r="A38" s="143" t="s">
        <v>3176</v>
      </c>
      <c r="B38" s="13"/>
      <c r="C38" s="164"/>
      <c r="D38" s="38">
        <v>5962.0</v>
      </c>
      <c r="E38" s="38">
        <v>2347.0</v>
      </c>
      <c r="F38" s="38">
        <v>2535.0</v>
      </c>
      <c r="G38" s="38">
        <v>122.0</v>
      </c>
      <c r="H38" s="38">
        <v>221.0</v>
      </c>
      <c r="I38" s="48">
        <f t="shared" si="3"/>
        <v>10844</v>
      </c>
      <c r="J38" s="48">
        <f t="shared" si="4"/>
        <v>11187</v>
      </c>
      <c r="K38" s="49">
        <f t="shared" si="5"/>
        <v>0.5497971228</v>
      </c>
      <c r="L38" s="49">
        <f t="shared" si="6"/>
        <v>0.2164330505</v>
      </c>
      <c r="M38" s="49">
        <f t="shared" si="7"/>
        <v>0.2337698266</v>
      </c>
      <c r="N38" s="32" t="str">
        <f t="shared" si="8"/>
        <v>Jânio</v>
      </c>
      <c r="O38" s="50" t="s">
        <v>77</v>
      </c>
      <c r="P38" s="38">
        <v>3136.0</v>
      </c>
      <c r="Q38" s="38">
        <v>5588.0</v>
      </c>
      <c r="R38" s="38">
        <v>1796.0</v>
      </c>
      <c r="S38" s="38">
        <v>455.0</v>
      </c>
      <c r="T38" s="38">
        <v>212.0</v>
      </c>
      <c r="U38" s="48">
        <f t="shared" si="9"/>
        <v>10520</v>
      </c>
      <c r="V38" s="48">
        <f t="shared" si="10"/>
        <v>11187</v>
      </c>
      <c r="W38" s="49">
        <f t="shared" si="11"/>
        <v>0.2980988593</v>
      </c>
      <c r="X38" s="49">
        <f t="shared" si="12"/>
        <v>0.5311787072</v>
      </c>
      <c r="Y38" s="49">
        <f t="shared" si="13"/>
        <v>0.1707224335</v>
      </c>
      <c r="Z38" s="32" t="str">
        <f t="shared" si="14"/>
        <v>Milton</v>
      </c>
      <c r="AA38" s="50" t="s">
        <v>77</v>
      </c>
    </row>
    <row r="39">
      <c r="A39" s="143" t="s">
        <v>1057</v>
      </c>
      <c r="B39" s="13"/>
      <c r="C39" s="164"/>
      <c r="D39" s="38">
        <v>199.0</v>
      </c>
      <c r="E39" s="38">
        <v>57.0</v>
      </c>
      <c r="F39" s="38">
        <v>121.0</v>
      </c>
      <c r="G39" s="38">
        <v>12.0</v>
      </c>
      <c r="H39" s="38">
        <v>7.0</v>
      </c>
      <c r="I39" s="48">
        <f t="shared" si="3"/>
        <v>377</v>
      </c>
      <c r="J39" s="48">
        <f t="shared" si="4"/>
        <v>396</v>
      </c>
      <c r="K39" s="49">
        <f t="shared" si="5"/>
        <v>0.5278514589</v>
      </c>
      <c r="L39" s="49">
        <f t="shared" si="6"/>
        <v>0.151193634</v>
      </c>
      <c r="M39" s="49">
        <f t="shared" si="7"/>
        <v>0.3209549072</v>
      </c>
      <c r="N39" s="32" t="str">
        <f t="shared" si="8"/>
        <v>Jânio</v>
      </c>
      <c r="O39" s="50" t="s">
        <v>77</v>
      </c>
      <c r="P39" s="38">
        <v>163.0</v>
      </c>
      <c r="Q39" s="38">
        <v>146.0</v>
      </c>
      <c r="R39" s="38">
        <v>43.0</v>
      </c>
      <c r="S39" s="38">
        <v>36.0</v>
      </c>
      <c r="T39" s="38">
        <v>8.0</v>
      </c>
      <c r="U39" s="48">
        <f t="shared" si="9"/>
        <v>352</v>
      </c>
      <c r="V39" s="48">
        <f t="shared" si="10"/>
        <v>396</v>
      </c>
      <c r="W39" s="49">
        <f t="shared" si="11"/>
        <v>0.4630681818</v>
      </c>
      <c r="X39" s="49">
        <f t="shared" si="12"/>
        <v>0.4147727273</v>
      </c>
      <c r="Y39" s="49">
        <f t="shared" si="13"/>
        <v>0.1221590909</v>
      </c>
      <c r="Z39" s="32" t="str">
        <f t="shared" si="14"/>
        <v>Jango</v>
      </c>
      <c r="AA39" s="50" t="s">
        <v>77</v>
      </c>
    </row>
    <row r="40">
      <c r="A40" s="143" t="s">
        <v>3177</v>
      </c>
      <c r="B40" s="13"/>
      <c r="C40" s="164"/>
      <c r="D40" s="38">
        <v>547.0</v>
      </c>
      <c r="E40" s="38">
        <v>147.0</v>
      </c>
      <c r="F40" s="38">
        <v>245.0</v>
      </c>
      <c r="G40" s="38">
        <v>15.0</v>
      </c>
      <c r="H40" s="38">
        <v>42.0</v>
      </c>
      <c r="I40" s="48">
        <f t="shared" si="3"/>
        <v>939</v>
      </c>
      <c r="J40" s="48">
        <f t="shared" si="4"/>
        <v>996</v>
      </c>
      <c r="K40" s="49">
        <f t="shared" si="5"/>
        <v>0.5825346113</v>
      </c>
      <c r="L40" s="49">
        <f t="shared" si="6"/>
        <v>0.1565495208</v>
      </c>
      <c r="M40" s="49">
        <f t="shared" si="7"/>
        <v>0.2609158679</v>
      </c>
      <c r="N40" s="32" t="str">
        <f t="shared" si="8"/>
        <v>Jânio</v>
      </c>
      <c r="O40" s="50" t="s">
        <v>77</v>
      </c>
      <c r="P40" s="38">
        <v>302.0</v>
      </c>
      <c r="Q40" s="38">
        <v>463.0</v>
      </c>
      <c r="R40" s="38">
        <v>122.0</v>
      </c>
      <c r="S40" s="38">
        <v>81.0</v>
      </c>
      <c r="T40" s="38">
        <v>28.0</v>
      </c>
      <c r="U40" s="48">
        <f t="shared" si="9"/>
        <v>887</v>
      </c>
      <c r="V40" s="48">
        <f t="shared" si="10"/>
        <v>996</v>
      </c>
      <c r="W40" s="49">
        <f t="shared" si="11"/>
        <v>0.3404735062</v>
      </c>
      <c r="X40" s="49">
        <f t="shared" si="12"/>
        <v>0.5219842165</v>
      </c>
      <c r="Y40" s="49">
        <f t="shared" si="13"/>
        <v>0.1375422773</v>
      </c>
      <c r="Z40" s="32" t="str">
        <f t="shared" si="14"/>
        <v>Milton</v>
      </c>
      <c r="AA40" s="50" t="s">
        <v>77</v>
      </c>
    </row>
    <row r="41">
      <c r="A41" s="143" t="s">
        <v>3178</v>
      </c>
      <c r="B41" s="13"/>
      <c r="C41" s="164"/>
      <c r="D41" s="38">
        <v>565.0</v>
      </c>
      <c r="E41" s="38">
        <v>188.0</v>
      </c>
      <c r="F41" s="38">
        <v>216.0</v>
      </c>
      <c r="G41" s="38">
        <v>23.0</v>
      </c>
      <c r="H41" s="38">
        <v>44.0</v>
      </c>
      <c r="I41" s="48">
        <f t="shared" si="3"/>
        <v>969</v>
      </c>
      <c r="J41" s="48">
        <f t="shared" si="4"/>
        <v>1036</v>
      </c>
      <c r="K41" s="49">
        <f t="shared" si="5"/>
        <v>0.5830753354</v>
      </c>
      <c r="L41" s="49">
        <f t="shared" si="6"/>
        <v>0.1940144479</v>
      </c>
      <c r="M41" s="49">
        <f t="shared" si="7"/>
        <v>0.2229102167</v>
      </c>
      <c r="N41" s="32" t="str">
        <f t="shared" si="8"/>
        <v>Jânio</v>
      </c>
      <c r="O41" s="50" t="s">
        <v>77</v>
      </c>
      <c r="P41" s="38">
        <v>340.0</v>
      </c>
      <c r="Q41" s="38">
        <v>442.0</v>
      </c>
      <c r="R41" s="38">
        <v>112.0</v>
      </c>
      <c r="S41" s="38">
        <v>111.0</v>
      </c>
      <c r="T41" s="38">
        <v>31.0</v>
      </c>
      <c r="U41" s="48">
        <f t="shared" si="9"/>
        <v>894</v>
      </c>
      <c r="V41" s="48">
        <f t="shared" si="10"/>
        <v>1036</v>
      </c>
      <c r="W41" s="49">
        <f t="shared" si="11"/>
        <v>0.3803131991</v>
      </c>
      <c r="X41" s="49">
        <f t="shared" si="12"/>
        <v>0.4944071588</v>
      </c>
      <c r="Y41" s="49">
        <f t="shared" si="13"/>
        <v>0.1252796421</v>
      </c>
      <c r="Z41" s="32" t="str">
        <f t="shared" si="14"/>
        <v>Milton</v>
      </c>
      <c r="AA41" s="50" t="s">
        <v>77</v>
      </c>
    </row>
    <row r="42">
      <c r="A42" s="143" t="s">
        <v>3179</v>
      </c>
      <c r="B42" s="13"/>
      <c r="C42" s="164"/>
      <c r="D42" s="38">
        <v>182.0</v>
      </c>
      <c r="E42" s="38">
        <v>48.0</v>
      </c>
      <c r="F42" s="38">
        <v>66.0</v>
      </c>
      <c r="G42" s="38">
        <v>3.0</v>
      </c>
      <c r="H42" s="38">
        <v>20.0</v>
      </c>
      <c r="I42" s="48">
        <f t="shared" si="3"/>
        <v>296</v>
      </c>
      <c r="J42" s="48">
        <f t="shared" si="4"/>
        <v>319</v>
      </c>
      <c r="K42" s="49">
        <f t="shared" si="5"/>
        <v>0.6148648649</v>
      </c>
      <c r="L42" s="49">
        <f t="shared" si="6"/>
        <v>0.1621621622</v>
      </c>
      <c r="M42" s="49">
        <f t="shared" si="7"/>
        <v>0.222972973</v>
      </c>
      <c r="N42" s="32" t="str">
        <f t="shared" si="8"/>
        <v>Jânio</v>
      </c>
      <c r="O42" s="50" t="s">
        <v>77</v>
      </c>
      <c r="P42" s="38">
        <v>109.0</v>
      </c>
      <c r="Q42" s="38">
        <v>151.0</v>
      </c>
      <c r="R42" s="38">
        <v>20.0</v>
      </c>
      <c r="S42" s="38">
        <v>25.0</v>
      </c>
      <c r="T42" s="38">
        <v>14.0</v>
      </c>
      <c r="U42" s="48">
        <f t="shared" si="9"/>
        <v>280</v>
      </c>
      <c r="V42" s="48">
        <f t="shared" si="10"/>
        <v>319</v>
      </c>
      <c r="W42" s="49">
        <f t="shared" si="11"/>
        <v>0.3892857143</v>
      </c>
      <c r="X42" s="49">
        <f t="shared" si="12"/>
        <v>0.5392857143</v>
      </c>
      <c r="Y42" s="49">
        <f t="shared" si="13"/>
        <v>0.07142857143</v>
      </c>
      <c r="Z42" s="32" t="str">
        <f t="shared" si="14"/>
        <v>Milton</v>
      </c>
      <c r="AA42" s="50" t="s">
        <v>77</v>
      </c>
    </row>
    <row r="43">
      <c r="A43" s="143" t="s">
        <v>3180</v>
      </c>
      <c r="B43" s="13"/>
      <c r="C43" s="164"/>
      <c r="D43" s="38">
        <v>793.0</v>
      </c>
      <c r="E43" s="38">
        <v>173.0</v>
      </c>
      <c r="F43" s="38">
        <v>431.0</v>
      </c>
      <c r="G43" s="38">
        <v>33.0</v>
      </c>
      <c r="H43" s="38">
        <v>52.0</v>
      </c>
      <c r="I43" s="48">
        <f t="shared" si="3"/>
        <v>1397</v>
      </c>
      <c r="J43" s="48">
        <f t="shared" si="4"/>
        <v>1482</v>
      </c>
      <c r="K43" s="49">
        <f t="shared" si="5"/>
        <v>0.5676449535</v>
      </c>
      <c r="L43" s="49">
        <f t="shared" si="6"/>
        <v>0.1238367931</v>
      </c>
      <c r="M43" s="49">
        <f t="shared" si="7"/>
        <v>0.3085182534</v>
      </c>
      <c r="N43" s="32" t="str">
        <f t="shared" si="8"/>
        <v>Jânio</v>
      </c>
      <c r="O43" s="50" t="s">
        <v>77</v>
      </c>
      <c r="P43" s="38">
        <v>487.0</v>
      </c>
      <c r="Q43" s="38">
        <v>626.0</v>
      </c>
      <c r="R43" s="38">
        <v>165.0</v>
      </c>
      <c r="S43" s="38">
        <v>155.0</v>
      </c>
      <c r="T43" s="38">
        <v>49.0</v>
      </c>
      <c r="U43" s="48">
        <f t="shared" si="9"/>
        <v>1278</v>
      </c>
      <c r="V43" s="48">
        <f t="shared" si="10"/>
        <v>1482</v>
      </c>
      <c r="W43" s="49">
        <f t="shared" si="11"/>
        <v>0.3810641628</v>
      </c>
      <c r="X43" s="49">
        <f t="shared" si="12"/>
        <v>0.489827856</v>
      </c>
      <c r="Y43" s="49">
        <f t="shared" si="13"/>
        <v>0.1291079812</v>
      </c>
      <c r="Z43" s="32" t="str">
        <f t="shared" si="14"/>
        <v>Milton</v>
      </c>
      <c r="AA43" s="50" t="s">
        <v>77</v>
      </c>
    </row>
    <row r="44">
      <c r="A44" s="143" t="s">
        <v>3181</v>
      </c>
      <c r="B44" s="13"/>
      <c r="C44" s="164"/>
      <c r="D44" s="38">
        <v>1476.0</v>
      </c>
      <c r="E44" s="38">
        <v>486.0</v>
      </c>
      <c r="F44" s="38">
        <v>895.0</v>
      </c>
      <c r="G44" s="38">
        <v>77.0</v>
      </c>
      <c r="H44" s="38">
        <v>175.0</v>
      </c>
      <c r="I44" s="48">
        <f t="shared" si="3"/>
        <v>2857</v>
      </c>
      <c r="J44" s="48">
        <f t="shared" si="4"/>
        <v>3109</v>
      </c>
      <c r="K44" s="49">
        <f t="shared" si="5"/>
        <v>0.5166258313</v>
      </c>
      <c r="L44" s="49">
        <f t="shared" si="6"/>
        <v>0.1701085054</v>
      </c>
      <c r="M44" s="49">
        <f t="shared" si="7"/>
        <v>0.3132656633</v>
      </c>
      <c r="N44" s="32" t="str">
        <f t="shared" si="8"/>
        <v>Jânio</v>
      </c>
      <c r="O44" s="50" t="s">
        <v>77</v>
      </c>
      <c r="P44" s="38">
        <v>1158.0</v>
      </c>
      <c r="Q44" s="38">
        <v>1158.0</v>
      </c>
      <c r="R44" s="38">
        <v>345.0</v>
      </c>
      <c r="S44" s="38">
        <v>305.0</v>
      </c>
      <c r="T44" s="38">
        <v>143.0</v>
      </c>
      <c r="U44" s="48">
        <f t="shared" si="9"/>
        <v>2661</v>
      </c>
      <c r="V44" s="48">
        <f t="shared" si="10"/>
        <v>3109</v>
      </c>
      <c r="W44" s="49">
        <f t="shared" si="11"/>
        <v>0.4351747463</v>
      </c>
      <c r="X44" s="49">
        <f t="shared" si="12"/>
        <v>0.4351747463</v>
      </c>
      <c r="Y44" s="49">
        <f t="shared" si="13"/>
        <v>0.1296505073</v>
      </c>
      <c r="Z44" s="32" t="str">
        <f t="shared" si="14"/>
        <v>Empate</v>
      </c>
      <c r="AA44" s="50" t="s">
        <v>77</v>
      </c>
    </row>
    <row r="45">
      <c r="A45" s="143" t="s">
        <v>3182</v>
      </c>
      <c r="B45" s="13"/>
      <c r="C45" s="164"/>
      <c r="D45" s="38">
        <v>3223.0</v>
      </c>
      <c r="E45" s="38">
        <v>1098.0</v>
      </c>
      <c r="F45" s="38">
        <v>708.0</v>
      </c>
      <c r="G45" s="38">
        <v>82.0</v>
      </c>
      <c r="H45" s="38">
        <v>60.0</v>
      </c>
      <c r="I45" s="48">
        <f t="shared" si="3"/>
        <v>5029</v>
      </c>
      <c r="J45" s="48">
        <f t="shared" si="4"/>
        <v>5171</v>
      </c>
      <c r="K45" s="49">
        <f t="shared" si="5"/>
        <v>0.6408828793</v>
      </c>
      <c r="L45" s="49">
        <f t="shared" si="6"/>
        <v>0.2183336647</v>
      </c>
      <c r="M45" s="49">
        <f t="shared" si="7"/>
        <v>0.140783456</v>
      </c>
      <c r="N45" s="32" t="str">
        <f t="shared" si="8"/>
        <v>Jânio</v>
      </c>
      <c r="O45" s="50" t="s">
        <v>77</v>
      </c>
      <c r="P45" s="38">
        <v>1026.0</v>
      </c>
      <c r="Q45" s="38">
        <v>3302.0</v>
      </c>
      <c r="R45" s="38">
        <v>640.0</v>
      </c>
      <c r="S45" s="38">
        <v>153.0</v>
      </c>
      <c r="T45" s="38">
        <v>50.0</v>
      </c>
      <c r="U45" s="48">
        <f t="shared" si="9"/>
        <v>4968</v>
      </c>
      <c r="V45" s="48">
        <f t="shared" si="10"/>
        <v>5171</v>
      </c>
      <c r="W45" s="49">
        <f t="shared" si="11"/>
        <v>0.2065217391</v>
      </c>
      <c r="X45" s="49">
        <f t="shared" si="12"/>
        <v>0.6646537842</v>
      </c>
      <c r="Y45" s="49">
        <f t="shared" si="13"/>
        <v>0.1288244767</v>
      </c>
      <c r="Z45" s="32" t="str">
        <f t="shared" si="14"/>
        <v>Milton</v>
      </c>
      <c r="AA45" s="50" t="s">
        <v>77</v>
      </c>
    </row>
    <row r="46">
      <c r="A46" s="143" t="s">
        <v>3183</v>
      </c>
      <c r="B46" s="13"/>
      <c r="C46" s="164"/>
      <c r="D46" s="38">
        <v>5762.0</v>
      </c>
      <c r="E46" s="38">
        <v>1920.0</v>
      </c>
      <c r="F46" s="38">
        <v>2442.0</v>
      </c>
      <c r="G46" s="38">
        <v>168.0</v>
      </c>
      <c r="H46" s="38">
        <v>220.0</v>
      </c>
      <c r="I46" s="48">
        <f t="shared" si="3"/>
        <v>10124</v>
      </c>
      <c r="J46" s="48">
        <f t="shared" si="4"/>
        <v>10512</v>
      </c>
      <c r="K46" s="49">
        <f t="shared" si="5"/>
        <v>0.5691426314</v>
      </c>
      <c r="L46" s="49">
        <f t="shared" si="6"/>
        <v>0.1896483603</v>
      </c>
      <c r="M46" s="49">
        <f t="shared" si="7"/>
        <v>0.2412090083</v>
      </c>
      <c r="N46" s="32" t="str">
        <f t="shared" si="8"/>
        <v>Jânio</v>
      </c>
      <c r="O46" s="50" t="s">
        <v>77</v>
      </c>
      <c r="P46" s="38">
        <v>3141.0</v>
      </c>
      <c r="Q46" s="38">
        <v>5267.0</v>
      </c>
      <c r="R46" s="38">
        <v>1381.0</v>
      </c>
      <c r="S46" s="38">
        <v>539.0</v>
      </c>
      <c r="T46" s="38">
        <v>184.0</v>
      </c>
      <c r="U46" s="48">
        <f t="shared" si="9"/>
        <v>9789</v>
      </c>
      <c r="V46" s="48">
        <f t="shared" si="10"/>
        <v>10512</v>
      </c>
      <c r="W46" s="49">
        <f t="shared" si="11"/>
        <v>0.3208703647</v>
      </c>
      <c r="X46" s="49">
        <f t="shared" si="12"/>
        <v>0.5380529165</v>
      </c>
      <c r="Y46" s="49">
        <f t="shared" si="13"/>
        <v>0.1410767188</v>
      </c>
      <c r="Z46" s="32" t="str">
        <f t="shared" si="14"/>
        <v>Milton</v>
      </c>
      <c r="AA46" s="50" t="s">
        <v>77</v>
      </c>
    </row>
    <row r="47">
      <c r="A47" s="143" t="s">
        <v>2599</v>
      </c>
      <c r="B47" s="13"/>
      <c r="C47" s="164"/>
      <c r="D47" s="38">
        <v>8500.0</v>
      </c>
      <c r="E47" s="38">
        <v>2535.0</v>
      </c>
      <c r="F47" s="38">
        <v>3781.0</v>
      </c>
      <c r="G47" s="38">
        <v>175.0</v>
      </c>
      <c r="H47" s="38">
        <v>626.0</v>
      </c>
      <c r="I47" s="48">
        <f t="shared" si="3"/>
        <v>14816</v>
      </c>
      <c r="J47" s="48">
        <f t="shared" si="4"/>
        <v>15617</v>
      </c>
      <c r="K47" s="49">
        <f t="shared" si="5"/>
        <v>0.5737041037</v>
      </c>
      <c r="L47" s="49">
        <f t="shared" si="6"/>
        <v>0.1710988121</v>
      </c>
      <c r="M47" s="49">
        <f t="shared" si="7"/>
        <v>0.2551970842</v>
      </c>
      <c r="N47" s="32" t="str">
        <f t="shared" si="8"/>
        <v>Jânio</v>
      </c>
      <c r="O47" s="50" t="s">
        <v>77</v>
      </c>
      <c r="P47" s="38">
        <v>4689.0</v>
      </c>
      <c r="Q47" s="38">
        <v>7483.0</v>
      </c>
      <c r="R47" s="38">
        <v>2054.0</v>
      </c>
      <c r="S47" s="38">
        <v>856.0</v>
      </c>
      <c r="T47" s="38">
        <v>535.0</v>
      </c>
      <c r="U47" s="48">
        <f t="shared" si="9"/>
        <v>14226</v>
      </c>
      <c r="V47" s="48">
        <f t="shared" si="10"/>
        <v>15617</v>
      </c>
      <c r="W47" s="49">
        <f t="shared" si="11"/>
        <v>0.3296077604</v>
      </c>
      <c r="X47" s="49">
        <f t="shared" si="12"/>
        <v>0.5260087164</v>
      </c>
      <c r="Y47" s="49">
        <f t="shared" si="13"/>
        <v>0.1443835231</v>
      </c>
      <c r="Z47" s="32" t="str">
        <f t="shared" si="14"/>
        <v>Milton</v>
      </c>
      <c r="AA47" s="50" t="s">
        <v>77</v>
      </c>
    </row>
    <row r="48">
      <c r="A48" s="143" t="s">
        <v>1789</v>
      </c>
      <c r="B48" s="13"/>
      <c r="C48" s="164"/>
      <c r="D48" s="38">
        <v>28000.0</v>
      </c>
      <c r="E48" s="38">
        <v>7428.0</v>
      </c>
      <c r="F48" s="38">
        <v>13210.0</v>
      </c>
      <c r="G48" s="38">
        <v>675.0</v>
      </c>
      <c r="H48" s="38">
        <v>1359.0</v>
      </c>
      <c r="I48" s="48">
        <f t="shared" si="3"/>
        <v>48638</v>
      </c>
      <c r="J48" s="48">
        <f t="shared" si="4"/>
        <v>50672</v>
      </c>
      <c r="K48" s="49">
        <f t="shared" si="5"/>
        <v>0.5756815659</v>
      </c>
      <c r="L48" s="49">
        <f t="shared" si="6"/>
        <v>0.1527200954</v>
      </c>
      <c r="M48" s="49">
        <f t="shared" si="7"/>
        <v>0.2715983387</v>
      </c>
      <c r="N48" s="32" t="str">
        <f t="shared" si="8"/>
        <v>Jânio</v>
      </c>
      <c r="O48" s="50" t="s">
        <v>77</v>
      </c>
      <c r="P48" s="38">
        <v>15711.0</v>
      </c>
      <c r="Q48" s="38">
        <v>23750.0</v>
      </c>
      <c r="R48" s="38">
        <v>6848.0</v>
      </c>
      <c r="S48" s="38">
        <v>3206.0</v>
      </c>
      <c r="T48" s="38">
        <v>1157.0</v>
      </c>
      <c r="U48" s="48">
        <f t="shared" si="9"/>
        <v>46309</v>
      </c>
      <c r="V48" s="48">
        <f t="shared" si="10"/>
        <v>50672</v>
      </c>
      <c r="W48" s="49">
        <f t="shared" si="11"/>
        <v>0.3392645058</v>
      </c>
      <c r="X48" s="49">
        <f t="shared" si="12"/>
        <v>0.5128592714</v>
      </c>
      <c r="Y48" s="49">
        <f t="shared" si="13"/>
        <v>0.1478762228</v>
      </c>
      <c r="Z48" s="32" t="str">
        <f t="shared" si="14"/>
        <v>Milton</v>
      </c>
      <c r="AA48" s="50" t="s">
        <v>77</v>
      </c>
    </row>
    <row r="49">
      <c r="A49" s="143" t="s">
        <v>3184</v>
      </c>
      <c r="B49" s="13"/>
      <c r="C49" s="164"/>
      <c r="D49" s="38">
        <v>354.0</v>
      </c>
      <c r="E49" s="38">
        <v>83.0</v>
      </c>
      <c r="F49" s="38">
        <v>176.0</v>
      </c>
      <c r="G49" s="38">
        <v>9.0</v>
      </c>
      <c r="H49" s="38">
        <v>23.0</v>
      </c>
      <c r="I49" s="48">
        <f t="shared" si="3"/>
        <v>613</v>
      </c>
      <c r="J49" s="48">
        <f t="shared" si="4"/>
        <v>645</v>
      </c>
      <c r="K49" s="49">
        <f t="shared" si="5"/>
        <v>0.5774877651</v>
      </c>
      <c r="L49" s="49">
        <f t="shared" si="6"/>
        <v>0.1353996737</v>
      </c>
      <c r="M49" s="49">
        <f t="shared" si="7"/>
        <v>0.2871125612</v>
      </c>
      <c r="N49" s="32" t="str">
        <f t="shared" si="8"/>
        <v>Jânio</v>
      </c>
      <c r="O49" s="50" t="s">
        <v>77</v>
      </c>
      <c r="P49" s="38">
        <v>221.0</v>
      </c>
      <c r="Q49" s="38">
        <v>288.0</v>
      </c>
      <c r="R49" s="38">
        <v>58.0</v>
      </c>
      <c r="S49" s="38">
        <v>60.0</v>
      </c>
      <c r="T49" s="38">
        <v>18.0</v>
      </c>
      <c r="U49" s="48">
        <f t="shared" si="9"/>
        <v>567</v>
      </c>
      <c r="V49" s="48">
        <f t="shared" si="10"/>
        <v>645</v>
      </c>
      <c r="W49" s="49">
        <f t="shared" si="11"/>
        <v>0.3897707231</v>
      </c>
      <c r="X49" s="49">
        <f t="shared" si="12"/>
        <v>0.5079365079</v>
      </c>
      <c r="Y49" s="49">
        <f t="shared" si="13"/>
        <v>0.102292769</v>
      </c>
      <c r="Z49" s="32" t="str">
        <f t="shared" si="14"/>
        <v>Milton</v>
      </c>
      <c r="AA49" s="50" t="s">
        <v>77</v>
      </c>
    </row>
    <row r="50">
      <c r="A50" s="143" t="s">
        <v>3185</v>
      </c>
      <c r="B50" s="13"/>
      <c r="C50" s="164"/>
      <c r="D50" s="38">
        <v>127.0</v>
      </c>
      <c r="E50" s="38">
        <v>49.0</v>
      </c>
      <c r="F50" s="38">
        <v>88.0</v>
      </c>
      <c r="G50" s="38">
        <v>3.0</v>
      </c>
      <c r="H50" s="38">
        <v>10.0</v>
      </c>
      <c r="I50" s="48">
        <f t="shared" si="3"/>
        <v>264</v>
      </c>
      <c r="J50" s="48">
        <f t="shared" si="4"/>
        <v>277</v>
      </c>
      <c r="K50" s="49">
        <f t="shared" si="5"/>
        <v>0.4810606061</v>
      </c>
      <c r="L50" s="49">
        <f t="shared" si="6"/>
        <v>0.1856060606</v>
      </c>
      <c r="M50" s="49">
        <f t="shared" si="7"/>
        <v>0.3333333333</v>
      </c>
      <c r="N50" s="32" t="str">
        <f t="shared" si="8"/>
        <v>Jânio</v>
      </c>
      <c r="O50" s="50" t="s">
        <v>77</v>
      </c>
      <c r="P50" s="38">
        <v>114.0</v>
      </c>
      <c r="Q50" s="38">
        <v>87.0</v>
      </c>
      <c r="R50" s="38">
        <v>40.0</v>
      </c>
      <c r="S50" s="38">
        <v>30.0</v>
      </c>
      <c r="T50" s="38">
        <v>6.0</v>
      </c>
      <c r="U50" s="48">
        <f t="shared" si="9"/>
        <v>241</v>
      </c>
      <c r="V50" s="48">
        <f t="shared" si="10"/>
        <v>277</v>
      </c>
      <c r="W50" s="49">
        <f t="shared" si="11"/>
        <v>0.4730290456</v>
      </c>
      <c r="X50" s="49">
        <f t="shared" si="12"/>
        <v>0.3609958506</v>
      </c>
      <c r="Y50" s="49">
        <f t="shared" si="13"/>
        <v>0.1659751037</v>
      </c>
      <c r="Z50" s="32" t="str">
        <f t="shared" si="14"/>
        <v>Jango</v>
      </c>
      <c r="AA50" s="50" t="s">
        <v>77</v>
      </c>
    </row>
    <row r="51">
      <c r="A51" s="143" t="s">
        <v>3186</v>
      </c>
      <c r="B51" s="13"/>
      <c r="C51" s="164"/>
      <c r="D51" s="38">
        <v>2924.0</v>
      </c>
      <c r="E51" s="38">
        <v>761.0</v>
      </c>
      <c r="F51" s="38">
        <v>1266.0</v>
      </c>
      <c r="G51" s="38">
        <v>105.0</v>
      </c>
      <c r="H51" s="38">
        <v>227.0</v>
      </c>
      <c r="I51" s="48">
        <f t="shared" si="3"/>
        <v>4951</v>
      </c>
      <c r="J51" s="48">
        <f t="shared" si="4"/>
        <v>5283</v>
      </c>
      <c r="K51" s="49">
        <f t="shared" si="5"/>
        <v>0.59058776</v>
      </c>
      <c r="L51" s="49">
        <f t="shared" si="6"/>
        <v>0.153706322</v>
      </c>
      <c r="M51" s="49">
        <f t="shared" si="7"/>
        <v>0.255705918</v>
      </c>
      <c r="N51" s="32" t="str">
        <f t="shared" si="8"/>
        <v>Jânio</v>
      </c>
      <c r="O51" s="50" t="s">
        <v>77</v>
      </c>
      <c r="P51" s="38">
        <v>1684.0</v>
      </c>
      <c r="Q51" s="38">
        <v>2415.0</v>
      </c>
      <c r="R51" s="38">
        <v>530.0</v>
      </c>
      <c r="S51" s="38">
        <v>495.0</v>
      </c>
      <c r="T51" s="38">
        <v>159.0</v>
      </c>
      <c r="U51" s="48">
        <f t="shared" si="9"/>
        <v>4629</v>
      </c>
      <c r="V51" s="48">
        <f t="shared" si="10"/>
        <v>5283</v>
      </c>
      <c r="W51" s="49">
        <f t="shared" si="11"/>
        <v>0.3637934759</v>
      </c>
      <c r="X51" s="49">
        <f t="shared" si="12"/>
        <v>0.5217109527</v>
      </c>
      <c r="Y51" s="49">
        <f t="shared" si="13"/>
        <v>0.1144955714</v>
      </c>
      <c r="Z51" s="32" t="str">
        <f t="shared" si="14"/>
        <v>Milton</v>
      </c>
      <c r="AA51" s="50" t="s">
        <v>77</v>
      </c>
    </row>
    <row r="52">
      <c r="A52" s="143" t="s">
        <v>3187</v>
      </c>
      <c r="B52" s="13"/>
      <c r="C52" s="164"/>
      <c r="D52" s="38">
        <v>870.0</v>
      </c>
      <c r="E52" s="38">
        <v>228.0</v>
      </c>
      <c r="F52" s="38">
        <v>427.0</v>
      </c>
      <c r="G52" s="38">
        <v>27.0</v>
      </c>
      <c r="H52" s="38">
        <v>51.0</v>
      </c>
      <c r="I52" s="48">
        <f t="shared" si="3"/>
        <v>1525</v>
      </c>
      <c r="J52" s="48">
        <f t="shared" si="4"/>
        <v>1603</v>
      </c>
      <c r="K52" s="49">
        <f t="shared" si="5"/>
        <v>0.5704918033</v>
      </c>
      <c r="L52" s="49">
        <f t="shared" si="6"/>
        <v>0.1495081967</v>
      </c>
      <c r="M52" s="49">
        <f t="shared" si="7"/>
        <v>0.28</v>
      </c>
      <c r="N52" s="32" t="str">
        <f t="shared" si="8"/>
        <v>Jânio</v>
      </c>
      <c r="O52" s="50" t="s">
        <v>77</v>
      </c>
      <c r="P52" s="38">
        <v>541.0</v>
      </c>
      <c r="Q52" s="38">
        <v>747.0</v>
      </c>
      <c r="R52" s="38">
        <v>165.0</v>
      </c>
      <c r="S52" s="38">
        <v>108.0</v>
      </c>
      <c r="T52" s="38">
        <v>42.0</v>
      </c>
      <c r="U52" s="48">
        <f t="shared" si="9"/>
        <v>1453</v>
      </c>
      <c r="V52" s="48">
        <f t="shared" si="10"/>
        <v>1603</v>
      </c>
      <c r="W52" s="49">
        <f t="shared" si="11"/>
        <v>0.3723331039</v>
      </c>
      <c r="X52" s="49">
        <f t="shared" si="12"/>
        <v>0.5141087405</v>
      </c>
      <c r="Y52" s="49">
        <f t="shared" si="13"/>
        <v>0.1135581555</v>
      </c>
      <c r="Z52" s="32" t="str">
        <f t="shared" si="14"/>
        <v>Milton</v>
      </c>
      <c r="AA52" s="50" t="s">
        <v>77</v>
      </c>
    </row>
    <row r="53">
      <c r="A53" s="143" t="s">
        <v>3188</v>
      </c>
      <c r="B53" s="13"/>
      <c r="C53" s="164"/>
      <c r="D53" s="38">
        <v>3591.0</v>
      </c>
      <c r="E53" s="38">
        <v>887.0</v>
      </c>
      <c r="F53" s="38">
        <v>2083.0</v>
      </c>
      <c r="G53" s="38">
        <v>91.0</v>
      </c>
      <c r="H53" s="38">
        <v>226.0</v>
      </c>
      <c r="I53" s="48">
        <f t="shared" si="3"/>
        <v>6561</v>
      </c>
      <c r="J53" s="48">
        <f t="shared" si="4"/>
        <v>6878</v>
      </c>
      <c r="K53" s="49">
        <f t="shared" si="5"/>
        <v>0.5473251029</v>
      </c>
      <c r="L53" s="49">
        <f t="shared" si="6"/>
        <v>0.135192806</v>
      </c>
      <c r="M53" s="49">
        <f t="shared" si="7"/>
        <v>0.3174820911</v>
      </c>
      <c r="N53" s="32" t="str">
        <f t="shared" si="8"/>
        <v>Jânio</v>
      </c>
      <c r="O53" s="50" t="s">
        <v>77</v>
      </c>
      <c r="P53" s="38">
        <v>2276.0</v>
      </c>
      <c r="Q53" s="38">
        <v>3096.0</v>
      </c>
      <c r="R53" s="38">
        <v>785.0</v>
      </c>
      <c r="S53" s="38">
        <v>535.0</v>
      </c>
      <c r="T53" s="38">
        <v>186.0</v>
      </c>
      <c r="U53" s="48">
        <f t="shared" si="9"/>
        <v>6157</v>
      </c>
      <c r="V53" s="48">
        <f t="shared" si="10"/>
        <v>6878</v>
      </c>
      <c r="W53" s="49">
        <f t="shared" si="11"/>
        <v>0.369660549</v>
      </c>
      <c r="X53" s="49">
        <f t="shared" si="12"/>
        <v>0.5028422933</v>
      </c>
      <c r="Y53" s="49">
        <f t="shared" si="13"/>
        <v>0.1274971577</v>
      </c>
      <c r="Z53" s="32" t="str">
        <f t="shared" si="14"/>
        <v>Milton</v>
      </c>
      <c r="AA53" s="50" t="s">
        <v>77</v>
      </c>
    </row>
    <row r="54">
      <c r="A54" s="143" t="s">
        <v>3189</v>
      </c>
      <c r="B54" s="13"/>
      <c r="C54" s="164"/>
      <c r="D54" s="38">
        <v>262.0</v>
      </c>
      <c r="E54" s="38">
        <v>106.0</v>
      </c>
      <c r="F54" s="38">
        <v>201.0</v>
      </c>
      <c r="G54" s="38">
        <v>13.0</v>
      </c>
      <c r="H54" s="38">
        <v>18.0</v>
      </c>
      <c r="I54" s="48">
        <f t="shared" si="3"/>
        <v>569</v>
      </c>
      <c r="J54" s="48">
        <f t="shared" si="4"/>
        <v>600</v>
      </c>
      <c r="K54" s="49">
        <f t="shared" si="5"/>
        <v>0.460456942</v>
      </c>
      <c r="L54" s="49">
        <f t="shared" si="6"/>
        <v>0.1862917399</v>
      </c>
      <c r="M54" s="49">
        <f t="shared" si="7"/>
        <v>0.3532513181</v>
      </c>
      <c r="N54" s="32" t="str">
        <f t="shared" si="8"/>
        <v>Jânio</v>
      </c>
      <c r="O54" s="50" t="s">
        <v>77</v>
      </c>
      <c r="P54" s="38">
        <v>264.0</v>
      </c>
      <c r="Q54" s="38">
        <v>195.0</v>
      </c>
      <c r="R54" s="38">
        <v>71.0</v>
      </c>
      <c r="S54" s="38">
        <v>54.0</v>
      </c>
      <c r="T54" s="38">
        <v>16.0</v>
      </c>
      <c r="U54" s="48">
        <f t="shared" si="9"/>
        <v>530</v>
      </c>
      <c r="V54" s="48">
        <f t="shared" si="10"/>
        <v>600</v>
      </c>
      <c r="W54" s="49">
        <f t="shared" si="11"/>
        <v>0.4981132075</v>
      </c>
      <c r="X54" s="49">
        <f t="shared" si="12"/>
        <v>0.3679245283</v>
      </c>
      <c r="Y54" s="49">
        <f t="shared" si="13"/>
        <v>0.1339622642</v>
      </c>
      <c r="Z54" s="32" t="str">
        <f t="shared" si="14"/>
        <v>Jango</v>
      </c>
      <c r="AA54" s="50" t="s">
        <v>77</v>
      </c>
    </row>
    <row r="55">
      <c r="A55" s="143" t="s">
        <v>1348</v>
      </c>
      <c r="B55" s="13"/>
      <c r="C55" s="164"/>
      <c r="D55" s="38">
        <v>458.0</v>
      </c>
      <c r="E55" s="38">
        <v>87.0</v>
      </c>
      <c r="F55" s="38">
        <v>255.0</v>
      </c>
      <c r="G55" s="38">
        <v>16.0</v>
      </c>
      <c r="H55" s="38">
        <v>33.0</v>
      </c>
      <c r="I55" s="48">
        <f t="shared" si="3"/>
        <v>800</v>
      </c>
      <c r="J55" s="48">
        <f t="shared" si="4"/>
        <v>849</v>
      </c>
      <c r="K55" s="49">
        <f t="shared" si="5"/>
        <v>0.5725</v>
      </c>
      <c r="L55" s="49">
        <f t="shared" si="6"/>
        <v>0.10875</v>
      </c>
      <c r="M55" s="49">
        <f t="shared" si="7"/>
        <v>0.31875</v>
      </c>
      <c r="N55" s="32" t="str">
        <f t="shared" si="8"/>
        <v>Jânio</v>
      </c>
      <c r="O55" s="50" t="s">
        <v>77</v>
      </c>
      <c r="P55" s="38">
        <v>275.0</v>
      </c>
      <c r="Q55" s="38">
        <v>351.0</v>
      </c>
      <c r="R55" s="38">
        <v>123.0</v>
      </c>
      <c r="S55" s="38">
        <v>77.0</v>
      </c>
      <c r="T55" s="38">
        <v>23.0</v>
      </c>
      <c r="U55" s="48">
        <f t="shared" si="9"/>
        <v>749</v>
      </c>
      <c r="V55" s="48">
        <f t="shared" si="10"/>
        <v>849</v>
      </c>
      <c r="W55" s="49">
        <f t="shared" si="11"/>
        <v>0.3671562083</v>
      </c>
      <c r="X55" s="49">
        <f t="shared" si="12"/>
        <v>0.4686248331</v>
      </c>
      <c r="Y55" s="49">
        <f t="shared" si="13"/>
        <v>0.1642189586</v>
      </c>
      <c r="Z55" s="32" t="str">
        <f t="shared" si="14"/>
        <v>Milton</v>
      </c>
      <c r="AA55" s="50" t="s">
        <v>77</v>
      </c>
    </row>
    <row r="56">
      <c r="A56" s="143" t="s">
        <v>3190</v>
      </c>
      <c r="B56" s="13"/>
      <c r="C56" s="164"/>
      <c r="D56" s="38">
        <v>11542.0</v>
      </c>
      <c r="E56" s="38">
        <v>4093.0</v>
      </c>
      <c r="F56" s="38">
        <v>3625.0</v>
      </c>
      <c r="G56" s="38">
        <v>257.0</v>
      </c>
      <c r="H56" s="38">
        <v>321.0</v>
      </c>
      <c r="I56" s="48">
        <f t="shared" si="3"/>
        <v>19260</v>
      </c>
      <c r="J56" s="48">
        <f t="shared" si="4"/>
        <v>19838</v>
      </c>
      <c r="K56" s="49">
        <f t="shared" si="5"/>
        <v>0.5992731049</v>
      </c>
      <c r="L56" s="49">
        <f t="shared" si="6"/>
        <v>0.2125129803</v>
      </c>
      <c r="M56" s="49">
        <f t="shared" si="7"/>
        <v>0.1882139148</v>
      </c>
      <c r="N56" s="32" t="str">
        <f t="shared" si="8"/>
        <v>Jânio</v>
      </c>
      <c r="O56" s="50" t="s">
        <v>77</v>
      </c>
      <c r="P56" s="38">
        <v>4549.0</v>
      </c>
      <c r="Q56" s="38">
        <v>11442.0</v>
      </c>
      <c r="R56" s="38">
        <v>2824.0</v>
      </c>
      <c r="S56" s="38">
        <v>757.0</v>
      </c>
      <c r="T56" s="38">
        <v>266.0</v>
      </c>
      <c r="U56" s="48">
        <f t="shared" si="9"/>
        <v>18815</v>
      </c>
      <c r="V56" s="48">
        <f t="shared" si="10"/>
        <v>19838</v>
      </c>
      <c r="W56" s="49">
        <f t="shared" si="11"/>
        <v>0.2417751794</v>
      </c>
      <c r="X56" s="49">
        <f t="shared" si="12"/>
        <v>0.6081318097</v>
      </c>
      <c r="Y56" s="49">
        <f t="shared" si="13"/>
        <v>0.1500930109</v>
      </c>
      <c r="Z56" s="32" t="str">
        <f t="shared" si="14"/>
        <v>Milton</v>
      </c>
      <c r="AA56" s="50" t="s">
        <v>77</v>
      </c>
    </row>
    <row r="57">
      <c r="A57" s="143" t="s">
        <v>3191</v>
      </c>
      <c r="B57" s="13"/>
      <c r="C57" s="164"/>
      <c r="D57" s="38">
        <v>15228.0</v>
      </c>
      <c r="E57" s="38">
        <v>5110.0</v>
      </c>
      <c r="F57" s="38">
        <v>5772.0</v>
      </c>
      <c r="G57" s="38">
        <v>318.0</v>
      </c>
      <c r="H57" s="38">
        <v>447.0</v>
      </c>
      <c r="I57" s="48">
        <f t="shared" si="3"/>
        <v>26110</v>
      </c>
      <c r="J57" s="48">
        <f t="shared" si="4"/>
        <v>26875</v>
      </c>
      <c r="K57" s="49">
        <f t="shared" si="5"/>
        <v>0.5832248181</v>
      </c>
      <c r="L57" s="49">
        <f t="shared" si="6"/>
        <v>0.1957104558</v>
      </c>
      <c r="M57" s="49">
        <f t="shared" si="7"/>
        <v>0.2210647262</v>
      </c>
      <c r="N57" s="32" t="str">
        <f t="shared" si="8"/>
        <v>Jânio</v>
      </c>
      <c r="O57" s="50" t="s">
        <v>77</v>
      </c>
      <c r="P57" s="38">
        <v>6961.0</v>
      </c>
      <c r="Q57" s="38">
        <v>14654.0</v>
      </c>
      <c r="R57" s="38">
        <v>3642.0</v>
      </c>
      <c r="S57" s="38">
        <v>1226.0</v>
      </c>
      <c r="T57" s="38">
        <v>392.0</v>
      </c>
      <c r="U57" s="48">
        <f t="shared" si="9"/>
        <v>25257</v>
      </c>
      <c r="V57" s="48">
        <f t="shared" si="10"/>
        <v>26875</v>
      </c>
      <c r="W57" s="49">
        <f t="shared" si="11"/>
        <v>0.2756067625</v>
      </c>
      <c r="X57" s="49">
        <f t="shared" si="12"/>
        <v>0.5801955893</v>
      </c>
      <c r="Y57" s="49">
        <f t="shared" si="13"/>
        <v>0.1441976482</v>
      </c>
      <c r="Z57" s="32" t="str">
        <f t="shared" si="14"/>
        <v>Milton</v>
      </c>
      <c r="AA57" s="50" t="s">
        <v>77</v>
      </c>
    </row>
    <row r="58">
      <c r="A58" s="143" t="s">
        <v>3192</v>
      </c>
      <c r="B58" s="13"/>
      <c r="C58" s="164"/>
      <c r="D58" s="38">
        <v>182.0</v>
      </c>
      <c r="E58" s="38">
        <v>36.0</v>
      </c>
      <c r="F58" s="38">
        <v>127.0</v>
      </c>
      <c r="G58" s="38">
        <v>6.0</v>
      </c>
      <c r="H58" s="38">
        <v>11.0</v>
      </c>
      <c r="I58" s="48">
        <f t="shared" si="3"/>
        <v>345</v>
      </c>
      <c r="J58" s="48">
        <f t="shared" si="4"/>
        <v>362</v>
      </c>
      <c r="K58" s="49">
        <f t="shared" si="5"/>
        <v>0.5275362319</v>
      </c>
      <c r="L58" s="49">
        <f t="shared" si="6"/>
        <v>0.1043478261</v>
      </c>
      <c r="M58" s="49">
        <f t="shared" si="7"/>
        <v>0.368115942</v>
      </c>
      <c r="N58" s="32" t="str">
        <f t="shared" si="8"/>
        <v>Jânio</v>
      </c>
      <c r="O58" s="50" t="s">
        <v>77</v>
      </c>
      <c r="P58" s="38">
        <v>123.0</v>
      </c>
      <c r="Q58" s="38">
        <v>164.0</v>
      </c>
      <c r="R58" s="38">
        <v>40.0</v>
      </c>
      <c r="S58" s="38">
        <v>26.0</v>
      </c>
      <c r="T58" s="38">
        <v>9.0</v>
      </c>
      <c r="U58" s="48">
        <f t="shared" si="9"/>
        <v>327</v>
      </c>
      <c r="V58" s="48">
        <f t="shared" si="10"/>
        <v>362</v>
      </c>
      <c r="W58" s="49">
        <f t="shared" si="11"/>
        <v>0.376146789</v>
      </c>
      <c r="X58" s="49">
        <f t="shared" si="12"/>
        <v>0.501529052</v>
      </c>
      <c r="Y58" s="49">
        <f t="shared" si="13"/>
        <v>0.122324159</v>
      </c>
      <c r="Z58" s="32" t="str">
        <f t="shared" si="14"/>
        <v>Milton</v>
      </c>
      <c r="AA58" s="50" t="s">
        <v>77</v>
      </c>
    </row>
    <row r="59">
      <c r="A59" s="143" t="s">
        <v>1746</v>
      </c>
      <c r="B59" s="13"/>
      <c r="C59" s="164"/>
      <c r="D59" s="38">
        <v>18125.0</v>
      </c>
      <c r="E59" s="38">
        <v>4298.0</v>
      </c>
      <c r="F59" s="38">
        <v>8119.0</v>
      </c>
      <c r="G59" s="38">
        <v>423.0</v>
      </c>
      <c r="H59" s="38">
        <v>830.0</v>
      </c>
      <c r="I59" s="48">
        <f t="shared" si="3"/>
        <v>30542</v>
      </c>
      <c r="J59" s="48">
        <f t="shared" si="4"/>
        <v>31795</v>
      </c>
      <c r="K59" s="49">
        <f t="shared" si="5"/>
        <v>0.593445092</v>
      </c>
      <c r="L59" s="49">
        <f t="shared" si="6"/>
        <v>0.1407242486</v>
      </c>
      <c r="M59" s="49">
        <f t="shared" si="7"/>
        <v>0.2658306594</v>
      </c>
      <c r="N59" s="32" t="str">
        <f t="shared" si="8"/>
        <v>Jânio</v>
      </c>
      <c r="O59" s="50" t="s">
        <v>77</v>
      </c>
      <c r="P59" s="38">
        <v>9607.0</v>
      </c>
      <c r="Q59" s="38">
        <v>15071.0</v>
      </c>
      <c r="R59" s="38">
        <v>4526.0</v>
      </c>
      <c r="S59" s="38">
        <v>1800.0</v>
      </c>
      <c r="T59" s="38">
        <v>791.0</v>
      </c>
      <c r="U59" s="48">
        <f t="shared" si="9"/>
        <v>29204</v>
      </c>
      <c r="V59" s="48">
        <f t="shared" si="10"/>
        <v>31795</v>
      </c>
      <c r="W59" s="49">
        <f t="shared" si="11"/>
        <v>0.3289617861</v>
      </c>
      <c r="X59" s="49">
        <f t="shared" si="12"/>
        <v>0.5160594439</v>
      </c>
      <c r="Y59" s="49">
        <f t="shared" si="13"/>
        <v>0.15497877</v>
      </c>
      <c r="Z59" s="32" t="str">
        <f t="shared" si="14"/>
        <v>Milton</v>
      </c>
      <c r="AA59" s="50" t="s">
        <v>77</v>
      </c>
    </row>
    <row r="60">
      <c r="A60" s="143" t="s">
        <v>3193</v>
      </c>
      <c r="B60" s="13"/>
      <c r="C60" s="164"/>
      <c r="D60" s="38">
        <v>106.0</v>
      </c>
      <c r="E60" s="38">
        <v>35.0</v>
      </c>
      <c r="F60" s="38">
        <v>69.0</v>
      </c>
      <c r="G60" s="38">
        <v>4.0</v>
      </c>
      <c r="H60" s="38">
        <v>7.0</v>
      </c>
      <c r="I60" s="48">
        <f t="shared" si="3"/>
        <v>210</v>
      </c>
      <c r="J60" s="48">
        <f t="shared" si="4"/>
        <v>221</v>
      </c>
      <c r="K60" s="49">
        <f t="shared" si="5"/>
        <v>0.5047619048</v>
      </c>
      <c r="L60" s="49">
        <f t="shared" si="6"/>
        <v>0.1666666667</v>
      </c>
      <c r="M60" s="49">
        <f t="shared" si="7"/>
        <v>0.3285714286</v>
      </c>
      <c r="N60" s="32" t="str">
        <f t="shared" si="8"/>
        <v>Jânio</v>
      </c>
      <c r="O60" s="50" t="s">
        <v>77</v>
      </c>
      <c r="P60" s="38">
        <v>85.0</v>
      </c>
      <c r="Q60" s="38">
        <v>90.0</v>
      </c>
      <c r="R60" s="38">
        <v>24.0</v>
      </c>
      <c r="S60" s="38">
        <v>16.0</v>
      </c>
      <c r="T60" s="38">
        <v>6.0</v>
      </c>
      <c r="U60" s="48">
        <f t="shared" si="9"/>
        <v>199</v>
      </c>
      <c r="V60" s="48">
        <f t="shared" si="10"/>
        <v>221</v>
      </c>
      <c r="W60" s="49">
        <f t="shared" si="11"/>
        <v>0.4271356784</v>
      </c>
      <c r="X60" s="49">
        <f t="shared" si="12"/>
        <v>0.4522613065</v>
      </c>
      <c r="Y60" s="49">
        <f t="shared" si="13"/>
        <v>0.1206030151</v>
      </c>
      <c r="Z60" s="32" t="str">
        <f t="shared" si="14"/>
        <v>Milton</v>
      </c>
      <c r="AA60" s="50" t="s">
        <v>77</v>
      </c>
    </row>
    <row r="61">
      <c r="A61" s="143" t="s">
        <v>2567</v>
      </c>
      <c r="B61" s="13"/>
      <c r="C61" s="164"/>
      <c r="D61" s="38">
        <v>11354.0</v>
      </c>
      <c r="E61" s="38">
        <v>4280.0</v>
      </c>
      <c r="F61" s="38">
        <v>5509.0</v>
      </c>
      <c r="G61" s="38">
        <v>274.0</v>
      </c>
      <c r="H61" s="38">
        <v>483.0</v>
      </c>
      <c r="I61" s="48">
        <f t="shared" si="3"/>
        <v>21143</v>
      </c>
      <c r="J61" s="48">
        <f t="shared" si="4"/>
        <v>21900</v>
      </c>
      <c r="K61" s="49">
        <f t="shared" si="5"/>
        <v>0.5370098851</v>
      </c>
      <c r="L61" s="49">
        <f t="shared" si="6"/>
        <v>0.2024310647</v>
      </c>
      <c r="M61" s="49">
        <f t="shared" si="7"/>
        <v>0.2605590503</v>
      </c>
      <c r="N61" s="32" t="str">
        <f t="shared" si="8"/>
        <v>Jânio</v>
      </c>
      <c r="O61" s="50" t="s">
        <v>77</v>
      </c>
      <c r="P61" s="38">
        <v>6741.0</v>
      </c>
      <c r="Q61" s="38">
        <v>10543.0</v>
      </c>
      <c r="R61" s="38">
        <v>3062.0</v>
      </c>
      <c r="S61" s="38">
        <v>1123.0</v>
      </c>
      <c r="T61" s="38">
        <v>431.0</v>
      </c>
      <c r="U61" s="48">
        <f t="shared" si="9"/>
        <v>20346</v>
      </c>
      <c r="V61" s="48">
        <f t="shared" si="10"/>
        <v>21900</v>
      </c>
      <c r="W61" s="49">
        <f t="shared" si="11"/>
        <v>0.3313181952</v>
      </c>
      <c r="X61" s="49">
        <f t="shared" si="12"/>
        <v>0.5181853927</v>
      </c>
      <c r="Y61" s="49">
        <f t="shared" si="13"/>
        <v>0.1504964121</v>
      </c>
      <c r="Z61" s="32" t="str">
        <f t="shared" si="14"/>
        <v>Milton</v>
      </c>
      <c r="AA61" s="50" t="s">
        <v>77</v>
      </c>
    </row>
    <row r="62">
      <c r="A62" s="143" t="s">
        <v>3194</v>
      </c>
      <c r="B62" s="13"/>
      <c r="C62" s="164"/>
      <c r="D62" s="38">
        <v>239.0</v>
      </c>
      <c r="E62" s="38">
        <v>43.0</v>
      </c>
      <c r="F62" s="38">
        <v>128.0</v>
      </c>
      <c r="G62" s="38">
        <v>5.0</v>
      </c>
      <c r="H62" s="38">
        <v>17.0</v>
      </c>
      <c r="I62" s="48">
        <f t="shared" si="3"/>
        <v>410</v>
      </c>
      <c r="J62" s="48">
        <f t="shared" si="4"/>
        <v>432</v>
      </c>
      <c r="K62" s="49">
        <f t="shared" si="5"/>
        <v>0.5829268293</v>
      </c>
      <c r="L62" s="49">
        <f t="shared" si="6"/>
        <v>0.1048780488</v>
      </c>
      <c r="M62" s="49">
        <f t="shared" si="7"/>
        <v>0.312195122</v>
      </c>
      <c r="N62" s="32" t="str">
        <f t="shared" si="8"/>
        <v>Jânio</v>
      </c>
      <c r="O62" s="50" t="s">
        <v>77</v>
      </c>
      <c r="P62" s="38">
        <v>140.0</v>
      </c>
      <c r="Q62" s="38">
        <v>200.0</v>
      </c>
      <c r="R62" s="38">
        <v>50.0</v>
      </c>
      <c r="S62" s="38">
        <v>30.0</v>
      </c>
      <c r="T62" s="38">
        <v>12.0</v>
      </c>
      <c r="U62" s="48">
        <f t="shared" si="9"/>
        <v>390</v>
      </c>
      <c r="V62" s="48">
        <f t="shared" si="10"/>
        <v>432</v>
      </c>
      <c r="W62" s="49">
        <f t="shared" si="11"/>
        <v>0.358974359</v>
      </c>
      <c r="X62" s="49">
        <f t="shared" si="12"/>
        <v>0.5128205128</v>
      </c>
      <c r="Y62" s="49">
        <f t="shared" si="13"/>
        <v>0.1282051282</v>
      </c>
      <c r="Z62" s="32" t="str">
        <f t="shared" si="14"/>
        <v>Milton</v>
      </c>
      <c r="AA62" s="50" t="s">
        <v>77</v>
      </c>
    </row>
    <row r="63">
      <c r="A63" s="143" t="s">
        <v>3195</v>
      </c>
      <c r="B63" s="13"/>
      <c r="C63" s="164"/>
      <c r="D63" s="38">
        <v>18220.0</v>
      </c>
      <c r="E63" s="38">
        <v>4872.0</v>
      </c>
      <c r="F63" s="38">
        <v>9016.0</v>
      </c>
      <c r="G63" s="38">
        <v>389.0</v>
      </c>
      <c r="H63" s="38">
        <v>912.0</v>
      </c>
      <c r="I63" s="48">
        <f t="shared" si="3"/>
        <v>32108</v>
      </c>
      <c r="J63" s="48">
        <f t="shared" si="4"/>
        <v>33409</v>
      </c>
      <c r="K63" s="49">
        <f t="shared" si="5"/>
        <v>0.5674598231</v>
      </c>
      <c r="L63" s="49">
        <f t="shared" si="6"/>
        <v>0.1517378846</v>
      </c>
      <c r="M63" s="49">
        <f t="shared" si="7"/>
        <v>0.2808022923</v>
      </c>
      <c r="N63" s="32" t="str">
        <f t="shared" si="8"/>
        <v>Jânio</v>
      </c>
      <c r="O63" s="50" t="s">
        <v>77</v>
      </c>
      <c r="P63" s="38">
        <v>10355.0</v>
      </c>
      <c r="Q63" s="38">
        <v>15585.0</v>
      </c>
      <c r="R63" s="38">
        <v>4817.0</v>
      </c>
      <c r="S63" s="38">
        <v>1859.0</v>
      </c>
      <c r="T63" s="38">
        <v>793.0</v>
      </c>
      <c r="U63" s="48">
        <f t="shared" si="9"/>
        <v>30757</v>
      </c>
      <c r="V63" s="48">
        <f t="shared" si="10"/>
        <v>33409</v>
      </c>
      <c r="W63" s="49">
        <f t="shared" si="11"/>
        <v>0.3366713269</v>
      </c>
      <c r="X63" s="49">
        <f t="shared" si="12"/>
        <v>0.5067139188</v>
      </c>
      <c r="Y63" s="49">
        <f t="shared" si="13"/>
        <v>0.1566147544</v>
      </c>
      <c r="Z63" s="32" t="str">
        <f t="shared" si="14"/>
        <v>Milton</v>
      </c>
      <c r="AA63" s="50" t="s">
        <v>77</v>
      </c>
    </row>
    <row r="64">
      <c r="A64" s="143" t="s">
        <v>2486</v>
      </c>
      <c r="B64" s="13"/>
      <c r="C64" s="164"/>
      <c r="D64" s="38">
        <v>2593.0</v>
      </c>
      <c r="E64" s="38">
        <v>923.0</v>
      </c>
      <c r="F64" s="38">
        <v>799.0</v>
      </c>
      <c r="G64" s="38">
        <v>51.0</v>
      </c>
      <c r="H64" s="38">
        <v>114.0</v>
      </c>
      <c r="I64" s="48">
        <f t="shared" si="3"/>
        <v>4315</v>
      </c>
      <c r="J64" s="48">
        <f t="shared" si="4"/>
        <v>4480</v>
      </c>
      <c r="K64" s="49">
        <f t="shared" si="5"/>
        <v>0.6009269988</v>
      </c>
      <c r="L64" s="49">
        <f t="shared" si="6"/>
        <v>0.2139049826</v>
      </c>
      <c r="M64" s="49">
        <f t="shared" si="7"/>
        <v>0.1851680185</v>
      </c>
      <c r="N64" s="32" t="str">
        <f t="shared" si="8"/>
        <v>Jânio</v>
      </c>
      <c r="O64" s="50" t="s">
        <v>77</v>
      </c>
      <c r="P64" s="38">
        <v>980.0</v>
      </c>
      <c r="Q64" s="38">
        <v>2694.0</v>
      </c>
      <c r="R64" s="38">
        <v>545.0</v>
      </c>
      <c r="S64" s="38">
        <v>121.0</v>
      </c>
      <c r="T64" s="38">
        <v>140.0</v>
      </c>
      <c r="U64" s="48">
        <f t="shared" si="9"/>
        <v>4219</v>
      </c>
      <c r="V64" s="48">
        <f t="shared" si="10"/>
        <v>4480</v>
      </c>
      <c r="W64" s="49">
        <f t="shared" si="11"/>
        <v>0.2322825314</v>
      </c>
      <c r="X64" s="49">
        <f t="shared" si="12"/>
        <v>0.6385399384</v>
      </c>
      <c r="Y64" s="49">
        <f t="shared" si="13"/>
        <v>0.1291775302</v>
      </c>
      <c r="Z64" s="32" t="str">
        <f t="shared" si="14"/>
        <v>Milton</v>
      </c>
      <c r="AA64" s="50" t="s">
        <v>77</v>
      </c>
    </row>
    <row r="65">
      <c r="A65" s="143" t="s">
        <v>3196</v>
      </c>
      <c r="B65" s="13"/>
      <c r="C65" s="164"/>
      <c r="D65" s="38">
        <v>224.0</v>
      </c>
      <c r="E65" s="38">
        <v>59.0</v>
      </c>
      <c r="F65" s="38">
        <v>120.0</v>
      </c>
      <c r="G65" s="38">
        <v>1.0</v>
      </c>
      <c r="H65" s="38">
        <v>15.0</v>
      </c>
      <c r="I65" s="48">
        <f t="shared" si="3"/>
        <v>403</v>
      </c>
      <c r="J65" s="48">
        <f t="shared" si="4"/>
        <v>419</v>
      </c>
      <c r="K65" s="49">
        <f t="shared" si="5"/>
        <v>0.5558312655</v>
      </c>
      <c r="L65" s="49">
        <f t="shared" si="6"/>
        <v>0.1464019851</v>
      </c>
      <c r="M65" s="49">
        <f t="shared" si="7"/>
        <v>0.2977667494</v>
      </c>
      <c r="N65" s="32" t="str">
        <f t="shared" si="8"/>
        <v>Jânio</v>
      </c>
      <c r="O65" s="50" t="s">
        <v>77</v>
      </c>
      <c r="P65" s="38">
        <v>134.0</v>
      </c>
      <c r="Q65" s="38">
        <v>193.0</v>
      </c>
      <c r="R65" s="38">
        <v>57.0</v>
      </c>
      <c r="S65" s="38">
        <v>18.0</v>
      </c>
      <c r="T65" s="38">
        <v>17.0</v>
      </c>
      <c r="U65" s="48">
        <f t="shared" si="9"/>
        <v>384</v>
      </c>
      <c r="V65" s="48">
        <f t="shared" si="10"/>
        <v>419</v>
      </c>
      <c r="W65" s="49">
        <f t="shared" si="11"/>
        <v>0.3489583333</v>
      </c>
      <c r="X65" s="49">
        <f t="shared" si="12"/>
        <v>0.5026041667</v>
      </c>
      <c r="Y65" s="49">
        <f t="shared" si="13"/>
        <v>0.1484375</v>
      </c>
      <c r="Z65" s="32" t="str">
        <f t="shared" si="14"/>
        <v>Milton</v>
      </c>
      <c r="AA65" s="50" t="s">
        <v>77</v>
      </c>
    </row>
    <row r="66">
      <c r="A66" s="143" t="s">
        <v>3197</v>
      </c>
      <c r="B66" s="13"/>
      <c r="C66" s="164"/>
      <c r="D66" s="38">
        <v>401.0</v>
      </c>
      <c r="E66" s="38">
        <v>46.0</v>
      </c>
      <c r="F66" s="38">
        <v>328.0</v>
      </c>
      <c r="G66" s="38">
        <v>25.0</v>
      </c>
      <c r="H66" s="38">
        <v>32.0</v>
      </c>
      <c r="I66" s="48">
        <f t="shared" si="3"/>
        <v>775</v>
      </c>
      <c r="J66" s="48">
        <f t="shared" si="4"/>
        <v>832</v>
      </c>
      <c r="K66" s="49">
        <f t="shared" si="5"/>
        <v>0.5174193548</v>
      </c>
      <c r="L66" s="49">
        <f t="shared" si="6"/>
        <v>0.05935483871</v>
      </c>
      <c r="M66" s="49">
        <f t="shared" si="7"/>
        <v>0.4232258065</v>
      </c>
      <c r="N66" s="32" t="str">
        <f t="shared" si="8"/>
        <v>Jânio</v>
      </c>
      <c r="O66" s="50" t="s">
        <v>77</v>
      </c>
      <c r="P66" s="38">
        <v>248.0</v>
      </c>
      <c r="Q66" s="38">
        <v>311.0</v>
      </c>
      <c r="R66" s="38">
        <v>82.0</v>
      </c>
      <c r="S66" s="38">
        <v>162.0</v>
      </c>
      <c r="T66" s="38">
        <v>29.0</v>
      </c>
      <c r="U66" s="48">
        <f t="shared" si="9"/>
        <v>641</v>
      </c>
      <c r="V66" s="48">
        <f t="shared" si="10"/>
        <v>832</v>
      </c>
      <c r="W66" s="49">
        <f t="shared" si="11"/>
        <v>0.3868954758</v>
      </c>
      <c r="X66" s="49">
        <f t="shared" si="12"/>
        <v>0.4851794072</v>
      </c>
      <c r="Y66" s="49">
        <f t="shared" si="13"/>
        <v>0.127925117</v>
      </c>
      <c r="Z66" s="32" t="str">
        <f t="shared" si="14"/>
        <v>Milton</v>
      </c>
      <c r="AA66" s="50" t="s">
        <v>77</v>
      </c>
    </row>
    <row r="67">
      <c r="A67" s="143" t="s">
        <v>3198</v>
      </c>
      <c r="B67" s="13"/>
      <c r="C67" s="164"/>
      <c r="D67" s="38">
        <v>8526.0</v>
      </c>
      <c r="E67" s="38">
        <v>2056.0</v>
      </c>
      <c r="F67" s="38">
        <v>4627.0</v>
      </c>
      <c r="G67" s="38">
        <v>197.0</v>
      </c>
      <c r="H67" s="38">
        <v>366.0</v>
      </c>
      <c r="I67" s="48">
        <f t="shared" si="3"/>
        <v>15209</v>
      </c>
      <c r="J67" s="48">
        <f t="shared" si="4"/>
        <v>15772</v>
      </c>
      <c r="K67" s="49">
        <f t="shared" si="5"/>
        <v>0.5605891249</v>
      </c>
      <c r="L67" s="49">
        <f t="shared" si="6"/>
        <v>0.1351831153</v>
      </c>
      <c r="M67" s="49">
        <f t="shared" si="7"/>
        <v>0.3042277599</v>
      </c>
      <c r="N67" s="32" t="str">
        <f t="shared" si="8"/>
        <v>Jânio</v>
      </c>
      <c r="O67" s="50" t="s">
        <v>77</v>
      </c>
      <c r="P67" s="38">
        <v>4729.0</v>
      </c>
      <c r="Q67" s="38">
        <v>7521.0</v>
      </c>
      <c r="R67" s="38">
        <v>2249.0</v>
      </c>
      <c r="S67" s="38">
        <v>874.0</v>
      </c>
      <c r="T67" s="38">
        <v>399.0</v>
      </c>
      <c r="U67" s="48">
        <f t="shared" si="9"/>
        <v>14499</v>
      </c>
      <c r="V67" s="48">
        <f t="shared" si="10"/>
        <v>15772</v>
      </c>
      <c r="W67" s="49">
        <f t="shared" si="11"/>
        <v>0.3261604249</v>
      </c>
      <c r="X67" s="49">
        <f t="shared" si="12"/>
        <v>0.5187254293</v>
      </c>
      <c r="Y67" s="49">
        <f t="shared" si="13"/>
        <v>0.1551141458</v>
      </c>
      <c r="Z67" s="32" t="str">
        <f t="shared" si="14"/>
        <v>Milton</v>
      </c>
      <c r="AA67" s="50" t="s">
        <v>77</v>
      </c>
    </row>
    <row r="68">
      <c r="A68" s="143" t="s">
        <v>3199</v>
      </c>
      <c r="B68" s="13"/>
      <c r="C68" s="164"/>
      <c r="D68" s="38">
        <v>356.0</v>
      </c>
      <c r="E68" s="38">
        <v>53.0</v>
      </c>
      <c r="F68" s="38">
        <v>128.0</v>
      </c>
      <c r="G68" s="38">
        <v>4.0</v>
      </c>
      <c r="H68" s="38">
        <v>14.0</v>
      </c>
      <c r="I68" s="48">
        <f t="shared" si="3"/>
        <v>537</v>
      </c>
      <c r="J68" s="48">
        <f t="shared" si="4"/>
        <v>555</v>
      </c>
      <c r="K68" s="49">
        <f t="shared" si="5"/>
        <v>0.6629422719</v>
      </c>
      <c r="L68" s="49">
        <f t="shared" si="6"/>
        <v>0.09869646182</v>
      </c>
      <c r="M68" s="49">
        <f t="shared" si="7"/>
        <v>0.2383612663</v>
      </c>
      <c r="N68" s="32" t="str">
        <f t="shared" si="8"/>
        <v>Jânio</v>
      </c>
      <c r="O68" s="50" t="s">
        <v>77</v>
      </c>
      <c r="P68" s="38">
        <v>156.0</v>
      </c>
      <c r="Q68" s="38">
        <v>296.0</v>
      </c>
      <c r="R68" s="38">
        <v>64.0</v>
      </c>
      <c r="S68" s="38">
        <v>27.0</v>
      </c>
      <c r="T68" s="38">
        <v>12.0</v>
      </c>
      <c r="U68" s="48">
        <f t="shared" si="9"/>
        <v>516</v>
      </c>
      <c r="V68" s="48">
        <f t="shared" si="10"/>
        <v>555</v>
      </c>
      <c r="W68" s="49">
        <f t="shared" si="11"/>
        <v>0.3023255814</v>
      </c>
      <c r="X68" s="49">
        <f t="shared" si="12"/>
        <v>0.5736434109</v>
      </c>
      <c r="Y68" s="49">
        <f t="shared" si="13"/>
        <v>0.1240310078</v>
      </c>
      <c r="Z68" s="32" t="str">
        <f t="shared" si="14"/>
        <v>Milton</v>
      </c>
      <c r="AA68" s="50" t="s">
        <v>77</v>
      </c>
    </row>
    <row r="69">
      <c r="A69" s="143" t="s">
        <v>3200</v>
      </c>
      <c r="B69" s="13"/>
      <c r="C69" s="164"/>
      <c r="D69" s="38">
        <v>24373.0</v>
      </c>
      <c r="E69" s="38">
        <v>5567.0</v>
      </c>
      <c r="F69" s="38">
        <v>11824.0</v>
      </c>
      <c r="G69" s="38">
        <v>789.0</v>
      </c>
      <c r="H69" s="38">
        <v>1745.0</v>
      </c>
      <c r="I69" s="48">
        <f t="shared" si="3"/>
        <v>41764</v>
      </c>
      <c r="J69" s="48">
        <f t="shared" si="4"/>
        <v>44298</v>
      </c>
      <c r="K69" s="49">
        <f t="shared" si="5"/>
        <v>0.5835887367</v>
      </c>
      <c r="L69" s="49">
        <f t="shared" si="6"/>
        <v>0.1332966191</v>
      </c>
      <c r="M69" s="49">
        <f t="shared" si="7"/>
        <v>0.2831146442</v>
      </c>
      <c r="N69" s="32" t="str">
        <f t="shared" si="8"/>
        <v>Jânio</v>
      </c>
      <c r="O69" s="50" t="s">
        <v>77</v>
      </c>
      <c r="P69" s="38">
        <v>13798.0</v>
      </c>
      <c r="Q69" s="38">
        <v>20138.0</v>
      </c>
      <c r="R69" s="38">
        <v>5337.0</v>
      </c>
      <c r="S69" s="38">
        <v>3391.0</v>
      </c>
      <c r="T69" s="38">
        <v>1634.0</v>
      </c>
      <c r="U69" s="48">
        <f t="shared" si="9"/>
        <v>39273</v>
      </c>
      <c r="V69" s="48">
        <f t="shared" si="10"/>
        <v>44298</v>
      </c>
      <c r="W69" s="49">
        <f t="shared" si="11"/>
        <v>0.3513355231</v>
      </c>
      <c r="X69" s="49">
        <f t="shared" si="12"/>
        <v>0.5127695872</v>
      </c>
      <c r="Y69" s="49">
        <f t="shared" si="13"/>
        <v>0.1358948896</v>
      </c>
      <c r="Z69" s="32" t="str">
        <f t="shared" si="14"/>
        <v>Milton</v>
      </c>
      <c r="AA69" s="50" t="s">
        <v>77</v>
      </c>
    </row>
    <row r="70">
      <c r="A70" s="143" t="s">
        <v>2601</v>
      </c>
      <c r="B70" s="13"/>
      <c r="C70" s="164"/>
      <c r="D70" s="38">
        <v>9892.0</v>
      </c>
      <c r="E70" s="38">
        <v>3349.0</v>
      </c>
      <c r="F70" s="38">
        <v>3772.0</v>
      </c>
      <c r="G70" s="38">
        <v>194.0</v>
      </c>
      <c r="H70" s="38">
        <v>269.0</v>
      </c>
      <c r="I70" s="48">
        <f t="shared" si="3"/>
        <v>17013</v>
      </c>
      <c r="J70" s="48">
        <f t="shared" si="4"/>
        <v>17476</v>
      </c>
      <c r="K70" s="49">
        <f t="shared" si="5"/>
        <v>0.5814377241</v>
      </c>
      <c r="L70" s="49">
        <f t="shared" si="6"/>
        <v>0.1968494681</v>
      </c>
      <c r="M70" s="49">
        <f t="shared" si="7"/>
        <v>0.2217128079</v>
      </c>
      <c r="N70" s="32" t="str">
        <f t="shared" si="8"/>
        <v>Jânio</v>
      </c>
      <c r="O70" s="50" t="s">
        <v>77</v>
      </c>
      <c r="P70" s="38">
        <v>4559.0</v>
      </c>
      <c r="Q70" s="38">
        <v>9310.0</v>
      </c>
      <c r="R70" s="38">
        <v>2637.0</v>
      </c>
      <c r="S70" s="38">
        <v>719.0</v>
      </c>
      <c r="T70" s="38">
        <v>251.0</v>
      </c>
      <c r="U70" s="48">
        <f t="shared" si="9"/>
        <v>16506</v>
      </c>
      <c r="V70" s="48">
        <f t="shared" si="10"/>
        <v>17476</v>
      </c>
      <c r="W70" s="49">
        <f t="shared" si="11"/>
        <v>0.276202593</v>
      </c>
      <c r="X70" s="49">
        <f t="shared" si="12"/>
        <v>0.5640373198</v>
      </c>
      <c r="Y70" s="49">
        <f t="shared" si="13"/>
        <v>0.1597600872</v>
      </c>
      <c r="Z70" s="32" t="str">
        <f t="shared" si="14"/>
        <v>Milton</v>
      </c>
      <c r="AA70" s="50" t="s">
        <v>77</v>
      </c>
    </row>
    <row r="71">
      <c r="A71" s="143" t="s">
        <v>3201</v>
      </c>
      <c r="B71" s="13"/>
      <c r="C71" s="164"/>
      <c r="D71" s="38">
        <v>1319.0</v>
      </c>
      <c r="E71" s="38">
        <v>168.0</v>
      </c>
      <c r="F71" s="38">
        <v>459.0</v>
      </c>
      <c r="G71" s="38">
        <v>30.0</v>
      </c>
      <c r="H71" s="38">
        <v>80.0</v>
      </c>
      <c r="I71" s="48">
        <f t="shared" si="3"/>
        <v>1946</v>
      </c>
      <c r="J71" s="48">
        <f t="shared" si="4"/>
        <v>2056</v>
      </c>
      <c r="K71" s="49">
        <f t="shared" si="5"/>
        <v>0.6778006166</v>
      </c>
      <c r="L71" s="49">
        <f t="shared" si="6"/>
        <v>0.08633093525</v>
      </c>
      <c r="M71" s="49">
        <f t="shared" si="7"/>
        <v>0.2358684481</v>
      </c>
      <c r="N71" s="32" t="str">
        <f t="shared" si="8"/>
        <v>Jânio</v>
      </c>
      <c r="O71" s="50" t="s">
        <v>77</v>
      </c>
      <c r="P71" s="38">
        <v>540.0</v>
      </c>
      <c r="Q71" s="38">
        <v>906.0</v>
      </c>
      <c r="R71" s="38">
        <v>359.0</v>
      </c>
      <c r="S71" s="38">
        <v>196.0</v>
      </c>
      <c r="T71" s="38">
        <v>55.0</v>
      </c>
      <c r="U71" s="48">
        <f t="shared" si="9"/>
        <v>1805</v>
      </c>
      <c r="V71" s="48">
        <f t="shared" si="10"/>
        <v>2056</v>
      </c>
      <c r="W71" s="49">
        <f t="shared" si="11"/>
        <v>0.2991689751</v>
      </c>
      <c r="X71" s="49">
        <f t="shared" si="12"/>
        <v>0.5019390582</v>
      </c>
      <c r="Y71" s="49">
        <f t="shared" si="13"/>
        <v>0.1988919668</v>
      </c>
      <c r="Z71" s="32" t="str">
        <f t="shared" si="14"/>
        <v>Milton</v>
      </c>
      <c r="AA71" s="50" t="s">
        <v>77</v>
      </c>
    </row>
    <row r="72">
      <c r="A72" s="143" t="s">
        <v>3202</v>
      </c>
      <c r="B72" s="13"/>
      <c r="C72" s="164"/>
      <c r="D72" s="38">
        <v>5271.0</v>
      </c>
      <c r="E72" s="38">
        <v>1213.0</v>
      </c>
      <c r="F72" s="38">
        <v>2909.0</v>
      </c>
      <c r="G72" s="38">
        <v>210.0</v>
      </c>
      <c r="H72" s="38">
        <v>598.0</v>
      </c>
      <c r="I72" s="48">
        <f t="shared" si="3"/>
        <v>9393</v>
      </c>
      <c r="J72" s="48">
        <f t="shared" si="4"/>
        <v>10201</v>
      </c>
      <c r="K72" s="49">
        <f t="shared" si="5"/>
        <v>0.5611625679</v>
      </c>
      <c r="L72" s="49">
        <f t="shared" si="6"/>
        <v>0.1291387203</v>
      </c>
      <c r="M72" s="49">
        <f t="shared" si="7"/>
        <v>0.3096987118</v>
      </c>
      <c r="N72" s="32" t="str">
        <f t="shared" si="8"/>
        <v>Jânio</v>
      </c>
      <c r="O72" s="50" t="s">
        <v>77</v>
      </c>
      <c r="P72" s="38">
        <v>3322.0</v>
      </c>
      <c r="Q72" s="38">
        <v>4088.0</v>
      </c>
      <c r="R72" s="38">
        <v>1182.0</v>
      </c>
      <c r="S72" s="38">
        <v>1202.0</v>
      </c>
      <c r="T72" s="38">
        <v>407.0</v>
      </c>
      <c r="U72" s="48">
        <f t="shared" si="9"/>
        <v>8592</v>
      </c>
      <c r="V72" s="48">
        <f t="shared" si="10"/>
        <v>10201</v>
      </c>
      <c r="W72" s="49">
        <f t="shared" si="11"/>
        <v>0.3866387337</v>
      </c>
      <c r="X72" s="49">
        <f t="shared" si="12"/>
        <v>0.4757914339</v>
      </c>
      <c r="Y72" s="49">
        <f t="shared" si="13"/>
        <v>0.1375698324</v>
      </c>
      <c r="Z72" s="32" t="str">
        <f t="shared" si="14"/>
        <v>Milton</v>
      </c>
      <c r="AA72" s="50" t="s">
        <v>77</v>
      </c>
    </row>
    <row r="73">
      <c r="A73" s="143" t="s">
        <v>3203</v>
      </c>
      <c r="B73" s="13"/>
      <c r="C73" s="164"/>
      <c r="D73" s="38">
        <v>6222.0</v>
      </c>
      <c r="E73" s="38">
        <v>1297.0</v>
      </c>
      <c r="F73" s="38">
        <v>3191.0</v>
      </c>
      <c r="G73" s="38">
        <v>193.0</v>
      </c>
      <c r="H73" s="38">
        <v>372.0</v>
      </c>
      <c r="I73" s="48">
        <f t="shared" si="3"/>
        <v>10710</v>
      </c>
      <c r="J73" s="48">
        <f t="shared" si="4"/>
        <v>11275</v>
      </c>
      <c r="K73" s="49">
        <f t="shared" si="5"/>
        <v>0.580952381</v>
      </c>
      <c r="L73" s="49">
        <f t="shared" si="6"/>
        <v>0.121101774</v>
      </c>
      <c r="M73" s="49">
        <f t="shared" si="7"/>
        <v>0.297945845</v>
      </c>
      <c r="N73" s="32" t="str">
        <f t="shared" si="8"/>
        <v>Jânio</v>
      </c>
      <c r="O73" s="50" t="s">
        <v>77</v>
      </c>
      <c r="P73" s="38">
        <v>3604.0</v>
      </c>
      <c r="Q73" s="38">
        <v>5148.0</v>
      </c>
      <c r="R73" s="38">
        <v>1292.0</v>
      </c>
      <c r="S73" s="38">
        <v>891.0</v>
      </c>
      <c r="T73" s="38">
        <v>340.0</v>
      </c>
      <c r="U73" s="48">
        <f t="shared" si="9"/>
        <v>10044</v>
      </c>
      <c r="V73" s="48">
        <f t="shared" si="10"/>
        <v>11275</v>
      </c>
      <c r="W73" s="49">
        <f t="shared" si="11"/>
        <v>0.3588211868</v>
      </c>
      <c r="X73" s="49">
        <f t="shared" si="12"/>
        <v>0.5125448029</v>
      </c>
      <c r="Y73" s="49">
        <f t="shared" si="13"/>
        <v>0.1286340104</v>
      </c>
      <c r="Z73" s="32" t="str">
        <f t="shared" si="14"/>
        <v>Milton</v>
      </c>
      <c r="AA73" s="50" t="s">
        <v>77</v>
      </c>
    </row>
    <row r="74">
      <c r="A74" s="143" t="s">
        <v>1653</v>
      </c>
      <c r="B74" s="13"/>
      <c r="C74" s="164"/>
      <c r="D74" s="38">
        <v>8538.0</v>
      </c>
      <c r="E74" s="38">
        <v>3579.0</v>
      </c>
      <c r="F74" s="38">
        <v>3780.0</v>
      </c>
      <c r="G74" s="38">
        <v>192.0</v>
      </c>
      <c r="H74" s="38">
        <v>262.0</v>
      </c>
      <c r="I74" s="48">
        <f t="shared" si="3"/>
        <v>15897</v>
      </c>
      <c r="J74" s="48">
        <f t="shared" si="4"/>
        <v>16351</v>
      </c>
      <c r="K74" s="49">
        <f t="shared" si="5"/>
        <v>0.5370824684</v>
      </c>
      <c r="L74" s="49">
        <f t="shared" si="6"/>
        <v>0.2251368183</v>
      </c>
      <c r="M74" s="49">
        <f t="shared" si="7"/>
        <v>0.2377807133</v>
      </c>
      <c r="N74" s="32" t="str">
        <f t="shared" si="8"/>
        <v>Jânio</v>
      </c>
      <c r="O74" s="50" t="s">
        <v>77</v>
      </c>
      <c r="P74" s="38">
        <v>4816.0</v>
      </c>
      <c r="Q74" s="38">
        <v>8335.0</v>
      </c>
      <c r="R74" s="38">
        <v>2218.0</v>
      </c>
      <c r="S74" s="38">
        <v>747.0</v>
      </c>
      <c r="T74" s="38">
        <v>235.0</v>
      </c>
      <c r="U74" s="48">
        <f t="shared" si="9"/>
        <v>15369</v>
      </c>
      <c r="V74" s="48">
        <f t="shared" si="10"/>
        <v>16351</v>
      </c>
      <c r="W74" s="49">
        <f t="shared" si="11"/>
        <v>0.3133580584</v>
      </c>
      <c r="X74" s="49">
        <f t="shared" si="12"/>
        <v>0.5423254603</v>
      </c>
      <c r="Y74" s="49">
        <f t="shared" si="13"/>
        <v>0.1443164812</v>
      </c>
      <c r="Z74" s="32" t="str">
        <f t="shared" si="14"/>
        <v>Milton</v>
      </c>
      <c r="AA74" s="50" t="s">
        <v>77</v>
      </c>
    </row>
    <row r="75">
      <c r="A75" s="143" t="s">
        <v>3204</v>
      </c>
      <c r="B75" s="13"/>
      <c r="C75" s="164"/>
      <c r="D75" s="38">
        <v>11049.0</v>
      </c>
      <c r="E75" s="38">
        <v>4988.0</v>
      </c>
      <c r="F75" s="38">
        <v>6885.0</v>
      </c>
      <c r="G75" s="38">
        <v>241.0</v>
      </c>
      <c r="H75" s="38">
        <v>595.0</v>
      </c>
      <c r="I75" s="48">
        <f t="shared" si="3"/>
        <v>22922</v>
      </c>
      <c r="J75" s="48">
        <f t="shared" si="4"/>
        <v>23758</v>
      </c>
      <c r="K75" s="49">
        <f t="shared" si="5"/>
        <v>0.4820260012</v>
      </c>
      <c r="L75" s="49">
        <f t="shared" si="6"/>
        <v>0.2176075386</v>
      </c>
      <c r="M75" s="49">
        <f t="shared" si="7"/>
        <v>0.3003664602</v>
      </c>
      <c r="N75" s="32" t="str">
        <f t="shared" si="8"/>
        <v>Jânio</v>
      </c>
      <c r="O75" s="50" t="s">
        <v>77</v>
      </c>
      <c r="P75" s="38">
        <v>8257.0</v>
      </c>
      <c r="Q75" s="38">
        <v>10118.0</v>
      </c>
      <c r="R75" s="38">
        <v>3532.0</v>
      </c>
      <c r="S75" s="38">
        <v>1364.0</v>
      </c>
      <c r="T75" s="38">
        <v>487.0</v>
      </c>
      <c r="U75" s="48">
        <f t="shared" si="9"/>
        <v>21907</v>
      </c>
      <c r="V75" s="48">
        <f t="shared" si="10"/>
        <v>23758</v>
      </c>
      <c r="W75" s="49">
        <f t="shared" si="11"/>
        <v>0.3769114895</v>
      </c>
      <c r="X75" s="49">
        <f t="shared" si="12"/>
        <v>0.4618615055</v>
      </c>
      <c r="Y75" s="49">
        <f t="shared" si="13"/>
        <v>0.1612270051</v>
      </c>
      <c r="Z75" s="32" t="str">
        <f t="shared" si="14"/>
        <v>Milton</v>
      </c>
      <c r="AA75" s="50" t="s">
        <v>77</v>
      </c>
    </row>
    <row r="76">
      <c r="A76" s="143" t="s">
        <v>1224</v>
      </c>
      <c r="B76" s="13"/>
      <c r="C76" s="164"/>
      <c r="D76" s="38">
        <v>833.0</v>
      </c>
      <c r="E76" s="38">
        <v>209.0</v>
      </c>
      <c r="F76" s="38">
        <v>387.0</v>
      </c>
      <c r="G76" s="38">
        <v>23.0</v>
      </c>
      <c r="H76" s="38">
        <v>51.0</v>
      </c>
      <c r="I76" s="48">
        <f t="shared" si="3"/>
        <v>1429</v>
      </c>
      <c r="J76" s="48">
        <f t="shared" si="4"/>
        <v>1503</v>
      </c>
      <c r="K76" s="49">
        <f t="shared" si="5"/>
        <v>0.5829251225</v>
      </c>
      <c r="L76" s="49">
        <f t="shared" si="6"/>
        <v>0.1462561232</v>
      </c>
      <c r="M76" s="49">
        <f t="shared" si="7"/>
        <v>0.2708187544</v>
      </c>
      <c r="N76" s="32" t="str">
        <f t="shared" si="8"/>
        <v>Jânio</v>
      </c>
      <c r="O76" s="50" t="s">
        <v>77</v>
      </c>
      <c r="P76" s="38">
        <v>530.0</v>
      </c>
      <c r="Q76" s="38">
        <v>646.0</v>
      </c>
      <c r="R76" s="38">
        <v>188.0</v>
      </c>
      <c r="S76" s="38">
        <v>105.0</v>
      </c>
      <c r="T76" s="38">
        <v>34.0</v>
      </c>
      <c r="U76" s="48">
        <f t="shared" si="9"/>
        <v>1364</v>
      </c>
      <c r="V76" s="48">
        <f t="shared" si="10"/>
        <v>1503</v>
      </c>
      <c r="W76" s="49">
        <f t="shared" si="11"/>
        <v>0.3885630499</v>
      </c>
      <c r="X76" s="49">
        <f t="shared" si="12"/>
        <v>0.4736070381</v>
      </c>
      <c r="Y76" s="49">
        <f t="shared" si="13"/>
        <v>0.137829912</v>
      </c>
      <c r="Z76" s="32" t="str">
        <f t="shared" si="14"/>
        <v>Milton</v>
      </c>
      <c r="AA76" s="50" t="s">
        <v>77</v>
      </c>
    </row>
    <row r="77">
      <c r="A77" s="143" t="s">
        <v>1214</v>
      </c>
      <c r="B77" s="13"/>
      <c r="C77" s="164"/>
      <c r="D77" s="38">
        <v>26869.0</v>
      </c>
      <c r="E77" s="38">
        <v>7757.0</v>
      </c>
      <c r="F77" s="38">
        <v>14647.0</v>
      </c>
      <c r="G77" s="38">
        <v>592.0</v>
      </c>
      <c r="H77" s="38">
        <v>1423.0</v>
      </c>
      <c r="I77" s="48">
        <f t="shared" si="3"/>
        <v>49273</v>
      </c>
      <c r="J77" s="48">
        <f t="shared" si="4"/>
        <v>51288</v>
      </c>
      <c r="K77" s="49">
        <f t="shared" si="5"/>
        <v>0.5453087898</v>
      </c>
      <c r="L77" s="49">
        <f t="shared" si="6"/>
        <v>0.1574290179</v>
      </c>
      <c r="M77" s="49">
        <f t="shared" si="7"/>
        <v>0.2972621923</v>
      </c>
      <c r="N77" s="32" t="str">
        <f t="shared" si="8"/>
        <v>Jânio</v>
      </c>
      <c r="O77" s="50" t="s">
        <v>77</v>
      </c>
      <c r="P77" s="38">
        <v>16120.0</v>
      </c>
      <c r="Q77" s="38">
        <v>23960.0</v>
      </c>
      <c r="R77" s="38">
        <v>6718.0</v>
      </c>
      <c r="S77" s="38">
        <v>3335.0</v>
      </c>
      <c r="T77" s="38">
        <v>1155.0</v>
      </c>
      <c r="U77" s="48">
        <f t="shared" si="9"/>
        <v>46798</v>
      </c>
      <c r="V77" s="48">
        <f t="shared" si="10"/>
        <v>51288</v>
      </c>
      <c r="W77" s="49">
        <f t="shared" si="11"/>
        <v>0.3444591649</v>
      </c>
      <c r="X77" s="49">
        <f t="shared" si="12"/>
        <v>0.5119876918</v>
      </c>
      <c r="Y77" s="49">
        <f t="shared" si="13"/>
        <v>0.1435531433</v>
      </c>
      <c r="Z77" s="32" t="str">
        <f t="shared" si="14"/>
        <v>Milton</v>
      </c>
      <c r="AA77" s="50" t="s">
        <v>77</v>
      </c>
    </row>
    <row r="78">
      <c r="A78" s="143" t="s">
        <v>1051</v>
      </c>
      <c r="B78" s="13"/>
      <c r="C78" s="164"/>
      <c r="D78" s="38">
        <v>12415.0</v>
      </c>
      <c r="E78" s="38">
        <v>3943.0</v>
      </c>
      <c r="F78" s="38">
        <v>9701.0</v>
      </c>
      <c r="G78" s="38">
        <v>501.0</v>
      </c>
      <c r="H78" s="38">
        <v>1130.0</v>
      </c>
      <c r="I78" s="48">
        <f t="shared" si="3"/>
        <v>26059</v>
      </c>
      <c r="J78" s="48">
        <f t="shared" si="4"/>
        <v>27690</v>
      </c>
      <c r="K78" s="49">
        <f t="shared" si="5"/>
        <v>0.4764188956</v>
      </c>
      <c r="L78" s="49">
        <f t="shared" si="6"/>
        <v>0.1513104877</v>
      </c>
      <c r="M78" s="49">
        <f t="shared" si="7"/>
        <v>0.3722706167</v>
      </c>
      <c r="N78" s="32" t="str">
        <f t="shared" si="8"/>
        <v>Jânio</v>
      </c>
      <c r="O78" s="50" t="s">
        <v>77</v>
      </c>
      <c r="P78" s="38">
        <v>10464.0</v>
      </c>
      <c r="Q78" s="38">
        <v>10638.0</v>
      </c>
      <c r="R78" s="38">
        <v>3048.0</v>
      </c>
      <c r="S78" s="38">
        <v>2753.0</v>
      </c>
      <c r="T78" s="38">
        <v>787.0</v>
      </c>
      <c r="U78" s="48">
        <f t="shared" si="9"/>
        <v>24150</v>
      </c>
      <c r="V78" s="48">
        <f t="shared" si="10"/>
        <v>27690</v>
      </c>
      <c r="W78" s="49">
        <f t="shared" si="11"/>
        <v>0.4332919255</v>
      </c>
      <c r="X78" s="49">
        <f t="shared" si="12"/>
        <v>0.4404968944</v>
      </c>
      <c r="Y78" s="49">
        <f t="shared" si="13"/>
        <v>0.1262111801</v>
      </c>
      <c r="Z78" s="32" t="str">
        <f t="shared" si="14"/>
        <v>Milton</v>
      </c>
      <c r="AA78" s="50" t="s">
        <v>77</v>
      </c>
    </row>
    <row r="79">
      <c r="A79" s="143" t="s">
        <v>3205</v>
      </c>
      <c r="B79" s="13"/>
      <c r="C79" s="164"/>
      <c r="D79" s="38">
        <v>9711.0</v>
      </c>
      <c r="E79" s="38">
        <v>3695.0</v>
      </c>
      <c r="F79" s="38">
        <v>4442.0</v>
      </c>
      <c r="G79" s="38">
        <v>499.0</v>
      </c>
      <c r="H79" s="38">
        <v>872.0</v>
      </c>
      <c r="I79" s="48">
        <f t="shared" si="3"/>
        <v>17848</v>
      </c>
      <c r="J79" s="48">
        <f t="shared" si="4"/>
        <v>19219</v>
      </c>
      <c r="K79" s="49">
        <f t="shared" si="5"/>
        <v>0.5440945764</v>
      </c>
      <c r="L79" s="49">
        <f t="shared" si="6"/>
        <v>0.2070259973</v>
      </c>
      <c r="M79" s="49">
        <f t="shared" si="7"/>
        <v>0.2488794263</v>
      </c>
      <c r="N79" s="32" t="str">
        <f t="shared" si="8"/>
        <v>Jânio</v>
      </c>
      <c r="O79" s="50" t="s">
        <v>77</v>
      </c>
      <c r="P79" s="38">
        <v>7158.0</v>
      </c>
      <c r="Q79" s="38">
        <v>7428.0</v>
      </c>
      <c r="R79" s="38">
        <v>2161.0</v>
      </c>
      <c r="S79" s="38">
        <v>1723.0</v>
      </c>
      <c r="T79" s="38">
        <v>749.0</v>
      </c>
      <c r="U79" s="48">
        <f t="shared" si="9"/>
        <v>16747</v>
      </c>
      <c r="V79" s="48">
        <f t="shared" si="10"/>
        <v>19219</v>
      </c>
      <c r="W79" s="49">
        <f t="shared" si="11"/>
        <v>0.4274198364</v>
      </c>
      <c r="X79" s="49">
        <f t="shared" si="12"/>
        <v>0.4435421269</v>
      </c>
      <c r="Y79" s="49">
        <f t="shared" si="13"/>
        <v>0.1290380367</v>
      </c>
      <c r="Z79" s="32" t="str">
        <f t="shared" si="14"/>
        <v>Milton</v>
      </c>
      <c r="AA79" s="50" t="s">
        <v>77</v>
      </c>
    </row>
    <row r="80">
      <c r="A80" s="143" t="s">
        <v>1239</v>
      </c>
      <c r="B80" s="13"/>
      <c r="C80" s="164"/>
      <c r="D80" s="38">
        <v>24460.0</v>
      </c>
      <c r="E80" s="38">
        <v>6731.0</v>
      </c>
      <c r="F80" s="38">
        <v>11995.0</v>
      </c>
      <c r="G80" s="38">
        <v>572.0</v>
      </c>
      <c r="H80" s="38">
        <v>1274.0</v>
      </c>
      <c r="I80" s="48">
        <f t="shared" si="3"/>
        <v>43186</v>
      </c>
      <c r="J80" s="48">
        <f t="shared" si="4"/>
        <v>45032</v>
      </c>
      <c r="K80" s="49">
        <f t="shared" si="5"/>
        <v>0.5663872551</v>
      </c>
      <c r="L80" s="49">
        <f t="shared" si="6"/>
        <v>0.1558606956</v>
      </c>
      <c r="M80" s="49">
        <f t="shared" si="7"/>
        <v>0.2777520493</v>
      </c>
      <c r="N80" s="32" t="str">
        <f t="shared" si="8"/>
        <v>Jânio</v>
      </c>
      <c r="O80" s="50" t="s">
        <v>77</v>
      </c>
      <c r="P80" s="38">
        <v>14095.0</v>
      </c>
      <c r="Q80" s="38">
        <v>21207.0</v>
      </c>
      <c r="R80" s="38">
        <v>5637.0</v>
      </c>
      <c r="S80" s="38">
        <v>3033.0</v>
      </c>
      <c r="T80" s="38">
        <v>1060.0</v>
      </c>
      <c r="U80" s="48">
        <f t="shared" si="9"/>
        <v>40939</v>
      </c>
      <c r="V80" s="48">
        <f t="shared" si="10"/>
        <v>45032</v>
      </c>
      <c r="W80" s="49">
        <f t="shared" si="11"/>
        <v>0.3442927282</v>
      </c>
      <c r="X80" s="49">
        <f t="shared" si="12"/>
        <v>0.5180146071</v>
      </c>
      <c r="Y80" s="49">
        <f t="shared" si="13"/>
        <v>0.1376926647</v>
      </c>
      <c r="Z80" s="32" t="str">
        <f t="shared" si="14"/>
        <v>Milton</v>
      </c>
      <c r="AA80" s="50" t="s">
        <v>77</v>
      </c>
    </row>
    <row r="81">
      <c r="A81" s="143" t="s">
        <v>3206</v>
      </c>
      <c r="B81" s="13"/>
      <c r="C81" s="164"/>
      <c r="D81" s="38">
        <v>4040.0</v>
      </c>
      <c r="E81" s="38">
        <v>1925.0</v>
      </c>
      <c r="F81" s="38">
        <v>2324.0</v>
      </c>
      <c r="G81" s="38">
        <v>96.0</v>
      </c>
      <c r="H81" s="38">
        <v>255.0</v>
      </c>
      <c r="I81" s="48">
        <f t="shared" si="3"/>
        <v>8289</v>
      </c>
      <c r="J81" s="48">
        <f t="shared" si="4"/>
        <v>8640</v>
      </c>
      <c r="K81" s="49">
        <f t="shared" si="5"/>
        <v>0.4873929304</v>
      </c>
      <c r="L81" s="49">
        <f t="shared" si="6"/>
        <v>0.2322354928</v>
      </c>
      <c r="M81" s="49">
        <f t="shared" si="7"/>
        <v>0.2803715768</v>
      </c>
      <c r="N81" s="32" t="str">
        <f t="shared" si="8"/>
        <v>Jânio</v>
      </c>
      <c r="O81" s="50" t="s">
        <v>77</v>
      </c>
      <c r="P81" s="38">
        <v>2819.0</v>
      </c>
      <c r="Q81" s="38">
        <v>3833.0</v>
      </c>
      <c r="R81" s="38">
        <v>1290.0</v>
      </c>
      <c r="S81" s="38">
        <v>452.0</v>
      </c>
      <c r="T81" s="38">
        <v>246.0</v>
      </c>
      <c r="U81" s="48">
        <f t="shared" si="9"/>
        <v>7942</v>
      </c>
      <c r="V81" s="48">
        <f t="shared" si="10"/>
        <v>8640</v>
      </c>
      <c r="W81" s="49">
        <f t="shared" si="11"/>
        <v>0.3549483757</v>
      </c>
      <c r="X81" s="49">
        <f t="shared" si="12"/>
        <v>0.4826240242</v>
      </c>
      <c r="Y81" s="49">
        <f t="shared" si="13"/>
        <v>0.1624276001</v>
      </c>
      <c r="Z81" s="32" t="str">
        <f t="shared" si="14"/>
        <v>Milton</v>
      </c>
      <c r="AA81" s="50" t="s">
        <v>77</v>
      </c>
    </row>
    <row r="82">
      <c r="A82" s="143" t="s">
        <v>2093</v>
      </c>
      <c r="B82" s="13"/>
      <c r="C82" s="164"/>
      <c r="D82" s="38">
        <v>2348.0</v>
      </c>
      <c r="E82" s="38">
        <v>716.0</v>
      </c>
      <c r="F82" s="38">
        <v>882.0</v>
      </c>
      <c r="G82" s="38">
        <v>61.0</v>
      </c>
      <c r="H82" s="38">
        <v>83.0</v>
      </c>
      <c r="I82" s="48">
        <f t="shared" si="3"/>
        <v>3946</v>
      </c>
      <c r="J82" s="48">
        <f t="shared" si="4"/>
        <v>4090</v>
      </c>
      <c r="K82" s="49">
        <f t="shared" si="5"/>
        <v>0.5950329448</v>
      </c>
      <c r="L82" s="49">
        <f t="shared" si="6"/>
        <v>0.1814495692</v>
      </c>
      <c r="M82" s="49">
        <f t="shared" si="7"/>
        <v>0.2235174861</v>
      </c>
      <c r="N82" s="32" t="str">
        <f t="shared" si="8"/>
        <v>Jânio</v>
      </c>
      <c r="O82" s="50" t="s">
        <v>77</v>
      </c>
      <c r="P82" s="38">
        <v>1030.0</v>
      </c>
      <c r="Q82" s="38">
        <v>2184.0</v>
      </c>
      <c r="R82" s="38">
        <v>582.0</v>
      </c>
      <c r="S82" s="38">
        <v>227.0</v>
      </c>
      <c r="T82" s="38">
        <v>67.0</v>
      </c>
      <c r="U82" s="48">
        <f t="shared" si="9"/>
        <v>3796</v>
      </c>
      <c r="V82" s="48">
        <f t="shared" si="10"/>
        <v>4090</v>
      </c>
      <c r="W82" s="49">
        <f t="shared" si="11"/>
        <v>0.2713382508</v>
      </c>
      <c r="X82" s="49">
        <f t="shared" si="12"/>
        <v>0.5753424658</v>
      </c>
      <c r="Y82" s="49">
        <f t="shared" si="13"/>
        <v>0.1533192835</v>
      </c>
      <c r="Z82" s="32" t="str">
        <f t="shared" si="14"/>
        <v>Milton</v>
      </c>
      <c r="AA82" s="50" t="s">
        <v>77</v>
      </c>
    </row>
    <row r="83">
      <c r="A83" s="143" t="s">
        <v>3207</v>
      </c>
      <c r="B83" s="13"/>
      <c r="C83" s="164"/>
      <c r="D83" s="38">
        <v>23156.0</v>
      </c>
      <c r="E83" s="38">
        <v>5332.0</v>
      </c>
      <c r="F83" s="38">
        <v>11012.0</v>
      </c>
      <c r="G83" s="38">
        <v>720.0</v>
      </c>
      <c r="H83" s="38">
        <v>1890.0</v>
      </c>
      <c r="I83" s="48">
        <f t="shared" si="3"/>
        <v>39500</v>
      </c>
      <c r="J83" s="48">
        <f t="shared" si="4"/>
        <v>42110</v>
      </c>
      <c r="K83" s="49">
        <f t="shared" si="5"/>
        <v>0.5862278481</v>
      </c>
      <c r="L83" s="49">
        <f t="shared" si="6"/>
        <v>0.1349873418</v>
      </c>
      <c r="M83" s="49">
        <f t="shared" si="7"/>
        <v>0.2787848101</v>
      </c>
      <c r="N83" s="32" t="str">
        <f t="shared" si="8"/>
        <v>Jânio</v>
      </c>
      <c r="O83" s="50" t="s">
        <v>77</v>
      </c>
      <c r="P83" s="38">
        <v>12773.0</v>
      </c>
      <c r="Q83" s="38">
        <v>19598.0</v>
      </c>
      <c r="R83" s="38">
        <v>5105.0</v>
      </c>
      <c r="S83" s="38">
        <v>2886.0</v>
      </c>
      <c r="T83" s="38">
        <v>1748.0</v>
      </c>
      <c r="U83" s="48">
        <f t="shared" si="9"/>
        <v>37476</v>
      </c>
      <c r="V83" s="48">
        <f t="shared" si="10"/>
        <v>42110</v>
      </c>
      <c r="W83" s="49">
        <f t="shared" si="11"/>
        <v>0.3408314655</v>
      </c>
      <c r="X83" s="49">
        <f t="shared" si="12"/>
        <v>0.5229480201</v>
      </c>
      <c r="Y83" s="49">
        <f t="shared" si="13"/>
        <v>0.1362205145</v>
      </c>
      <c r="Z83" s="32" t="str">
        <f t="shared" si="14"/>
        <v>Milton</v>
      </c>
      <c r="AA83" s="50" t="s">
        <v>77</v>
      </c>
    </row>
    <row r="84">
      <c r="A84" s="143" t="s">
        <v>2432</v>
      </c>
      <c r="B84" s="13"/>
      <c r="C84" s="164"/>
      <c r="D84" s="38">
        <v>2488.0</v>
      </c>
      <c r="E84" s="38">
        <v>682.0</v>
      </c>
      <c r="F84" s="38">
        <v>1387.0</v>
      </c>
      <c r="G84" s="38">
        <v>83.0</v>
      </c>
      <c r="H84" s="38">
        <v>170.0</v>
      </c>
      <c r="I84" s="48">
        <f t="shared" si="3"/>
        <v>4557</v>
      </c>
      <c r="J84" s="48">
        <f t="shared" si="4"/>
        <v>4810</v>
      </c>
      <c r="K84" s="49">
        <f t="shared" si="5"/>
        <v>0.545973228</v>
      </c>
      <c r="L84" s="49">
        <f t="shared" si="6"/>
        <v>0.1496598639</v>
      </c>
      <c r="M84" s="49">
        <f t="shared" si="7"/>
        <v>0.3043669081</v>
      </c>
      <c r="N84" s="32" t="str">
        <f t="shared" si="8"/>
        <v>Jânio</v>
      </c>
      <c r="O84" s="50" t="s">
        <v>77</v>
      </c>
      <c r="P84" s="38">
        <v>1578.0</v>
      </c>
      <c r="Q84" s="38">
        <v>2147.0</v>
      </c>
      <c r="R84" s="38">
        <v>546.0</v>
      </c>
      <c r="S84" s="38">
        <v>403.0</v>
      </c>
      <c r="T84" s="38">
        <v>136.0</v>
      </c>
      <c r="U84" s="48">
        <f t="shared" si="9"/>
        <v>4271</v>
      </c>
      <c r="V84" s="48">
        <f t="shared" si="10"/>
        <v>4810</v>
      </c>
      <c r="W84" s="49">
        <f t="shared" si="11"/>
        <v>0.3694685085</v>
      </c>
      <c r="X84" s="49">
        <f t="shared" si="12"/>
        <v>0.5026925779</v>
      </c>
      <c r="Y84" s="49">
        <f t="shared" si="13"/>
        <v>0.1278389136</v>
      </c>
      <c r="Z84" s="32" t="str">
        <f t="shared" si="14"/>
        <v>Milton</v>
      </c>
      <c r="AA84" s="50" t="s">
        <v>77</v>
      </c>
    </row>
    <row r="85">
      <c r="A85" s="143" t="s">
        <v>3208</v>
      </c>
      <c r="B85" s="13"/>
      <c r="C85" s="164"/>
      <c r="D85" s="38">
        <v>11865.0</v>
      </c>
      <c r="E85" s="38">
        <v>3140.0</v>
      </c>
      <c r="F85" s="38">
        <v>6771.0</v>
      </c>
      <c r="G85" s="38">
        <v>309.0</v>
      </c>
      <c r="H85" s="38">
        <v>696.0</v>
      </c>
      <c r="I85" s="48">
        <f t="shared" si="3"/>
        <v>21776</v>
      </c>
      <c r="J85" s="48">
        <f t="shared" si="4"/>
        <v>22781</v>
      </c>
      <c r="K85" s="49">
        <f t="shared" si="5"/>
        <v>0.5448659074</v>
      </c>
      <c r="L85" s="49">
        <f t="shared" si="6"/>
        <v>0.1441954445</v>
      </c>
      <c r="M85" s="49">
        <f t="shared" si="7"/>
        <v>0.3109386481</v>
      </c>
      <c r="N85" s="32" t="str">
        <f t="shared" si="8"/>
        <v>Jânio</v>
      </c>
      <c r="O85" s="50" t="s">
        <v>77</v>
      </c>
      <c r="P85" s="38">
        <v>7648.0</v>
      </c>
      <c r="Q85" s="38">
        <v>10303.0</v>
      </c>
      <c r="R85" s="38">
        <v>2624.0</v>
      </c>
      <c r="S85" s="38">
        <v>1651.0</v>
      </c>
      <c r="T85" s="38">
        <v>555.0</v>
      </c>
      <c r="U85" s="48">
        <f t="shared" si="9"/>
        <v>20575</v>
      </c>
      <c r="V85" s="48">
        <f t="shared" si="10"/>
        <v>22781</v>
      </c>
      <c r="W85" s="49">
        <f t="shared" si="11"/>
        <v>0.3717132442</v>
      </c>
      <c r="X85" s="49">
        <f t="shared" si="12"/>
        <v>0.5007533414</v>
      </c>
      <c r="Y85" s="49">
        <f t="shared" si="13"/>
        <v>0.1275334143</v>
      </c>
      <c r="Z85" s="32" t="str">
        <f t="shared" si="14"/>
        <v>Milton</v>
      </c>
      <c r="AA85" s="50" t="s">
        <v>77</v>
      </c>
    </row>
    <row r="86">
      <c r="A86" s="143" t="s">
        <v>3209</v>
      </c>
      <c r="B86" s="13"/>
      <c r="C86" s="164"/>
      <c r="D86" s="38">
        <v>3699.0</v>
      </c>
      <c r="E86" s="38">
        <v>766.0</v>
      </c>
      <c r="F86" s="38">
        <v>954.0</v>
      </c>
      <c r="G86" s="38">
        <v>113.0</v>
      </c>
      <c r="H86" s="38">
        <v>226.0</v>
      </c>
      <c r="I86" s="48">
        <f t="shared" si="3"/>
        <v>5419</v>
      </c>
      <c r="J86" s="48">
        <f t="shared" si="4"/>
        <v>5758</v>
      </c>
      <c r="K86" s="49">
        <f t="shared" si="5"/>
        <v>0.6825982654</v>
      </c>
      <c r="L86" s="49">
        <f t="shared" si="6"/>
        <v>0.1413544934</v>
      </c>
      <c r="M86" s="49">
        <f t="shared" si="7"/>
        <v>0.1760472412</v>
      </c>
      <c r="N86" s="32" t="str">
        <f t="shared" si="8"/>
        <v>Jânio</v>
      </c>
      <c r="O86" s="50" t="s">
        <v>77</v>
      </c>
      <c r="P86" s="38">
        <v>1652.0</v>
      </c>
      <c r="Q86" s="38">
        <v>2905.0</v>
      </c>
      <c r="R86" s="38">
        <v>537.0</v>
      </c>
      <c r="S86" s="38">
        <v>496.0</v>
      </c>
      <c r="T86" s="38">
        <v>168.0</v>
      </c>
      <c r="U86" s="48">
        <f t="shared" si="9"/>
        <v>5094</v>
      </c>
      <c r="V86" s="48">
        <f t="shared" si="10"/>
        <v>5758</v>
      </c>
      <c r="W86" s="49">
        <f t="shared" si="11"/>
        <v>0.3243031017</v>
      </c>
      <c r="X86" s="49">
        <f t="shared" si="12"/>
        <v>0.5702787593</v>
      </c>
      <c r="Y86" s="49">
        <f t="shared" si="13"/>
        <v>0.105418139</v>
      </c>
      <c r="Z86" s="32" t="str">
        <f t="shared" si="14"/>
        <v>Milton</v>
      </c>
      <c r="AA86" s="50" t="s">
        <v>77</v>
      </c>
    </row>
    <row r="87">
      <c r="A87" s="143" t="s">
        <v>3210</v>
      </c>
      <c r="B87" s="13"/>
      <c r="C87" s="164"/>
      <c r="D87" s="38">
        <v>724.0</v>
      </c>
      <c r="E87" s="38">
        <v>201.0</v>
      </c>
      <c r="F87" s="38">
        <v>300.0</v>
      </c>
      <c r="G87" s="38">
        <v>24.0</v>
      </c>
      <c r="H87" s="38">
        <v>29.0</v>
      </c>
      <c r="I87" s="48">
        <f t="shared" si="3"/>
        <v>1225</v>
      </c>
      <c r="J87" s="48">
        <f t="shared" si="4"/>
        <v>1278</v>
      </c>
      <c r="K87" s="49">
        <f t="shared" si="5"/>
        <v>0.5910204082</v>
      </c>
      <c r="L87" s="49">
        <f t="shared" si="6"/>
        <v>0.1640816327</v>
      </c>
      <c r="M87" s="49">
        <f t="shared" si="7"/>
        <v>0.2448979592</v>
      </c>
      <c r="N87" s="32" t="str">
        <f t="shared" si="8"/>
        <v>Jânio</v>
      </c>
      <c r="O87" s="50" t="s">
        <v>77</v>
      </c>
      <c r="P87" s="38">
        <v>454.0</v>
      </c>
      <c r="Q87" s="38">
        <v>573.0</v>
      </c>
      <c r="R87" s="38">
        <v>146.0</v>
      </c>
      <c r="S87" s="38">
        <v>44.0</v>
      </c>
      <c r="T87" s="38">
        <v>61.0</v>
      </c>
      <c r="U87" s="48">
        <f t="shared" si="9"/>
        <v>1173</v>
      </c>
      <c r="V87" s="48">
        <f t="shared" si="10"/>
        <v>1278</v>
      </c>
      <c r="W87" s="49">
        <f t="shared" si="11"/>
        <v>0.3870417732</v>
      </c>
      <c r="X87" s="49">
        <f t="shared" si="12"/>
        <v>0.4884910486</v>
      </c>
      <c r="Y87" s="49">
        <f t="shared" si="13"/>
        <v>0.1244671782</v>
      </c>
      <c r="Z87" s="32" t="str">
        <f t="shared" si="14"/>
        <v>Milton</v>
      </c>
      <c r="AA87" s="50" t="s">
        <v>77</v>
      </c>
    </row>
    <row r="88">
      <c r="A88" s="143" t="s">
        <v>3211</v>
      </c>
      <c r="B88" s="13"/>
      <c r="C88" s="164"/>
      <c r="D88" s="38">
        <v>1757.0</v>
      </c>
      <c r="E88" s="38">
        <v>421.0</v>
      </c>
      <c r="F88" s="38">
        <v>648.0</v>
      </c>
      <c r="G88" s="38">
        <v>38.0</v>
      </c>
      <c r="H88" s="38">
        <v>128.0</v>
      </c>
      <c r="I88" s="48">
        <f t="shared" si="3"/>
        <v>2826</v>
      </c>
      <c r="J88" s="48">
        <f t="shared" si="4"/>
        <v>2992</v>
      </c>
      <c r="K88" s="49">
        <f t="shared" si="5"/>
        <v>0.6217268224</v>
      </c>
      <c r="L88" s="49">
        <f t="shared" si="6"/>
        <v>0.1489738146</v>
      </c>
      <c r="M88" s="49">
        <f t="shared" si="7"/>
        <v>0.2292993631</v>
      </c>
      <c r="N88" s="32" t="str">
        <f t="shared" si="8"/>
        <v>Jânio</v>
      </c>
      <c r="O88" s="50" t="s">
        <v>77</v>
      </c>
      <c r="P88" s="38">
        <v>912.0</v>
      </c>
      <c r="Q88" s="38">
        <v>1410.0</v>
      </c>
      <c r="R88" s="38">
        <v>349.0</v>
      </c>
      <c r="S88" s="38">
        <v>202.0</v>
      </c>
      <c r="T88" s="38">
        <v>119.0</v>
      </c>
      <c r="U88" s="48">
        <f t="shared" si="9"/>
        <v>2671</v>
      </c>
      <c r="V88" s="48">
        <f t="shared" si="10"/>
        <v>2992</v>
      </c>
      <c r="W88" s="49">
        <f t="shared" si="11"/>
        <v>0.3414451516</v>
      </c>
      <c r="X88" s="49">
        <f t="shared" si="12"/>
        <v>0.5278921752</v>
      </c>
      <c r="Y88" s="49">
        <f t="shared" si="13"/>
        <v>0.1306626732</v>
      </c>
      <c r="Z88" s="32" t="str">
        <f t="shared" si="14"/>
        <v>Milton</v>
      </c>
      <c r="AA88" s="50" t="s">
        <v>77</v>
      </c>
    </row>
    <row r="89">
      <c r="A89" s="143" t="s">
        <v>3212</v>
      </c>
      <c r="B89" s="13"/>
      <c r="C89" s="164"/>
      <c r="D89" s="38">
        <v>831.0</v>
      </c>
      <c r="E89" s="38">
        <v>160.0</v>
      </c>
      <c r="F89" s="38">
        <v>423.0</v>
      </c>
      <c r="G89" s="38">
        <v>42.0</v>
      </c>
      <c r="H89" s="38">
        <v>91.0</v>
      </c>
      <c r="I89" s="48">
        <f t="shared" si="3"/>
        <v>1414</v>
      </c>
      <c r="J89" s="48">
        <f t="shared" si="4"/>
        <v>1547</v>
      </c>
      <c r="K89" s="49">
        <f t="shared" si="5"/>
        <v>0.5876944837</v>
      </c>
      <c r="L89" s="49">
        <f t="shared" si="6"/>
        <v>0.1131541726</v>
      </c>
      <c r="M89" s="49">
        <f t="shared" si="7"/>
        <v>0.2991513437</v>
      </c>
      <c r="N89" s="32" t="str">
        <f t="shared" si="8"/>
        <v>Jânio</v>
      </c>
      <c r="O89" s="50" t="s">
        <v>77</v>
      </c>
      <c r="P89" s="38">
        <v>501.0</v>
      </c>
      <c r="Q89" s="38">
        <v>650.0</v>
      </c>
      <c r="R89" s="38">
        <v>138.0</v>
      </c>
      <c r="S89" s="38">
        <v>201.0</v>
      </c>
      <c r="T89" s="38">
        <v>57.0</v>
      </c>
      <c r="U89" s="48">
        <f t="shared" si="9"/>
        <v>1289</v>
      </c>
      <c r="V89" s="48">
        <f t="shared" si="10"/>
        <v>1547</v>
      </c>
      <c r="W89" s="49">
        <f t="shared" si="11"/>
        <v>0.3886733902</v>
      </c>
      <c r="X89" s="49">
        <f t="shared" si="12"/>
        <v>0.5042668735</v>
      </c>
      <c r="Y89" s="49">
        <f t="shared" si="13"/>
        <v>0.1070597362</v>
      </c>
      <c r="Z89" s="32" t="str">
        <f t="shared" si="14"/>
        <v>Milton</v>
      </c>
      <c r="AA89" s="50" t="s">
        <v>77</v>
      </c>
    </row>
    <row r="90">
      <c r="A90" s="165" t="s">
        <v>3213</v>
      </c>
      <c r="B90" s="13"/>
      <c r="C90" s="164"/>
      <c r="D90" s="38">
        <v>2939.0</v>
      </c>
      <c r="E90" s="38">
        <v>1337.0</v>
      </c>
      <c r="F90" s="38">
        <v>1253.0</v>
      </c>
      <c r="G90" s="38">
        <v>70.0</v>
      </c>
      <c r="H90" s="38">
        <v>166.0</v>
      </c>
      <c r="I90" s="48">
        <f t="shared" si="3"/>
        <v>5529</v>
      </c>
      <c r="J90" s="48">
        <f t="shared" si="4"/>
        <v>5765</v>
      </c>
      <c r="K90" s="49">
        <f t="shared" si="5"/>
        <v>0.5315608609</v>
      </c>
      <c r="L90" s="49">
        <f t="shared" si="6"/>
        <v>0.2418158799</v>
      </c>
      <c r="M90" s="49">
        <f t="shared" si="7"/>
        <v>0.2266232592</v>
      </c>
      <c r="N90" s="32" t="str">
        <f t="shared" si="8"/>
        <v>Jânio</v>
      </c>
      <c r="O90" s="50" t="s">
        <v>77</v>
      </c>
      <c r="P90" s="38">
        <v>1735.0</v>
      </c>
      <c r="Q90" s="38">
        <v>2816.0</v>
      </c>
      <c r="R90" s="38">
        <v>824.0</v>
      </c>
      <c r="S90" s="38">
        <v>135.0</v>
      </c>
      <c r="T90" s="38">
        <v>255.0</v>
      </c>
      <c r="U90" s="48">
        <f t="shared" si="9"/>
        <v>5375</v>
      </c>
      <c r="V90" s="48">
        <f t="shared" si="10"/>
        <v>5765</v>
      </c>
      <c r="W90" s="49">
        <f t="shared" si="11"/>
        <v>0.3227906977</v>
      </c>
      <c r="X90" s="49">
        <f t="shared" si="12"/>
        <v>0.5239069767</v>
      </c>
      <c r="Y90" s="49">
        <f t="shared" si="13"/>
        <v>0.1533023256</v>
      </c>
      <c r="Z90" s="32" t="str">
        <f t="shared" si="14"/>
        <v>Milton</v>
      </c>
      <c r="AA90" s="50" t="s">
        <v>77</v>
      </c>
    </row>
    <row r="91">
      <c r="A91" s="143" t="s">
        <v>3214</v>
      </c>
      <c r="B91" s="13"/>
      <c r="C91" s="164"/>
      <c r="D91" s="38">
        <v>994.0</v>
      </c>
      <c r="E91" s="38">
        <v>196.0</v>
      </c>
      <c r="F91" s="38">
        <v>235.0</v>
      </c>
      <c r="G91" s="38">
        <v>27.0</v>
      </c>
      <c r="H91" s="38">
        <v>50.0</v>
      </c>
      <c r="I91" s="48">
        <f t="shared" si="3"/>
        <v>1425</v>
      </c>
      <c r="J91" s="48">
        <f t="shared" si="4"/>
        <v>1502</v>
      </c>
      <c r="K91" s="49">
        <f t="shared" si="5"/>
        <v>0.6975438596</v>
      </c>
      <c r="L91" s="49">
        <f t="shared" si="6"/>
        <v>0.1375438596</v>
      </c>
      <c r="M91" s="49">
        <f t="shared" si="7"/>
        <v>0.1649122807</v>
      </c>
      <c r="N91" s="32" t="str">
        <f t="shared" si="8"/>
        <v>Jânio</v>
      </c>
      <c r="O91" s="50" t="s">
        <v>77</v>
      </c>
      <c r="P91" s="38">
        <v>378.0</v>
      </c>
      <c r="Q91" s="38">
        <v>803.0</v>
      </c>
      <c r="R91" s="38">
        <v>153.0</v>
      </c>
      <c r="S91" s="38">
        <v>117.0</v>
      </c>
      <c r="T91" s="38">
        <v>51.0</v>
      </c>
      <c r="U91" s="48">
        <f t="shared" si="9"/>
        <v>1334</v>
      </c>
      <c r="V91" s="48">
        <f t="shared" si="10"/>
        <v>1502</v>
      </c>
      <c r="W91" s="49">
        <f t="shared" si="11"/>
        <v>0.2833583208</v>
      </c>
      <c r="X91" s="49">
        <f t="shared" si="12"/>
        <v>0.6019490255</v>
      </c>
      <c r="Y91" s="49">
        <f t="shared" si="13"/>
        <v>0.1146926537</v>
      </c>
      <c r="Z91" s="32" t="str">
        <f t="shared" si="14"/>
        <v>Milton</v>
      </c>
      <c r="AA91" s="50" t="s">
        <v>77</v>
      </c>
    </row>
    <row r="92">
      <c r="A92" s="143" t="s">
        <v>3215</v>
      </c>
      <c r="B92" s="13"/>
      <c r="C92" s="164"/>
      <c r="D92" s="38">
        <v>9621.0</v>
      </c>
      <c r="E92" s="38">
        <v>1981.0</v>
      </c>
      <c r="F92" s="38">
        <v>4354.0</v>
      </c>
      <c r="G92" s="38">
        <v>281.0</v>
      </c>
      <c r="H92" s="38">
        <v>702.0</v>
      </c>
      <c r="I92" s="48">
        <f t="shared" si="3"/>
        <v>15956</v>
      </c>
      <c r="J92" s="48">
        <f t="shared" si="4"/>
        <v>16939</v>
      </c>
      <c r="K92" s="49">
        <f t="shared" si="5"/>
        <v>0.6029706693</v>
      </c>
      <c r="L92" s="49">
        <f t="shared" si="6"/>
        <v>0.1241539233</v>
      </c>
      <c r="M92" s="49">
        <f t="shared" si="7"/>
        <v>0.2728754074</v>
      </c>
      <c r="N92" s="32" t="str">
        <f t="shared" si="8"/>
        <v>Jânio</v>
      </c>
      <c r="O92" s="50" t="s">
        <v>77</v>
      </c>
      <c r="P92" s="38">
        <v>5259.0</v>
      </c>
      <c r="Q92" s="38">
        <v>7893.0</v>
      </c>
      <c r="R92" s="38">
        <v>1744.0</v>
      </c>
      <c r="S92" s="38">
        <v>1431.0</v>
      </c>
      <c r="T92" s="38">
        <v>612.0</v>
      </c>
      <c r="U92" s="48">
        <f t="shared" si="9"/>
        <v>14896</v>
      </c>
      <c r="V92" s="48">
        <f t="shared" si="10"/>
        <v>16939</v>
      </c>
      <c r="W92" s="49">
        <f t="shared" si="11"/>
        <v>0.3530477981</v>
      </c>
      <c r="X92" s="49">
        <f t="shared" si="12"/>
        <v>0.5298737916</v>
      </c>
      <c r="Y92" s="49">
        <f t="shared" si="13"/>
        <v>0.1170784103</v>
      </c>
      <c r="Z92" s="32" t="str">
        <f t="shared" si="14"/>
        <v>Milton</v>
      </c>
      <c r="AA92" s="50" t="s">
        <v>77</v>
      </c>
    </row>
    <row r="93">
      <c r="A93" s="143" t="s">
        <v>3216</v>
      </c>
      <c r="B93" s="13"/>
      <c r="C93" s="164"/>
      <c r="D93" s="38">
        <v>188.0</v>
      </c>
      <c r="E93" s="38">
        <v>53.0</v>
      </c>
      <c r="F93" s="38">
        <v>81.0</v>
      </c>
      <c r="G93" s="38">
        <v>11.0</v>
      </c>
      <c r="H93" s="38">
        <v>11.0</v>
      </c>
      <c r="I93" s="48">
        <f t="shared" si="3"/>
        <v>322</v>
      </c>
      <c r="J93" s="48">
        <f t="shared" si="4"/>
        <v>344</v>
      </c>
      <c r="K93" s="49">
        <f t="shared" si="5"/>
        <v>0.5838509317</v>
      </c>
      <c r="L93" s="49">
        <f t="shared" si="6"/>
        <v>0.1645962733</v>
      </c>
      <c r="M93" s="49">
        <f t="shared" si="7"/>
        <v>0.251552795</v>
      </c>
      <c r="N93" s="32" t="str">
        <f t="shared" si="8"/>
        <v>Jânio</v>
      </c>
      <c r="O93" s="50" t="s">
        <v>77</v>
      </c>
      <c r="P93" s="38">
        <v>118.0</v>
      </c>
      <c r="Q93" s="38">
        <v>146.0</v>
      </c>
      <c r="R93" s="38">
        <v>35.0</v>
      </c>
      <c r="S93" s="38">
        <v>31.0</v>
      </c>
      <c r="T93" s="38">
        <v>14.0</v>
      </c>
      <c r="U93" s="48">
        <f t="shared" si="9"/>
        <v>299</v>
      </c>
      <c r="V93" s="48">
        <f t="shared" si="10"/>
        <v>344</v>
      </c>
      <c r="W93" s="49">
        <f t="shared" si="11"/>
        <v>0.3946488294</v>
      </c>
      <c r="X93" s="49">
        <f t="shared" si="12"/>
        <v>0.4882943144</v>
      </c>
      <c r="Y93" s="49">
        <f t="shared" si="13"/>
        <v>0.1170568562</v>
      </c>
      <c r="Z93" s="32" t="str">
        <f t="shared" si="14"/>
        <v>Milton</v>
      </c>
      <c r="AA93" s="50" t="s">
        <v>77</v>
      </c>
    </row>
    <row r="94">
      <c r="A94" s="143" t="s">
        <v>3217</v>
      </c>
      <c r="B94" s="13"/>
      <c r="C94" s="164"/>
      <c r="D94" s="38">
        <v>520.0</v>
      </c>
      <c r="E94" s="38">
        <v>84.0</v>
      </c>
      <c r="F94" s="38">
        <v>222.0</v>
      </c>
      <c r="G94" s="38">
        <v>24.0</v>
      </c>
      <c r="H94" s="38">
        <v>28.0</v>
      </c>
      <c r="I94" s="48">
        <f t="shared" si="3"/>
        <v>826</v>
      </c>
      <c r="J94" s="48">
        <f t="shared" si="4"/>
        <v>878</v>
      </c>
      <c r="K94" s="49">
        <f t="shared" si="5"/>
        <v>0.6295399516</v>
      </c>
      <c r="L94" s="49">
        <f t="shared" si="6"/>
        <v>0.1016949153</v>
      </c>
      <c r="M94" s="49">
        <f t="shared" si="7"/>
        <v>0.2687651332</v>
      </c>
      <c r="N94" s="32" t="str">
        <f t="shared" si="8"/>
        <v>Jânio</v>
      </c>
      <c r="O94" s="50" t="s">
        <v>77</v>
      </c>
      <c r="P94" s="38">
        <v>290.0</v>
      </c>
      <c r="Q94" s="38">
        <v>300.0</v>
      </c>
      <c r="R94" s="38">
        <v>168.0</v>
      </c>
      <c r="S94" s="38">
        <v>100.0</v>
      </c>
      <c r="T94" s="38">
        <v>20.0</v>
      </c>
      <c r="U94" s="48">
        <f t="shared" si="9"/>
        <v>758</v>
      </c>
      <c r="V94" s="48">
        <f t="shared" si="10"/>
        <v>878</v>
      </c>
      <c r="W94" s="49">
        <f t="shared" si="11"/>
        <v>0.382585752</v>
      </c>
      <c r="X94" s="49">
        <f t="shared" si="12"/>
        <v>0.3957783641</v>
      </c>
      <c r="Y94" s="49">
        <f t="shared" si="13"/>
        <v>0.2216358839</v>
      </c>
      <c r="Z94" s="32" t="str">
        <f t="shared" si="14"/>
        <v>Milton</v>
      </c>
      <c r="AA94" s="50" t="s">
        <v>77</v>
      </c>
    </row>
    <row r="95">
      <c r="A95" s="143" t="s">
        <v>3218</v>
      </c>
      <c r="B95" s="13"/>
      <c r="C95" s="164"/>
      <c r="D95" s="38">
        <v>227.0</v>
      </c>
      <c r="E95" s="38">
        <v>58.0</v>
      </c>
      <c r="F95" s="38">
        <v>167.0</v>
      </c>
      <c r="G95" s="38">
        <v>16.0</v>
      </c>
      <c r="H95" s="38">
        <v>13.0</v>
      </c>
      <c r="I95" s="48">
        <f t="shared" si="3"/>
        <v>452</v>
      </c>
      <c r="J95" s="48">
        <f t="shared" si="4"/>
        <v>481</v>
      </c>
      <c r="K95" s="49">
        <f t="shared" si="5"/>
        <v>0.5022123894</v>
      </c>
      <c r="L95" s="49">
        <f t="shared" si="6"/>
        <v>0.1283185841</v>
      </c>
      <c r="M95" s="49">
        <f t="shared" si="7"/>
        <v>0.3694690265</v>
      </c>
      <c r="N95" s="32" t="str">
        <f t="shared" si="8"/>
        <v>Jânio</v>
      </c>
      <c r="O95" s="50" t="s">
        <v>77</v>
      </c>
      <c r="P95" s="38">
        <v>184.0</v>
      </c>
      <c r="Q95" s="38">
        <v>182.0</v>
      </c>
      <c r="R95" s="38">
        <v>60.0</v>
      </c>
      <c r="S95" s="38">
        <v>43.0</v>
      </c>
      <c r="T95" s="38">
        <v>12.0</v>
      </c>
      <c r="U95" s="48">
        <f t="shared" si="9"/>
        <v>426</v>
      </c>
      <c r="V95" s="48">
        <f t="shared" si="10"/>
        <v>481</v>
      </c>
      <c r="W95" s="49">
        <f t="shared" si="11"/>
        <v>0.4319248826</v>
      </c>
      <c r="X95" s="49">
        <f t="shared" si="12"/>
        <v>0.4272300469</v>
      </c>
      <c r="Y95" s="49">
        <f t="shared" si="13"/>
        <v>0.1408450704</v>
      </c>
      <c r="Z95" s="32" t="str">
        <f t="shared" si="14"/>
        <v>Jango</v>
      </c>
      <c r="AA95" s="50" t="s">
        <v>77</v>
      </c>
    </row>
    <row r="96">
      <c r="A96" s="143" t="s">
        <v>3219</v>
      </c>
      <c r="B96" s="13"/>
      <c r="C96" s="164"/>
      <c r="D96" s="38">
        <v>872.0</v>
      </c>
      <c r="E96" s="38">
        <v>233.0</v>
      </c>
      <c r="F96" s="38">
        <v>401.0</v>
      </c>
      <c r="G96" s="38">
        <v>14.0</v>
      </c>
      <c r="H96" s="38">
        <v>46.0</v>
      </c>
      <c r="I96" s="48">
        <f t="shared" si="3"/>
        <v>1506</v>
      </c>
      <c r="J96" s="48">
        <f t="shared" si="4"/>
        <v>1566</v>
      </c>
      <c r="K96" s="49">
        <f t="shared" si="5"/>
        <v>0.5790172643</v>
      </c>
      <c r="L96" s="49">
        <f t="shared" si="6"/>
        <v>0.1547144754</v>
      </c>
      <c r="M96" s="49">
        <f t="shared" si="7"/>
        <v>0.2662682603</v>
      </c>
      <c r="N96" s="32" t="str">
        <f t="shared" si="8"/>
        <v>Jânio</v>
      </c>
      <c r="O96" s="50" t="s">
        <v>77</v>
      </c>
      <c r="P96" s="38">
        <v>556.0</v>
      </c>
      <c r="Q96" s="38">
        <v>719.0</v>
      </c>
      <c r="R96" s="38">
        <v>154.0</v>
      </c>
      <c r="S96" s="38">
        <v>106.0</v>
      </c>
      <c r="T96" s="38">
        <v>31.0</v>
      </c>
      <c r="U96" s="48">
        <f t="shared" si="9"/>
        <v>1429</v>
      </c>
      <c r="V96" s="48">
        <f t="shared" si="10"/>
        <v>1566</v>
      </c>
      <c r="W96" s="49">
        <f t="shared" si="11"/>
        <v>0.389083275</v>
      </c>
      <c r="X96" s="49">
        <f t="shared" si="12"/>
        <v>0.5031490553</v>
      </c>
      <c r="Y96" s="49">
        <f t="shared" si="13"/>
        <v>0.1077676697</v>
      </c>
      <c r="Z96" s="32" t="str">
        <f t="shared" si="14"/>
        <v>Milton</v>
      </c>
      <c r="AA96" s="50" t="s">
        <v>77</v>
      </c>
    </row>
    <row r="97">
      <c r="A97" s="143" t="s">
        <v>3220</v>
      </c>
      <c r="B97" s="13"/>
      <c r="C97" s="164"/>
      <c r="D97" s="38">
        <v>2357.0</v>
      </c>
      <c r="E97" s="38">
        <v>557.0</v>
      </c>
      <c r="F97" s="38">
        <v>1089.0</v>
      </c>
      <c r="G97" s="38">
        <v>88.0</v>
      </c>
      <c r="H97" s="38">
        <v>179.0</v>
      </c>
      <c r="I97" s="48">
        <f t="shared" si="3"/>
        <v>4003</v>
      </c>
      <c r="J97" s="48">
        <f t="shared" si="4"/>
        <v>4270</v>
      </c>
      <c r="K97" s="49">
        <f t="shared" si="5"/>
        <v>0.5888083937</v>
      </c>
      <c r="L97" s="49">
        <f t="shared" si="6"/>
        <v>0.1391456408</v>
      </c>
      <c r="M97" s="49">
        <f t="shared" si="7"/>
        <v>0.2720459655</v>
      </c>
      <c r="N97" s="32" t="str">
        <f t="shared" si="8"/>
        <v>Jânio</v>
      </c>
      <c r="O97" s="50" t="s">
        <v>77</v>
      </c>
      <c r="P97" s="38">
        <v>1334.0</v>
      </c>
      <c r="Q97" s="38">
        <v>1870.0</v>
      </c>
      <c r="R97" s="38">
        <v>534.0</v>
      </c>
      <c r="S97" s="38">
        <v>400.0</v>
      </c>
      <c r="T97" s="38">
        <v>132.0</v>
      </c>
      <c r="U97" s="48">
        <f t="shared" si="9"/>
        <v>3738</v>
      </c>
      <c r="V97" s="48">
        <f t="shared" si="10"/>
        <v>4270</v>
      </c>
      <c r="W97" s="49">
        <f t="shared" si="11"/>
        <v>0.3568753344</v>
      </c>
      <c r="X97" s="49">
        <f t="shared" si="12"/>
        <v>0.5002675227</v>
      </c>
      <c r="Y97" s="49">
        <f t="shared" si="13"/>
        <v>0.1428571429</v>
      </c>
      <c r="Z97" s="32" t="str">
        <f t="shared" si="14"/>
        <v>Milton</v>
      </c>
      <c r="AA97" s="50" t="s">
        <v>77</v>
      </c>
    </row>
    <row r="98">
      <c r="A98" s="143" t="s">
        <v>3221</v>
      </c>
      <c r="B98" s="13"/>
      <c r="C98" s="164"/>
      <c r="D98" s="38">
        <v>341.0</v>
      </c>
      <c r="E98" s="38">
        <v>106.0</v>
      </c>
      <c r="F98" s="38">
        <v>201.0</v>
      </c>
      <c r="G98" s="38">
        <v>10.0</v>
      </c>
      <c r="H98" s="38">
        <v>31.0</v>
      </c>
      <c r="I98" s="48">
        <f t="shared" si="3"/>
        <v>648</v>
      </c>
      <c r="J98" s="48">
        <f t="shared" si="4"/>
        <v>689</v>
      </c>
      <c r="K98" s="49">
        <f t="shared" si="5"/>
        <v>0.5262345679</v>
      </c>
      <c r="L98" s="49">
        <f t="shared" si="6"/>
        <v>0.1635802469</v>
      </c>
      <c r="M98" s="49">
        <f t="shared" si="7"/>
        <v>0.3101851852</v>
      </c>
      <c r="N98" s="32" t="str">
        <f t="shared" si="8"/>
        <v>Jânio</v>
      </c>
      <c r="O98" s="50" t="s">
        <v>77</v>
      </c>
      <c r="P98" s="38">
        <v>256.0</v>
      </c>
      <c r="Q98" s="38">
        <v>299.0</v>
      </c>
      <c r="R98" s="38">
        <v>61.0</v>
      </c>
      <c r="S98" s="38">
        <v>52.0</v>
      </c>
      <c r="T98" s="38">
        <v>21.0</v>
      </c>
      <c r="U98" s="48">
        <f t="shared" si="9"/>
        <v>616</v>
      </c>
      <c r="V98" s="48">
        <f t="shared" si="10"/>
        <v>689</v>
      </c>
      <c r="W98" s="49">
        <f t="shared" si="11"/>
        <v>0.4155844156</v>
      </c>
      <c r="X98" s="49">
        <f t="shared" si="12"/>
        <v>0.4853896104</v>
      </c>
      <c r="Y98" s="49">
        <f t="shared" si="13"/>
        <v>0.09902597403</v>
      </c>
      <c r="Z98" s="32" t="str">
        <f t="shared" si="14"/>
        <v>Milton</v>
      </c>
      <c r="AA98" s="50" t="s">
        <v>77</v>
      </c>
    </row>
    <row r="99">
      <c r="A99" s="143" t="s">
        <v>3222</v>
      </c>
      <c r="B99" s="13"/>
      <c r="C99" s="164"/>
      <c r="D99" s="38">
        <v>936.0</v>
      </c>
      <c r="E99" s="38">
        <v>167.0</v>
      </c>
      <c r="F99" s="38">
        <v>425.0</v>
      </c>
      <c r="G99" s="38">
        <v>20.0</v>
      </c>
      <c r="H99" s="38">
        <v>38.0</v>
      </c>
      <c r="I99" s="48">
        <f t="shared" si="3"/>
        <v>1528</v>
      </c>
      <c r="J99" s="48">
        <f t="shared" si="4"/>
        <v>1586</v>
      </c>
      <c r="K99" s="49">
        <f t="shared" si="5"/>
        <v>0.612565445</v>
      </c>
      <c r="L99" s="49">
        <f t="shared" si="6"/>
        <v>0.1092931937</v>
      </c>
      <c r="M99" s="49">
        <f t="shared" si="7"/>
        <v>0.2781413613</v>
      </c>
      <c r="N99" s="32" t="str">
        <f t="shared" si="8"/>
        <v>Jânio</v>
      </c>
      <c r="O99" s="50" t="s">
        <v>77</v>
      </c>
      <c r="P99" s="38">
        <v>448.0</v>
      </c>
      <c r="Q99" s="38">
        <v>792.0</v>
      </c>
      <c r="R99" s="38">
        <v>216.0</v>
      </c>
      <c r="S99" s="38">
        <v>103.0</v>
      </c>
      <c r="T99" s="38">
        <v>27.0</v>
      </c>
      <c r="U99" s="48">
        <f t="shared" si="9"/>
        <v>1456</v>
      </c>
      <c r="V99" s="48">
        <f t="shared" si="10"/>
        <v>1586</v>
      </c>
      <c r="W99" s="49">
        <f t="shared" si="11"/>
        <v>0.3076923077</v>
      </c>
      <c r="X99" s="49">
        <f t="shared" si="12"/>
        <v>0.543956044</v>
      </c>
      <c r="Y99" s="49">
        <f t="shared" si="13"/>
        <v>0.1483516484</v>
      </c>
      <c r="Z99" s="32" t="str">
        <f t="shared" si="14"/>
        <v>Milton</v>
      </c>
      <c r="AA99" s="50" t="s">
        <v>77</v>
      </c>
    </row>
    <row r="100">
      <c r="A100" s="143" t="s">
        <v>3223</v>
      </c>
      <c r="B100" s="13"/>
      <c r="C100" s="164"/>
      <c r="D100" s="38">
        <v>562.0</v>
      </c>
      <c r="E100" s="38">
        <v>110.0</v>
      </c>
      <c r="F100" s="38">
        <v>323.0</v>
      </c>
      <c r="G100" s="38">
        <v>22.0</v>
      </c>
      <c r="H100" s="38">
        <v>49.0</v>
      </c>
      <c r="I100" s="48">
        <f t="shared" si="3"/>
        <v>995</v>
      </c>
      <c r="J100" s="48">
        <f t="shared" si="4"/>
        <v>1066</v>
      </c>
      <c r="K100" s="49">
        <f t="shared" si="5"/>
        <v>0.5648241206</v>
      </c>
      <c r="L100" s="49">
        <f t="shared" si="6"/>
        <v>0.1105527638</v>
      </c>
      <c r="M100" s="49">
        <f t="shared" si="7"/>
        <v>0.3246231156</v>
      </c>
      <c r="N100" s="32" t="str">
        <f t="shared" si="8"/>
        <v>Jânio</v>
      </c>
      <c r="O100" s="50" t="s">
        <v>77</v>
      </c>
      <c r="P100" s="38">
        <v>370.0</v>
      </c>
      <c r="Q100" s="38">
        <v>445.0</v>
      </c>
      <c r="R100" s="38">
        <v>98.0</v>
      </c>
      <c r="S100" s="38">
        <v>102.0</v>
      </c>
      <c r="T100" s="38">
        <v>51.0</v>
      </c>
      <c r="U100" s="48">
        <f t="shared" si="9"/>
        <v>913</v>
      </c>
      <c r="V100" s="48">
        <f t="shared" si="10"/>
        <v>1066</v>
      </c>
      <c r="W100" s="49">
        <f t="shared" si="11"/>
        <v>0.4052573932</v>
      </c>
      <c r="X100" s="49">
        <f t="shared" si="12"/>
        <v>0.4874041621</v>
      </c>
      <c r="Y100" s="49">
        <f t="shared" si="13"/>
        <v>0.1073384447</v>
      </c>
      <c r="Z100" s="32" t="str">
        <f t="shared" si="14"/>
        <v>Milton</v>
      </c>
      <c r="AA100" s="50" t="s">
        <v>77</v>
      </c>
    </row>
    <row r="101">
      <c r="A101" s="143" t="s">
        <v>3224</v>
      </c>
      <c r="B101" s="13"/>
      <c r="C101" s="164"/>
      <c r="D101" s="38">
        <v>1271.0</v>
      </c>
      <c r="E101" s="38">
        <v>350.0</v>
      </c>
      <c r="F101" s="38">
        <v>662.0</v>
      </c>
      <c r="G101" s="38">
        <v>36.0</v>
      </c>
      <c r="H101" s="38">
        <v>67.0</v>
      </c>
      <c r="I101" s="48">
        <f t="shared" si="3"/>
        <v>2283</v>
      </c>
      <c r="J101" s="48">
        <f t="shared" si="4"/>
        <v>2386</v>
      </c>
      <c r="K101" s="49">
        <f t="shared" si="5"/>
        <v>0.5567236093</v>
      </c>
      <c r="L101" s="49">
        <f t="shared" si="6"/>
        <v>0.1533070521</v>
      </c>
      <c r="M101" s="49">
        <f t="shared" si="7"/>
        <v>0.2899693386</v>
      </c>
      <c r="N101" s="32" t="str">
        <f t="shared" si="8"/>
        <v>Jânio</v>
      </c>
      <c r="O101" s="50" t="s">
        <v>77</v>
      </c>
      <c r="P101" s="38">
        <v>772.0</v>
      </c>
      <c r="Q101" s="38">
        <v>1083.0</v>
      </c>
      <c r="R101" s="38">
        <v>327.0</v>
      </c>
      <c r="S101" s="38">
        <v>148.0</v>
      </c>
      <c r="T101" s="38">
        <v>56.0</v>
      </c>
      <c r="U101" s="48">
        <f t="shared" si="9"/>
        <v>2182</v>
      </c>
      <c r="V101" s="48">
        <f t="shared" si="10"/>
        <v>2386</v>
      </c>
      <c r="W101" s="49">
        <f t="shared" si="11"/>
        <v>0.3538038497</v>
      </c>
      <c r="X101" s="49">
        <f t="shared" si="12"/>
        <v>0.4963336389</v>
      </c>
      <c r="Y101" s="49">
        <f t="shared" si="13"/>
        <v>0.1498625115</v>
      </c>
      <c r="Z101" s="32" t="str">
        <f t="shared" si="14"/>
        <v>Milton</v>
      </c>
      <c r="AA101" s="50" t="s">
        <v>77</v>
      </c>
    </row>
    <row r="102">
      <c r="A102" s="143" t="s">
        <v>3225</v>
      </c>
      <c r="B102" s="13"/>
      <c r="C102" s="164"/>
      <c r="D102" s="38">
        <v>5875.0</v>
      </c>
      <c r="E102" s="38">
        <v>1655.0</v>
      </c>
      <c r="F102" s="38">
        <v>2985.0</v>
      </c>
      <c r="G102" s="38">
        <v>119.0</v>
      </c>
      <c r="H102" s="38">
        <v>261.0</v>
      </c>
      <c r="I102" s="48">
        <f t="shared" si="3"/>
        <v>10515</v>
      </c>
      <c r="J102" s="48">
        <f t="shared" si="4"/>
        <v>10895</v>
      </c>
      <c r="K102" s="49">
        <f t="shared" si="5"/>
        <v>0.5587256301</v>
      </c>
      <c r="L102" s="49">
        <f t="shared" si="6"/>
        <v>0.1573941988</v>
      </c>
      <c r="M102" s="49">
        <f t="shared" si="7"/>
        <v>0.2838801712</v>
      </c>
      <c r="N102" s="32" t="str">
        <f t="shared" si="8"/>
        <v>Jânio</v>
      </c>
      <c r="O102" s="50" t="s">
        <v>77</v>
      </c>
      <c r="P102" s="38">
        <v>3276.0</v>
      </c>
      <c r="Q102" s="38">
        <v>5395.0</v>
      </c>
      <c r="R102" s="38">
        <v>1399.0</v>
      </c>
      <c r="S102" s="38">
        <v>618.0</v>
      </c>
      <c r="T102" s="38">
        <v>207.0</v>
      </c>
      <c r="U102" s="48">
        <f t="shared" si="9"/>
        <v>10070</v>
      </c>
      <c r="V102" s="48">
        <f t="shared" si="10"/>
        <v>10895</v>
      </c>
      <c r="W102" s="49">
        <f t="shared" si="11"/>
        <v>0.3253227408</v>
      </c>
      <c r="X102" s="49">
        <f t="shared" si="12"/>
        <v>0.5357497517</v>
      </c>
      <c r="Y102" s="49">
        <f t="shared" si="13"/>
        <v>0.1389275074</v>
      </c>
      <c r="Z102" s="32" t="str">
        <f t="shared" si="14"/>
        <v>Milton</v>
      </c>
      <c r="AA102" s="50" t="s">
        <v>77</v>
      </c>
    </row>
    <row r="103">
      <c r="A103" s="143" t="s">
        <v>3226</v>
      </c>
      <c r="B103" s="13"/>
      <c r="C103" s="164"/>
      <c r="D103" s="38">
        <v>424.0</v>
      </c>
      <c r="E103" s="38">
        <v>121.0</v>
      </c>
      <c r="F103" s="38">
        <v>211.0</v>
      </c>
      <c r="G103" s="38">
        <v>16.0</v>
      </c>
      <c r="H103" s="38">
        <v>34.0</v>
      </c>
      <c r="I103" s="48">
        <f t="shared" si="3"/>
        <v>756</v>
      </c>
      <c r="J103" s="48">
        <f t="shared" si="4"/>
        <v>806</v>
      </c>
      <c r="K103" s="49">
        <f t="shared" si="5"/>
        <v>0.5608465608</v>
      </c>
      <c r="L103" s="49">
        <f t="shared" si="6"/>
        <v>0.1600529101</v>
      </c>
      <c r="M103" s="49">
        <f t="shared" si="7"/>
        <v>0.2791005291</v>
      </c>
      <c r="N103" s="32" t="str">
        <f t="shared" si="8"/>
        <v>Jânio</v>
      </c>
      <c r="O103" s="50" t="s">
        <v>77</v>
      </c>
      <c r="P103" s="38">
        <v>283.0</v>
      </c>
      <c r="Q103" s="38">
        <v>330.0</v>
      </c>
      <c r="R103" s="38">
        <v>92.0</v>
      </c>
      <c r="S103" s="38">
        <v>77.0</v>
      </c>
      <c r="T103" s="38">
        <v>24.0</v>
      </c>
      <c r="U103" s="48">
        <f t="shared" si="9"/>
        <v>705</v>
      </c>
      <c r="V103" s="48">
        <f t="shared" si="10"/>
        <v>806</v>
      </c>
      <c r="W103" s="49">
        <f t="shared" si="11"/>
        <v>0.4014184397</v>
      </c>
      <c r="X103" s="49">
        <f t="shared" si="12"/>
        <v>0.4680851064</v>
      </c>
      <c r="Y103" s="49">
        <f t="shared" si="13"/>
        <v>0.1304964539</v>
      </c>
      <c r="Z103" s="32" t="str">
        <f t="shared" si="14"/>
        <v>Milton</v>
      </c>
      <c r="AA103" s="50" t="s">
        <v>77</v>
      </c>
    </row>
    <row r="104">
      <c r="A104" s="143" t="s">
        <v>3227</v>
      </c>
      <c r="B104" s="13"/>
      <c r="C104" s="164"/>
      <c r="D104" s="38">
        <v>20796.0</v>
      </c>
      <c r="E104" s="38">
        <v>3917.0</v>
      </c>
      <c r="F104" s="38">
        <v>6669.0</v>
      </c>
      <c r="G104" s="38">
        <v>538.0</v>
      </c>
      <c r="H104" s="38">
        <v>1140.0</v>
      </c>
      <c r="I104" s="48">
        <f t="shared" si="3"/>
        <v>31382</v>
      </c>
      <c r="J104" s="48">
        <f t="shared" si="4"/>
        <v>33060</v>
      </c>
      <c r="K104" s="49">
        <f t="shared" si="5"/>
        <v>0.6626728698</v>
      </c>
      <c r="L104" s="49">
        <f t="shared" si="6"/>
        <v>0.1248167739</v>
      </c>
      <c r="M104" s="49">
        <f t="shared" si="7"/>
        <v>0.2125103563</v>
      </c>
      <c r="N104" s="32" t="str">
        <f t="shared" si="8"/>
        <v>Jânio</v>
      </c>
      <c r="O104" s="50" t="s">
        <v>77</v>
      </c>
      <c r="P104" s="38">
        <v>8986.0</v>
      </c>
      <c r="Q104" s="38">
        <v>17096.0</v>
      </c>
      <c r="R104" s="38">
        <v>3608.0</v>
      </c>
      <c r="S104" s="38">
        <v>2452.0</v>
      </c>
      <c r="T104" s="38">
        <v>918.0</v>
      </c>
      <c r="U104" s="48">
        <f t="shared" si="9"/>
        <v>29690</v>
      </c>
      <c r="V104" s="48">
        <f t="shared" si="10"/>
        <v>33060</v>
      </c>
      <c r="W104" s="49">
        <f t="shared" si="11"/>
        <v>0.3026608286</v>
      </c>
      <c r="X104" s="49">
        <f t="shared" si="12"/>
        <v>0.5758167733</v>
      </c>
      <c r="Y104" s="49">
        <f t="shared" si="13"/>
        <v>0.1215223981</v>
      </c>
      <c r="Z104" s="32" t="str">
        <f t="shared" si="14"/>
        <v>Milton</v>
      </c>
      <c r="AA104" s="50" t="s">
        <v>77</v>
      </c>
    </row>
    <row r="105">
      <c r="A105" s="143" t="s">
        <v>3228</v>
      </c>
      <c r="B105" s="13"/>
      <c r="C105" s="164"/>
      <c r="D105" s="38">
        <v>22026.0</v>
      </c>
      <c r="E105" s="38">
        <v>7011.0</v>
      </c>
      <c r="F105" s="38">
        <v>8572.0</v>
      </c>
      <c r="G105" s="38">
        <v>416.0</v>
      </c>
      <c r="H105" s="38">
        <v>723.0</v>
      </c>
      <c r="I105" s="48">
        <f t="shared" si="3"/>
        <v>37609</v>
      </c>
      <c r="J105" s="48">
        <f t="shared" si="4"/>
        <v>38748</v>
      </c>
      <c r="K105" s="49">
        <f t="shared" si="5"/>
        <v>0.5856576883</v>
      </c>
      <c r="L105" s="49">
        <f t="shared" si="6"/>
        <v>0.1864181446</v>
      </c>
      <c r="M105" s="49">
        <f t="shared" si="7"/>
        <v>0.2279241671</v>
      </c>
      <c r="N105" s="32" t="str">
        <f t="shared" si="8"/>
        <v>Jânio</v>
      </c>
      <c r="O105" s="50" t="s">
        <v>77</v>
      </c>
      <c r="P105" s="38">
        <v>10054.0</v>
      </c>
      <c r="Q105" s="38">
        <v>20896.0</v>
      </c>
      <c r="R105" s="38">
        <v>5371.0</v>
      </c>
      <c r="S105" s="38">
        <v>1764.0</v>
      </c>
      <c r="T105" s="38">
        <v>663.0</v>
      </c>
      <c r="U105" s="48">
        <f t="shared" si="9"/>
        <v>36321</v>
      </c>
      <c r="V105" s="48">
        <f t="shared" si="10"/>
        <v>38748</v>
      </c>
      <c r="W105" s="49">
        <f t="shared" si="11"/>
        <v>0.2768095592</v>
      </c>
      <c r="X105" s="49">
        <f t="shared" si="12"/>
        <v>0.5753145563</v>
      </c>
      <c r="Y105" s="49">
        <f t="shared" si="13"/>
        <v>0.1478758845</v>
      </c>
      <c r="Z105" s="32" t="str">
        <f t="shared" si="14"/>
        <v>Milton</v>
      </c>
      <c r="AA105" s="50" t="s">
        <v>77</v>
      </c>
    </row>
    <row r="106">
      <c r="A106" s="143" t="s">
        <v>3229</v>
      </c>
      <c r="B106" s="13"/>
      <c r="C106" s="164"/>
      <c r="D106" s="38">
        <v>7322.0</v>
      </c>
      <c r="E106" s="38">
        <v>1797.0</v>
      </c>
      <c r="F106" s="38">
        <v>3344.0</v>
      </c>
      <c r="G106" s="38">
        <v>230.0</v>
      </c>
      <c r="H106" s="38">
        <v>600.0</v>
      </c>
      <c r="I106" s="48">
        <f t="shared" si="3"/>
        <v>12463</v>
      </c>
      <c r="J106" s="48">
        <f t="shared" si="4"/>
        <v>13293</v>
      </c>
      <c r="K106" s="49">
        <f t="shared" si="5"/>
        <v>0.587498997</v>
      </c>
      <c r="L106" s="49">
        <f t="shared" si="6"/>
        <v>0.1441867929</v>
      </c>
      <c r="M106" s="49">
        <f t="shared" si="7"/>
        <v>0.2683142101</v>
      </c>
      <c r="N106" s="32" t="str">
        <f t="shared" si="8"/>
        <v>Jânio</v>
      </c>
      <c r="O106" s="50" t="s">
        <v>77</v>
      </c>
      <c r="P106" s="38">
        <v>4361.0</v>
      </c>
      <c r="Q106" s="38">
        <v>6035.0</v>
      </c>
      <c r="R106" s="38">
        <v>1298.0</v>
      </c>
      <c r="S106" s="38">
        <v>1079.0</v>
      </c>
      <c r="T106" s="38">
        <v>520.0</v>
      </c>
      <c r="U106" s="48">
        <f t="shared" si="9"/>
        <v>11694</v>
      </c>
      <c r="V106" s="48">
        <f t="shared" si="10"/>
        <v>13293</v>
      </c>
      <c r="W106" s="49">
        <f t="shared" si="11"/>
        <v>0.372926287</v>
      </c>
      <c r="X106" s="49">
        <f t="shared" si="12"/>
        <v>0.5160766205</v>
      </c>
      <c r="Y106" s="49">
        <f t="shared" si="13"/>
        <v>0.1109970925</v>
      </c>
      <c r="Z106" s="32" t="str">
        <f t="shared" si="14"/>
        <v>Milton</v>
      </c>
      <c r="AA106" s="50" t="s">
        <v>77</v>
      </c>
    </row>
    <row r="107">
      <c r="A107" s="143" t="s">
        <v>3230</v>
      </c>
      <c r="B107" s="13"/>
      <c r="C107" s="164"/>
      <c r="D107" s="38">
        <v>1716.0</v>
      </c>
      <c r="E107" s="38">
        <v>403.0</v>
      </c>
      <c r="F107" s="38">
        <v>994.0</v>
      </c>
      <c r="G107" s="38">
        <v>66.0</v>
      </c>
      <c r="H107" s="38">
        <v>150.0</v>
      </c>
      <c r="I107" s="48">
        <f t="shared" si="3"/>
        <v>3113</v>
      </c>
      <c r="J107" s="48">
        <f t="shared" si="4"/>
        <v>3329</v>
      </c>
      <c r="K107" s="49">
        <f t="shared" si="5"/>
        <v>0.5512367491</v>
      </c>
      <c r="L107" s="49">
        <f t="shared" si="6"/>
        <v>0.1294571153</v>
      </c>
      <c r="M107" s="49">
        <f t="shared" si="7"/>
        <v>0.3193061356</v>
      </c>
      <c r="N107" s="32" t="str">
        <f t="shared" si="8"/>
        <v>Jânio</v>
      </c>
      <c r="O107" s="50" t="s">
        <v>77</v>
      </c>
      <c r="P107" s="38">
        <v>1046.0</v>
      </c>
      <c r="Q107" s="38">
        <v>1507.0</v>
      </c>
      <c r="R107" s="38">
        <v>379.0</v>
      </c>
      <c r="S107" s="38">
        <v>143.0</v>
      </c>
      <c r="T107" s="38">
        <v>254.0</v>
      </c>
      <c r="U107" s="48">
        <f t="shared" si="9"/>
        <v>2932</v>
      </c>
      <c r="V107" s="48">
        <f t="shared" si="10"/>
        <v>3329</v>
      </c>
      <c r="W107" s="49">
        <f t="shared" si="11"/>
        <v>0.3567530696</v>
      </c>
      <c r="X107" s="49">
        <f t="shared" si="12"/>
        <v>0.5139836289</v>
      </c>
      <c r="Y107" s="49">
        <f t="shared" si="13"/>
        <v>0.1292633015</v>
      </c>
      <c r="Z107" s="32" t="str">
        <f t="shared" si="14"/>
        <v>Milton</v>
      </c>
      <c r="AA107" s="50" t="s">
        <v>77</v>
      </c>
    </row>
    <row r="108">
      <c r="A108" s="143" t="s">
        <v>3231</v>
      </c>
      <c r="B108" s="13"/>
      <c r="C108" s="164"/>
      <c r="D108" s="38">
        <v>873.0</v>
      </c>
      <c r="E108" s="38">
        <v>279.0</v>
      </c>
      <c r="F108" s="38">
        <v>421.0</v>
      </c>
      <c r="G108" s="38">
        <v>9.0</v>
      </c>
      <c r="H108" s="38">
        <v>32.0</v>
      </c>
      <c r="I108" s="48">
        <f t="shared" si="3"/>
        <v>1573</v>
      </c>
      <c r="J108" s="48">
        <f t="shared" si="4"/>
        <v>1614</v>
      </c>
      <c r="K108" s="49">
        <f t="shared" si="5"/>
        <v>0.5549904641</v>
      </c>
      <c r="L108" s="49">
        <f t="shared" si="6"/>
        <v>0.1773680865</v>
      </c>
      <c r="M108" s="49">
        <f t="shared" si="7"/>
        <v>0.2676414495</v>
      </c>
      <c r="N108" s="32" t="str">
        <f t="shared" si="8"/>
        <v>Jânio</v>
      </c>
      <c r="O108" s="50" t="s">
        <v>77</v>
      </c>
      <c r="P108" s="38">
        <v>557.0</v>
      </c>
      <c r="Q108" s="38">
        <v>772.0</v>
      </c>
      <c r="R108" s="38">
        <v>188.0</v>
      </c>
      <c r="S108" s="38">
        <v>67.0</v>
      </c>
      <c r="T108" s="38">
        <v>30.0</v>
      </c>
      <c r="U108" s="48">
        <f t="shared" si="9"/>
        <v>1517</v>
      </c>
      <c r="V108" s="48">
        <f t="shared" si="10"/>
        <v>1614</v>
      </c>
      <c r="W108" s="49">
        <f t="shared" si="11"/>
        <v>0.3671720501</v>
      </c>
      <c r="X108" s="49">
        <f t="shared" si="12"/>
        <v>0.508899143</v>
      </c>
      <c r="Y108" s="49">
        <f t="shared" si="13"/>
        <v>0.1239288069</v>
      </c>
      <c r="Z108" s="32" t="str">
        <f t="shared" si="14"/>
        <v>Milton</v>
      </c>
      <c r="AA108" s="50" t="s">
        <v>77</v>
      </c>
    </row>
    <row r="109">
      <c r="A109" s="143" t="s">
        <v>3232</v>
      </c>
      <c r="B109" s="13"/>
      <c r="C109" s="164"/>
      <c r="D109" s="38">
        <v>321.0</v>
      </c>
      <c r="E109" s="38">
        <v>63.0</v>
      </c>
      <c r="F109" s="38">
        <v>114.0</v>
      </c>
      <c r="G109" s="38">
        <v>2.0</v>
      </c>
      <c r="H109" s="38">
        <v>20.0</v>
      </c>
      <c r="I109" s="48">
        <f t="shared" si="3"/>
        <v>498</v>
      </c>
      <c r="J109" s="48">
        <f t="shared" si="4"/>
        <v>520</v>
      </c>
      <c r="K109" s="49">
        <f t="shared" si="5"/>
        <v>0.6445783133</v>
      </c>
      <c r="L109" s="49">
        <f t="shared" si="6"/>
        <v>0.1265060241</v>
      </c>
      <c r="M109" s="49">
        <f t="shared" si="7"/>
        <v>0.2289156627</v>
      </c>
      <c r="N109" s="32" t="str">
        <f t="shared" si="8"/>
        <v>Jânio</v>
      </c>
      <c r="O109" s="50" t="s">
        <v>77</v>
      </c>
      <c r="P109" s="38">
        <v>170.0</v>
      </c>
      <c r="Q109" s="38">
        <v>243.0</v>
      </c>
      <c r="R109" s="38">
        <v>64.0</v>
      </c>
      <c r="S109" s="38">
        <v>21.0</v>
      </c>
      <c r="T109" s="38">
        <v>22.0</v>
      </c>
      <c r="U109" s="48">
        <f t="shared" si="9"/>
        <v>477</v>
      </c>
      <c r="V109" s="48">
        <f t="shared" si="10"/>
        <v>520</v>
      </c>
      <c r="W109" s="49">
        <f t="shared" si="11"/>
        <v>0.35639413</v>
      </c>
      <c r="X109" s="49">
        <f t="shared" si="12"/>
        <v>0.5094339623</v>
      </c>
      <c r="Y109" s="49">
        <f t="shared" si="13"/>
        <v>0.1341719078</v>
      </c>
      <c r="Z109" s="32" t="str">
        <f t="shared" si="14"/>
        <v>Milton</v>
      </c>
      <c r="AA109" s="50" t="s">
        <v>77</v>
      </c>
    </row>
    <row r="110">
      <c r="A110" s="143" t="s">
        <v>3233</v>
      </c>
      <c r="B110" s="13"/>
      <c r="C110" s="164"/>
      <c r="D110" s="38">
        <v>7425.0</v>
      </c>
      <c r="E110" s="38">
        <v>1916.0</v>
      </c>
      <c r="F110" s="38">
        <v>3325.0</v>
      </c>
      <c r="G110" s="38">
        <v>185.0</v>
      </c>
      <c r="H110" s="38">
        <v>365.0</v>
      </c>
      <c r="I110" s="48">
        <f t="shared" si="3"/>
        <v>12666</v>
      </c>
      <c r="J110" s="48">
        <f t="shared" si="4"/>
        <v>13216</v>
      </c>
      <c r="K110" s="49">
        <f t="shared" si="5"/>
        <v>0.586215064</v>
      </c>
      <c r="L110" s="49">
        <f t="shared" si="6"/>
        <v>0.1512711195</v>
      </c>
      <c r="M110" s="49">
        <f t="shared" si="7"/>
        <v>0.2625138165</v>
      </c>
      <c r="N110" s="32" t="str">
        <f t="shared" si="8"/>
        <v>Jânio</v>
      </c>
      <c r="O110" s="50" t="s">
        <v>77</v>
      </c>
      <c r="P110" s="38">
        <v>3750.0</v>
      </c>
      <c r="Q110" s="38">
        <v>6328.0</v>
      </c>
      <c r="R110" s="38">
        <v>2054.0</v>
      </c>
      <c r="S110" s="38">
        <v>622.0</v>
      </c>
      <c r="T110" s="38">
        <v>462.0</v>
      </c>
      <c r="U110" s="48">
        <f t="shared" si="9"/>
        <v>12132</v>
      </c>
      <c r="V110" s="48">
        <f t="shared" si="10"/>
        <v>13216</v>
      </c>
      <c r="W110" s="49">
        <f t="shared" si="11"/>
        <v>0.3090999011</v>
      </c>
      <c r="X110" s="49">
        <f t="shared" si="12"/>
        <v>0.5215957798</v>
      </c>
      <c r="Y110" s="49">
        <f t="shared" si="13"/>
        <v>0.1693043192</v>
      </c>
      <c r="Z110" s="32" t="str">
        <f t="shared" si="14"/>
        <v>Milton</v>
      </c>
      <c r="AA110" s="50" t="s">
        <v>77</v>
      </c>
    </row>
    <row r="111">
      <c r="A111" s="143" t="s">
        <v>3234</v>
      </c>
      <c r="B111" s="13"/>
      <c r="C111" s="164"/>
      <c r="D111" s="38">
        <v>17409.0</v>
      </c>
      <c r="E111" s="38">
        <v>3981.0</v>
      </c>
      <c r="F111" s="38">
        <v>6850.0</v>
      </c>
      <c r="G111" s="38">
        <v>561.0</v>
      </c>
      <c r="H111" s="38">
        <v>1063.0</v>
      </c>
      <c r="I111" s="48">
        <f t="shared" si="3"/>
        <v>28240</v>
      </c>
      <c r="J111" s="48">
        <f t="shared" si="4"/>
        <v>29864</v>
      </c>
      <c r="K111" s="49">
        <f t="shared" si="5"/>
        <v>0.6164660057</v>
      </c>
      <c r="L111" s="49">
        <f t="shared" si="6"/>
        <v>0.140970255</v>
      </c>
      <c r="M111" s="49">
        <f t="shared" si="7"/>
        <v>0.2425637394</v>
      </c>
      <c r="N111" s="32" t="str">
        <f t="shared" si="8"/>
        <v>Jânio</v>
      </c>
      <c r="O111" s="50" t="s">
        <v>77</v>
      </c>
      <c r="P111" s="38">
        <v>8945.0</v>
      </c>
      <c r="Q111" s="38">
        <v>14336.0</v>
      </c>
      <c r="R111" s="38">
        <v>3360.0</v>
      </c>
      <c r="S111" s="38">
        <v>2208.0</v>
      </c>
      <c r="T111" s="38">
        <v>1015.0</v>
      </c>
      <c r="U111" s="48">
        <f t="shared" si="9"/>
        <v>26641</v>
      </c>
      <c r="V111" s="48">
        <f t="shared" si="10"/>
        <v>29864</v>
      </c>
      <c r="W111" s="49">
        <f t="shared" si="11"/>
        <v>0.3357606696</v>
      </c>
      <c r="X111" s="49">
        <f t="shared" si="12"/>
        <v>0.5381179385</v>
      </c>
      <c r="Y111" s="49">
        <f t="shared" si="13"/>
        <v>0.1261213918</v>
      </c>
      <c r="Z111" s="32" t="str">
        <f t="shared" si="14"/>
        <v>Milton</v>
      </c>
      <c r="AA111" s="50" t="s">
        <v>77</v>
      </c>
    </row>
    <row r="112">
      <c r="A112" s="143" t="s">
        <v>3235</v>
      </c>
      <c r="B112" s="13"/>
      <c r="C112" s="164"/>
      <c r="D112" s="38">
        <v>1411.0</v>
      </c>
      <c r="E112" s="38">
        <v>294.0</v>
      </c>
      <c r="F112" s="38">
        <v>565.0</v>
      </c>
      <c r="G112" s="38">
        <v>24.0</v>
      </c>
      <c r="H112" s="38">
        <v>44.0</v>
      </c>
      <c r="I112" s="48">
        <f t="shared" si="3"/>
        <v>2270</v>
      </c>
      <c r="J112" s="48">
        <f t="shared" si="4"/>
        <v>2338</v>
      </c>
      <c r="K112" s="49">
        <f t="shared" si="5"/>
        <v>0.6215859031</v>
      </c>
      <c r="L112" s="49">
        <f t="shared" si="6"/>
        <v>0.1295154185</v>
      </c>
      <c r="M112" s="49">
        <f t="shared" si="7"/>
        <v>0.2488986784</v>
      </c>
      <c r="N112" s="32" t="str">
        <f t="shared" si="8"/>
        <v>Jânio</v>
      </c>
      <c r="O112" s="50" t="s">
        <v>77</v>
      </c>
      <c r="P112" s="38">
        <v>639.0</v>
      </c>
      <c r="Q112" s="38">
        <v>1221.0</v>
      </c>
      <c r="R112" s="38">
        <v>337.0</v>
      </c>
      <c r="S112" s="38">
        <v>100.0</v>
      </c>
      <c r="T112" s="38">
        <v>41.0</v>
      </c>
      <c r="U112" s="48">
        <f t="shared" si="9"/>
        <v>2197</v>
      </c>
      <c r="V112" s="48">
        <f t="shared" si="10"/>
        <v>2338</v>
      </c>
      <c r="W112" s="49">
        <f t="shared" si="11"/>
        <v>0.2908511607</v>
      </c>
      <c r="X112" s="49">
        <f t="shared" si="12"/>
        <v>0.5557578516</v>
      </c>
      <c r="Y112" s="49">
        <f t="shared" si="13"/>
        <v>0.1533909877</v>
      </c>
      <c r="Z112" s="32" t="str">
        <f t="shared" si="14"/>
        <v>Milton</v>
      </c>
      <c r="AA112" s="50" t="s">
        <v>77</v>
      </c>
    </row>
    <row r="113">
      <c r="A113" s="143" t="s">
        <v>3236</v>
      </c>
      <c r="B113" s="13"/>
      <c r="C113" s="164"/>
      <c r="D113" s="38">
        <v>433.0</v>
      </c>
      <c r="E113" s="38">
        <v>71.0</v>
      </c>
      <c r="F113" s="38">
        <v>198.0</v>
      </c>
      <c r="G113" s="38">
        <v>16.0</v>
      </c>
      <c r="H113" s="38">
        <v>26.0</v>
      </c>
      <c r="I113" s="48">
        <f t="shared" si="3"/>
        <v>702</v>
      </c>
      <c r="J113" s="48">
        <f t="shared" si="4"/>
        <v>744</v>
      </c>
      <c r="K113" s="49">
        <f t="shared" si="5"/>
        <v>0.6168091168</v>
      </c>
      <c r="L113" s="49">
        <f t="shared" si="6"/>
        <v>0.1011396011</v>
      </c>
      <c r="M113" s="49">
        <f t="shared" si="7"/>
        <v>0.2820512821</v>
      </c>
      <c r="N113" s="32" t="str">
        <f t="shared" si="8"/>
        <v>Jânio</v>
      </c>
      <c r="O113" s="50" t="s">
        <v>77</v>
      </c>
      <c r="P113" s="38">
        <v>228.0</v>
      </c>
      <c r="Q113" s="38">
        <v>343.0</v>
      </c>
      <c r="R113" s="38">
        <v>79.0</v>
      </c>
      <c r="S113" s="38">
        <v>73.0</v>
      </c>
      <c r="T113" s="38">
        <v>21.0</v>
      </c>
      <c r="U113" s="48">
        <f t="shared" si="9"/>
        <v>650</v>
      </c>
      <c r="V113" s="48">
        <f t="shared" si="10"/>
        <v>744</v>
      </c>
      <c r="W113" s="49">
        <f t="shared" si="11"/>
        <v>0.3507692308</v>
      </c>
      <c r="X113" s="49">
        <f t="shared" si="12"/>
        <v>0.5276923077</v>
      </c>
      <c r="Y113" s="49">
        <f t="shared" si="13"/>
        <v>0.1215384615</v>
      </c>
      <c r="Z113" s="32" t="str">
        <f t="shared" si="14"/>
        <v>Milton</v>
      </c>
      <c r="AA113" s="50" t="s">
        <v>77</v>
      </c>
    </row>
    <row r="114">
      <c r="A114" s="69" t="s">
        <v>3151</v>
      </c>
      <c r="B114" s="13"/>
      <c r="C114" s="164"/>
      <c r="D114" s="55">
        <f t="shared" ref="D114:H114" si="15">SUM(D14:D113)</f>
        <v>578219</v>
      </c>
      <c r="E114" s="55">
        <f t="shared" si="15"/>
        <v>167379</v>
      </c>
      <c r="F114" s="55">
        <f t="shared" si="15"/>
        <v>276470</v>
      </c>
      <c r="G114" s="55">
        <f t="shared" si="15"/>
        <v>15114</v>
      </c>
      <c r="H114" s="55">
        <f t="shared" si="15"/>
        <v>32610</v>
      </c>
      <c r="I114" s="114">
        <f t="shared" si="3"/>
        <v>1022068</v>
      </c>
      <c r="J114" s="114">
        <f t="shared" si="4"/>
        <v>1069792</v>
      </c>
      <c r="K114" s="145">
        <f t="shared" si="5"/>
        <v>0.5657343738</v>
      </c>
      <c r="L114" s="145">
        <f t="shared" si="6"/>
        <v>0.1637650332</v>
      </c>
      <c r="M114" s="145">
        <f t="shared" si="7"/>
        <v>0.2705005929</v>
      </c>
      <c r="N114" s="32" t="str">
        <f t="shared" si="8"/>
        <v>Jânio</v>
      </c>
      <c r="O114" s="50"/>
      <c r="P114" s="55">
        <f t="shared" ref="P114:T114" si="16">SUM(P14:P113)</f>
        <v>328448</v>
      </c>
      <c r="Q114" s="55">
        <f t="shared" si="16"/>
        <v>504824</v>
      </c>
      <c r="R114" s="55">
        <f t="shared" si="16"/>
        <v>139874</v>
      </c>
      <c r="S114" s="55">
        <f t="shared" si="16"/>
        <v>67830</v>
      </c>
      <c r="T114" s="55">
        <f t="shared" si="16"/>
        <v>28816</v>
      </c>
      <c r="U114" s="114">
        <f t="shared" si="9"/>
        <v>973146</v>
      </c>
      <c r="V114" s="114">
        <f t="shared" si="10"/>
        <v>1069792</v>
      </c>
      <c r="W114" s="145">
        <f t="shared" si="11"/>
        <v>0.3375115348</v>
      </c>
      <c r="X114" s="145">
        <f t="shared" si="12"/>
        <v>0.518754637</v>
      </c>
      <c r="Y114" s="145">
        <f t="shared" si="13"/>
        <v>0.1437338282</v>
      </c>
      <c r="Z114" s="32" t="str">
        <f t="shared" si="14"/>
        <v>Milton</v>
      </c>
      <c r="AA114" s="50"/>
    </row>
    <row r="115">
      <c r="A115" s="69" t="s">
        <v>3152</v>
      </c>
      <c r="B115" s="13"/>
      <c r="C115" s="47"/>
      <c r="D115" s="38">
        <v>590703.0</v>
      </c>
      <c r="E115" s="38">
        <v>169157.0</v>
      </c>
      <c r="F115" s="38">
        <v>283920.0</v>
      </c>
      <c r="G115" s="38">
        <v>15453.0</v>
      </c>
      <c r="H115" s="38">
        <v>33710.0</v>
      </c>
      <c r="I115" s="48">
        <f t="shared" si="3"/>
        <v>1043780</v>
      </c>
      <c r="J115" s="48">
        <f t="shared" si="4"/>
        <v>1092943</v>
      </c>
      <c r="K115" s="49">
        <f t="shared" si="5"/>
        <v>0.5659267279</v>
      </c>
      <c r="L115" s="49">
        <f t="shared" si="6"/>
        <v>0.1620619288</v>
      </c>
      <c r="M115" s="49">
        <f t="shared" si="7"/>
        <v>0.2720113434</v>
      </c>
      <c r="N115" s="32" t="str">
        <f t="shared" si="8"/>
        <v>Jânio</v>
      </c>
      <c r="O115" s="50"/>
      <c r="P115" s="48">
        <v>335000.0</v>
      </c>
      <c r="Q115" s="48">
        <v>516054.0</v>
      </c>
      <c r="R115" s="48">
        <v>142055.0</v>
      </c>
      <c r="S115" s="48">
        <v>70602.0</v>
      </c>
      <c r="T115" s="48">
        <v>29232.0</v>
      </c>
      <c r="U115" s="48">
        <f t="shared" si="9"/>
        <v>993109</v>
      </c>
      <c r="V115" s="48">
        <f t="shared" si="10"/>
        <v>1092943</v>
      </c>
      <c r="W115" s="49">
        <f t="shared" si="11"/>
        <v>0.3373245032</v>
      </c>
      <c r="X115" s="49">
        <f t="shared" si="12"/>
        <v>0.5196348034</v>
      </c>
      <c r="Y115" s="49">
        <f t="shared" si="13"/>
        <v>0.1430406934</v>
      </c>
      <c r="Z115" s="32" t="str">
        <f t="shared" si="14"/>
        <v>Milton</v>
      </c>
      <c r="AA115" s="50"/>
    </row>
    <row r="116">
      <c r="D116" s="30"/>
      <c r="E116" s="30"/>
      <c r="F116" s="30"/>
      <c r="G116" s="30"/>
    </row>
    <row r="118">
      <c r="B118" s="74" t="s">
        <v>138</v>
      </c>
    </row>
    <row r="119">
      <c r="B119" s="76" t="s">
        <v>139</v>
      </c>
      <c r="D119" s="30"/>
      <c r="E119" s="30"/>
      <c r="F119" s="30"/>
      <c r="G119" s="30"/>
    </row>
    <row r="120">
      <c r="D120" s="30"/>
      <c r="E120" s="30"/>
      <c r="F120" s="30"/>
      <c r="G120" s="30"/>
    </row>
    <row r="121" ht="8.25" customHeight="1">
      <c r="D121" s="30"/>
      <c r="E121" s="30"/>
      <c r="F121" s="30"/>
      <c r="G121" s="30"/>
    </row>
    <row r="122">
      <c r="D122" s="109"/>
      <c r="E122" s="109"/>
      <c r="F122" s="109"/>
      <c r="G122" s="109"/>
    </row>
    <row r="123">
      <c r="A123" s="69" t="s">
        <v>3237</v>
      </c>
      <c r="B123" s="12"/>
      <c r="C123" s="13"/>
    </row>
    <row r="124">
      <c r="A124" s="34"/>
      <c r="B124" s="12"/>
      <c r="C124" s="13"/>
      <c r="D124" s="35" t="s">
        <v>55</v>
      </c>
      <c r="E124" s="12"/>
      <c r="F124" s="12"/>
      <c r="G124" s="12"/>
      <c r="H124" s="12"/>
      <c r="I124" s="12"/>
      <c r="J124" s="12"/>
      <c r="K124" s="12"/>
      <c r="L124" s="12"/>
      <c r="M124" s="12"/>
      <c r="N124" s="13"/>
      <c r="O124" s="36"/>
      <c r="P124" s="35" t="s">
        <v>56</v>
      </c>
      <c r="Q124" s="12"/>
      <c r="R124" s="12"/>
      <c r="S124" s="12"/>
      <c r="T124" s="12"/>
      <c r="U124" s="12"/>
      <c r="V124" s="12"/>
      <c r="W124" s="12"/>
      <c r="X124" s="12"/>
      <c r="Y124" s="12"/>
      <c r="Z124" s="13"/>
      <c r="AA124" s="140"/>
    </row>
    <row r="125">
      <c r="A125" s="38" t="s">
        <v>57</v>
      </c>
      <c r="B125" s="38" t="s">
        <v>3238</v>
      </c>
      <c r="C125" s="40"/>
      <c r="D125" s="38" t="s">
        <v>46</v>
      </c>
      <c r="E125" s="38" t="s">
        <v>48</v>
      </c>
      <c r="F125" s="38" t="s">
        <v>50</v>
      </c>
      <c r="G125" s="38" t="s">
        <v>59</v>
      </c>
      <c r="H125" s="38" t="s">
        <v>60</v>
      </c>
      <c r="I125" s="41" t="s">
        <v>61</v>
      </c>
      <c r="J125" s="41" t="s">
        <v>62</v>
      </c>
      <c r="K125" s="38" t="s">
        <v>63</v>
      </c>
      <c r="L125" s="38" t="s">
        <v>64</v>
      </c>
      <c r="M125" s="38" t="s">
        <v>65</v>
      </c>
      <c r="N125" s="38" t="s">
        <v>66</v>
      </c>
      <c r="O125" s="42"/>
      <c r="P125" s="38" t="s">
        <v>47</v>
      </c>
      <c r="Q125" s="38" t="s">
        <v>49</v>
      </c>
      <c r="R125" s="38" t="s">
        <v>51</v>
      </c>
      <c r="S125" s="38" t="s">
        <v>59</v>
      </c>
      <c r="T125" s="38" t="s">
        <v>60</v>
      </c>
      <c r="U125" s="41" t="s">
        <v>61</v>
      </c>
      <c r="V125" s="41" t="s">
        <v>62</v>
      </c>
      <c r="W125" s="43" t="s">
        <v>67</v>
      </c>
      <c r="X125" s="43" t="s">
        <v>68</v>
      </c>
      <c r="Y125" s="43" t="s">
        <v>69</v>
      </c>
      <c r="Z125" s="38" t="s">
        <v>66</v>
      </c>
      <c r="AA125" s="44"/>
    </row>
    <row r="126">
      <c r="A126" s="110" t="s">
        <v>73</v>
      </c>
      <c r="B126" s="46" t="s">
        <v>73</v>
      </c>
      <c r="C126" s="47"/>
      <c r="D126" s="38">
        <v>135.0</v>
      </c>
      <c r="E126" s="38">
        <v>129.0</v>
      </c>
      <c r="F126" s="38">
        <v>55.0</v>
      </c>
      <c r="G126" s="38">
        <v>8.0</v>
      </c>
      <c r="H126" s="38">
        <v>4.0</v>
      </c>
      <c r="I126" s="48">
        <f t="shared" ref="I126:I499" si="17">SUM(D126:F126)</f>
        <v>319</v>
      </c>
      <c r="J126" s="48">
        <f t="shared" ref="J126:J499" si="18">SUM(G126:I126)</f>
        <v>331</v>
      </c>
      <c r="K126" s="49">
        <f t="shared" ref="K126:K499" si="19">D126/I126</f>
        <v>0.4231974922</v>
      </c>
      <c r="L126" s="49">
        <f t="shared" ref="L126:L499" si="20">E126/I126</f>
        <v>0.4043887147</v>
      </c>
      <c r="M126" s="49">
        <f t="shared" ref="M126:M499" si="21">F126/I126</f>
        <v>0.1724137931</v>
      </c>
      <c r="N126" s="32" t="str">
        <f t="shared" ref="N126:N499" si="22">IF(LARGE(D126:F126,1)=LARGE(D126:F126,2),"Empate",IF(LARGE(D126:F126,1)=D126,"Jânio",IF(LARGE(D126:F126,1)=E126,"Mal. Lott",IF(LARGE(D126:F126,1)=F126,"Adhemar"))))</f>
        <v>Jânio</v>
      </c>
      <c r="O126" s="50"/>
      <c r="P126" s="38">
        <v>105.0</v>
      </c>
      <c r="Q126" s="38">
        <v>101.0</v>
      </c>
      <c r="R126" s="38">
        <v>60.0</v>
      </c>
      <c r="S126" s="38">
        <v>61.0</v>
      </c>
      <c r="T126" s="38">
        <v>4.0</v>
      </c>
      <c r="U126" s="48">
        <f t="shared" ref="U126:U499" si="23">SUM(P126:R126)</f>
        <v>266</v>
      </c>
      <c r="V126" s="48">
        <f t="shared" ref="V126:V499" si="24">SUM(S126:U126)</f>
        <v>331</v>
      </c>
      <c r="W126" s="49">
        <f t="shared" ref="W126:W499" si="25">P126/U126</f>
        <v>0.3947368421</v>
      </c>
      <c r="X126" s="49">
        <f t="shared" ref="X126:X499" si="26">Q126/U126</f>
        <v>0.3796992481</v>
      </c>
      <c r="Y126" s="49">
        <f t="shared" ref="Y126:Y499" si="27">R126/U126</f>
        <v>0.2255639098</v>
      </c>
      <c r="Z126" s="32" t="str">
        <f t="shared" ref="Z126:Z499" si="28">IF(LARGE(P126:R126,1)=LARGE(P126:R126,2),"Empate",IF(LARGE(P126:R126,1)=P126,"Jango",IF(LARGE(P126:R126,1)=Q126,"Milton",IF(LARGE(P126:R126,1)=R126,"Ferrari"))))</f>
        <v>Jango</v>
      </c>
      <c r="AA126" s="50"/>
    </row>
    <row r="127">
      <c r="A127" s="110" t="s">
        <v>73</v>
      </c>
      <c r="B127" s="46" t="s">
        <v>509</v>
      </c>
      <c r="C127" s="47"/>
      <c r="D127" s="38">
        <v>124.0</v>
      </c>
      <c r="E127" s="38">
        <v>109.0</v>
      </c>
      <c r="F127" s="38">
        <v>79.0</v>
      </c>
      <c r="G127" s="38">
        <v>16.0</v>
      </c>
      <c r="H127" s="38">
        <v>0.0</v>
      </c>
      <c r="I127" s="48">
        <f t="shared" si="17"/>
        <v>312</v>
      </c>
      <c r="J127" s="48">
        <f t="shared" si="18"/>
        <v>328</v>
      </c>
      <c r="K127" s="49">
        <f t="shared" si="19"/>
        <v>0.3974358974</v>
      </c>
      <c r="L127" s="49">
        <f t="shared" si="20"/>
        <v>0.3493589744</v>
      </c>
      <c r="M127" s="49">
        <f t="shared" si="21"/>
        <v>0.2532051282</v>
      </c>
      <c r="N127" s="32" t="str">
        <f t="shared" si="22"/>
        <v>Jânio</v>
      </c>
      <c r="O127" s="50"/>
      <c r="P127" s="38">
        <v>98.0</v>
      </c>
      <c r="Q127" s="38">
        <v>85.0</v>
      </c>
      <c r="R127" s="38">
        <v>77.0</v>
      </c>
      <c r="S127" s="38">
        <v>68.0</v>
      </c>
      <c r="T127" s="38">
        <v>0.0</v>
      </c>
      <c r="U127" s="48">
        <f t="shared" si="23"/>
        <v>260</v>
      </c>
      <c r="V127" s="48">
        <f t="shared" si="24"/>
        <v>328</v>
      </c>
      <c r="W127" s="49">
        <f t="shared" si="25"/>
        <v>0.3769230769</v>
      </c>
      <c r="X127" s="49">
        <f t="shared" si="26"/>
        <v>0.3269230769</v>
      </c>
      <c r="Y127" s="49">
        <f t="shared" si="27"/>
        <v>0.2961538462</v>
      </c>
      <c r="Z127" s="32" t="str">
        <f t="shared" si="28"/>
        <v>Jango</v>
      </c>
      <c r="AA127" s="50"/>
    </row>
    <row r="128">
      <c r="A128" s="110" t="s">
        <v>73</v>
      </c>
      <c r="B128" s="46" t="s">
        <v>302</v>
      </c>
      <c r="C128" s="47"/>
      <c r="D128" s="38">
        <v>164.0</v>
      </c>
      <c r="E128" s="38">
        <v>117.0</v>
      </c>
      <c r="F128" s="38">
        <v>84.0</v>
      </c>
      <c r="G128" s="38">
        <v>3.0</v>
      </c>
      <c r="H128" s="38">
        <v>5.0</v>
      </c>
      <c r="I128" s="48">
        <f t="shared" si="17"/>
        <v>365</v>
      </c>
      <c r="J128" s="48">
        <f t="shared" si="18"/>
        <v>373</v>
      </c>
      <c r="K128" s="49">
        <f t="shared" si="19"/>
        <v>0.4493150685</v>
      </c>
      <c r="L128" s="49">
        <f t="shared" si="20"/>
        <v>0.3205479452</v>
      </c>
      <c r="M128" s="49">
        <f t="shared" si="21"/>
        <v>0.2301369863</v>
      </c>
      <c r="N128" s="32" t="str">
        <f t="shared" si="22"/>
        <v>Jânio</v>
      </c>
      <c r="O128" s="50"/>
      <c r="P128" s="38">
        <v>81.0</v>
      </c>
      <c r="Q128" s="38">
        <v>129.0</v>
      </c>
      <c r="R128" s="38">
        <v>80.0</v>
      </c>
      <c r="S128" s="38">
        <v>78.0</v>
      </c>
      <c r="T128" s="38">
        <v>5.0</v>
      </c>
      <c r="U128" s="48">
        <f t="shared" si="23"/>
        <v>290</v>
      </c>
      <c r="V128" s="48">
        <f t="shared" si="24"/>
        <v>373</v>
      </c>
      <c r="W128" s="49">
        <f t="shared" si="25"/>
        <v>0.2793103448</v>
      </c>
      <c r="X128" s="49">
        <f t="shared" si="26"/>
        <v>0.4448275862</v>
      </c>
      <c r="Y128" s="49">
        <f t="shared" si="27"/>
        <v>0.275862069</v>
      </c>
      <c r="Z128" s="32" t="str">
        <f t="shared" si="28"/>
        <v>Milton</v>
      </c>
      <c r="AA128" s="50"/>
    </row>
    <row r="129">
      <c r="A129" s="110" t="s">
        <v>73</v>
      </c>
      <c r="B129" s="46" t="s">
        <v>92</v>
      </c>
      <c r="C129" s="47"/>
      <c r="D129" s="38">
        <v>102.0</v>
      </c>
      <c r="E129" s="38">
        <v>145.0</v>
      </c>
      <c r="F129" s="38">
        <v>70.0</v>
      </c>
      <c r="G129" s="38">
        <v>3.0</v>
      </c>
      <c r="H129" s="38">
        <v>2.0</v>
      </c>
      <c r="I129" s="48">
        <f t="shared" si="17"/>
        <v>317</v>
      </c>
      <c r="J129" s="48">
        <f t="shared" si="18"/>
        <v>322</v>
      </c>
      <c r="K129" s="49">
        <f t="shared" si="19"/>
        <v>0.3217665615</v>
      </c>
      <c r="L129" s="49">
        <f t="shared" si="20"/>
        <v>0.4574132492</v>
      </c>
      <c r="M129" s="49">
        <f t="shared" si="21"/>
        <v>0.2208201893</v>
      </c>
      <c r="N129" s="32" t="str">
        <f t="shared" si="22"/>
        <v>Mal. Lott</v>
      </c>
      <c r="O129" s="50"/>
      <c r="P129" s="38">
        <v>108.0</v>
      </c>
      <c r="Q129" s="38">
        <v>89.0</v>
      </c>
      <c r="R129" s="38">
        <v>47.0</v>
      </c>
      <c r="S129" s="38">
        <v>76.0</v>
      </c>
      <c r="T129" s="38">
        <v>2.0</v>
      </c>
      <c r="U129" s="48">
        <f t="shared" si="23"/>
        <v>244</v>
      </c>
      <c r="V129" s="48">
        <f t="shared" si="24"/>
        <v>322</v>
      </c>
      <c r="W129" s="49">
        <f t="shared" si="25"/>
        <v>0.4426229508</v>
      </c>
      <c r="X129" s="49">
        <f t="shared" si="26"/>
        <v>0.3647540984</v>
      </c>
      <c r="Y129" s="49">
        <f t="shared" si="27"/>
        <v>0.1926229508</v>
      </c>
      <c r="Z129" s="32" t="str">
        <f t="shared" si="28"/>
        <v>Jango</v>
      </c>
      <c r="AA129" s="50"/>
    </row>
    <row r="130">
      <c r="A130" s="110" t="s">
        <v>73</v>
      </c>
      <c r="B130" s="46" t="s">
        <v>94</v>
      </c>
      <c r="C130" s="47"/>
      <c r="D130" s="38">
        <v>100.0</v>
      </c>
      <c r="E130" s="38">
        <v>107.0</v>
      </c>
      <c r="F130" s="38">
        <v>137.0</v>
      </c>
      <c r="G130" s="38">
        <v>32.0</v>
      </c>
      <c r="H130" s="38">
        <v>0.0</v>
      </c>
      <c r="I130" s="48">
        <f t="shared" si="17"/>
        <v>344</v>
      </c>
      <c r="J130" s="48">
        <f t="shared" si="18"/>
        <v>376</v>
      </c>
      <c r="K130" s="49">
        <f t="shared" si="19"/>
        <v>0.2906976744</v>
      </c>
      <c r="L130" s="49">
        <f t="shared" si="20"/>
        <v>0.3110465116</v>
      </c>
      <c r="M130" s="49">
        <f t="shared" si="21"/>
        <v>0.398255814</v>
      </c>
      <c r="N130" s="32" t="str">
        <f t="shared" si="22"/>
        <v>Adhemar</v>
      </c>
      <c r="O130" s="50"/>
      <c r="P130" s="38">
        <v>95.0</v>
      </c>
      <c r="Q130" s="38">
        <v>77.0</v>
      </c>
      <c r="R130" s="38">
        <v>80.0</v>
      </c>
      <c r="S130" s="38">
        <v>123.0</v>
      </c>
      <c r="T130" s="38">
        <v>0.0</v>
      </c>
      <c r="U130" s="48">
        <f t="shared" si="23"/>
        <v>252</v>
      </c>
      <c r="V130" s="48">
        <f t="shared" si="24"/>
        <v>375</v>
      </c>
      <c r="W130" s="49">
        <f t="shared" si="25"/>
        <v>0.376984127</v>
      </c>
      <c r="X130" s="49">
        <f t="shared" si="26"/>
        <v>0.3055555556</v>
      </c>
      <c r="Y130" s="49">
        <f t="shared" si="27"/>
        <v>0.3174603175</v>
      </c>
      <c r="Z130" s="32" t="str">
        <f t="shared" si="28"/>
        <v>Jango</v>
      </c>
      <c r="AA130" s="50"/>
    </row>
    <row r="131">
      <c r="A131" s="110" t="s">
        <v>73</v>
      </c>
      <c r="B131" s="46" t="s">
        <v>107</v>
      </c>
      <c r="C131" s="47"/>
      <c r="D131" s="38">
        <v>21.0</v>
      </c>
      <c r="E131" s="38">
        <v>84.0</v>
      </c>
      <c r="F131" s="38">
        <v>68.0</v>
      </c>
      <c r="G131" s="38">
        <v>14.0</v>
      </c>
      <c r="H131" s="38">
        <v>0.0</v>
      </c>
      <c r="I131" s="48">
        <f t="shared" si="17"/>
        <v>173</v>
      </c>
      <c r="J131" s="48">
        <f t="shared" si="18"/>
        <v>187</v>
      </c>
      <c r="K131" s="49">
        <f t="shared" si="19"/>
        <v>0.1213872832</v>
      </c>
      <c r="L131" s="49">
        <f t="shared" si="20"/>
        <v>0.4855491329</v>
      </c>
      <c r="M131" s="49">
        <f t="shared" si="21"/>
        <v>0.3930635838</v>
      </c>
      <c r="N131" s="32" t="str">
        <f t="shared" si="22"/>
        <v>Mal. Lott</v>
      </c>
      <c r="O131" s="50"/>
      <c r="P131" s="38">
        <v>80.0</v>
      </c>
      <c r="Q131" s="38">
        <v>24.0</v>
      </c>
      <c r="R131" s="38">
        <v>36.0</v>
      </c>
      <c r="S131" s="38">
        <v>87.0</v>
      </c>
      <c r="T131" s="38">
        <v>0.0</v>
      </c>
      <c r="U131" s="48">
        <f t="shared" si="23"/>
        <v>140</v>
      </c>
      <c r="V131" s="48">
        <f t="shared" si="24"/>
        <v>227</v>
      </c>
      <c r="W131" s="49">
        <f t="shared" si="25"/>
        <v>0.5714285714</v>
      </c>
      <c r="X131" s="49">
        <f t="shared" si="26"/>
        <v>0.1714285714</v>
      </c>
      <c r="Y131" s="49">
        <f t="shared" si="27"/>
        <v>0.2571428571</v>
      </c>
      <c r="Z131" s="32" t="str">
        <f t="shared" si="28"/>
        <v>Jango</v>
      </c>
      <c r="AA131" s="50"/>
    </row>
    <row r="132">
      <c r="A132" s="110" t="s">
        <v>73</v>
      </c>
      <c r="B132" s="46" t="s">
        <v>258</v>
      </c>
      <c r="C132" s="47"/>
      <c r="D132" s="38">
        <v>127.0</v>
      </c>
      <c r="E132" s="38">
        <v>104.0</v>
      </c>
      <c r="F132" s="38">
        <v>105.0</v>
      </c>
      <c r="G132" s="38">
        <v>11.0</v>
      </c>
      <c r="H132" s="38">
        <v>13.0</v>
      </c>
      <c r="I132" s="48">
        <f t="shared" si="17"/>
        <v>336</v>
      </c>
      <c r="J132" s="48">
        <f t="shared" si="18"/>
        <v>360</v>
      </c>
      <c r="K132" s="49">
        <f t="shared" si="19"/>
        <v>0.3779761905</v>
      </c>
      <c r="L132" s="49">
        <f t="shared" si="20"/>
        <v>0.3095238095</v>
      </c>
      <c r="M132" s="49">
        <f t="shared" si="21"/>
        <v>0.3125</v>
      </c>
      <c r="N132" s="32" t="str">
        <f t="shared" si="22"/>
        <v>Jânio</v>
      </c>
      <c r="O132" s="50"/>
      <c r="P132" s="38">
        <v>90.0</v>
      </c>
      <c r="Q132" s="38">
        <v>86.0</v>
      </c>
      <c r="R132" s="38">
        <v>96.0</v>
      </c>
      <c r="S132" s="38">
        <v>79.0</v>
      </c>
      <c r="T132" s="38">
        <v>9.0</v>
      </c>
      <c r="U132" s="48">
        <f t="shared" si="23"/>
        <v>272</v>
      </c>
      <c r="V132" s="48">
        <f t="shared" si="24"/>
        <v>360</v>
      </c>
      <c r="W132" s="49">
        <f t="shared" si="25"/>
        <v>0.3308823529</v>
      </c>
      <c r="X132" s="49">
        <f t="shared" si="26"/>
        <v>0.3161764706</v>
      </c>
      <c r="Y132" s="49">
        <f t="shared" si="27"/>
        <v>0.3529411765</v>
      </c>
      <c r="Z132" s="32" t="str">
        <f t="shared" si="28"/>
        <v>Ferrari</v>
      </c>
      <c r="AA132" s="50"/>
    </row>
    <row r="133">
      <c r="A133" s="110" t="s">
        <v>73</v>
      </c>
      <c r="B133" s="46" t="s">
        <v>114</v>
      </c>
      <c r="C133" s="47"/>
      <c r="D133" s="38">
        <v>119.0</v>
      </c>
      <c r="E133" s="38">
        <v>118.0</v>
      </c>
      <c r="F133" s="38">
        <v>109.0</v>
      </c>
      <c r="G133" s="38">
        <v>8.0</v>
      </c>
      <c r="H133" s="38">
        <v>8.0</v>
      </c>
      <c r="I133" s="48">
        <f t="shared" si="17"/>
        <v>346</v>
      </c>
      <c r="J133" s="48">
        <f t="shared" si="18"/>
        <v>362</v>
      </c>
      <c r="K133" s="49">
        <f t="shared" si="19"/>
        <v>0.3439306358</v>
      </c>
      <c r="L133" s="49">
        <f t="shared" si="20"/>
        <v>0.3410404624</v>
      </c>
      <c r="M133" s="49">
        <f t="shared" si="21"/>
        <v>0.3150289017</v>
      </c>
      <c r="N133" s="32" t="str">
        <f t="shared" si="22"/>
        <v>Jânio</v>
      </c>
      <c r="O133" s="50"/>
      <c r="P133" s="38">
        <v>91.0</v>
      </c>
      <c r="Q133" s="38">
        <v>76.0</v>
      </c>
      <c r="R133" s="38">
        <v>88.0</v>
      </c>
      <c r="S133" s="38">
        <v>98.0</v>
      </c>
      <c r="T133" s="38">
        <v>5.0</v>
      </c>
      <c r="U133" s="48">
        <f t="shared" si="23"/>
        <v>255</v>
      </c>
      <c r="V133" s="48">
        <f t="shared" si="24"/>
        <v>358</v>
      </c>
      <c r="W133" s="49">
        <f t="shared" si="25"/>
        <v>0.3568627451</v>
      </c>
      <c r="X133" s="49">
        <f t="shared" si="26"/>
        <v>0.2980392157</v>
      </c>
      <c r="Y133" s="49">
        <f t="shared" si="27"/>
        <v>0.3450980392</v>
      </c>
      <c r="Z133" s="32" t="str">
        <f t="shared" si="28"/>
        <v>Jango</v>
      </c>
      <c r="AA133" s="50"/>
    </row>
    <row r="134">
      <c r="A134" s="110" t="s">
        <v>73</v>
      </c>
      <c r="B134" s="46" t="s">
        <v>856</v>
      </c>
      <c r="C134" s="47"/>
      <c r="D134" s="38">
        <v>112.0</v>
      </c>
      <c r="E134" s="38">
        <v>111.0</v>
      </c>
      <c r="F134" s="38">
        <v>103.0</v>
      </c>
      <c r="G134" s="38">
        <v>6.0</v>
      </c>
      <c r="H134" s="38">
        <v>3.0</v>
      </c>
      <c r="I134" s="48">
        <f t="shared" si="17"/>
        <v>326</v>
      </c>
      <c r="J134" s="48">
        <f t="shared" si="18"/>
        <v>335</v>
      </c>
      <c r="K134" s="49">
        <f t="shared" si="19"/>
        <v>0.3435582822</v>
      </c>
      <c r="L134" s="49">
        <f t="shared" si="20"/>
        <v>0.3404907975</v>
      </c>
      <c r="M134" s="49">
        <f t="shared" si="21"/>
        <v>0.3159509202</v>
      </c>
      <c r="N134" s="32" t="str">
        <f t="shared" si="22"/>
        <v>Jânio</v>
      </c>
      <c r="O134" s="50"/>
      <c r="P134" s="38">
        <v>98.0</v>
      </c>
      <c r="Q134" s="38">
        <v>94.0</v>
      </c>
      <c r="R134" s="38">
        <v>73.0</v>
      </c>
      <c r="S134" s="38">
        <v>69.0</v>
      </c>
      <c r="T134" s="38">
        <v>1.0</v>
      </c>
      <c r="U134" s="48">
        <f t="shared" si="23"/>
        <v>265</v>
      </c>
      <c r="V134" s="48">
        <f t="shared" si="24"/>
        <v>335</v>
      </c>
      <c r="W134" s="49">
        <f t="shared" si="25"/>
        <v>0.3698113208</v>
      </c>
      <c r="X134" s="49">
        <f t="shared" si="26"/>
        <v>0.3547169811</v>
      </c>
      <c r="Y134" s="49">
        <f t="shared" si="27"/>
        <v>0.2754716981</v>
      </c>
      <c r="Z134" s="32" t="str">
        <f t="shared" si="28"/>
        <v>Jango</v>
      </c>
      <c r="AA134" s="50"/>
    </row>
    <row r="135">
      <c r="A135" s="110" t="s">
        <v>73</v>
      </c>
      <c r="B135" s="46" t="s">
        <v>578</v>
      </c>
      <c r="C135" s="47"/>
      <c r="D135" s="38">
        <v>135.0</v>
      </c>
      <c r="E135" s="38">
        <v>99.0</v>
      </c>
      <c r="F135" s="38">
        <v>91.0</v>
      </c>
      <c r="G135" s="38">
        <v>65.0</v>
      </c>
      <c r="H135" s="38">
        <v>0.0</v>
      </c>
      <c r="I135" s="48">
        <f t="shared" si="17"/>
        <v>325</v>
      </c>
      <c r="J135" s="48">
        <f t="shared" si="18"/>
        <v>390</v>
      </c>
      <c r="K135" s="49">
        <f t="shared" si="19"/>
        <v>0.4153846154</v>
      </c>
      <c r="L135" s="49">
        <f t="shared" si="20"/>
        <v>0.3046153846</v>
      </c>
      <c r="M135" s="49">
        <f t="shared" si="21"/>
        <v>0.28</v>
      </c>
      <c r="N135" s="32" t="str">
        <f t="shared" si="22"/>
        <v>Jânio</v>
      </c>
      <c r="O135" s="50"/>
      <c r="P135" s="38">
        <v>102.0</v>
      </c>
      <c r="Q135" s="38">
        <v>86.0</v>
      </c>
      <c r="R135" s="38">
        <v>77.0</v>
      </c>
      <c r="S135" s="38">
        <v>123.0</v>
      </c>
      <c r="T135" s="38">
        <v>0.0</v>
      </c>
      <c r="U135" s="48">
        <f t="shared" si="23"/>
        <v>265</v>
      </c>
      <c r="V135" s="48">
        <f t="shared" si="24"/>
        <v>388</v>
      </c>
      <c r="W135" s="49">
        <f t="shared" si="25"/>
        <v>0.3849056604</v>
      </c>
      <c r="X135" s="49">
        <f t="shared" si="26"/>
        <v>0.3245283019</v>
      </c>
      <c r="Y135" s="49">
        <f t="shared" si="27"/>
        <v>0.2905660377</v>
      </c>
      <c r="Z135" s="32" t="str">
        <f t="shared" si="28"/>
        <v>Jango</v>
      </c>
      <c r="AA135" s="50"/>
    </row>
    <row r="136">
      <c r="A136" s="110" t="s">
        <v>73</v>
      </c>
      <c r="B136" s="46" t="s">
        <v>94</v>
      </c>
      <c r="C136" s="47"/>
      <c r="D136" s="38">
        <v>103.0</v>
      </c>
      <c r="E136" s="38">
        <v>138.0</v>
      </c>
      <c r="F136" s="38">
        <v>75.0</v>
      </c>
      <c r="G136" s="38">
        <v>4.0</v>
      </c>
      <c r="H136" s="38">
        <v>2.0</v>
      </c>
      <c r="I136" s="48">
        <f t="shared" si="17"/>
        <v>316</v>
      </c>
      <c r="J136" s="48">
        <f t="shared" si="18"/>
        <v>322</v>
      </c>
      <c r="K136" s="49">
        <f t="shared" si="19"/>
        <v>0.3259493671</v>
      </c>
      <c r="L136" s="49">
        <f t="shared" si="20"/>
        <v>0.4367088608</v>
      </c>
      <c r="M136" s="49">
        <f t="shared" si="21"/>
        <v>0.2373417722</v>
      </c>
      <c r="N136" s="32" t="str">
        <f t="shared" si="22"/>
        <v>Mal. Lott</v>
      </c>
      <c r="O136" s="50"/>
      <c r="P136" s="38">
        <v>105.0</v>
      </c>
      <c r="Q136" s="38">
        <v>85.0</v>
      </c>
      <c r="R136" s="38">
        <v>71.0</v>
      </c>
      <c r="S136" s="38">
        <v>58.0</v>
      </c>
      <c r="T136" s="38">
        <v>3.0</v>
      </c>
      <c r="U136" s="48">
        <f t="shared" si="23"/>
        <v>261</v>
      </c>
      <c r="V136" s="48">
        <f t="shared" si="24"/>
        <v>322</v>
      </c>
      <c r="W136" s="49">
        <f t="shared" si="25"/>
        <v>0.4022988506</v>
      </c>
      <c r="X136" s="49">
        <f t="shared" si="26"/>
        <v>0.3256704981</v>
      </c>
      <c r="Y136" s="49">
        <f t="shared" si="27"/>
        <v>0.2720306513</v>
      </c>
      <c r="Z136" s="32" t="str">
        <f t="shared" si="28"/>
        <v>Jango</v>
      </c>
      <c r="AA136" s="50"/>
    </row>
    <row r="137">
      <c r="A137" s="110" t="s">
        <v>73</v>
      </c>
      <c r="B137" s="46" t="s">
        <v>568</v>
      </c>
      <c r="C137" s="47"/>
      <c r="D137" s="38">
        <v>135.0</v>
      </c>
      <c r="E137" s="38">
        <v>109.0</v>
      </c>
      <c r="F137" s="38">
        <v>86.0</v>
      </c>
      <c r="G137" s="38">
        <v>8.0</v>
      </c>
      <c r="H137" s="38">
        <v>5.0</v>
      </c>
      <c r="I137" s="48">
        <f t="shared" si="17"/>
        <v>330</v>
      </c>
      <c r="J137" s="48">
        <f t="shared" si="18"/>
        <v>343</v>
      </c>
      <c r="K137" s="49">
        <f t="shared" si="19"/>
        <v>0.4090909091</v>
      </c>
      <c r="L137" s="49">
        <f t="shared" si="20"/>
        <v>0.3303030303</v>
      </c>
      <c r="M137" s="49">
        <f t="shared" si="21"/>
        <v>0.2606060606</v>
      </c>
      <c r="N137" s="32" t="str">
        <f t="shared" si="22"/>
        <v>Jânio</v>
      </c>
      <c r="O137" s="50"/>
      <c r="P137" s="38">
        <v>94.0</v>
      </c>
      <c r="Q137" s="38">
        <v>92.0</v>
      </c>
      <c r="R137" s="38">
        <v>84.0</v>
      </c>
      <c r="S137" s="38">
        <v>69.0</v>
      </c>
      <c r="T137" s="38">
        <v>4.0</v>
      </c>
      <c r="U137" s="48">
        <f t="shared" si="23"/>
        <v>270</v>
      </c>
      <c r="V137" s="48">
        <f t="shared" si="24"/>
        <v>343</v>
      </c>
      <c r="W137" s="49">
        <f t="shared" si="25"/>
        <v>0.3481481481</v>
      </c>
      <c r="X137" s="49">
        <f t="shared" si="26"/>
        <v>0.3407407407</v>
      </c>
      <c r="Y137" s="49">
        <f t="shared" si="27"/>
        <v>0.3111111111</v>
      </c>
      <c r="Z137" s="32" t="str">
        <f t="shared" si="28"/>
        <v>Jango</v>
      </c>
      <c r="AA137" s="50"/>
    </row>
    <row r="138">
      <c r="A138" s="110" t="s">
        <v>73</v>
      </c>
      <c r="B138" s="46" t="s">
        <v>258</v>
      </c>
      <c r="C138" s="47"/>
      <c r="D138" s="38">
        <v>144.0</v>
      </c>
      <c r="E138" s="38">
        <v>107.0</v>
      </c>
      <c r="F138" s="38">
        <v>64.0</v>
      </c>
      <c r="G138" s="38">
        <v>0.0</v>
      </c>
      <c r="H138" s="38">
        <v>6.0</v>
      </c>
      <c r="I138" s="48">
        <f t="shared" si="17"/>
        <v>315</v>
      </c>
      <c r="J138" s="48">
        <f t="shared" si="18"/>
        <v>321</v>
      </c>
      <c r="K138" s="49">
        <f t="shared" si="19"/>
        <v>0.4571428571</v>
      </c>
      <c r="L138" s="49">
        <f t="shared" si="20"/>
        <v>0.3396825397</v>
      </c>
      <c r="M138" s="49">
        <f t="shared" si="21"/>
        <v>0.2031746032</v>
      </c>
      <c r="N138" s="32" t="str">
        <f t="shared" si="22"/>
        <v>Jânio</v>
      </c>
      <c r="O138" s="50"/>
      <c r="P138" s="38">
        <v>92.0</v>
      </c>
      <c r="Q138" s="38">
        <v>112.0</v>
      </c>
      <c r="R138" s="38">
        <v>59.0</v>
      </c>
      <c r="S138" s="38">
        <v>56.0</v>
      </c>
      <c r="T138" s="38">
        <v>4.0</v>
      </c>
      <c r="U138" s="48">
        <f t="shared" si="23"/>
        <v>263</v>
      </c>
      <c r="V138" s="48">
        <f t="shared" si="24"/>
        <v>323</v>
      </c>
      <c r="W138" s="49">
        <f t="shared" si="25"/>
        <v>0.3498098859</v>
      </c>
      <c r="X138" s="49">
        <f t="shared" si="26"/>
        <v>0.4258555133</v>
      </c>
      <c r="Y138" s="49">
        <f t="shared" si="27"/>
        <v>0.2243346008</v>
      </c>
      <c r="Z138" s="32" t="str">
        <f t="shared" si="28"/>
        <v>Milton</v>
      </c>
      <c r="AA138" s="50"/>
    </row>
    <row r="139">
      <c r="A139" s="110" t="s">
        <v>75</v>
      </c>
      <c r="B139" s="46" t="s">
        <v>202</v>
      </c>
      <c r="C139" s="47"/>
      <c r="D139" s="38">
        <v>123.0</v>
      </c>
      <c r="E139" s="38">
        <v>108.0</v>
      </c>
      <c r="F139" s="38">
        <v>130.0</v>
      </c>
      <c r="G139" s="38">
        <v>11.0</v>
      </c>
      <c r="H139" s="38">
        <v>3.0</v>
      </c>
      <c r="I139" s="48">
        <f t="shared" si="17"/>
        <v>361</v>
      </c>
      <c r="J139" s="48">
        <f t="shared" si="18"/>
        <v>375</v>
      </c>
      <c r="K139" s="49">
        <f t="shared" si="19"/>
        <v>0.3407202216</v>
      </c>
      <c r="L139" s="49">
        <f t="shared" si="20"/>
        <v>0.2991689751</v>
      </c>
      <c r="M139" s="49">
        <f t="shared" si="21"/>
        <v>0.3601108033</v>
      </c>
      <c r="N139" s="32" t="str">
        <f t="shared" si="22"/>
        <v>Adhemar</v>
      </c>
      <c r="O139" s="50"/>
      <c r="P139" s="38">
        <v>109.0</v>
      </c>
      <c r="Q139" s="38">
        <v>91.0</v>
      </c>
      <c r="R139" s="38">
        <v>100.0</v>
      </c>
      <c r="S139" s="38">
        <v>72.0</v>
      </c>
      <c r="T139" s="38">
        <v>3.0</v>
      </c>
      <c r="U139" s="48">
        <f t="shared" si="23"/>
        <v>300</v>
      </c>
      <c r="V139" s="48">
        <f t="shared" si="24"/>
        <v>375</v>
      </c>
      <c r="W139" s="49">
        <f t="shared" si="25"/>
        <v>0.3633333333</v>
      </c>
      <c r="X139" s="49">
        <f t="shared" si="26"/>
        <v>0.3033333333</v>
      </c>
      <c r="Y139" s="49">
        <f t="shared" si="27"/>
        <v>0.3333333333</v>
      </c>
      <c r="Z139" s="32" t="str">
        <f t="shared" si="28"/>
        <v>Jango</v>
      </c>
      <c r="AA139" s="50"/>
    </row>
    <row r="140">
      <c r="A140" s="110" t="s">
        <v>75</v>
      </c>
      <c r="B140" s="46" t="s">
        <v>104</v>
      </c>
      <c r="C140" s="47"/>
      <c r="D140" s="38">
        <v>163.0</v>
      </c>
      <c r="E140" s="38">
        <v>123.0</v>
      </c>
      <c r="F140" s="38">
        <v>63.0</v>
      </c>
      <c r="G140" s="38">
        <v>3.0</v>
      </c>
      <c r="H140" s="38">
        <v>13.0</v>
      </c>
      <c r="I140" s="48">
        <f t="shared" si="17"/>
        <v>349</v>
      </c>
      <c r="J140" s="48">
        <f t="shared" si="18"/>
        <v>365</v>
      </c>
      <c r="K140" s="49">
        <f t="shared" si="19"/>
        <v>0.4670487106</v>
      </c>
      <c r="L140" s="49">
        <f t="shared" si="20"/>
        <v>0.3524355301</v>
      </c>
      <c r="M140" s="49">
        <f t="shared" si="21"/>
        <v>0.1805157593</v>
      </c>
      <c r="N140" s="32" t="str">
        <f t="shared" si="22"/>
        <v>Jânio</v>
      </c>
      <c r="O140" s="50"/>
      <c r="P140" s="38">
        <v>94.0</v>
      </c>
      <c r="Q140" s="38">
        <v>130.0</v>
      </c>
      <c r="R140" s="38">
        <v>56.0</v>
      </c>
      <c r="S140" s="38">
        <v>57.0</v>
      </c>
      <c r="T140" s="38">
        <v>30.0</v>
      </c>
      <c r="U140" s="48">
        <f t="shared" si="23"/>
        <v>280</v>
      </c>
      <c r="V140" s="48">
        <f t="shared" si="24"/>
        <v>367</v>
      </c>
      <c r="W140" s="49">
        <f t="shared" si="25"/>
        <v>0.3357142857</v>
      </c>
      <c r="X140" s="49">
        <f t="shared" si="26"/>
        <v>0.4642857143</v>
      </c>
      <c r="Y140" s="49">
        <f t="shared" si="27"/>
        <v>0.2</v>
      </c>
      <c r="Z140" s="32" t="str">
        <f t="shared" si="28"/>
        <v>Milton</v>
      </c>
      <c r="AA140" s="50"/>
    </row>
    <row r="141">
      <c r="A141" s="110" t="s">
        <v>75</v>
      </c>
      <c r="B141" s="46" t="s">
        <v>870</v>
      </c>
      <c r="C141" s="47"/>
      <c r="D141" s="38">
        <v>138.0</v>
      </c>
      <c r="E141" s="38">
        <v>114.0</v>
      </c>
      <c r="F141" s="38">
        <v>111.0</v>
      </c>
      <c r="G141" s="38">
        <v>6.0</v>
      </c>
      <c r="H141" s="38">
        <v>9.0</v>
      </c>
      <c r="I141" s="48">
        <f t="shared" si="17"/>
        <v>363</v>
      </c>
      <c r="J141" s="48">
        <f t="shared" si="18"/>
        <v>378</v>
      </c>
      <c r="K141" s="49">
        <f t="shared" si="19"/>
        <v>0.3801652893</v>
      </c>
      <c r="L141" s="49">
        <f t="shared" si="20"/>
        <v>0.3140495868</v>
      </c>
      <c r="M141" s="49">
        <f t="shared" si="21"/>
        <v>0.305785124</v>
      </c>
      <c r="N141" s="32" t="str">
        <f t="shared" si="22"/>
        <v>Jânio</v>
      </c>
      <c r="O141" s="50"/>
      <c r="P141" s="38">
        <v>98.0</v>
      </c>
      <c r="Q141" s="38">
        <v>99.0</v>
      </c>
      <c r="R141" s="38">
        <v>92.0</v>
      </c>
      <c r="S141" s="38">
        <v>80.0</v>
      </c>
      <c r="T141" s="38">
        <v>9.0</v>
      </c>
      <c r="U141" s="48">
        <f t="shared" si="23"/>
        <v>289</v>
      </c>
      <c r="V141" s="48">
        <f t="shared" si="24"/>
        <v>378</v>
      </c>
      <c r="W141" s="49">
        <f t="shared" si="25"/>
        <v>0.339100346</v>
      </c>
      <c r="X141" s="49">
        <f t="shared" si="26"/>
        <v>0.3425605536</v>
      </c>
      <c r="Y141" s="49">
        <f t="shared" si="27"/>
        <v>0.3183391003</v>
      </c>
      <c r="Z141" s="32" t="str">
        <f t="shared" si="28"/>
        <v>Milton</v>
      </c>
      <c r="AA141" s="50"/>
    </row>
    <row r="142">
      <c r="A142" s="110" t="s">
        <v>75</v>
      </c>
      <c r="B142" s="46" t="s">
        <v>868</v>
      </c>
      <c r="C142" s="47"/>
      <c r="D142" s="38">
        <v>166.0</v>
      </c>
      <c r="E142" s="38">
        <v>102.0</v>
      </c>
      <c r="F142" s="38">
        <v>90.0</v>
      </c>
      <c r="G142" s="38">
        <v>5.0</v>
      </c>
      <c r="H142" s="38">
        <v>2.0</v>
      </c>
      <c r="I142" s="48">
        <f t="shared" si="17"/>
        <v>358</v>
      </c>
      <c r="J142" s="48">
        <f t="shared" si="18"/>
        <v>365</v>
      </c>
      <c r="K142" s="49">
        <f t="shared" si="19"/>
        <v>0.4636871508</v>
      </c>
      <c r="L142" s="49">
        <f t="shared" si="20"/>
        <v>0.2849162011</v>
      </c>
      <c r="M142" s="49">
        <f t="shared" si="21"/>
        <v>0.251396648</v>
      </c>
      <c r="N142" s="32" t="str">
        <f t="shared" si="22"/>
        <v>Jânio</v>
      </c>
      <c r="O142" s="50"/>
      <c r="P142" s="38">
        <v>83.0</v>
      </c>
      <c r="Q142" s="38">
        <v>128.0</v>
      </c>
      <c r="R142" s="38">
        <v>71.0</v>
      </c>
      <c r="S142" s="38">
        <v>81.0</v>
      </c>
      <c r="T142" s="38">
        <v>2.0</v>
      </c>
      <c r="U142" s="48">
        <f t="shared" si="23"/>
        <v>282</v>
      </c>
      <c r="V142" s="48">
        <f t="shared" si="24"/>
        <v>365</v>
      </c>
      <c r="W142" s="49">
        <f t="shared" si="25"/>
        <v>0.2943262411</v>
      </c>
      <c r="X142" s="49">
        <f t="shared" si="26"/>
        <v>0.4539007092</v>
      </c>
      <c r="Y142" s="49">
        <f t="shared" si="27"/>
        <v>0.2517730496</v>
      </c>
      <c r="Z142" s="32" t="str">
        <f t="shared" si="28"/>
        <v>Milton</v>
      </c>
      <c r="AA142" s="50"/>
    </row>
    <row r="143">
      <c r="A143" s="110" t="s">
        <v>75</v>
      </c>
      <c r="B143" s="46" t="s">
        <v>129</v>
      </c>
      <c r="C143" s="47"/>
      <c r="D143" s="38">
        <v>164.0</v>
      </c>
      <c r="E143" s="38">
        <v>118.0</v>
      </c>
      <c r="F143" s="38">
        <v>70.0</v>
      </c>
      <c r="G143" s="38">
        <v>5.0</v>
      </c>
      <c r="H143" s="38">
        <v>3.0</v>
      </c>
      <c r="I143" s="48">
        <f t="shared" si="17"/>
        <v>352</v>
      </c>
      <c r="J143" s="48">
        <f t="shared" si="18"/>
        <v>360</v>
      </c>
      <c r="K143" s="49">
        <f t="shared" si="19"/>
        <v>0.4659090909</v>
      </c>
      <c r="L143" s="49">
        <f t="shared" si="20"/>
        <v>0.3352272727</v>
      </c>
      <c r="M143" s="49">
        <f t="shared" si="21"/>
        <v>0.1988636364</v>
      </c>
      <c r="N143" s="32" t="str">
        <f t="shared" si="22"/>
        <v>Jânio</v>
      </c>
      <c r="O143" s="50"/>
      <c r="P143" s="38">
        <v>79.0</v>
      </c>
      <c r="Q143" s="38">
        <v>119.0</v>
      </c>
      <c r="R143" s="38">
        <v>81.0</v>
      </c>
      <c r="S143" s="38">
        <v>78.0</v>
      </c>
      <c r="T143" s="38">
        <v>3.0</v>
      </c>
      <c r="U143" s="48">
        <f t="shared" si="23"/>
        <v>279</v>
      </c>
      <c r="V143" s="48">
        <f t="shared" si="24"/>
        <v>360</v>
      </c>
      <c r="W143" s="49">
        <f t="shared" si="25"/>
        <v>0.2831541219</v>
      </c>
      <c r="X143" s="49">
        <f t="shared" si="26"/>
        <v>0.4265232975</v>
      </c>
      <c r="Y143" s="49">
        <f t="shared" si="27"/>
        <v>0.2903225806</v>
      </c>
      <c r="Z143" s="32" t="str">
        <f t="shared" si="28"/>
        <v>Milton</v>
      </c>
      <c r="AA143" s="50"/>
    </row>
    <row r="144">
      <c r="A144" s="110" t="s">
        <v>75</v>
      </c>
      <c r="B144" s="46" t="s">
        <v>547</v>
      </c>
      <c r="C144" s="47"/>
      <c r="D144" s="38">
        <v>162.0</v>
      </c>
      <c r="E144" s="38">
        <v>86.0</v>
      </c>
      <c r="F144" s="38">
        <v>87.0</v>
      </c>
      <c r="G144" s="38">
        <v>6.0</v>
      </c>
      <c r="H144" s="38">
        <v>4.0</v>
      </c>
      <c r="I144" s="48">
        <f t="shared" si="17"/>
        <v>335</v>
      </c>
      <c r="J144" s="48">
        <f t="shared" si="18"/>
        <v>345</v>
      </c>
      <c r="K144" s="49">
        <f t="shared" si="19"/>
        <v>0.4835820896</v>
      </c>
      <c r="L144" s="49">
        <f t="shared" si="20"/>
        <v>0.2567164179</v>
      </c>
      <c r="M144" s="49">
        <f t="shared" si="21"/>
        <v>0.2597014925</v>
      </c>
      <c r="N144" s="32" t="str">
        <f t="shared" si="22"/>
        <v>Jânio</v>
      </c>
      <c r="O144" s="50"/>
      <c r="P144" s="38">
        <v>72.0</v>
      </c>
      <c r="Q144" s="38">
        <v>125.0</v>
      </c>
      <c r="R144" s="38">
        <v>67.0</v>
      </c>
      <c r="S144" s="38">
        <v>77.0</v>
      </c>
      <c r="T144" s="38">
        <v>4.0</v>
      </c>
      <c r="U144" s="48">
        <f t="shared" si="23"/>
        <v>264</v>
      </c>
      <c r="V144" s="48">
        <f t="shared" si="24"/>
        <v>345</v>
      </c>
      <c r="W144" s="49">
        <f t="shared" si="25"/>
        <v>0.2727272727</v>
      </c>
      <c r="X144" s="49">
        <f t="shared" si="26"/>
        <v>0.4734848485</v>
      </c>
      <c r="Y144" s="49">
        <f t="shared" si="27"/>
        <v>0.2537878788</v>
      </c>
      <c r="Z144" s="32" t="str">
        <f t="shared" si="28"/>
        <v>Milton</v>
      </c>
      <c r="AA144" s="50"/>
    </row>
    <row r="145">
      <c r="A145" s="110" t="s">
        <v>75</v>
      </c>
      <c r="B145" s="46" t="s">
        <v>314</v>
      </c>
      <c r="C145" s="47"/>
      <c r="D145" s="38">
        <v>153.0</v>
      </c>
      <c r="E145" s="38">
        <v>86.0</v>
      </c>
      <c r="F145" s="38">
        <v>93.0</v>
      </c>
      <c r="G145" s="38">
        <v>6.0</v>
      </c>
      <c r="H145" s="38">
        <v>5.0</v>
      </c>
      <c r="I145" s="48">
        <f t="shared" si="17"/>
        <v>332</v>
      </c>
      <c r="J145" s="48">
        <f t="shared" si="18"/>
        <v>343</v>
      </c>
      <c r="K145" s="49">
        <f t="shared" si="19"/>
        <v>0.4608433735</v>
      </c>
      <c r="L145" s="49">
        <f t="shared" si="20"/>
        <v>0.2590361446</v>
      </c>
      <c r="M145" s="49">
        <f t="shared" si="21"/>
        <v>0.2801204819</v>
      </c>
      <c r="N145" s="32" t="str">
        <f t="shared" si="22"/>
        <v>Jânio</v>
      </c>
      <c r="O145" s="50"/>
      <c r="P145" s="38">
        <v>66.0</v>
      </c>
      <c r="Q145" s="38">
        <v>102.0</v>
      </c>
      <c r="R145" s="38">
        <v>101.0</v>
      </c>
      <c r="S145" s="38">
        <v>69.0</v>
      </c>
      <c r="T145" s="38">
        <v>5.0</v>
      </c>
      <c r="U145" s="48">
        <f t="shared" si="23"/>
        <v>269</v>
      </c>
      <c r="V145" s="48">
        <f t="shared" si="24"/>
        <v>343</v>
      </c>
      <c r="W145" s="49">
        <f t="shared" si="25"/>
        <v>0.2453531599</v>
      </c>
      <c r="X145" s="49">
        <f t="shared" si="26"/>
        <v>0.3791821561</v>
      </c>
      <c r="Y145" s="49">
        <f t="shared" si="27"/>
        <v>0.375464684</v>
      </c>
      <c r="Z145" s="32" t="str">
        <f t="shared" si="28"/>
        <v>Milton</v>
      </c>
      <c r="AA145" s="50"/>
    </row>
    <row r="146">
      <c r="A146" s="110" t="s">
        <v>75</v>
      </c>
      <c r="B146" s="46" t="s">
        <v>117</v>
      </c>
      <c r="C146" s="47"/>
      <c r="D146" s="38">
        <v>170.0</v>
      </c>
      <c r="E146" s="38">
        <v>112.0</v>
      </c>
      <c r="F146" s="38">
        <v>69.0</v>
      </c>
      <c r="G146" s="38">
        <v>3.0</v>
      </c>
      <c r="H146" s="38">
        <v>5.0</v>
      </c>
      <c r="I146" s="48">
        <f t="shared" si="17"/>
        <v>351</v>
      </c>
      <c r="J146" s="48">
        <f t="shared" si="18"/>
        <v>359</v>
      </c>
      <c r="K146" s="49">
        <f t="shared" si="19"/>
        <v>0.4843304843</v>
      </c>
      <c r="L146" s="49">
        <f t="shared" si="20"/>
        <v>0.3190883191</v>
      </c>
      <c r="M146" s="49">
        <f t="shared" si="21"/>
        <v>0.1965811966</v>
      </c>
      <c r="N146" s="32" t="str">
        <f t="shared" si="22"/>
        <v>Jânio</v>
      </c>
      <c r="O146" s="50"/>
      <c r="P146" s="38">
        <v>86.0</v>
      </c>
      <c r="Q146" s="38">
        <v>116.0</v>
      </c>
      <c r="R146" s="38">
        <v>67.0</v>
      </c>
      <c r="S146" s="38">
        <v>86.0</v>
      </c>
      <c r="T146" s="38">
        <v>4.0</v>
      </c>
      <c r="U146" s="48">
        <f t="shared" si="23"/>
        <v>269</v>
      </c>
      <c r="V146" s="48">
        <f t="shared" si="24"/>
        <v>359</v>
      </c>
      <c r="W146" s="49">
        <f t="shared" si="25"/>
        <v>0.3197026022</v>
      </c>
      <c r="X146" s="49">
        <f t="shared" si="26"/>
        <v>0.4312267658</v>
      </c>
      <c r="Y146" s="49">
        <f t="shared" si="27"/>
        <v>0.249070632</v>
      </c>
      <c r="Z146" s="32" t="str">
        <f t="shared" si="28"/>
        <v>Milton</v>
      </c>
      <c r="AA146" s="50"/>
    </row>
    <row r="147">
      <c r="A147" s="110" t="s">
        <v>75</v>
      </c>
      <c r="B147" s="46" t="s">
        <v>211</v>
      </c>
      <c r="C147" s="47"/>
      <c r="D147" s="38">
        <v>182.0</v>
      </c>
      <c r="E147" s="38">
        <v>94.0</v>
      </c>
      <c r="F147" s="38">
        <v>64.0</v>
      </c>
      <c r="G147" s="38">
        <v>9.0</v>
      </c>
      <c r="H147" s="38">
        <v>6.0</v>
      </c>
      <c r="I147" s="48">
        <f t="shared" si="17"/>
        <v>340</v>
      </c>
      <c r="J147" s="48">
        <f t="shared" si="18"/>
        <v>355</v>
      </c>
      <c r="K147" s="49">
        <f t="shared" si="19"/>
        <v>0.5352941176</v>
      </c>
      <c r="L147" s="49">
        <f t="shared" si="20"/>
        <v>0.2764705882</v>
      </c>
      <c r="M147" s="49">
        <f t="shared" si="21"/>
        <v>0.1882352941</v>
      </c>
      <c r="N147" s="32" t="str">
        <f t="shared" si="22"/>
        <v>Jânio</v>
      </c>
      <c r="O147" s="50"/>
      <c r="P147" s="38">
        <v>79.0</v>
      </c>
      <c r="Q147" s="38">
        <v>124.0</v>
      </c>
      <c r="R147" s="38">
        <v>63.0</v>
      </c>
      <c r="S147" s="38">
        <v>82.0</v>
      </c>
      <c r="T147" s="38">
        <v>7.0</v>
      </c>
      <c r="U147" s="48">
        <f t="shared" si="23"/>
        <v>266</v>
      </c>
      <c r="V147" s="48">
        <f t="shared" si="24"/>
        <v>355</v>
      </c>
      <c r="W147" s="49">
        <f t="shared" si="25"/>
        <v>0.2969924812</v>
      </c>
      <c r="X147" s="49">
        <f t="shared" si="26"/>
        <v>0.4661654135</v>
      </c>
      <c r="Y147" s="49">
        <f t="shared" si="27"/>
        <v>0.2368421053</v>
      </c>
      <c r="Z147" s="32" t="str">
        <f t="shared" si="28"/>
        <v>Milton</v>
      </c>
      <c r="AA147" s="50"/>
    </row>
    <row r="148">
      <c r="A148" s="110" t="s">
        <v>75</v>
      </c>
      <c r="B148" s="46" t="s">
        <v>547</v>
      </c>
      <c r="C148" s="47"/>
      <c r="D148" s="38">
        <v>162.0</v>
      </c>
      <c r="E148" s="38">
        <v>86.0</v>
      </c>
      <c r="F148" s="38">
        <v>87.0</v>
      </c>
      <c r="G148" s="38">
        <v>6.0</v>
      </c>
      <c r="H148" s="38">
        <v>4.0</v>
      </c>
      <c r="I148" s="48">
        <f t="shared" si="17"/>
        <v>335</v>
      </c>
      <c r="J148" s="48">
        <f t="shared" si="18"/>
        <v>345</v>
      </c>
      <c r="K148" s="49">
        <f t="shared" si="19"/>
        <v>0.4835820896</v>
      </c>
      <c r="L148" s="49">
        <f t="shared" si="20"/>
        <v>0.2567164179</v>
      </c>
      <c r="M148" s="49">
        <f t="shared" si="21"/>
        <v>0.2597014925</v>
      </c>
      <c r="N148" s="32" t="str">
        <f t="shared" si="22"/>
        <v>Jânio</v>
      </c>
      <c r="O148" s="50"/>
      <c r="P148" s="38">
        <v>72.0</v>
      </c>
      <c r="Q148" s="38">
        <v>125.0</v>
      </c>
      <c r="R148" s="38">
        <v>67.0</v>
      </c>
      <c r="S148" s="38">
        <v>77.0</v>
      </c>
      <c r="T148" s="38">
        <v>4.0</v>
      </c>
      <c r="U148" s="48">
        <f t="shared" si="23"/>
        <v>264</v>
      </c>
      <c r="V148" s="48">
        <f t="shared" si="24"/>
        <v>345</v>
      </c>
      <c r="W148" s="49">
        <f t="shared" si="25"/>
        <v>0.2727272727</v>
      </c>
      <c r="X148" s="49">
        <f t="shared" si="26"/>
        <v>0.4734848485</v>
      </c>
      <c r="Y148" s="49">
        <f t="shared" si="27"/>
        <v>0.2537878788</v>
      </c>
      <c r="Z148" s="32" t="str">
        <f t="shared" si="28"/>
        <v>Milton</v>
      </c>
      <c r="AA148" s="50"/>
    </row>
    <row r="149">
      <c r="A149" s="110" t="s">
        <v>75</v>
      </c>
      <c r="B149" s="46" t="s">
        <v>107</v>
      </c>
      <c r="C149" s="47"/>
      <c r="D149" s="38">
        <v>146.0</v>
      </c>
      <c r="E149" s="38">
        <v>98.0</v>
      </c>
      <c r="F149" s="38">
        <v>103.0</v>
      </c>
      <c r="G149" s="38">
        <v>12.0</v>
      </c>
      <c r="H149" s="38">
        <v>3.0</v>
      </c>
      <c r="I149" s="48">
        <f t="shared" si="17"/>
        <v>347</v>
      </c>
      <c r="J149" s="48">
        <f t="shared" si="18"/>
        <v>362</v>
      </c>
      <c r="K149" s="49">
        <f t="shared" si="19"/>
        <v>0.4207492795</v>
      </c>
      <c r="L149" s="49">
        <f t="shared" si="20"/>
        <v>0.2824207493</v>
      </c>
      <c r="M149" s="49">
        <f t="shared" si="21"/>
        <v>0.2968299712</v>
      </c>
      <c r="N149" s="32" t="str">
        <f t="shared" si="22"/>
        <v>Jânio</v>
      </c>
      <c r="O149" s="50"/>
      <c r="P149" s="38">
        <v>83.0</v>
      </c>
      <c r="Q149" s="38">
        <v>106.0</v>
      </c>
      <c r="R149" s="38">
        <v>91.0</v>
      </c>
      <c r="S149" s="38">
        <v>79.0</v>
      </c>
      <c r="T149" s="38">
        <v>3.0</v>
      </c>
      <c r="U149" s="48">
        <f t="shared" si="23"/>
        <v>280</v>
      </c>
      <c r="V149" s="48">
        <f t="shared" si="24"/>
        <v>362</v>
      </c>
      <c r="W149" s="49">
        <f t="shared" si="25"/>
        <v>0.2964285714</v>
      </c>
      <c r="X149" s="49">
        <f t="shared" si="26"/>
        <v>0.3785714286</v>
      </c>
      <c r="Y149" s="49">
        <f t="shared" si="27"/>
        <v>0.325</v>
      </c>
      <c r="Z149" s="32" t="str">
        <f t="shared" si="28"/>
        <v>Milton</v>
      </c>
      <c r="AA149" s="50"/>
    </row>
    <row r="150">
      <c r="A150" s="110" t="s">
        <v>75</v>
      </c>
      <c r="B150" s="46" t="s">
        <v>2443</v>
      </c>
      <c r="C150" s="47"/>
      <c r="D150" s="38">
        <v>189.0</v>
      </c>
      <c r="E150" s="38">
        <v>99.0</v>
      </c>
      <c r="F150" s="38">
        <v>47.0</v>
      </c>
      <c r="G150" s="38">
        <v>50.0</v>
      </c>
      <c r="H150" s="38">
        <v>3.0</v>
      </c>
      <c r="I150" s="48">
        <f t="shared" si="17"/>
        <v>335</v>
      </c>
      <c r="J150" s="48">
        <f t="shared" si="18"/>
        <v>388</v>
      </c>
      <c r="K150" s="49">
        <f t="shared" si="19"/>
        <v>0.5641791045</v>
      </c>
      <c r="L150" s="49">
        <f t="shared" si="20"/>
        <v>0.2955223881</v>
      </c>
      <c r="M150" s="49">
        <f t="shared" si="21"/>
        <v>0.1402985075</v>
      </c>
      <c r="N150" s="32" t="str">
        <f t="shared" si="22"/>
        <v>Jânio</v>
      </c>
      <c r="O150" s="50"/>
      <c r="P150" s="38">
        <v>69.0</v>
      </c>
      <c r="Q150" s="38">
        <v>146.0</v>
      </c>
      <c r="R150" s="38">
        <v>61.0</v>
      </c>
      <c r="S150" s="38">
        <v>64.0</v>
      </c>
      <c r="T150" s="38">
        <v>3.0</v>
      </c>
      <c r="U150" s="48">
        <f t="shared" si="23"/>
        <v>276</v>
      </c>
      <c r="V150" s="48">
        <f t="shared" si="24"/>
        <v>343</v>
      </c>
      <c r="W150" s="49">
        <f t="shared" si="25"/>
        <v>0.25</v>
      </c>
      <c r="X150" s="49">
        <f t="shared" si="26"/>
        <v>0.5289855072</v>
      </c>
      <c r="Y150" s="49">
        <f t="shared" si="27"/>
        <v>0.2210144928</v>
      </c>
      <c r="Z150" s="32" t="str">
        <f t="shared" si="28"/>
        <v>Milton</v>
      </c>
      <c r="AA150" s="50"/>
    </row>
    <row r="151">
      <c r="A151" s="110" t="s">
        <v>75</v>
      </c>
      <c r="B151" s="46" t="s">
        <v>2900</v>
      </c>
      <c r="C151" s="47"/>
      <c r="D151" s="38">
        <v>204.0</v>
      </c>
      <c r="E151" s="38">
        <v>118.0</v>
      </c>
      <c r="F151" s="38">
        <v>41.0</v>
      </c>
      <c r="G151" s="38">
        <v>6.0</v>
      </c>
      <c r="H151" s="38">
        <v>5.0</v>
      </c>
      <c r="I151" s="48">
        <f t="shared" si="17"/>
        <v>363</v>
      </c>
      <c r="J151" s="48">
        <f t="shared" si="18"/>
        <v>374</v>
      </c>
      <c r="K151" s="49">
        <f t="shared" si="19"/>
        <v>0.5619834711</v>
      </c>
      <c r="L151" s="49">
        <f t="shared" si="20"/>
        <v>0.3250688705</v>
      </c>
      <c r="M151" s="49">
        <f t="shared" si="21"/>
        <v>0.1129476584</v>
      </c>
      <c r="N151" s="32" t="str">
        <f t="shared" si="22"/>
        <v>Jânio</v>
      </c>
      <c r="O151" s="50"/>
      <c r="P151" s="38">
        <v>86.0</v>
      </c>
      <c r="Q151" s="38">
        <v>137.0</v>
      </c>
      <c r="R151" s="38">
        <v>81.0</v>
      </c>
      <c r="S151" s="38">
        <v>66.0</v>
      </c>
      <c r="T151" s="38">
        <v>4.0</v>
      </c>
      <c r="U151" s="48">
        <f t="shared" si="23"/>
        <v>304</v>
      </c>
      <c r="V151" s="48">
        <f t="shared" si="24"/>
        <v>374</v>
      </c>
      <c r="W151" s="49">
        <f t="shared" si="25"/>
        <v>0.2828947368</v>
      </c>
      <c r="X151" s="49">
        <f t="shared" si="26"/>
        <v>0.4506578947</v>
      </c>
      <c r="Y151" s="49">
        <f t="shared" si="27"/>
        <v>0.2664473684</v>
      </c>
      <c r="Z151" s="32" t="str">
        <f t="shared" si="28"/>
        <v>Milton</v>
      </c>
      <c r="AA151" s="50"/>
    </row>
    <row r="152">
      <c r="A152" s="110" t="s">
        <v>75</v>
      </c>
      <c r="B152" s="46" t="s">
        <v>2873</v>
      </c>
      <c r="C152" s="47"/>
      <c r="D152" s="38">
        <v>206.0</v>
      </c>
      <c r="E152" s="38">
        <v>83.0</v>
      </c>
      <c r="F152" s="38">
        <v>63.0</v>
      </c>
      <c r="G152" s="38">
        <v>4.0</v>
      </c>
      <c r="H152" s="38">
        <v>2.0</v>
      </c>
      <c r="I152" s="48">
        <f t="shared" si="17"/>
        <v>352</v>
      </c>
      <c r="J152" s="48">
        <f t="shared" si="18"/>
        <v>358</v>
      </c>
      <c r="K152" s="49">
        <f t="shared" si="19"/>
        <v>0.5852272727</v>
      </c>
      <c r="L152" s="49">
        <f t="shared" si="20"/>
        <v>0.2357954545</v>
      </c>
      <c r="M152" s="49">
        <f t="shared" si="21"/>
        <v>0.1789772727</v>
      </c>
      <c r="N152" s="32" t="str">
        <f t="shared" si="22"/>
        <v>Jânio</v>
      </c>
      <c r="O152" s="50"/>
      <c r="P152" s="38">
        <v>71.0</v>
      </c>
      <c r="Q152" s="38">
        <v>159.0</v>
      </c>
      <c r="R152" s="38">
        <v>79.0</v>
      </c>
      <c r="S152" s="38">
        <v>48.0</v>
      </c>
      <c r="T152" s="38">
        <v>1.0</v>
      </c>
      <c r="U152" s="48">
        <f t="shared" si="23"/>
        <v>309</v>
      </c>
      <c r="V152" s="48">
        <f t="shared" si="24"/>
        <v>358</v>
      </c>
      <c r="W152" s="49">
        <f t="shared" si="25"/>
        <v>0.2297734628</v>
      </c>
      <c r="X152" s="49">
        <f t="shared" si="26"/>
        <v>0.5145631068</v>
      </c>
      <c r="Y152" s="49">
        <f t="shared" si="27"/>
        <v>0.2556634304</v>
      </c>
      <c r="Z152" s="32" t="str">
        <f t="shared" si="28"/>
        <v>Milton</v>
      </c>
      <c r="AA152" s="50"/>
    </row>
    <row r="153">
      <c r="A153" s="110" t="s">
        <v>75</v>
      </c>
      <c r="B153" s="46" t="s">
        <v>522</v>
      </c>
      <c r="C153" s="47"/>
      <c r="D153" s="38">
        <v>154.0</v>
      </c>
      <c r="E153" s="38">
        <v>90.0</v>
      </c>
      <c r="F153" s="38">
        <v>93.0</v>
      </c>
      <c r="G153" s="38">
        <v>9.0</v>
      </c>
      <c r="H153" s="38">
        <v>5.0</v>
      </c>
      <c r="I153" s="48">
        <f t="shared" si="17"/>
        <v>337</v>
      </c>
      <c r="J153" s="48">
        <f t="shared" si="18"/>
        <v>351</v>
      </c>
      <c r="K153" s="49">
        <f t="shared" si="19"/>
        <v>0.4569732938</v>
      </c>
      <c r="L153" s="49">
        <f t="shared" si="20"/>
        <v>0.2670623145</v>
      </c>
      <c r="M153" s="49">
        <f t="shared" si="21"/>
        <v>0.2759643917</v>
      </c>
      <c r="N153" s="32" t="str">
        <f t="shared" si="22"/>
        <v>Jânio</v>
      </c>
      <c r="O153" s="50"/>
      <c r="P153" s="38">
        <v>82.0</v>
      </c>
      <c r="Q153" s="38">
        <v>102.0</v>
      </c>
      <c r="R153" s="38">
        <v>78.0</v>
      </c>
      <c r="S153" s="38">
        <v>81.0</v>
      </c>
      <c r="T153" s="38">
        <v>8.0</v>
      </c>
      <c r="U153" s="48">
        <f t="shared" si="23"/>
        <v>262</v>
      </c>
      <c r="V153" s="48">
        <f t="shared" si="24"/>
        <v>351</v>
      </c>
      <c r="W153" s="49">
        <f t="shared" si="25"/>
        <v>0.3129770992</v>
      </c>
      <c r="X153" s="49">
        <f t="shared" si="26"/>
        <v>0.3893129771</v>
      </c>
      <c r="Y153" s="49">
        <f t="shared" si="27"/>
        <v>0.2977099237</v>
      </c>
      <c r="Z153" s="32" t="str">
        <f t="shared" si="28"/>
        <v>Milton</v>
      </c>
      <c r="AA153" s="50"/>
    </row>
    <row r="154">
      <c r="A154" s="110" t="s">
        <v>75</v>
      </c>
      <c r="B154" s="46" t="s">
        <v>75</v>
      </c>
      <c r="C154" s="47"/>
      <c r="D154" s="38">
        <v>161.0</v>
      </c>
      <c r="E154" s="38">
        <v>114.0</v>
      </c>
      <c r="F154" s="38">
        <v>82.0</v>
      </c>
      <c r="G154" s="38">
        <v>10.0</v>
      </c>
      <c r="H154" s="38">
        <v>6.0</v>
      </c>
      <c r="I154" s="48">
        <f t="shared" si="17"/>
        <v>357</v>
      </c>
      <c r="J154" s="48">
        <f t="shared" si="18"/>
        <v>373</v>
      </c>
      <c r="K154" s="49">
        <f t="shared" si="19"/>
        <v>0.4509803922</v>
      </c>
      <c r="L154" s="49">
        <f t="shared" si="20"/>
        <v>0.3193277311</v>
      </c>
      <c r="M154" s="49">
        <f t="shared" si="21"/>
        <v>0.2296918768</v>
      </c>
      <c r="N154" s="32" t="str">
        <f t="shared" si="22"/>
        <v>Jânio</v>
      </c>
      <c r="O154" s="50"/>
      <c r="P154" s="38">
        <v>51.0</v>
      </c>
      <c r="Q154" s="38">
        <v>108.0</v>
      </c>
      <c r="R154" s="38">
        <v>80.0</v>
      </c>
      <c r="S154" s="38">
        <v>84.0</v>
      </c>
      <c r="T154" s="38">
        <v>10.0</v>
      </c>
      <c r="U154" s="48">
        <f t="shared" si="23"/>
        <v>239</v>
      </c>
      <c r="V154" s="48">
        <f t="shared" si="24"/>
        <v>333</v>
      </c>
      <c r="W154" s="49">
        <f t="shared" si="25"/>
        <v>0.2133891213</v>
      </c>
      <c r="X154" s="49">
        <f t="shared" si="26"/>
        <v>0.4518828452</v>
      </c>
      <c r="Y154" s="49">
        <f t="shared" si="27"/>
        <v>0.3347280335</v>
      </c>
      <c r="Z154" s="32" t="str">
        <f t="shared" si="28"/>
        <v>Milton</v>
      </c>
      <c r="AA154" s="50"/>
    </row>
    <row r="155">
      <c r="A155" s="110" t="s">
        <v>75</v>
      </c>
      <c r="B155" s="46" t="s">
        <v>321</v>
      </c>
      <c r="C155" s="47"/>
      <c r="D155" s="38">
        <v>128.0</v>
      </c>
      <c r="E155" s="38">
        <v>123.0</v>
      </c>
      <c r="F155" s="38">
        <v>93.0</v>
      </c>
      <c r="G155" s="38">
        <v>9.0</v>
      </c>
      <c r="H155" s="38">
        <v>6.0</v>
      </c>
      <c r="I155" s="48">
        <f t="shared" si="17"/>
        <v>344</v>
      </c>
      <c r="J155" s="48">
        <f t="shared" si="18"/>
        <v>359</v>
      </c>
      <c r="K155" s="49">
        <f t="shared" si="19"/>
        <v>0.3720930233</v>
      </c>
      <c r="L155" s="49">
        <f t="shared" si="20"/>
        <v>0.3575581395</v>
      </c>
      <c r="M155" s="49">
        <f t="shared" si="21"/>
        <v>0.2703488372</v>
      </c>
      <c r="N155" s="32" t="str">
        <f t="shared" si="22"/>
        <v>Jânio</v>
      </c>
      <c r="O155" s="50"/>
      <c r="P155" s="38">
        <v>111.0</v>
      </c>
      <c r="Q155" s="38">
        <v>89.0</v>
      </c>
      <c r="R155" s="38">
        <v>70.0</v>
      </c>
      <c r="S155" s="38">
        <v>83.0</v>
      </c>
      <c r="T155" s="38">
        <v>6.0</v>
      </c>
      <c r="U155" s="48">
        <f t="shared" si="23"/>
        <v>270</v>
      </c>
      <c r="V155" s="48">
        <f t="shared" si="24"/>
        <v>359</v>
      </c>
      <c r="W155" s="49">
        <f t="shared" si="25"/>
        <v>0.4111111111</v>
      </c>
      <c r="X155" s="49">
        <f t="shared" si="26"/>
        <v>0.3296296296</v>
      </c>
      <c r="Y155" s="49">
        <f t="shared" si="27"/>
        <v>0.2592592593</v>
      </c>
      <c r="Z155" s="32" t="str">
        <f t="shared" si="28"/>
        <v>Jango</v>
      </c>
      <c r="AA155" s="50"/>
    </row>
    <row r="156">
      <c r="A156" s="110" t="s">
        <v>75</v>
      </c>
      <c r="B156" s="46" t="s">
        <v>509</v>
      </c>
      <c r="C156" s="47"/>
      <c r="D156" s="38">
        <v>125.0</v>
      </c>
      <c r="E156" s="38">
        <v>111.0</v>
      </c>
      <c r="F156" s="38">
        <v>101.0</v>
      </c>
      <c r="G156" s="38">
        <v>10.0</v>
      </c>
      <c r="H156" s="38">
        <v>7.0</v>
      </c>
      <c r="I156" s="48">
        <f t="shared" si="17"/>
        <v>337</v>
      </c>
      <c r="J156" s="48">
        <f t="shared" si="18"/>
        <v>354</v>
      </c>
      <c r="K156" s="49">
        <f t="shared" si="19"/>
        <v>0.3709198813</v>
      </c>
      <c r="L156" s="49">
        <f t="shared" si="20"/>
        <v>0.3293768546</v>
      </c>
      <c r="M156" s="49">
        <f t="shared" si="21"/>
        <v>0.2997032641</v>
      </c>
      <c r="N156" s="32" t="str">
        <f t="shared" si="22"/>
        <v>Jânio</v>
      </c>
      <c r="O156" s="50"/>
      <c r="P156" s="38">
        <v>108.0</v>
      </c>
      <c r="Q156" s="38">
        <v>65.0</v>
      </c>
      <c r="R156" s="38">
        <v>95.0</v>
      </c>
      <c r="S156" s="38">
        <v>77.0</v>
      </c>
      <c r="T156" s="38">
        <v>9.0</v>
      </c>
      <c r="U156" s="48">
        <f t="shared" si="23"/>
        <v>268</v>
      </c>
      <c r="V156" s="48">
        <f t="shared" si="24"/>
        <v>354</v>
      </c>
      <c r="W156" s="49">
        <f t="shared" si="25"/>
        <v>0.4029850746</v>
      </c>
      <c r="X156" s="49">
        <f t="shared" si="26"/>
        <v>0.2425373134</v>
      </c>
      <c r="Y156" s="49">
        <f t="shared" si="27"/>
        <v>0.3544776119</v>
      </c>
      <c r="Z156" s="32" t="str">
        <f t="shared" si="28"/>
        <v>Jango</v>
      </c>
      <c r="AA156" s="50"/>
    </row>
    <row r="157">
      <c r="A157" s="110" t="s">
        <v>75</v>
      </c>
      <c r="B157" s="46" t="s">
        <v>854</v>
      </c>
      <c r="C157" s="47"/>
      <c r="D157" s="38">
        <v>134.0</v>
      </c>
      <c r="E157" s="38">
        <v>84.0</v>
      </c>
      <c r="F157" s="38">
        <v>88.0</v>
      </c>
      <c r="G157" s="38">
        <v>0.0</v>
      </c>
      <c r="H157" s="38">
        <v>4.0</v>
      </c>
      <c r="I157" s="48">
        <f t="shared" si="17"/>
        <v>306</v>
      </c>
      <c r="J157" s="48">
        <f t="shared" si="18"/>
        <v>310</v>
      </c>
      <c r="K157" s="49">
        <f t="shared" si="19"/>
        <v>0.4379084967</v>
      </c>
      <c r="L157" s="49">
        <f t="shared" si="20"/>
        <v>0.2745098039</v>
      </c>
      <c r="M157" s="49">
        <f t="shared" si="21"/>
        <v>0.2875816993</v>
      </c>
      <c r="N157" s="32" t="str">
        <f t="shared" si="22"/>
        <v>Jânio</v>
      </c>
      <c r="O157" s="50"/>
      <c r="P157" s="38">
        <v>83.0</v>
      </c>
      <c r="Q157" s="38">
        <v>99.0</v>
      </c>
      <c r="R157" s="38">
        <v>74.0</v>
      </c>
      <c r="S157" s="38">
        <v>58.0</v>
      </c>
      <c r="T157" s="38">
        <v>4.0</v>
      </c>
      <c r="U157" s="48">
        <f t="shared" si="23"/>
        <v>256</v>
      </c>
      <c r="V157" s="48">
        <f t="shared" si="24"/>
        <v>318</v>
      </c>
      <c r="W157" s="49">
        <f t="shared" si="25"/>
        <v>0.32421875</v>
      </c>
      <c r="X157" s="49">
        <f t="shared" si="26"/>
        <v>0.38671875</v>
      </c>
      <c r="Y157" s="49">
        <f t="shared" si="27"/>
        <v>0.2890625</v>
      </c>
      <c r="Z157" s="32" t="str">
        <f t="shared" si="28"/>
        <v>Milton</v>
      </c>
      <c r="AA157" s="50"/>
    </row>
    <row r="158">
      <c r="A158" s="110" t="s">
        <v>79</v>
      </c>
      <c r="B158" s="46" t="s">
        <v>111</v>
      </c>
      <c r="C158" s="47"/>
      <c r="D158" s="38">
        <v>215.0</v>
      </c>
      <c r="E158" s="38">
        <v>97.0</v>
      </c>
      <c r="F158" s="38">
        <v>38.0</v>
      </c>
      <c r="G158" s="38">
        <v>5.0</v>
      </c>
      <c r="H158" s="38">
        <v>2.0</v>
      </c>
      <c r="I158" s="48">
        <f t="shared" si="17"/>
        <v>350</v>
      </c>
      <c r="J158" s="48">
        <f t="shared" si="18"/>
        <v>357</v>
      </c>
      <c r="K158" s="49">
        <f t="shared" si="19"/>
        <v>0.6142857143</v>
      </c>
      <c r="L158" s="49">
        <f t="shared" si="20"/>
        <v>0.2771428571</v>
      </c>
      <c r="M158" s="49">
        <f t="shared" si="21"/>
        <v>0.1085714286</v>
      </c>
      <c r="N158" s="32" t="str">
        <f t="shared" si="22"/>
        <v>Jânio</v>
      </c>
      <c r="O158" s="50"/>
      <c r="P158" s="38">
        <v>70.0</v>
      </c>
      <c r="Q158" s="38">
        <v>160.0</v>
      </c>
      <c r="R158" s="38">
        <v>62.0</v>
      </c>
      <c r="S158" s="38">
        <v>63.0</v>
      </c>
      <c r="T158" s="38">
        <v>2.0</v>
      </c>
      <c r="U158" s="48">
        <f t="shared" si="23"/>
        <v>292</v>
      </c>
      <c r="V158" s="48">
        <f t="shared" si="24"/>
        <v>357</v>
      </c>
      <c r="W158" s="49">
        <f t="shared" si="25"/>
        <v>0.2397260274</v>
      </c>
      <c r="X158" s="49">
        <f t="shared" si="26"/>
        <v>0.5479452055</v>
      </c>
      <c r="Y158" s="49">
        <f t="shared" si="27"/>
        <v>0.2123287671</v>
      </c>
      <c r="Z158" s="32" t="str">
        <f t="shared" si="28"/>
        <v>Milton</v>
      </c>
      <c r="AA158" s="50"/>
    </row>
    <row r="159">
      <c r="A159" s="110" t="s">
        <v>79</v>
      </c>
      <c r="B159" s="46" t="s">
        <v>544</v>
      </c>
      <c r="C159" s="47"/>
      <c r="D159" s="38">
        <v>240.0</v>
      </c>
      <c r="E159" s="38">
        <v>87.0</v>
      </c>
      <c r="F159" s="38">
        <v>28.0</v>
      </c>
      <c r="G159" s="38">
        <v>11.0</v>
      </c>
      <c r="H159" s="38">
        <v>0.0</v>
      </c>
      <c r="I159" s="48">
        <f t="shared" si="17"/>
        <v>355</v>
      </c>
      <c r="J159" s="48">
        <f t="shared" si="18"/>
        <v>366</v>
      </c>
      <c r="K159" s="49">
        <f t="shared" si="19"/>
        <v>0.676056338</v>
      </c>
      <c r="L159" s="49">
        <f t="shared" si="20"/>
        <v>0.2450704225</v>
      </c>
      <c r="M159" s="49">
        <f t="shared" si="21"/>
        <v>0.07887323944</v>
      </c>
      <c r="N159" s="32" t="str">
        <f t="shared" si="22"/>
        <v>Jânio</v>
      </c>
      <c r="O159" s="50"/>
      <c r="P159" s="38">
        <v>61.0</v>
      </c>
      <c r="Q159" s="38">
        <v>193.0</v>
      </c>
      <c r="R159" s="38">
        <v>51.0</v>
      </c>
      <c r="S159" s="38">
        <v>54.0</v>
      </c>
      <c r="T159" s="38">
        <v>0.0</v>
      </c>
      <c r="U159" s="48">
        <f t="shared" si="23"/>
        <v>305</v>
      </c>
      <c r="V159" s="48">
        <f t="shared" si="24"/>
        <v>359</v>
      </c>
      <c r="W159" s="49">
        <f t="shared" si="25"/>
        <v>0.2</v>
      </c>
      <c r="X159" s="49">
        <f t="shared" si="26"/>
        <v>0.6327868852</v>
      </c>
      <c r="Y159" s="49">
        <f t="shared" si="27"/>
        <v>0.1672131148</v>
      </c>
      <c r="Z159" s="32" t="str">
        <f t="shared" si="28"/>
        <v>Milton</v>
      </c>
      <c r="AA159" s="50"/>
    </row>
    <row r="160">
      <c r="A160" s="110" t="s">
        <v>79</v>
      </c>
      <c r="B160" s="46" t="s">
        <v>888</v>
      </c>
      <c r="C160" s="47"/>
      <c r="D160" s="38">
        <v>205.0</v>
      </c>
      <c r="E160" s="38">
        <v>95.0</v>
      </c>
      <c r="F160" s="38">
        <v>36.0</v>
      </c>
      <c r="G160" s="38">
        <v>2.0</v>
      </c>
      <c r="H160" s="38">
        <v>2.0</v>
      </c>
      <c r="I160" s="48">
        <f t="shared" si="17"/>
        <v>336</v>
      </c>
      <c r="J160" s="48">
        <f t="shared" si="18"/>
        <v>340</v>
      </c>
      <c r="K160" s="49">
        <f t="shared" si="19"/>
        <v>0.6101190476</v>
      </c>
      <c r="L160" s="49">
        <f t="shared" si="20"/>
        <v>0.2827380952</v>
      </c>
      <c r="M160" s="49">
        <f t="shared" si="21"/>
        <v>0.1071428571</v>
      </c>
      <c r="N160" s="32" t="str">
        <f t="shared" si="22"/>
        <v>Jânio</v>
      </c>
      <c r="O160" s="50"/>
      <c r="P160" s="38">
        <v>59.0</v>
      </c>
      <c r="Q160" s="38">
        <v>155.0</v>
      </c>
      <c r="R160" s="38">
        <v>54.0</v>
      </c>
      <c r="S160" s="38">
        <v>72.0</v>
      </c>
      <c r="T160" s="38">
        <v>0.0</v>
      </c>
      <c r="U160" s="48">
        <f t="shared" si="23"/>
        <v>268</v>
      </c>
      <c r="V160" s="48">
        <f t="shared" si="24"/>
        <v>340</v>
      </c>
      <c r="W160" s="49">
        <f t="shared" si="25"/>
        <v>0.2201492537</v>
      </c>
      <c r="X160" s="49">
        <f t="shared" si="26"/>
        <v>0.578358209</v>
      </c>
      <c r="Y160" s="49">
        <f t="shared" si="27"/>
        <v>0.2014925373</v>
      </c>
      <c r="Z160" s="32" t="str">
        <f t="shared" si="28"/>
        <v>Milton</v>
      </c>
      <c r="AA160" s="50"/>
    </row>
    <row r="161">
      <c r="A161" s="110" t="s">
        <v>79</v>
      </c>
      <c r="B161" s="46" t="s">
        <v>2900</v>
      </c>
      <c r="C161" s="47"/>
      <c r="D161" s="38">
        <v>95.0</v>
      </c>
      <c r="E161" s="38">
        <v>63.0</v>
      </c>
      <c r="F161" s="38">
        <v>38.0</v>
      </c>
      <c r="G161" s="38">
        <v>4.0</v>
      </c>
      <c r="H161" s="38">
        <v>6.0</v>
      </c>
      <c r="I161" s="48">
        <f t="shared" si="17"/>
        <v>196</v>
      </c>
      <c r="J161" s="48">
        <f t="shared" si="18"/>
        <v>206</v>
      </c>
      <c r="K161" s="49">
        <f t="shared" si="19"/>
        <v>0.4846938776</v>
      </c>
      <c r="L161" s="49">
        <f t="shared" si="20"/>
        <v>0.3214285714</v>
      </c>
      <c r="M161" s="49">
        <f t="shared" si="21"/>
        <v>0.193877551</v>
      </c>
      <c r="N161" s="32" t="str">
        <f t="shared" si="22"/>
        <v>Jânio</v>
      </c>
      <c r="O161" s="50"/>
      <c r="P161" s="38">
        <v>65.0</v>
      </c>
      <c r="Q161" s="38">
        <v>48.0</v>
      </c>
      <c r="R161" s="38">
        <v>44.0</v>
      </c>
      <c r="S161" s="38">
        <v>42.0</v>
      </c>
      <c r="T161" s="38">
        <v>7.0</v>
      </c>
      <c r="U161" s="48">
        <f t="shared" si="23"/>
        <v>157</v>
      </c>
      <c r="V161" s="48">
        <f t="shared" si="24"/>
        <v>206</v>
      </c>
      <c r="W161" s="49">
        <f t="shared" si="25"/>
        <v>0.4140127389</v>
      </c>
      <c r="X161" s="49">
        <f t="shared" si="26"/>
        <v>0.3057324841</v>
      </c>
      <c r="Y161" s="49">
        <f t="shared" si="27"/>
        <v>0.2802547771</v>
      </c>
      <c r="Z161" s="32" t="str">
        <f t="shared" si="28"/>
        <v>Jango</v>
      </c>
      <c r="AA161" s="50"/>
    </row>
    <row r="162">
      <c r="A162" s="110" t="s">
        <v>79</v>
      </c>
      <c r="B162" s="46" t="s">
        <v>856</v>
      </c>
      <c r="C162" s="47"/>
      <c r="D162" s="38">
        <v>268.0</v>
      </c>
      <c r="E162" s="38">
        <v>74.0</v>
      </c>
      <c r="F162" s="38">
        <v>27.0</v>
      </c>
      <c r="G162" s="38">
        <v>3.0</v>
      </c>
      <c r="H162" s="38">
        <v>4.0</v>
      </c>
      <c r="I162" s="48">
        <f t="shared" si="17"/>
        <v>369</v>
      </c>
      <c r="J162" s="48">
        <f t="shared" si="18"/>
        <v>376</v>
      </c>
      <c r="K162" s="49">
        <f t="shared" si="19"/>
        <v>0.7262872629</v>
      </c>
      <c r="L162" s="49">
        <f t="shared" si="20"/>
        <v>0.2005420054</v>
      </c>
      <c r="M162" s="49">
        <f t="shared" si="21"/>
        <v>0.07317073171</v>
      </c>
      <c r="N162" s="32" t="str">
        <f t="shared" si="22"/>
        <v>Jânio</v>
      </c>
      <c r="O162" s="50"/>
      <c r="P162" s="38">
        <v>48.0</v>
      </c>
      <c r="Q162" s="38">
        <v>212.0</v>
      </c>
      <c r="R162" s="38">
        <v>59.0</v>
      </c>
      <c r="S162" s="38">
        <v>54.0</v>
      </c>
      <c r="T162" s="38">
        <v>3.0</v>
      </c>
      <c r="U162" s="48">
        <f t="shared" si="23"/>
        <v>319</v>
      </c>
      <c r="V162" s="48">
        <f t="shared" si="24"/>
        <v>376</v>
      </c>
      <c r="W162" s="49">
        <f t="shared" si="25"/>
        <v>0.1504702194</v>
      </c>
      <c r="X162" s="49">
        <f t="shared" si="26"/>
        <v>0.6645768025</v>
      </c>
      <c r="Y162" s="49">
        <f t="shared" si="27"/>
        <v>0.1849529781</v>
      </c>
      <c r="Z162" s="32" t="str">
        <f t="shared" si="28"/>
        <v>Milton</v>
      </c>
      <c r="AA162" s="50"/>
    </row>
    <row r="163">
      <c r="A163" s="110" t="s">
        <v>79</v>
      </c>
      <c r="B163" s="46" t="s">
        <v>2909</v>
      </c>
      <c r="C163" s="47"/>
      <c r="D163" s="38">
        <v>132.0</v>
      </c>
      <c r="E163" s="38">
        <v>60.0</v>
      </c>
      <c r="F163" s="38">
        <v>33.0</v>
      </c>
      <c r="G163" s="38">
        <v>8.0</v>
      </c>
      <c r="H163" s="38">
        <v>1.0</v>
      </c>
      <c r="I163" s="48">
        <f t="shared" si="17"/>
        <v>225</v>
      </c>
      <c r="J163" s="48">
        <f t="shared" si="18"/>
        <v>234</v>
      </c>
      <c r="K163" s="49">
        <f t="shared" si="19"/>
        <v>0.5866666667</v>
      </c>
      <c r="L163" s="49">
        <f t="shared" si="20"/>
        <v>0.2666666667</v>
      </c>
      <c r="M163" s="49">
        <f t="shared" si="21"/>
        <v>0.1466666667</v>
      </c>
      <c r="N163" s="32" t="str">
        <f t="shared" si="22"/>
        <v>Jânio</v>
      </c>
      <c r="O163" s="50"/>
      <c r="P163" s="38">
        <v>51.0</v>
      </c>
      <c r="Q163" s="38">
        <v>101.0</v>
      </c>
      <c r="R163" s="38">
        <v>39.0</v>
      </c>
      <c r="S163" s="38">
        <v>42.0</v>
      </c>
      <c r="T163" s="38">
        <v>1.0</v>
      </c>
      <c r="U163" s="48">
        <f t="shared" si="23"/>
        <v>191</v>
      </c>
      <c r="V163" s="48">
        <f t="shared" si="24"/>
        <v>234</v>
      </c>
      <c r="W163" s="49">
        <f t="shared" si="25"/>
        <v>0.2670157068</v>
      </c>
      <c r="X163" s="49">
        <f t="shared" si="26"/>
        <v>0.5287958115</v>
      </c>
      <c r="Y163" s="49">
        <f t="shared" si="27"/>
        <v>0.2041884817</v>
      </c>
      <c r="Z163" s="32" t="str">
        <f t="shared" si="28"/>
        <v>Milton</v>
      </c>
      <c r="AA163" s="50"/>
    </row>
    <row r="164">
      <c r="A164" s="110" t="s">
        <v>79</v>
      </c>
      <c r="B164" s="46" t="s">
        <v>2370</v>
      </c>
      <c r="C164" s="47"/>
      <c r="D164" s="38">
        <v>152.0</v>
      </c>
      <c r="E164" s="38">
        <v>114.0</v>
      </c>
      <c r="F164" s="38">
        <v>66.0</v>
      </c>
      <c r="G164" s="38">
        <v>3.0</v>
      </c>
      <c r="H164" s="38">
        <v>4.0</v>
      </c>
      <c r="I164" s="48">
        <f t="shared" si="17"/>
        <v>332</v>
      </c>
      <c r="J164" s="48">
        <f t="shared" si="18"/>
        <v>339</v>
      </c>
      <c r="K164" s="49">
        <f t="shared" si="19"/>
        <v>0.4578313253</v>
      </c>
      <c r="L164" s="49">
        <f t="shared" si="20"/>
        <v>0.343373494</v>
      </c>
      <c r="M164" s="49">
        <f t="shared" si="21"/>
        <v>0.1987951807</v>
      </c>
      <c r="N164" s="32" t="str">
        <f t="shared" si="22"/>
        <v>Jânio</v>
      </c>
      <c r="O164" s="50"/>
      <c r="P164" s="38">
        <v>82.0</v>
      </c>
      <c r="Q164" s="38">
        <v>110.0</v>
      </c>
      <c r="R164" s="38">
        <v>76.0</v>
      </c>
      <c r="S164" s="38">
        <v>71.0</v>
      </c>
      <c r="T164" s="38">
        <v>1.0</v>
      </c>
      <c r="U164" s="48">
        <f t="shared" si="23"/>
        <v>268</v>
      </c>
      <c r="V164" s="48">
        <f t="shared" si="24"/>
        <v>340</v>
      </c>
      <c r="W164" s="49">
        <f t="shared" si="25"/>
        <v>0.3059701493</v>
      </c>
      <c r="X164" s="49">
        <f t="shared" si="26"/>
        <v>0.4104477612</v>
      </c>
      <c r="Y164" s="49">
        <f t="shared" si="27"/>
        <v>0.2835820896</v>
      </c>
      <c r="Z164" s="32" t="str">
        <f t="shared" si="28"/>
        <v>Milton</v>
      </c>
      <c r="AA164" s="50"/>
    </row>
    <row r="165">
      <c r="A165" s="110" t="s">
        <v>79</v>
      </c>
      <c r="B165" s="46" t="s">
        <v>898</v>
      </c>
      <c r="C165" s="47"/>
      <c r="D165" s="38">
        <v>171.0</v>
      </c>
      <c r="E165" s="38">
        <v>101.0</v>
      </c>
      <c r="F165" s="38">
        <v>62.0</v>
      </c>
      <c r="G165" s="38">
        <v>10.0</v>
      </c>
      <c r="H165" s="38">
        <v>0.0</v>
      </c>
      <c r="I165" s="48">
        <f t="shared" si="17"/>
        <v>334</v>
      </c>
      <c r="J165" s="48">
        <f t="shared" si="18"/>
        <v>344</v>
      </c>
      <c r="K165" s="49">
        <f t="shared" si="19"/>
        <v>0.5119760479</v>
      </c>
      <c r="L165" s="49">
        <f t="shared" si="20"/>
        <v>0.3023952096</v>
      </c>
      <c r="M165" s="49">
        <f t="shared" si="21"/>
        <v>0.1856287425</v>
      </c>
      <c r="N165" s="32" t="str">
        <f t="shared" si="22"/>
        <v>Jânio</v>
      </c>
      <c r="O165" s="50"/>
      <c r="P165" s="38">
        <v>75.0</v>
      </c>
      <c r="Q165" s="38">
        <v>113.0</v>
      </c>
      <c r="R165" s="38">
        <v>76.0</v>
      </c>
      <c r="S165" s="38">
        <v>80.0</v>
      </c>
      <c r="T165" s="38">
        <v>0.0</v>
      </c>
      <c r="U165" s="48">
        <f t="shared" si="23"/>
        <v>264</v>
      </c>
      <c r="V165" s="48">
        <f t="shared" si="24"/>
        <v>344</v>
      </c>
      <c r="W165" s="49">
        <f t="shared" si="25"/>
        <v>0.2840909091</v>
      </c>
      <c r="X165" s="49">
        <f t="shared" si="26"/>
        <v>0.428030303</v>
      </c>
      <c r="Y165" s="49">
        <f t="shared" si="27"/>
        <v>0.2878787879</v>
      </c>
      <c r="Z165" s="32" t="str">
        <f t="shared" si="28"/>
        <v>Milton</v>
      </c>
      <c r="AA165" s="50"/>
    </row>
    <row r="166">
      <c r="A166" s="110" t="s">
        <v>79</v>
      </c>
      <c r="B166" s="46" t="s">
        <v>537</v>
      </c>
      <c r="C166" s="47"/>
      <c r="D166" s="38">
        <v>211.0</v>
      </c>
      <c r="E166" s="38">
        <v>90.0</v>
      </c>
      <c r="F166" s="38">
        <v>44.0</v>
      </c>
      <c r="G166" s="38">
        <v>4.0</v>
      </c>
      <c r="H166" s="38">
        <v>4.0</v>
      </c>
      <c r="I166" s="48">
        <f t="shared" si="17"/>
        <v>345</v>
      </c>
      <c r="J166" s="48">
        <f t="shared" si="18"/>
        <v>353</v>
      </c>
      <c r="K166" s="49">
        <f t="shared" si="19"/>
        <v>0.6115942029</v>
      </c>
      <c r="L166" s="49">
        <f t="shared" si="20"/>
        <v>0.2608695652</v>
      </c>
      <c r="M166" s="49">
        <f t="shared" si="21"/>
        <v>0.1275362319</v>
      </c>
      <c r="N166" s="32" t="str">
        <f t="shared" si="22"/>
        <v>Jânio</v>
      </c>
      <c r="O166" s="50"/>
      <c r="P166" s="38">
        <v>75.0</v>
      </c>
      <c r="Q166" s="38">
        <v>156.0</v>
      </c>
      <c r="R166" s="38">
        <v>61.0</v>
      </c>
      <c r="S166" s="38">
        <v>57.0</v>
      </c>
      <c r="T166" s="38">
        <v>4.0</v>
      </c>
      <c r="U166" s="48">
        <f t="shared" si="23"/>
        <v>292</v>
      </c>
      <c r="V166" s="48">
        <f t="shared" si="24"/>
        <v>353</v>
      </c>
      <c r="W166" s="49">
        <f t="shared" si="25"/>
        <v>0.2568493151</v>
      </c>
      <c r="X166" s="49">
        <f t="shared" si="26"/>
        <v>0.5342465753</v>
      </c>
      <c r="Y166" s="49">
        <f t="shared" si="27"/>
        <v>0.2089041096</v>
      </c>
      <c r="Z166" s="32" t="str">
        <f t="shared" si="28"/>
        <v>Milton</v>
      </c>
      <c r="AA166" s="50"/>
    </row>
    <row r="167">
      <c r="A167" s="110" t="s">
        <v>79</v>
      </c>
      <c r="B167" s="46" t="s">
        <v>506</v>
      </c>
      <c r="C167" s="47"/>
      <c r="D167" s="38">
        <v>241.0</v>
      </c>
      <c r="E167" s="38">
        <v>91.0</v>
      </c>
      <c r="F167" s="38">
        <v>23.0</v>
      </c>
      <c r="G167" s="38">
        <v>3.0</v>
      </c>
      <c r="H167" s="38">
        <v>1.0</v>
      </c>
      <c r="I167" s="48">
        <f t="shared" si="17"/>
        <v>355</v>
      </c>
      <c r="J167" s="48">
        <f t="shared" si="18"/>
        <v>359</v>
      </c>
      <c r="K167" s="49">
        <f t="shared" si="19"/>
        <v>0.6788732394</v>
      </c>
      <c r="L167" s="49">
        <f t="shared" si="20"/>
        <v>0.2563380282</v>
      </c>
      <c r="M167" s="49">
        <f t="shared" si="21"/>
        <v>0.06478873239</v>
      </c>
      <c r="N167" s="32" t="str">
        <f t="shared" si="22"/>
        <v>Jânio</v>
      </c>
      <c r="O167" s="50"/>
      <c r="P167" s="38">
        <v>67.0</v>
      </c>
      <c r="Q167" s="38">
        <v>184.0</v>
      </c>
      <c r="R167" s="38">
        <v>48.0</v>
      </c>
      <c r="S167" s="38">
        <v>59.0</v>
      </c>
      <c r="T167" s="38">
        <v>1.0</v>
      </c>
      <c r="U167" s="48">
        <f t="shared" si="23"/>
        <v>299</v>
      </c>
      <c r="V167" s="48">
        <f t="shared" si="24"/>
        <v>359</v>
      </c>
      <c r="W167" s="49">
        <f t="shared" si="25"/>
        <v>0.2240802676</v>
      </c>
      <c r="X167" s="49">
        <f t="shared" si="26"/>
        <v>0.6153846154</v>
      </c>
      <c r="Y167" s="49">
        <f t="shared" si="27"/>
        <v>0.1605351171</v>
      </c>
      <c r="Z167" s="32" t="str">
        <f t="shared" si="28"/>
        <v>Milton</v>
      </c>
      <c r="AA167" s="50"/>
    </row>
    <row r="168">
      <c r="A168" s="110" t="s">
        <v>79</v>
      </c>
      <c r="B168" s="46" t="s">
        <v>2482</v>
      </c>
      <c r="C168" s="47"/>
      <c r="D168" s="38">
        <v>179.0</v>
      </c>
      <c r="E168" s="38">
        <v>83.0</v>
      </c>
      <c r="F168" s="38">
        <v>76.0</v>
      </c>
      <c r="G168" s="38">
        <v>7.0</v>
      </c>
      <c r="H168" s="38">
        <v>1.0</v>
      </c>
      <c r="I168" s="48">
        <f t="shared" si="17"/>
        <v>338</v>
      </c>
      <c r="J168" s="48">
        <f t="shared" si="18"/>
        <v>346</v>
      </c>
      <c r="K168" s="49">
        <f t="shared" si="19"/>
        <v>0.5295857988</v>
      </c>
      <c r="L168" s="49">
        <f t="shared" si="20"/>
        <v>0.2455621302</v>
      </c>
      <c r="M168" s="49">
        <f t="shared" si="21"/>
        <v>0.224852071</v>
      </c>
      <c r="N168" s="32" t="str">
        <f t="shared" si="22"/>
        <v>Jânio</v>
      </c>
      <c r="O168" s="50"/>
      <c r="P168" s="38">
        <v>62.0</v>
      </c>
      <c r="Q168" s="38">
        <v>134.0</v>
      </c>
      <c r="R168" s="38">
        <v>81.0</v>
      </c>
      <c r="S168" s="38">
        <v>67.0</v>
      </c>
      <c r="T168" s="38">
        <v>2.0</v>
      </c>
      <c r="U168" s="48">
        <f t="shared" si="23"/>
        <v>277</v>
      </c>
      <c r="V168" s="48">
        <f t="shared" si="24"/>
        <v>346</v>
      </c>
      <c r="W168" s="49">
        <f t="shared" si="25"/>
        <v>0.2238267148</v>
      </c>
      <c r="X168" s="49">
        <f t="shared" si="26"/>
        <v>0.4837545126</v>
      </c>
      <c r="Y168" s="49">
        <f t="shared" si="27"/>
        <v>0.2924187726</v>
      </c>
      <c r="Z168" s="32" t="str">
        <f t="shared" si="28"/>
        <v>Milton</v>
      </c>
      <c r="AA168" s="50"/>
    </row>
    <row r="169">
      <c r="A169" s="110" t="s">
        <v>79</v>
      </c>
      <c r="B169" s="46" t="s">
        <v>2544</v>
      </c>
      <c r="C169" s="47"/>
      <c r="D169" s="38">
        <v>161.0</v>
      </c>
      <c r="E169" s="38">
        <v>77.0</v>
      </c>
      <c r="F169" s="38">
        <v>78.0</v>
      </c>
      <c r="G169" s="38">
        <v>10.0</v>
      </c>
      <c r="H169" s="38">
        <v>2.0</v>
      </c>
      <c r="I169" s="48">
        <f t="shared" si="17"/>
        <v>316</v>
      </c>
      <c r="J169" s="48">
        <f t="shared" si="18"/>
        <v>328</v>
      </c>
      <c r="K169" s="49">
        <f t="shared" si="19"/>
        <v>0.5094936709</v>
      </c>
      <c r="L169" s="49">
        <f t="shared" si="20"/>
        <v>0.2436708861</v>
      </c>
      <c r="M169" s="49">
        <f t="shared" si="21"/>
        <v>0.246835443</v>
      </c>
      <c r="N169" s="32" t="str">
        <f t="shared" si="22"/>
        <v>Jânio</v>
      </c>
      <c r="O169" s="50"/>
      <c r="P169" s="38">
        <v>67.0</v>
      </c>
      <c r="Q169" s="38">
        <v>93.0</v>
      </c>
      <c r="R169" s="38">
        <v>80.0</v>
      </c>
      <c r="S169" s="38">
        <v>87.0</v>
      </c>
      <c r="T169" s="38">
        <v>1.0</v>
      </c>
      <c r="U169" s="48">
        <f t="shared" si="23"/>
        <v>240</v>
      </c>
      <c r="V169" s="48">
        <f t="shared" si="24"/>
        <v>328</v>
      </c>
      <c r="W169" s="49">
        <f t="shared" si="25"/>
        <v>0.2791666667</v>
      </c>
      <c r="X169" s="49">
        <f t="shared" si="26"/>
        <v>0.3875</v>
      </c>
      <c r="Y169" s="49">
        <f t="shared" si="27"/>
        <v>0.3333333333</v>
      </c>
      <c r="Z169" s="32" t="str">
        <f t="shared" si="28"/>
        <v>Milton</v>
      </c>
      <c r="AA169" s="50"/>
    </row>
    <row r="170">
      <c r="A170" s="110" t="s">
        <v>79</v>
      </c>
      <c r="B170" s="46" t="s">
        <v>90</v>
      </c>
      <c r="C170" s="47"/>
      <c r="D170" s="38">
        <v>222.0</v>
      </c>
      <c r="E170" s="38">
        <v>80.0</v>
      </c>
      <c r="F170" s="38">
        <v>32.0</v>
      </c>
      <c r="G170" s="38">
        <v>3.0</v>
      </c>
      <c r="H170" s="38">
        <v>1.0</v>
      </c>
      <c r="I170" s="48">
        <f t="shared" si="17"/>
        <v>334</v>
      </c>
      <c r="J170" s="48">
        <f t="shared" si="18"/>
        <v>338</v>
      </c>
      <c r="K170" s="49">
        <f t="shared" si="19"/>
        <v>0.6646706587</v>
      </c>
      <c r="L170" s="49">
        <f t="shared" si="20"/>
        <v>0.2395209581</v>
      </c>
      <c r="M170" s="49">
        <f t="shared" si="21"/>
        <v>0.09580838323</v>
      </c>
      <c r="N170" s="32" t="str">
        <f t="shared" si="22"/>
        <v>Jânio</v>
      </c>
      <c r="O170" s="50"/>
      <c r="P170" s="38">
        <v>58.0</v>
      </c>
      <c r="Q170" s="38">
        <v>173.0</v>
      </c>
      <c r="R170" s="38">
        <v>53.0</v>
      </c>
      <c r="S170" s="38">
        <v>53.0</v>
      </c>
      <c r="T170" s="38">
        <v>1.0</v>
      </c>
      <c r="U170" s="48">
        <f t="shared" si="23"/>
        <v>284</v>
      </c>
      <c r="V170" s="48">
        <f t="shared" si="24"/>
        <v>338</v>
      </c>
      <c r="W170" s="49">
        <f t="shared" si="25"/>
        <v>0.2042253521</v>
      </c>
      <c r="X170" s="49">
        <f t="shared" si="26"/>
        <v>0.6091549296</v>
      </c>
      <c r="Y170" s="49">
        <f t="shared" si="27"/>
        <v>0.1866197183</v>
      </c>
      <c r="Z170" s="32" t="str">
        <f t="shared" si="28"/>
        <v>Milton</v>
      </c>
      <c r="AA170" s="50"/>
    </row>
    <row r="171">
      <c r="A171" s="110" t="s">
        <v>79</v>
      </c>
      <c r="B171" s="46" t="s">
        <v>2541</v>
      </c>
      <c r="C171" s="47"/>
      <c r="D171" s="38">
        <v>163.0</v>
      </c>
      <c r="E171" s="38">
        <v>86.0</v>
      </c>
      <c r="F171" s="38">
        <v>63.0</v>
      </c>
      <c r="G171" s="38">
        <v>8.0</v>
      </c>
      <c r="H171" s="38">
        <v>4.0</v>
      </c>
      <c r="I171" s="48">
        <f t="shared" si="17"/>
        <v>312</v>
      </c>
      <c r="J171" s="48">
        <f t="shared" si="18"/>
        <v>324</v>
      </c>
      <c r="K171" s="49">
        <f t="shared" si="19"/>
        <v>0.5224358974</v>
      </c>
      <c r="L171" s="49">
        <f t="shared" si="20"/>
        <v>0.2756410256</v>
      </c>
      <c r="M171" s="49">
        <f t="shared" si="21"/>
        <v>0.2019230769</v>
      </c>
      <c r="N171" s="32" t="str">
        <f t="shared" si="22"/>
        <v>Jânio</v>
      </c>
      <c r="O171" s="50"/>
      <c r="P171" s="38">
        <v>62.0</v>
      </c>
      <c r="Q171" s="38">
        <v>119.0</v>
      </c>
      <c r="R171" s="38">
        <v>84.0</v>
      </c>
      <c r="S171" s="38">
        <v>56.0</v>
      </c>
      <c r="T171" s="38">
        <v>3.0</v>
      </c>
      <c r="U171" s="48">
        <f t="shared" si="23"/>
        <v>265</v>
      </c>
      <c r="V171" s="48">
        <f t="shared" si="24"/>
        <v>324</v>
      </c>
      <c r="W171" s="49">
        <f t="shared" si="25"/>
        <v>0.2339622642</v>
      </c>
      <c r="X171" s="49">
        <f t="shared" si="26"/>
        <v>0.4490566038</v>
      </c>
      <c r="Y171" s="49">
        <f t="shared" si="27"/>
        <v>0.3169811321</v>
      </c>
      <c r="Z171" s="32" t="str">
        <f t="shared" si="28"/>
        <v>Milton</v>
      </c>
      <c r="AA171" s="50"/>
    </row>
    <row r="172">
      <c r="A172" s="110" t="s">
        <v>79</v>
      </c>
      <c r="B172" s="46" t="s">
        <v>852</v>
      </c>
      <c r="C172" s="47"/>
      <c r="D172" s="38">
        <v>198.0</v>
      </c>
      <c r="E172" s="38">
        <v>110.0</v>
      </c>
      <c r="F172" s="38">
        <v>44.0</v>
      </c>
      <c r="G172" s="38">
        <v>9.0</v>
      </c>
      <c r="H172" s="38">
        <v>0.0</v>
      </c>
      <c r="I172" s="48">
        <f t="shared" si="17"/>
        <v>352</v>
      </c>
      <c r="J172" s="48">
        <f t="shared" si="18"/>
        <v>361</v>
      </c>
      <c r="K172" s="49">
        <f t="shared" si="19"/>
        <v>0.5625</v>
      </c>
      <c r="L172" s="49">
        <f t="shared" si="20"/>
        <v>0.3125</v>
      </c>
      <c r="M172" s="49">
        <f t="shared" si="21"/>
        <v>0.125</v>
      </c>
      <c r="N172" s="32" t="str">
        <f t="shared" si="22"/>
        <v>Jânio</v>
      </c>
      <c r="O172" s="50"/>
      <c r="P172" s="38">
        <v>59.0</v>
      </c>
      <c r="Q172" s="38">
        <v>164.0</v>
      </c>
      <c r="R172" s="38">
        <v>76.0</v>
      </c>
      <c r="S172" s="38">
        <v>62.0</v>
      </c>
      <c r="T172" s="38">
        <v>0.0</v>
      </c>
      <c r="U172" s="48">
        <f t="shared" si="23"/>
        <v>299</v>
      </c>
      <c r="V172" s="48">
        <f t="shared" si="24"/>
        <v>361</v>
      </c>
      <c r="W172" s="49">
        <f t="shared" si="25"/>
        <v>0.1973244147</v>
      </c>
      <c r="X172" s="49">
        <f t="shared" si="26"/>
        <v>0.5484949833</v>
      </c>
      <c r="Y172" s="49">
        <f t="shared" si="27"/>
        <v>0.254180602</v>
      </c>
      <c r="Z172" s="32" t="str">
        <f t="shared" si="28"/>
        <v>Milton</v>
      </c>
      <c r="AA172" s="50"/>
    </row>
    <row r="173">
      <c r="A173" s="110" t="s">
        <v>79</v>
      </c>
      <c r="B173" s="46" t="s">
        <v>501</v>
      </c>
      <c r="C173" s="47"/>
      <c r="D173" s="38">
        <v>221.0</v>
      </c>
      <c r="E173" s="38">
        <v>81.0</v>
      </c>
      <c r="F173" s="38">
        <v>53.0</v>
      </c>
      <c r="G173" s="38">
        <v>6.0</v>
      </c>
      <c r="H173" s="38">
        <v>1.0</v>
      </c>
      <c r="I173" s="48">
        <f t="shared" si="17"/>
        <v>355</v>
      </c>
      <c r="J173" s="48">
        <f t="shared" si="18"/>
        <v>362</v>
      </c>
      <c r="K173" s="49">
        <f t="shared" si="19"/>
        <v>0.6225352113</v>
      </c>
      <c r="L173" s="49">
        <f t="shared" si="20"/>
        <v>0.2281690141</v>
      </c>
      <c r="M173" s="49">
        <f t="shared" si="21"/>
        <v>0.1492957746</v>
      </c>
      <c r="N173" s="32" t="str">
        <f t="shared" si="22"/>
        <v>Jânio</v>
      </c>
      <c r="O173" s="50"/>
      <c r="P173" s="38">
        <v>64.0</v>
      </c>
      <c r="Q173" s="38">
        <v>157.0</v>
      </c>
      <c r="R173" s="38">
        <v>64.0</v>
      </c>
      <c r="S173" s="38">
        <v>77.0</v>
      </c>
      <c r="T173" s="38">
        <v>0.0</v>
      </c>
      <c r="U173" s="48">
        <f t="shared" si="23"/>
        <v>285</v>
      </c>
      <c r="V173" s="48">
        <f t="shared" si="24"/>
        <v>362</v>
      </c>
      <c r="W173" s="49">
        <f t="shared" si="25"/>
        <v>0.2245614035</v>
      </c>
      <c r="X173" s="49">
        <f t="shared" si="26"/>
        <v>0.550877193</v>
      </c>
      <c r="Y173" s="49">
        <f t="shared" si="27"/>
        <v>0.2245614035</v>
      </c>
      <c r="Z173" s="32" t="str">
        <f t="shared" si="28"/>
        <v>Milton</v>
      </c>
      <c r="AA173" s="50"/>
    </row>
    <row r="174">
      <c r="A174" s="110" t="s">
        <v>79</v>
      </c>
      <c r="B174" s="46" t="s">
        <v>324</v>
      </c>
      <c r="C174" s="47"/>
      <c r="D174" s="38">
        <v>209.0</v>
      </c>
      <c r="E174" s="38">
        <v>97.0</v>
      </c>
      <c r="F174" s="38">
        <v>48.0</v>
      </c>
      <c r="G174" s="38">
        <v>2.0</v>
      </c>
      <c r="H174" s="38">
        <v>0.0</v>
      </c>
      <c r="I174" s="48">
        <f t="shared" si="17"/>
        <v>354</v>
      </c>
      <c r="J174" s="48">
        <f t="shared" si="18"/>
        <v>356</v>
      </c>
      <c r="K174" s="49">
        <f t="shared" si="19"/>
        <v>0.5903954802</v>
      </c>
      <c r="L174" s="49">
        <f t="shared" si="20"/>
        <v>0.2740112994</v>
      </c>
      <c r="M174" s="49">
        <f t="shared" si="21"/>
        <v>0.1355932203</v>
      </c>
      <c r="N174" s="32" t="str">
        <f t="shared" si="22"/>
        <v>Jânio</v>
      </c>
      <c r="O174" s="50"/>
      <c r="P174" s="38">
        <v>74.0</v>
      </c>
      <c r="Q174" s="38">
        <v>156.0</v>
      </c>
      <c r="R174" s="38">
        <v>61.0</v>
      </c>
      <c r="S174" s="38">
        <v>65.0</v>
      </c>
      <c r="T174" s="38">
        <v>0.0</v>
      </c>
      <c r="U174" s="48">
        <f t="shared" si="23"/>
        <v>291</v>
      </c>
      <c r="V174" s="48">
        <f t="shared" si="24"/>
        <v>356</v>
      </c>
      <c r="W174" s="49">
        <f t="shared" si="25"/>
        <v>0.2542955326</v>
      </c>
      <c r="X174" s="49">
        <f t="shared" si="26"/>
        <v>0.5360824742</v>
      </c>
      <c r="Y174" s="49">
        <f t="shared" si="27"/>
        <v>0.2096219931</v>
      </c>
      <c r="Z174" s="32" t="str">
        <f t="shared" si="28"/>
        <v>Milton</v>
      </c>
      <c r="AA174" s="50"/>
    </row>
    <row r="175">
      <c r="A175" s="110" t="s">
        <v>79</v>
      </c>
      <c r="B175" s="46" t="s">
        <v>516</v>
      </c>
      <c r="C175" s="47"/>
      <c r="D175" s="38">
        <v>200.0</v>
      </c>
      <c r="E175" s="38">
        <v>98.0</v>
      </c>
      <c r="F175" s="38">
        <v>45.0</v>
      </c>
      <c r="G175" s="38">
        <v>3.0</v>
      </c>
      <c r="H175" s="38">
        <v>4.0</v>
      </c>
      <c r="I175" s="48">
        <f t="shared" si="17"/>
        <v>343</v>
      </c>
      <c r="J175" s="48">
        <f t="shared" si="18"/>
        <v>350</v>
      </c>
      <c r="K175" s="49">
        <f t="shared" si="19"/>
        <v>0.583090379</v>
      </c>
      <c r="L175" s="49">
        <f t="shared" si="20"/>
        <v>0.2857142857</v>
      </c>
      <c r="M175" s="49">
        <f t="shared" si="21"/>
        <v>0.1311953353</v>
      </c>
      <c r="N175" s="32" t="str">
        <f t="shared" si="22"/>
        <v>Jânio</v>
      </c>
      <c r="O175" s="50"/>
      <c r="P175" s="38">
        <v>73.0</v>
      </c>
      <c r="Q175" s="38">
        <v>144.0</v>
      </c>
      <c r="R175" s="38">
        <v>70.0</v>
      </c>
      <c r="S175" s="38">
        <v>60.0</v>
      </c>
      <c r="T175" s="38">
        <v>3.0</v>
      </c>
      <c r="U175" s="48">
        <f t="shared" si="23"/>
        <v>287</v>
      </c>
      <c r="V175" s="48">
        <f t="shared" si="24"/>
        <v>350</v>
      </c>
      <c r="W175" s="49">
        <f t="shared" si="25"/>
        <v>0.2543554007</v>
      </c>
      <c r="X175" s="49">
        <f t="shared" si="26"/>
        <v>0.5017421603</v>
      </c>
      <c r="Y175" s="49">
        <f t="shared" si="27"/>
        <v>0.243902439</v>
      </c>
      <c r="Z175" s="32" t="str">
        <f t="shared" si="28"/>
        <v>Milton</v>
      </c>
      <c r="AA175" s="50"/>
    </row>
    <row r="176">
      <c r="A176" s="110" t="s">
        <v>79</v>
      </c>
      <c r="B176" s="46" t="s">
        <v>526</v>
      </c>
      <c r="C176" s="47"/>
      <c r="D176" s="38">
        <v>208.0</v>
      </c>
      <c r="E176" s="38">
        <v>92.0</v>
      </c>
      <c r="F176" s="38">
        <v>63.0</v>
      </c>
      <c r="G176" s="38">
        <v>2.0</v>
      </c>
      <c r="H176" s="38">
        <v>2.0</v>
      </c>
      <c r="I176" s="48">
        <f t="shared" si="17"/>
        <v>363</v>
      </c>
      <c r="J176" s="48">
        <f t="shared" si="18"/>
        <v>367</v>
      </c>
      <c r="K176" s="49">
        <f t="shared" si="19"/>
        <v>0.5730027548</v>
      </c>
      <c r="L176" s="49">
        <f t="shared" si="20"/>
        <v>0.2534435262</v>
      </c>
      <c r="M176" s="49">
        <f t="shared" si="21"/>
        <v>0.173553719</v>
      </c>
      <c r="N176" s="32" t="str">
        <f t="shared" si="22"/>
        <v>Jânio</v>
      </c>
      <c r="O176" s="50"/>
      <c r="P176" s="38">
        <v>70.0</v>
      </c>
      <c r="Q176" s="38">
        <v>146.0</v>
      </c>
      <c r="R176" s="38">
        <v>64.0</v>
      </c>
      <c r="S176" s="38">
        <v>84.0</v>
      </c>
      <c r="T176" s="38">
        <v>3.0</v>
      </c>
      <c r="U176" s="48">
        <f t="shared" si="23"/>
        <v>280</v>
      </c>
      <c r="V176" s="48">
        <f t="shared" si="24"/>
        <v>367</v>
      </c>
      <c r="W176" s="49">
        <f t="shared" si="25"/>
        <v>0.25</v>
      </c>
      <c r="X176" s="49">
        <f t="shared" si="26"/>
        <v>0.5214285714</v>
      </c>
      <c r="Y176" s="49">
        <f t="shared" si="27"/>
        <v>0.2285714286</v>
      </c>
      <c r="Z176" s="32" t="str">
        <f t="shared" si="28"/>
        <v>Milton</v>
      </c>
      <c r="AA176" s="50"/>
    </row>
    <row r="177">
      <c r="A177" s="110" t="s">
        <v>79</v>
      </c>
      <c r="B177" s="46" t="s">
        <v>2406</v>
      </c>
      <c r="C177" s="47"/>
      <c r="D177" s="38">
        <v>197.0</v>
      </c>
      <c r="E177" s="38">
        <v>111.0</v>
      </c>
      <c r="F177" s="38">
        <v>34.0</v>
      </c>
      <c r="G177" s="38">
        <v>6.0</v>
      </c>
      <c r="H177" s="38">
        <v>0.0</v>
      </c>
      <c r="I177" s="48">
        <f t="shared" si="17"/>
        <v>342</v>
      </c>
      <c r="J177" s="48">
        <f t="shared" si="18"/>
        <v>348</v>
      </c>
      <c r="K177" s="49">
        <f t="shared" si="19"/>
        <v>0.5760233918</v>
      </c>
      <c r="L177" s="49">
        <f t="shared" si="20"/>
        <v>0.3245614035</v>
      </c>
      <c r="M177" s="49">
        <f t="shared" si="21"/>
        <v>0.09941520468</v>
      </c>
      <c r="N177" s="32" t="str">
        <f t="shared" si="22"/>
        <v>Jânio</v>
      </c>
      <c r="O177" s="50"/>
      <c r="P177" s="38">
        <v>66.0</v>
      </c>
      <c r="Q177" s="38">
        <v>147.0</v>
      </c>
      <c r="R177" s="38">
        <v>72.0</v>
      </c>
      <c r="S177" s="38">
        <v>63.0</v>
      </c>
      <c r="T177" s="38">
        <v>0.0</v>
      </c>
      <c r="U177" s="48">
        <f t="shared" si="23"/>
        <v>285</v>
      </c>
      <c r="V177" s="48">
        <f t="shared" si="24"/>
        <v>348</v>
      </c>
      <c r="W177" s="49">
        <f t="shared" si="25"/>
        <v>0.2315789474</v>
      </c>
      <c r="X177" s="49">
        <f t="shared" si="26"/>
        <v>0.5157894737</v>
      </c>
      <c r="Y177" s="49">
        <f t="shared" si="27"/>
        <v>0.2526315789</v>
      </c>
      <c r="Z177" s="32" t="str">
        <f t="shared" si="28"/>
        <v>Milton</v>
      </c>
      <c r="AA177" s="50"/>
    </row>
    <row r="178">
      <c r="A178" s="110" t="s">
        <v>79</v>
      </c>
      <c r="B178" s="46" t="s">
        <v>2554</v>
      </c>
      <c r="C178" s="47"/>
      <c r="D178" s="38">
        <v>194.0</v>
      </c>
      <c r="E178" s="38">
        <v>79.0</v>
      </c>
      <c r="F178" s="38">
        <v>47.0</v>
      </c>
      <c r="G178" s="38">
        <v>7.0</v>
      </c>
      <c r="H178" s="38">
        <v>4.0</v>
      </c>
      <c r="I178" s="48">
        <f t="shared" si="17"/>
        <v>320</v>
      </c>
      <c r="J178" s="48">
        <f t="shared" si="18"/>
        <v>331</v>
      </c>
      <c r="K178" s="49">
        <f t="shared" si="19"/>
        <v>0.60625</v>
      </c>
      <c r="L178" s="49">
        <f t="shared" si="20"/>
        <v>0.246875</v>
      </c>
      <c r="M178" s="49">
        <f t="shared" si="21"/>
        <v>0.146875</v>
      </c>
      <c r="N178" s="32" t="str">
        <f t="shared" si="22"/>
        <v>Jânio</v>
      </c>
      <c r="O178" s="50"/>
      <c r="P178" s="38">
        <v>62.0</v>
      </c>
      <c r="Q178" s="38">
        <v>132.0</v>
      </c>
      <c r="R178" s="38">
        <v>67.0</v>
      </c>
      <c r="S178" s="38">
        <v>68.0</v>
      </c>
      <c r="T178" s="38">
        <v>2.0</v>
      </c>
      <c r="U178" s="48">
        <f t="shared" si="23"/>
        <v>261</v>
      </c>
      <c r="V178" s="48">
        <f t="shared" si="24"/>
        <v>331</v>
      </c>
      <c r="W178" s="49">
        <f t="shared" si="25"/>
        <v>0.2375478927</v>
      </c>
      <c r="X178" s="49">
        <f t="shared" si="26"/>
        <v>0.5057471264</v>
      </c>
      <c r="Y178" s="49">
        <f t="shared" si="27"/>
        <v>0.2567049808</v>
      </c>
      <c r="Z178" s="32" t="str">
        <f t="shared" si="28"/>
        <v>Milton</v>
      </c>
      <c r="AA178" s="50"/>
    </row>
    <row r="179">
      <c r="A179" s="110" t="s">
        <v>79</v>
      </c>
      <c r="B179" s="46" t="s">
        <v>858</v>
      </c>
      <c r="C179" s="47"/>
      <c r="D179" s="38">
        <v>207.0</v>
      </c>
      <c r="E179" s="38">
        <v>102.0</v>
      </c>
      <c r="F179" s="38">
        <v>41.0</v>
      </c>
      <c r="G179" s="38">
        <v>8.0</v>
      </c>
      <c r="H179" s="38">
        <v>0.0</v>
      </c>
      <c r="I179" s="48">
        <f t="shared" si="17"/>
        <v>350</v>
      </c>
      <c r="J179" s="48">
        <f t="shared" si="18"/>
        <v>358</v>
      </c>
      <c r="K179" s="49">
        <f t="shared" si="19"/>
        <v>0.5914285714</v>
      </c>
      <c r="L179" s="49">
        <f t="shared" si="20"/>
        <v>0.2914285714</v>
      </c>
      <c r="M179" s="49">
        <f t="shared" si="21"/>
        <v>0.1171428571</v>
      </c>
      <c r="N179" s="32" t="str">
        <f t="shared" si="22"/>
        <v>Jânio</v>
      </c>
      <c r="O179" s="50"/>
      <c r="P179" s="38">
        <v>84.0</v>
      </c>
      <c r="Q179" s="38">
        <v>159.0</v>
      </c>
      <c r="R179" s="38">
        <v>60.0</v>
      </c>
      <c r="S179" s="38">
        <v>55.0</v>
      </c>
      <c r="T179" s="38">
        <v>0.0</v>
      </c>
      <c r="U179" s="48">
        <f t="shared" si="23"/>
        <v>303</v>
      </c>
      <c r="V179" s="48">
        <f t="shared" si="24"/>
        <v>358</v>
      </c>
      <c r="W179" s="49">
        <f t="shared" si="25"/>
        <v>0.2772277228</v>
      </c>
      <c r="X179" s="49">
        <f t="shared" si="26"/>
        <v>0.5247524752</v>
      </c>
      <c r="Y179" s="49">
        <f t="shared" si="27"/>
        <v>0.198019802</v>
      </c>
      <c r="Z179" s="32" t="str">
        <f t="shared" si="28"/>
        <v>Milton</v>
      </c>
      <c r="AA179" s="50"/>
    </row>
    <row r="180">
      <c r="A180" s="110" t="s">
        <v>79</v>
      </c>
      <c r="B180" s="46" t="s">
        <v>864</v>
      </c>
      <c r="C180" s="47"/>
      <c r="D180" s="38">
        <v>146.0</v>
      </c>
      <c r="E180" s="38">
        <v>103.0</v>
      </c>
      <c r="F180" s="38">
        <v>104.0</v>
      </c>
      <c r="G180" s="38">
        <v>11.0</v>
      </c>
      <c r="H180" s="38">
        <v>0.0</v>
      </c>
      <c r="I180" s="48">
        <f t="shared" si="17"/>
        <v>353</v>
      </c>
      <c r="J180" s="48">
        <f t="shared" si="18"/>
        <v>364</v>
      </c>
      <c r="K180" s="49">
        <f t="shared" si="19"/>
        <v>0.4135977337</v>
      </c>
      <c r="L180" s="49">
        <f t="shared" si="20"/>
        <v>0.2917847025</v>
      </c>
      <c r="M180" s="49">
        <f t="shared" si="21"/>
        <v>0.2946175637</v>
      </c>
      <c r="N180" s="32" t="str">
        <f t="shared" si="22"/>
        <v>Jânio</v>
      </c>
      <c r="O180" s="50"/>
      <c r="P180" s="38">
        <v>86.0</v>
      </c>
      <c r="Q180" s="38">
        <v>93.0</v>
      </c>
      <c r="R180" s="38">
        <v>27.0</v>
      </c>
      <c r="S180" s="38">
        <v>98.0</v>
      </c>
      <c r="T180" s="38">
        <v>0.0</v>
      </c>
      <c r="U180" s="48">
        <f t="shared" si="23"/>
        <v>206</v>
      </c>
      <c r="V180" s="48">
        <f t="shared" si="24"/>
        <v>304</v>
      </c>
      <c r="W180" s="49">
        <f t="shared" si="25"/>
        <v>0.4174757282</v>
      </c>
      <c r="X180" s="49">
        <f t="shared" si="26"/>
        <v>0.4514563107</v>
      </c>
      <c r="Y180" s="49">
        <f t="shared" si="27"/>
        <v>0.1310679612</v>
      </c>
      <c r="Z180" s="32" t="str">
        <f t="shared" si="28"/>
        <v>Milton</v>
      </c>
      <c r="AA180" s="50"/>
    </row>
    <row r="181">
      <c r="A181" s="110" t="s">
        <v>79</v>
      </c>
      <c r="B181" s="46" t="s">
        <v>876</v>
      </c>
      <c r="C181" s="47"/>
      <c r="D181" s="38">
        <v>178.0</v>
      </c>
      <c r="E181" s="38">
        <v>91.0</v>
      </c>
      <c r="F181" s="38">
        <v>73.0</v>
      </c>
      <c r="G181" s="38">
        <v>11.0</v>
      </c>
      <c r="H181" s="38">
        <v>4.0</v>
      </c>
      <c r="I181" s="48">
        <f t="shared" si="17"/>
        <v>342</v>
      </c>
      <c r="J181" s="48">
        <f t="shared" si="18"/>
        <v>357</v>
      </c>
      <c r="K181" s="49">
        <f t="shared" si="19"/>
        <v>0.5204678363</v>
      </c>
      <c r="L181" s="49">
        <f t="shared" si="20"/>
        <v>0.2660818713</v>
      </c>
      <c r="M181" s="49">
        <f t="shared" si="21"/>
        <v>0.2134502924</v>
      </c>
      <c r="N181" s="32" t="str">
        <f t="shared" si="22"/>
        <v>Jânio</v>
      </c>
      <c r="O181" s="50"/>
      <c r="P181" s="38">
        <v>73.0</v>
      </c>
      <c r="Q181" s="38">
        <v>126.0</v>
      </c>
      <c r="R181" s="38">
        <v>81.0</v>
      </c>
      <c r="S181" s="38">
        <v>74.0</v>
      </c>
      <c r="T181" s="38">
        <v>3.0</v>
      </c>
      <c r="U181" s="48">
        <f t="shared" si="23"/>
        <v>280</v>
      </c>
      <c r="V181" s="48">
        <f t="shared" si="24"/>
        <v>357</v>
      </c>
      <c r="W181" s="49">
        <f t="shared" si="25"/>
        <v>0.2607142857</v>
      </c>
      <c r="X181" s="49">
        <f t="shared" si="26"/>
        <v>0.45</v>
      </c>
      <c r="Y181" s="49">
        <f t="shared" si="27"/>
        <v>0.2892857143</v>
      </c>
      <c r="Z181" s="32" t="str">
        <f t="shared" si="28"/>
        <v>Milton</v>
      </c>
      <c r="AA181" s="50"/>
    </row>
    <row r="182">
      <c r="A182" s="110" t="s">
        <v>79</v>
      </c>
      <c r="B182" s="46" t="s">
        <v>850</v>
      </c>
      <c r="C182" s="47"/>
      <c r="D182" s="38">
        <v>177.0</v>
      </c>
      <c r="E182" s="38">
        <v>113.0</v>
      </c>
      <c r="F182" s="38">
        <v>56.0</v>
      </c>
      <c r="G182" s="38">
        <v>8.0</v>
      </c>
      <c r="H182" s="38">
        <v>5.0</v>
      </c>
      <c r="I182" s="48">
        <f t="shared" si="17"/>
        <v>346</v>
      </c>
      <c r="J182" s="48">
        <f t="shared" si="18"/>
        <v>359</v>
      </c>
      <c r="K182" s="49">
        <f t="shared" si="19"/>
        <v>0.5115606936</v>
      </c>
      <c r="L182" s="49">
        <f t="shared" si="20"/>
        <v>0.3265895954</v>
      </c>
      <c r="M182" s="49">
        <f t="shared" si="21"/>
        <v>0.161849711</v>
      </c>
      <c r="N182" s="32" t="str">
        <f t="shared" si="22"/>
        <v>Jânio</v>
      </c>
      <c r="O182" s="50"/>
      <c r="P182" s="38">
        <v>78.0</v>
      </c>
      <c r="Q182" s="38">
        <v>126.0</v>
      </c>
      <c r="R182" s="38">
        <v>67.0</v>
      </c>
      <c r="S182" s="38">
        <v>83.0</v>
      </c>
      <c r="T182" s="38">
        <v>5.0</v>
      </c>
      <c r="U182" s="48">
        <f t="shared" si="23"/>
        <v>271</v>
      </c>
      <c r="V182" s="48">
        <f t="shared" si="24"/>
        <v>359</v>
      </c>
      <c r="W182" s="49">
        <f t="shared" si="25"/>
        <v>0.2878228782</v>
      </c>
      <c r="X182" s="49">
        <f t="shared" si="26"/>
        <v>0.4649446494</v>
      </c>
      <c r="Y182" s="49">
        <f t="shared" si="27"/>
        <v>0.2472324723</v>
      </c>
      <c r="Z182" s="32" t="str">
        <f t="shared" si="28"/>
        <v>Milton</v>
      </c>
      <c r="AA182" s="50"/>
    </row>
    <row r="183">
      <c r="A183" s="110" t="s">
        <v>79</v>
      </c>
      <c r="B183" s="46" t="s">
        <v>514</v>
      </c>
      <c r="C183" s="47"/>
      <c r="D183" s="38">
        <v>206.0</v>
      </c>
      <c r="E183" s="38">
        <v>96.0</v>
      </c>
      <c r="F183" s="38">
        <v>44.0</v>
      </c>
      <c r="G183" s="38">
        <v>4.0</v>
      </c>
      <c r="H183" s="38">
        <v>2.0</v>
      </c>
      <c r="I183" s="48">
        <f t="shared" si="17"/>
        <v>346</v>
      </c>
      <c r="J183" s="48">
        <f t="shared" si="18"/>
        <v>352</v>
      </c>
      <c r="K183" s="49">
        <f t="shared" si="19"/>
        <v>0.5953757225</v>
      </c>
      <c r="L183" s="49">
        <f t="shared" si="20"/>
        <v>0.2774566474</v>
      </c>
      <c r="M183" s="49">
        <f t="shared" si="21"/>
        <v>0.1271676301</v>
      </c>
      <c r="N183" s="32" t="str">
        <f t="shared" si="22"/>
        <v>Jânio</v>
      </c>
      <c r="O183" s="50"/>
      <c r="P183" s="38">
        <v>74.0</v>
      </c>
      <c r="Q183" s="38">
        <v>133.0</v>
      </c>
      <c r="R183" s="38">
        <v>78.0</v>
      </c>
      <c r="S183" s="38">
        <v>64.0</v>
      </c>
      <c r="T183" s="38">
        <v>3.0</v>
      </c>
      <c r="U183" s="48">
        <f t="shared" si="23"/>
        <v>285</v>
      </c>
      <c r="V183" s="48">
        <f t="shared" si="24"/>
        <v>352</v>
      </c>
      <c r="W183" s="49">
        <f t="shared" si="25"/>
        <v>0.2596491228</v>
      </c>
      <c r="X183" s="49">
        <f t="shared" si="26"/>
        <v>0.4666666667</v>
      </c>
      <c r="Y183" s="49">
        <f t="shared" si="27"/>
        <v>0.2736842105</v>
      </c>
      <c r="Z183" s="32" t="str">
        <f t="shared" si="28"/>
        <v>Milton</v>
      </c>
      <c r="AA183" s="50"/>
    </row>
    <row r="184">
      <c r="A184" s="110" t="s">
        <v>79</v>
      </c>
      <c r="B184" s="46" t="s">
        <v>892</v>
      </c>
      <c r="C184" s="47"/>
      <c r="D184" s="38">
        <v>185.0</v>
      </c>
      <c r="E184" s="38">
        <v>99.0</v>
      </c>
      <c r="F184" s="38">
        <v>58.0</v>
      </c>
      <c r="G184" s="38">
        <v>9.0</v>
      </c>
      <c r="H184" s="38">
        <v>0.0</v>
      </c>
      <c r="I184" s="48">
        <f t="shared" si="17"/>
        <v>342</v>
      </c>
      <c r="J184" s="48">
        <f t="shared" si="18"/>
        <v>351</v>
      </c>
      <c r="K184" s="49">
        <f t="shared" si="19"/>
        <v>0.5409356725</v>
      </c>
      <c r="L184" s="49">
        <f t="shared" si="20"/>
        <v>0.2894736842</v>
      </c>
      <c r="M184" s="49">
        <f t="shared" si="21"/>
        <v>0.1695906433</v>
      </c>
      <c r="N184" s="32" t="str">
        <f t="shared" si="22"/>
        <v>Jânio</v>
      </c>
      <c r="O184" s="50"/>
      <c r="P184" s="38">
        <v>87.0</v>
      </c>
      <c r="Q184" s="38">
        <v>61.0</v>
      </c>
      <c r="R184" s="38">
        <v>61.0</v>
      </c>
      <c r="S184" s="38">
        <v>69.0</v>
      </c>
      <c r="T184" s="38">
        <v>0.0</v>
      </c>
      <c r="U184" s="48">
        <f t="shared" si="23"/>
        <v>209</v>
      </c>
      <c r="V184" s="48">
        <f t="shared" si="24"/>
        <v>278</v>
      </c>
      <c r="W184" s="49">
        <f t="shared" si="25"/>
        <v>0.4162679426</v>
      </c>
      <c r="X184" s="49">
        <f t="shared" si="26"/>
        <v>0.2918660287</v>
      </c>
      <c r="Y184" s="49">
        <f t="shared" si="27"/>
        <v>0.2918660287</v>
      </c>
      <c r="Z184" s="32" t="str">
        <f t="shared" si="28"/>
        <v>Jango</v>
      </c>
      <c r="AA184" s="50"/>
    </row>
    <row r="185">
      <c r="A185" s="110" t="s">
        <v>79</v>
      </c>
      <c r="B185" s="46" t="s">
        <v>2524</v>
      </c>
      <c r="C185" s="47"/>
      <c r="D185" s="38">
        <v>167.0</v>
      </c>
      <c r="E185" s="38">
        <v>91.0</v>
      </c>
      <c r="F185" s="38">
        <v>78.0</v>
      </c>
      <c r="G185" s="38">
        <v>12.0</v>
      </c>
      <c r="H185" s="38">
        <v>0.0</v>
      </c>
      <c r="I185" s="48">
        <f t="shared" si="17"/>
        <v>336</v>
      </c>
      <c r="J185" s="48">
        <f t="shared" si="18"/>
        <v>348</v>
      </c>
      <c r="K185" s="49">
        <f t="shared" si="19"/>
        <v>0.4970238095</v>
      </c>
      <c r="L185" s="49">
        <f t="shared" si="20"/>
        <v>0.2708333333</v>
      </c>
      <c r="M185" s="49">
        <f t="shared" si="21"/>
        <v>0.2321428571</v>
      </c>
      <c r="N185" s="32" t="str">
        <f t="shared" si="22"/>
        <v>Jânio</v>
      </c>
      <c r="O185" s="50"/>
      <c r="P185" s="38">
        <v>86.0</v>
      </c>
      <c r="Q185" s="38">
        <v>117.0</v>
      </c>
      <c r="R185" s="38">
        <v>57.0</v>
      </c>
      <c r="S185" s="38">
        <v>87.0</v>
      </c>
      <c r="T185" s="38">
        <v>1.0</v>
      </c>
      <c r="U185" s="48">
        <f t="shared" si="23"/>
        <v>260</v>
      </c>
      <c r="V185" s="48">
        <f t="shared" si="24"/>
        <v>348</v>
      </c>
      <c r="W185" s="49">
        <f t="shared" si="25"/>
        <v>0.3307692308</v>
      </c>
      <c r="X185" s="49">
        <f t="shared" si="26"/>
        <v>0.45</v>
      </c>
      <c r="Y185" s="49">
        <f t="shared" si="27"/>
        <v>0.2192307692</v>
      </c>
      <c r="Z185" s="32" t="str">
        <f t="shared" si="28"/>
        <v>Milton</v>
      </c>
      <c r="AA185" s="50"/>
    </row>
    <row r="186">
      <c r="A186" s="110" t="s">
        <v>79</v>
      </c>
      <c r="B186" s="46" t="s">
        <v>2539</v>
      </c>
      <c r="C186" s="47"/>
      <c r="D186" s="38">
        <v>156.0</v>
      </c>
      <c r="E186" s="38">
        <v>59.0</v>
      </c>
      <c r="F186" s="38">
        <v>85.0</v>
      </c>
      <c r="G186" s="38">
        <v>12.0</v>
      </c>
      <c r="H186" s="38">
        <v>10.0</v>
      </c>
      <c r="I186" s="48">
        <f t="shared" si="17"/>
        <v>300</v>
      </c>
      <c r="J186" s="48">
        <f t="shared" si="18"/>
        <v>322</v>
      </c>
      <c r="K186" s="49">
        <f t="shared" si="19"/>
        <v>0.52</v>
      </c>
      <c r="L186" s="49">
        <f t="shared" si="20"/>
        <v>0.1966666667</v>
      </c>
      <c r="M186" s="49">
        <f t="shared" si="21"/>
        <v>0.2833333333</v>
      </c>
      <c r="N186" s="32" t="str">
        <f t="shared" si="22"/>
        <v>Jânio</v>
      </c>
      <c r="O186" s="50"/>
      <c r="P186" s="38">
        <v>59.0</v>
      </c>
      <c r="Q186" s="38">
        <v>105.0</v>
      </c>
      <c r="R186" s="38">
        <v>73.0</v>
      </c>
      <c r="S186" s="38">
        <v>85.0</v>
      </c>
      <c r="T186" s="38">
        <v>0.0</v>
      </c>
      <c r="U186" s="48">
        <f t="shared" si="23"/>
        <v>237</v>
      </c>
      <c r="V186" s="48">
        <f t="shared" si="24"/>
        <v>322</v>
      </c>
      <c r="W186" s="49">
        <f t="shared" si="25"/>
        <v>0.2489451477</v>
      </c>
      <c r="X186" s="49">
        <f t="shared" si="26"/>
        <v>0.4430379747</v>
      </c>
      <c r="Y186" s="49">
        <f t="shared" si="27"/>
        <v>0.3080168776</v>
      </c>
      <c r="Z186" s="32" t="str">
        <f t="shared" si="28"/>
        <v>Milton</v>
      </c>
      <c r="AA186" s="50"/>
    </row>
    <row r="187">
      <c r="A187" s="110" t="s">
        <v>79</v>
      </c>
      <c r="B187" s="46" t="s">
        <v>2873</v>
      </c>
      <c r="C187" s="47"/>
      <c r="D187" s="38">
        <v>275.0</v>
      </c>
      <c r="E187" s="38">
        <v>69.0</v>
      </c>
      <c r="F187" s="38">
        <v>20.0</v>
      </c>
      <c r="G187" s="38">
        <v>8.0</v>
      </c>
      <c r="H187" s="38">
        <v>0.0</v>
      </c>
      <c r="I187" s="48">
        <f t="shared" si="17"/>
        <v>364</v>
      </c>
      <c r="J187" s="48">
        <f t="shared" si="18"/>
        <v>372</v>
      </c>
      <c r="K187" s="49">
        <f t="shared" si="19"/>
        <v>0.7554945055</v>
      </c>
      <c r="L187" s="49">
        <f t="shared" si="20"/>
        <v>0.1895604396</v>
      </c>
      <c r="M187" s="49">
        <f t="shared" si="21"/>
        <v>0.05494505495</v>
      </c>
      <c r="N187" s="32" t="str">
        <f t="shared" si="22"/>
        <v>Jânio</v>
      </c>
      <c r="O187" s="50"/>
      <c r="P187" s="38">
        <v>49.0</v>
      </c>
      <c r="Q187" s="38">
        <v>214.0</v>
      </c>
      <c r="R187" s="38">
        <v>54.0</v>
      </c>
      <c r="S187" s="38">
        <v>55.0</v>
      </c>
      <c r="T187" s="38">
        <v>0.0</v>
      </c>
      <c r="U187" s="48">
        <f t="shared" si="23"/>
        <v>317</v>
      </c>
      <c r="V187" s="48">
        <f t="shared" si="24"/>
        <v>372</v>
      </c>
      <c r="W187" s="49">
        <f t="shared" si="25"/>
        <v>0.1545741325</v>
      </c>
      <c r="X187" s="49">
        <f t="shared" si="26"/>
        <v>0.6750788644</v>
      </c>
      <c r="Y187" s="49">
        <f t="shared" si="27"/>
        <v>0.1703470032</v>
      </c>
      <c r="Z187" s="32" t="str">
        <f t="shared" si="28"/>
        <v>Milton</v>
      </c>
      <c r="AA187" s="50"/>
    </row>
    <row r="188">
      <c r="A188" s="110" t="s">
        <v>85</v>
      </c>
      <c r="B188" s="46" t="s">
        <v>2546</v>
      </c>
      <c r="C188" s="47"/>
      <c r="D188" s="38">
        <v>174.0</v>
      </c>
      <c r="E188" s="38">
        <v>101.0</v>
      </c>
      <c r="F188" s="38">
        <v>53.0</v>
      </c>
      <c r="G188" s="38">
        <v>9.0</v>
      </c>
      <c r="H188" s="38">
        <v>8.0</v>
      </c>
      <c r="I188" s="48">
        <f t="shared" si="17"/>
        <v>328</v>
      </c>
      <c r="J188" s="48">
        <f t="shared" si="18"/>
        <v>345</v>
      </c>
      <c r="K188" s="49">
        <f t="shared" si="19"/>
        <v>0.5304878049</v>
      </c>
      <c r="L188" s="49">
        <f t="shared" si="20"/>
        <v>0.3079268293</v>
      </c>
      <c r="M188" s="49">
        <f t="shared" si="21"/>
        <v>0.1615853659</v>
      </c>
      <c r="N188" s="32" t="str">
        <f t="shared" si="22"/>
        <v>Jânio</v>
      </c>
      <c r="O188" s="50"/>
      <c r="P188" s="38">
        <v>77.0</v>
      </c>
      <c r="Q188" s="38">
        <v>119.0</v>
      </c>
      <c r="R188" s="38">
        <v>71.0</v>
      </c>
      <c r="S188" s="38">
        <v>69.0</v>
      </c>
      <c r="T188" s="38">
        <v>9.0</v>
      </c>
      <c r="U188" s="48">
        <f t="shared" si="23"/>
        <v>267</v>
      </c>
      <c r="V188" s="48">
        <f t="shared" si="24"/>
        <v>345</v>
      </c>
      <c r="W188" s="49">
        <f t="shared" si="25"/>
        <v>0.2883895131</v>
      </c>
      <c r="X188" s="49">
        <f t="shared" si="26"/>
        <v>0.4456928839</v>
      </c>
      <c r="Y188" s="49">
        <f t="shared" si="27"/>
        <v>0.265917603</v>
      </c>
      <c r="Z188" s="32" t="str">
        <f t="shared" si="28"/>
        <v>Milton</v>
      </c>
      <c r="AA188" s="50"/>
    </row>
    <row r="189">
      <c r="A189" s="110" t="s">
        <v>85</v>
      </c>
      <c r="B189" s="46" t="s">
        <v>2392</v>
      </c>
      <c r="C189" s="47"/>
      <c r="D189" s="38">
        <v>162.0</v>
      </c>
      <c r="E189" s="38">
        <v>71.0</v>
      </c>
      <c r="F189" s="38">
        <v>65.0</v>
      </c>
      <c r="G189" s="38">
        <v>4.0</v>
      </c>
      <c r="H189" s="38">
        <v>1.0</v>
      </c>
      <c r="I189" s="48">
        <f t="shared" si="17"/>
        <v>298</v>
      </c>
      <c r="J189" s="48">
        <f t="shared" si="18"/>
        <v>303</v>
      </c>
      <c r="K189" s="49">
        <f t="shared" si="19"/>
        <v>0.5436241611</v>
      </c>
      <c r="L189" s="49">
        <f t="shared" si="20"/>
        <v>0.2382550336</v>
      </c>
      <c r="M189" s="49">
        <f t="shared" si="21"/>
        <v>0.2181208054</v>
      </c>
      <c r="N189" s="32" t="str">
        <f t="shared" si="22"/>
        <v>Jânio</v>
      </c>
      <c r="O189" s="50"/>
      <c r="P189" s="38">
        <v>63.0</v>
      </c>
      <c r="Q189" s="38">
        <v>106.0</v>
      </c>
      <c r="R189" s="38">
        <v>60.0</v>
      </c>
      <c r="S189" s="38">
        <v>73.0</v>
      </c>
      <c r="T189" s="38">
        <v>1.0</v>
      </c>
      <c r="U189" s="48">
        <f t="shared" si="23"/>
        <v>229</v>
      </c>
      <c r="V189" s="48">
        <f t="shared" si="24"/>
        <v>303</v>
      </c>
      <c r="W189" s="49">
        <f t="shared" si="25"/>
        <v>0.2751091703</v>
      </c>
      <c r="X189" s="49">
        <f t="shared" si="26"/>
        <v>0.4628820961</v>
      </c>
      <c r="Y189" s="49">
        <f t="shared" si="27"/>
        <v>0.2620087336</v>
      </c>
      <c r="Z189" s="32" t="str">
        <f t="shared" si="28"/>
        <v>Milton</v>
      </c>
      <c r="AA189" s="50"/>
    </row>
    <row r="190">
      <c r="A190" s="110" t="s">
        <v>85</v>
      </c>
      <c r="B190" s="46" t="s">
        <v>858</v>
      </c>
      <c r="C190" s="47"/>
      <c r="D190" s="38">
        <v>193.0</v>
      </c>
      <c r="E190" s="38">
        <v>76.0</v>
      </c>
      <c r="F190" s="38">
        <v>38.0</v>
      </c>
      <c r="G190" s="38">
        <v>9.0</v>
      </c>
      <c r="H190" s="38">
        <v>4.0</v>
      </c>
      <c r="I190" s="48">
        <f t="shared" si="17"/>
        <v>307</v>
      </c>
      <c r="J190" s="48">
        <f t="shared" si="18"/>
        <v>320</v>
      </c>
      <c r="K190" s="49">
        <f t="shared" si="19"/>
        <v>0.6286644951</v>
      </c>
      <c r="L190" s="49">
        <f t="shared" si="20"/>
        <v>0.2475570033</v>
      </c>
      <c r="M190" s="49">
        <f t="shared" si="21"/>
        <v>0.1237785016</v>
      </c>
      <c r="N190" s="32" t="str">
        <f t="shared" si="22"/>
        <v>Jânio</v>
      </c>
      <c r="O190" s="50"/>
      <c r="P190" s="38">
        <v>61.0</v>
      </c>
      <c r="Q190" s="38">
        <v>140.0</v>
      </c>
      <c r="R190" s="38">
        <v>43.0</v>
      </c>
      <c r="S190" s="38">
        <v>70.0</v>
      </c>
      <c r="T190" s="38">
        <v>6.0</v>
      </c>
      <c r="U190" s="48">
        <f t="shared" si="23"/>
        <v>244</v>
      </c>
      <c r="V190" s="48">
        <f t="shared" si="24"/>
        <v>320</v>
      </c>
      <c r="W190" s="49">
        <f t="shared" si="25"/>
        <v>0.25</v>
      </c>
      <c r="X190" s="49">
        <f t="shared" si="26"/>
        <v>0.5737704918</v>
      </c>
      <c r="Y190" s="49">
        <f t="shared" si="27"/>
        <v>0.1762295082</v>
      </c>
      <c r="Z190" s="32" t="str">
        <f t="shared" si="28"/>
        <v>Milton</v>
      </c>
      <c r="AA190" s="50"/>
    </row>
    <row r="191">
      <c r="A191" s="110" t="s">
        <v>85</v>
      </c>
      <c r="B191" s="46" t="s">
        <v>2464</v>
      </c>
      <c r="C191" s="47"/>
      <c r="D191" s="38">
        <v>152.0</v>
      </c>
      <c r="E191" s="38">
        <v>120.0</v>
      </c>
      <c r="F191" s="38">
        <v>70.0</v>
      </c>
      <c r="G191" s="38">
        <v>16.0</v>
      </c>
      <c r="H191" s="38">
        <v>4.0</v>
      </c>
      <c r="I191" s="48">
        <f t="shared" si="17"/>
        <v>342</v>
      </c>
      <c r="J191" s="48">
        <f t="shared" si="18"/>
        <v>362</v>
      </c>
      <c r="K191" s="49">
        <f t="shared" si="19"/>
        <v>0.4444444444</v>
      </c>
      <c r="L191" s="49">
        <f t="shared" si="20"/>
        <v>0.350877193</v>
      </c>
      <c r="M191" s="49">
        <f t="shared" si="21"/>
        <v>0.2046783626</v>
      </c>
      <c r="N191" s="32" t="str">
        <f t="shared" si="22"/>
        <v>Jânio</v>
      </c>
      <c r="O191" s="50"/>
      <c r="P191" s="38">
        <v>112.0</v>
      </c>
      <c r="Q191" s="38">
        <v>101.0</v>
      </c>
      <c r="R191" s="38">
        <v>40.0</v>
      </c>
      <c r="S191" s="38">
        <v>108.0</v>
      </c>
      <c r="T191" s="38">
        <v>1.0</v>
      </c>
      <c r="U191" s="48">
        <f t="shared" si="23"/>
        <v>253</v>
      </c>
      <c r="V191" s="48">
        <f t="shared" si="24"/>
        <v>362</v>
      </c>
      <c r="W191" s="49">
        <f t="shared" si="25"/>
        <v>0.442687747</v>
      </c>
      <c r="X191" s="49">
        <f t="shared" si="26"/>
        <v>0.3992094862</v>
      </c>
      <c r="Y191" s="49">
        <f t="shared" si="27"/>
        <v>0.1581027668</v>
      </c>
      <c r="Z191" s="32" t="str">
        <f t="shared" si="28"/>
        <v>Jango</v>
      </c>
      <c r="AA191" s="50"/>
    </row>
    <row r="192">
      <c r="A192" s="110" t="s">
        <v>85</v>
      </c>
      <c r="B192" s="46" t="s">
        <v>2416</v>
      </c>
      <c r="C192" s="47"/>
      <c r="D192" s="38">
        <v>240.0</v>
      </c>
      <c r="E192" s="38">
        <v>90.0</v>
      </c>
      <c r="F192" s="38">
        <v>13.0</v>
      </c>
      <c r="G192" s="38">
        <v>4.0</v>
      </c>
      <c r="H192" s="38">
        <v>0.0</v>
      </c>
      <c r="I192" s="48">
        <f t="shared" si="17"/>
        <v>343</v>
      </c>
      <c r="J192" s="48">
        <f t="shared" si="18"/>
        <v>347</v>
      </c>
      <c r="K192" s="49">
        <f t="shared" si="19"/>
        <v>0.6997084548</v>
      </c>
      <c r="L192" s="49">
        <f t="shared" si="20"/>
        <v>0.2623906706</v>
      </c>
      <c r="M192" s="49">
        <f t="shared" si="21"/>
        <v>0.03790087464</v>
      </c>
      <c r="N192" s="32" t="str">
        <f t="shared" si="22"/>
        <v>Jânio</v>
      </c>
      <c r="O192" s="50"/>
      <c r="P192" s="38">
        <v>60.0</v>
      </c>
      <c r="Q192" s="38">
        <v>199.0</v>
      </c>
      <c r="R192" s="38">
        <v>47.0</v>
      </c>
      <c r="S192" s="38">
        <v>40.0</v>
      </c>
      <c r="T192" s="38">
        <v>1.0</v>
      </c>
      <c r="U192" s="48">
        <f t="shared" si="23"/>
        <v>306</v>
      </c>
      <c r="V192" s="48">
        <f t="shared" si="24"/>
        <v>347</v>
      </c>
      <c r="W192" s="49">
        <f t="shared" si="25"/>
        <v>0.1960784314</v>
      </c>
      <c r="X192" s="49">
        <f t="shared" si="26"/>
        <v>0.6503267974</v>
      </c>
      <c r="Y192" s="49">
        <f t="shared" si="27"/>
        <v>0.1535947712</v>
      </c>
      <c r="Z192" s="32" t="str">
        <f t="shared" si="28"/>
        <v>Milton</v>
      </c>
      <c r="AA192" s="50"/>
    </row>
    <row r="193">
      <c r="A193" s="110" t="s">
        <v>85</v>
      </c>
      <c r="B193" s="46" t="s">
        <v>2494</v>
      </c>
      <c r="C193" s="47"/>
      <c r="D193" s="38">
        <v>148.0</v>
      </c>
      <c r="E193" s="38">
        <v>116.0</v>
      </c>
      <c r="F193" s="38">
        <v>61.0</v>
      </c>
      <c r="G193" s="38">
        <v>16.0</v>
      </c>
      <c r="H193" s="38">
        <v>11.0</v>
      </c>
      <c r="I193" s="48">
        <f t="shared" si="17"/>
        <v>325</v>
      </c>
      <c r="J193" s="48">
        <f t="shared" si="18"/>
        <v>352</v>
      </c>
      <c r="K193" s="49">
        <f t="shared" si="19"/>
        <v>0.4553846154</v>
      </c>
      <c r="L193" s="49">
        <f t="shared" si="20"/>
        <v>0.3569230769</v>
      </c>
      <c r="M193" s="49">
        <f t="shared" si="21"/>
        <v>0.1876923077</v>
      </c>
      <c r="N193" s="32" t="str">
        <f t="shared" si="22"/>
        <v>Jânio</v>
      </c>
      <c r="O193" s="50"/>
      <c r="P193" s="38">
        <v>95.0</v>
      </c>
      <c r="Q193" s="38">
        <v>93.0</v>
      </c>
      <c r="R193" s="38">
        <v>62.0</v>
      </c>
      <c r="S193" s="38">
        <v>91.0</v>
      </c>
      <c r="T193" s="38">
        <v>11.0</v>
      </c>
      <c r="U193" s="48">
        <f t="shared" si="23"/>
        <v>250</v>
      </c>
      <c r="V193" s="48">
        <f t="shared" si="24"/>
        <v>352</v>
      </c>
      <c r="W193" s="49">
        <f t="shared" si="25"/>
        <v>0.38</v>
      </c>
      <c r="X193" s="49">
        <f t="shared" si="26"/>
        <v>0.372</v>
      </c>
      <c r="Y193" s="49">
        <f t="shared" si="27"/>
        <v>0.248</v>
      </c>
      <c r="Z193" s="32" t="str">
        <f t="shared" si="28"/>
        <v>Jango</v>
      </c>
      <c r="AA193" s="50"/>
    </row>
    <row r="194">
      <c r="A194" s="110" t="s">
        <v>85</v>
      </c>
      <c r="B194" s="46" t="s">
        <v>542</v>
      </c>
      <c r="C194" s="47"/>
      <c r="D194" s="38">
        <v>212.0</v>
      </c>
      <c r="E194" s="38">
        <v>88.0</v>
      </c>
      <c r="F194" s="38">
        <v>50.0</v>
      </c>
      <c r="G194" s="38">
        <v>10.0</v>
      </c>
      <c r="H194" s="38">
        <v>1.0</v>
      </c>
      <c r="I194" s="48">
        <f t="shared" si="17"/>
        <v>350</v>
      </c>
      <c r="J194" s="48">
        <f t="shared" si="18"/>
        <v>361</v>
      </c>
      <c r="K194" s="49">
        <f t="shared" si="19"/>
        <v>0.6057142857</v>
      </c>
      <c r="L194" s="49">
        <f t="shared" si="20"/>
        <v>0.2514285714</v>
      </c>
      <c r="M194" s="49">
        <f t="shared" si="21"/>
        <v>0.1428571429</v>
      </c>
      <c r="N194" s="32" t="str">
        <f t="shared" si="22"/>
        <v>Jânio</v>
      </c>
      <c r="O194" s="50"/>
      <c r="P194" s="38">
        <v>70.0</v>
      </c>
      <c r="Q194" s="38">
        <v>173.0</v>
      </c>
      <c r="R194" s="38">
        <v>62.0</v>
      </c>
      <c r="S194" s="38">
        <v>55.0</v>
      </c>
      <c r="T194" s="38">
        <v>1.0</v>
      </c>
      <c r="U194" s="48">
        <f t="shared" si="23"/>
        <v>305</v>
      </c>
      <c r="V194" s="48">
        <f t="shared" si="24"/>
        <v>361</v>
      </c>
      <c r="W194" s="49">
        <f t="shared" si="25"/>
        <v>0.2295081967</v>
      </c>
      <c r="X194" s="49">
        <f t="shared" si="26"/>
        <v>0.5672131148</v>
      </c>
      <c r="Y194" s="49">
        <f t="shared" si="27"/>
        <v>0.2032786885</v>
      </c>
      <c r="Z194" s="32" t="str">
        <f t="shared" si="28"/>
        <v>Milton</v>
      </c>
      <c r="AA194" s="50"/>
    </row>
    <row r="195">
      <c r="A195" s="110" t="s">
        <v>85</v>
      </c>
      <c r="B195" s="46" t="s">
        <v>862</v>
      </c>
      <c r="C195" s="47"/>
      <c r="D195" s="38">
        <v>138.0</v>
      </c>
      <c r="E195" s="38">
        <v>97.0</v>
      </c>
      <c r="F195" s="38">
        <v>91.0</v>
      </c>
      <c r="G195" s="38">
        <v>16.0</v>
      </c>
      <c r="H195" s="38">
        <v>5.0</v>
      </c>
      <c r="I195" s="48">
        <f t="shared" si="17"/>
        <v>326</v>
      </c>
      <c r="J195" s="48">
        <f t="shared" si="18"/>
        <v>347</v>
      </c>
      <c r="K195" s="49">
        <f t="shared" si="19"/>
        <v>0.4233128834</v>
      </c>
      <c r="L195" s="49">
        <f t="shared" si="20"/>
        <v>0.2975460123</v>
      </c>
      <c r="M195" s="49">
        <f t="shared" si="21"/>
        <v>0.2791411043</v>
      </c>
      <c r="N195" s="32" t="str">
        <f t="shared" si="22"/>
        <v>Jânio</v>
      </c>
      <c r="O195" s="50"/>
      <c r="P195" s="38">
        <v>80.0</v>
      </c>
      <c r="Q195" s="38">
        <v>100.0</v>
      </c>
      <c r="R195" s="38">
        <v>67.0</v>
      </c>
      <c r="S195" s="38">
        <v>95.0</v>
      </c>
      <c r="T195" s="38">
        <v>5.0</v>
      </c>
      <c r="U195" s="48">
        <f t="shared" si="23"/>
        <v>247</v>
      </c>
      <c r="V195" s="48">
        <f t="shared" si="24"/>
        <v>347</v>
      </c>
      <c r="W195" s="49">
        <f t="shared" si="25"/>
        <v>0.3238866397</v>
      </c>
      <c r="X195" s="49">
        <f t="shared" si="26"/>
        <v>0.4048582996</v>
      </c>
      <c r="Y195" s="49">
        <f t="shared" si="27"/>
        <v>0.2712550607</v>
      </c>
      <c r="Z195" s="32" t="str">
        <f t="shared" si="28"/>
        <v>Milton</v>
      </c>
      <c r="AA195" s="50"/>
    </row>
    <row r="196">
      <c r="A196" s="110" t="s">
        <v>85</v>
      </c>
      <c r="B196" s="46" t="s">
        <v>193</v>
      </c>
      <c r="C196" s="47"/>
      <c r="D196" s="38">
        <v>240.0</v>
      </c>
      <c r="E196" s="38">
        <v>66.0</v>
      </c>
      <c r="F196" s="38">
        <v>41.0</v>
      </c>
      <c r="G196" s="38">
        <v>2.0</v>
      </c>
      <c r="H196" s="38">
        <v>2.0</v>
      </c>
      <c r="I196" s="48">
        <f t="shared" si="17"/>
        <v>347</v>
      </c>
      <c r="J196" s="48">
        <f t="shared" si="18"/>
        <v>351</v>
      </c>
      <c r="K196" s="49">
        <f t="shared" si="19"/>
        <v>0.6916426513</v>
      </c>
      <c r="L196" s="49">
        <f t="shared" si="20"/>
        <v>0.1902017291</v>
      </c>
      <c r="M196" s="49">
        <f t="shared" si="21"/>
        <v>0.1181556196</v>
      </c>
      <c r="N196" s="32" t="str">
        <f t="shared" si="22"/>
        <v>Jânio</v>
      </c>
      <c r="O196" s="50"/>
      <c r="P196" s="38">
        <v>51.0</v>
      </c>
      <c r="Q196" s="38">
        <v>202.0</v>
      </c>
      <c r="R196" s="38">
        <v>47.0</v>
      </c>
      <c r="S196" s="38">
        <v>50.0</v>
      </c>
      <c r="T196" s="38">
        <v>1.0</v>
      </c>
      <c r="U196" s="48">
        <f t="shared" si="23"/>
        <v>300</v>
      </c>
      <c r="V196" s="48">
        <f t="shared" si="24"/>
        <v>351</v>
      </c>
      <c r="W196" s="49">
        <f t="shared" si="25"/>
        <v>0.17</v>
      </c>
      <c r="X196" s="49">
        <f t="shared" si="26"/>
        <v>0.6733333333</v>
      </c>
      <c r="Y196" s="49">
        <f t="shared" si="27"/>
        <v>0.1566666667</v>
      </c>
      <c r="Z196" s="32" t="str">
        <f t="shared" si="28"/>
        <v>Milton</v>
      </c>
      <c r="AA196" s="50"/>
    </row>
    <row r="197">
      <c r="A197" s="110" t="s">
        <v>85</v>
      </c>
      <c r="B197" s="46" t="s">
        <v>2396</v>
      </c>
      <c r="C197" s="47"/>
      <c r="D197" s="38">
        <v>126.0</v>
      </c>
      <c r="E197" s="38">
        <v>127.0</v>
      </c>
      <c r="F197" s="38">
        <v>99.0</v>
      </c>
      <c r="G197" s="38">
        <v>11.0</v>
      </c>
      <c r="H197" s="38">
        <v>3.0</v>
      </c>
      <c r="I197" s="48">
        <f t="shared" si="17"/>
        <v>352</v>
      </c>
      <c r="J197" s="48">
        <f t="shared" si="18"/>
        <v>366</v>
      </c>
      <c r="K197" s="49">
        <f t="shared" si="19"/>
        <v>0.3579545455</v>
      </c>
      <c r="L197" s="49">
        <f t="shared" si="20"/>
        <v>0.3607954545</v>
      </c>
      <c r="M197" s="49">
        <f t="shared" si="21"/>
        <v>0.28125</v>
      </c>
      <c r="N197" s="32" t="str">
        <f t="shared" si="22"/>
        <v>Mal. Lott</v>
      </c>
      <c r="O197" s="50"/>
      <c r="P197" s="38">
        <v>117.0</v>
      </c>
      <c r="Q197" s="38">
        <v>94.0</v>
      </c>
      <c r="R197" s="38">
        <v>76.0</v>
      </c>
      <c r="S197" s="38">
        <v>76.0</v>
      </c>
      <c r="T197" s="38">
        <v>3.0</v>
      </c>
      <c r="U197" s="48">
        <f t="shared" si="23"/>
        <v>287</v>
      </c>
      <c r="V197" s="48">
        <f t="shared" si="24"/>
        <v>366</v>
      </c>
      <c r="W197" s="49">
        <f t="shared" si="25"/>
        <v>0.4076655052</v>
      </c>
      <c r="X197" s="49">
        <f t="shared" si="26"/>
        <v>0.3275261324</v>
      </c>
      <c r="Y197" s="49">
        <f t="shared" si="27"/>
        <v>0.2648083624</v>
      </c>
      <c r="Z197" s="32" t="str">
        <f t="shared" si="28"/>
        <v>Jango</v>
      </c>
      <c r="AA197" s="50"/>
    </row>
    <row r="198">
      <c r="A198" s="110" t="s">
        <v>85</v>
      </c>
      <c r="B198" s="46" t="s">
        <v>884</v>
      </c>
      <c r="C198" s="47"/>
      <c r="D198" s="38">
        <v>192.0</v>
      </c>
      <c r="E198" s="38">
        <v>99.0</v>
      </c>
      <c r="F198" s="38">
        <v>48.0</v>
      </c>
      <c r="G198" s="38">
        <v>3.0</v>
      </c>
      <c r="H198" s="38">
        <v>4.0</v>
      </c>
      <c r="I198" s="48">
        <f t="shared" si="17"/>
        <v>339</v>
      </c>
      <c r="J198" s="48">
        <f t="shared" si="18"/>
        <v>346</v>
      </c>
      <c r="K198" s="49">
        <f t="shared" si="19"/>
        <v>0.5663716814</v>
      </c>
      <c r="L198" s="49">
        <f t="shared" si="20"/>
        <v>0.2920353982</v>
      </c>
      <c r="M198" s="49">
        <f t="shared" si="21"/>
        <v>0.1415929204</v>
      </c>
      <c r="N198" s="32" t="str">
        <f t="shared" si="22"/>
        <v>Jânio</v>
      </c>
      <c r="O198" s="50"/>
      <c r="P198" s="38">
        <v>68.0</v>
      </c>
      <c r="Q198" s="38">
        <v>159.0</v>
      </c>
      <c r="R198" s="38">
        <v>64.0</v>
      </c>
      <c r="S198" s="38">
        <v>52.0</v>
      </c>
      <c r="T198" s="38">
        <v>3.0</v>
      </c>
      <c r="U198" s="48">
        <f t="shared" si="23"/>
        <v>291</v>
      </c>
      <c r="V198" s="48">
        <f t="shared" si="24"/>
        <v>346</v>
      </c>
      <c r="W198" s="49">
        <f t="shared" si="25"/>
        <v>0.2336769759</v>
      </c>
      <c r="X198" s="49">
        <f t="shared" si="26"/>
        <v>0.5463917526</v>
      </c>
      <c r="Y198" s="49">
        <f t="shared" si="27"/>
        <v>0.2199312715</v>
      </c>
      <c r="Z198" s="32" t="str">
        <f t="shared" si="28"/>
        <v>Milton</v>
      </c>
      <c r="AA198" s="50"/>
    </row>
    <row r="199">
      <c r="A199" s="110" t="s">
        <v>85</v>
      </c>
      <c r="B199" s="46" t="s">
        <v>2554</v>
      </c>
      <c r="C199" s="47"/>
      <c r="D199" s="38">
        <v>176.0</v>
      </c>
      <c r="E199" s="38">
        <v>79.0</v>
      </c>
      <c r="F199" s="38">
        <v>76.0</v>
      </c>
      <c r="G199" s="38">
        <v>11.0</v>
      </c>
      <c r="H199" s="38">
        <v>12.0</v>
      </c>
      <c r="I199" s="48">
        <f t="shared" si="17"/>
        <v>331</v>
      </c>
      <c r="J199" s="48">
        <f t="shared" si="18"/>
        <v>354</v>
      </c>
      <c r="K199" s="49">
        <f t="shared" si="19"/>
        <v>0.5317220544</v>
      </c>
      <c r="L199" s="49">
        <f t="shared" si="20"/>
        <v>0.2386706949</v>
      </c>
      <c r="M199" s="49">
        <f t="shared" si="21"/>
        <v>0.2296072508</v>
      </c>
      <c r="N199" s="32" t="str">
        <f t="shared" si="22"/>
        <v>Jânio</v>
      </c>
      <c r="O199" s="50"/>
      <c r="P199" s="38">
        <v>69.0</v>
      </c>
      <c r="Q199" s="38">
        <v>177.0</v>
      </c>
      <c r="R199" s="38">
        <v>69.0</v>
      </c>
      <c r="S199" s="38">
        <v>94.0</v>
      </c>
      <c r="T199" s="38">
        <v>5.0</v>
      </c>
      <c r="U199" s="48">
        <f t="shared" si="23"/>
        <v>315</v>
      </c>
      <c r="V199" s="48">
        <f t="shared" si="24"/>
        <v>414</v>
      </c>
      <c r="W199" s="49">
        <f t="shared" si="25"/>
        <v>0.219047619</v>
      </c>
      <c r="X199" s="49">
        <f t="shared" si="26"/>
        <v>0.5619047619</v>
      </c>
      <c r="Y199" s="49">
        <f t="shared" si="27"/>
        <v>0.219047619</v>
      </c>
      <c r="Z199" s="32" t="str">
        <f t="shared" si="28"/>
        <v>Milton</v>
      </c>
      <c r="AA199" s="50"/>
    </row>
    <row r="200">
      <c r="A200" s="110" t="s">
        <v>85</v>
      </c>
      <c r="B200" s="46" t="s">
        <v>2875</v>
      </c>
      <c r="C200" s="47"/>
      <c r="D200" s="38">
        <v>166.0</v>
      </c>
      <c r="E200" s="38">
        <v>56.0</v>
      </c>
      <c r="F200" s="38">
        <v>33.0</v>
      </c>
      <c r="G200" s="38">
        <v>6.0</v>
      </c>
      <c r="H200" s="38">
        <v>10.0</v>
      </c>
      <c r="I200" s="48">
        <f t="shared" si="17"/>
        <v>255</v>
      </c>
      <c r="J200" s="48">
        <f t="shared" si="18"/>
        <v>271</v>
      </c>
      <c r="K200" s="49">
        <f t="shared" si="19"/>
        <v>0.6509803922</v>
      </c>
      <c r="L200" s="49">
        <f t="shared" si="20"/>
        <v>0.2196078431</v>
      </c>
      <c r="M200" s="49">
        <f t="shared" si="21"/>
        <v>0.1294117647</v>
      </c>
      <c r="N200" s="32" t="str">
        <f t="shared" si="22"/>
        <v>Jânio</v>
      </c>
      <c r="O200" s="50"/>
      <c r="P200" s="38">
        <v>41.0</v>
      </c>
      <c r="Q200" s="38">
        <v>132.0</v>
      </c>
      <c r="R200" s="38">
        <v>57.0</v>
      </c>
      <c r="S200" s="38">
        <v>31.0</v>
      </c>
      <c r="T200" s="38">
        <v>10.0</v>
      </c>
      <c r="U200" s="48">
        <f t="shared" si="23"/>
        <v>230</v>
      </c>
      <c r="V200" s="48">
        <f t="shared" si="24"/>
        <v>271</v>
      </c>
      <c r="W200" s="49">
        <f t="shared" si="25"/>
        <v>0.1782608696</v>
      </c>
      <c r="X200" s="49">
        <f t="shared" si="26"/>
        <v>0.5739130435</v>
      </c>
      <c r="Y200" s="49">
        <f t="shared" si="27"/>
        <v>0.247826087</v>
      </c>
      <c r="Z200" s="32" t="str">
        <f t="shared" si="28"/>
        <v>Milton</v>
      </c>
      <c r="AA200" s="50"/>
    </row>
    <row r="201">
      <c r="A201" s="110" t="s">
        <v>85</v>
      </c>
      <c r="B201" s="46" t="s">
        <v>2370</v>
      </c>
      <c r="C201" s="47"/>
      <c r="D201" s="38">
        <v>176.0</v>
      </c>
      <c r="E201" s="38">
        <v>93.0</v>
      </c>
      <c r="F201" s="38">
        <v>67.0</v>
      </c>
      <c r="G201" s="38">
        <v>11.0</v>
      </c>
      <c r="H201" s="38">
        <v>3.0</v>
      </c>
      <c r="I201" s="48">
        <f t="shared" si="17"/>
        <v>336</v>
      </c>
      <c r="J201" s="48">
        <f t="shared" si="18"/>
        <v>350</v>
      </c>
      <c r="K201" s="49">
        <f t="shared" si="19"/>
        <v>0.5238095238</v>
      </c>
      <c r="L201" s="49">
        <f t="shared" si="20"/>
        <v>0.2767857143</v>
      </c>
      <c r="M201" s="49">
        <f t="shared" si="21"/>
        <v>0.1994047619</v>
      </c>
      <c r="N201" s="32" t="str">
        <f t="shared" si="22"/>
        <v>Jânio</v>
      </c>
      <c r="O201" s="50"/>
      <c r="P201" s="38">
        <v>95.0</v>
      </c>
      <c r="Q201" s="38">
        <v>109.0</v>
      </c>
      <c r="R201" s="38">
        <v>66.0</v>
      </c>
      <c r="S201" s="38">
        <v>77.0</v>
      </c>
      <c r="T201" s="38">
        <v>3.0</v>
      </c>
      <c r="U201" s="48">
        <f t="shared" si="23"/>
        <v>270</v>
      </c>
      <c r="V201" s="48">
        <f t="shared" si="24"/>
        <v>350</v>
      </c>
      <c r="W201" s="49">
        <f t="shared" si="25"/>
        <v>0.3518518519</v>
      </c>
      <c r="X201" s="49">
        <f t="shared" si="26"/>
        <v>0.4037037037</v>
      </c>
      <c r="Y201" s="49">
        <f t="shared" si="27"/>
        <v>0.2444444444</v>
      </c>
      <c r="Z201" s="32" t="str">
        <f t="shared" si="28"/>
        <v>Milton</v>
      </c>
      <c r="AA201" s="50"/>
    </row>
    <row r="202">
      <c r="A202" s="110" t="s">
        <v>85</v>
      </c>
      <c r="B202" s="46" t="s">
        <v>2400</v>
      </c>
      <c r="C202" s="47"/>
      <c r="D202" s="38">
        <v>175.0</v>
      </c>
      <c r="E202" s="38">
        <v>67.0</v>
      </c>
      <c r="F202" s="38">
        <v>36.0</v>
      </c>
      <c r="G202" s="38">
        <v>2.0</v>
      </c>
      <c r="H202" s="38">
        <v>3.0</v>
      </c>
      <c r="I202" s="48">
        <f t="shared" si="17"/>
        <v>278</v>
      </c>
      <c r="J202" s="48">
        <f t="shared" si="18"/>
        <v>283</v>
      </c>
      <c r="K202" s="49">
        <f t="shared" si="19"/>
        <v>0.6294964029</v>
      </c>
      <c r="L202" s="49">
        <f t="shared" si="20"/>
        <v>0.2410071942</v>
      </c>
      <c r="M202" s="49">
        <f t="shared" si="21"/>
        <v>0.1294964029</v>
      </c>
      <c r="N202" s="32" t="str">
        <f t="shared" si="22"/>
        <v>Jânio</v>
      </c>
      <c r="O202" s="50"/>
      <c r="P202" s="38">
        <v>39.0</v>
      </c>
      <c r="Q202" s="38">
        <v>126.0</v>
      </c>
      <c r="R202" s="38">
        <v>47.0</v>
      </c>
      <c r="S202" s="38">
        <v>66.0</v>
      </c>
      <c r="T202" s="38">
        <v>5.0</v>
      </c>
      <c r="U202" s="48">
        <f t="shared" si="23"/>
        <v>212</v>
      </c>
      <c r="V202" s="48">
        <f t="shared" si="24"/>
        <v>283</v>
      </c>
      <c r="W202" s="49">
        <f t="shared" si="25"/>
        <v>0.1839622642</v>
      </c>
      <c r="X202" s="49">
        <f t="shared" si="26"/>
        <v>0.5943396226</v>
      </c>
      <c r="Y202" s="49">
        <f t="shared" si="27"/>
        <v>0.2216981132</v>
      </c>
      <c r="Z202" s="32" t="str">
        <f t="shared" si="28"/>
        <v>Milton</v>
      </c>
      <c r="AA202" s="50"/>
    </row>
    <row r="203">
      <c r="A203" s="110" t="s">
        <v>85</v>
      </c>
      <c r="B203" s="46" t="s">
        <v>2429</v>
      </c>
      <c r="C203" s="47"/>
      <c r="D203" s="38">
        <v>209.0</v>
      </c>
      <c r="E203" s="38">
        <v>93.0</v>
      </c>
      <c r="F203" s="38">
        <v>41.0</v>
      </c>
      <c r="G203" s="38">
        <v>4.0</v>
      </c>
      <c r="H203" s="38">
        <v>3.0</v>
      </c>
      <c r="I203" s="48">
        <f t="shared" si="17"/>
        <v>343</v>
      </c>
      <c r="J203" s="48">
        <f t="shared" si="18"/>
        <v>350</v>
      </c>
      <c r="K203" s="49">
        <f t="shared" si="19"/>
        <v>0.6093294461</v>
      </c>
      <c r="L203" s="49">
        <f t="shared" si="20"/>
        <v>0.2711370262</v>
      </c>
      <c r="M203" s="49">
        <f t="shared" si="21"/>
        <v>0.1195335277</v>
      </c>
      <c r="N203" s="32" t="str">
        <f t="shared" si="22"/>
        <v>Jânio</v>
      </c>
      <c r="O203" s="50"/>
      <c r="P203" s="38">
        <v>53.0</v>
      </c>
      <c r="Q203" s="38">
        <v>153.0</v>
      </c>
      <c r="R203" s="38">
        <v>72.0</v>
      </c>
      <c r="S203" s="38">
        <v>72.0</v>
      </c>
      <c r="T203" s="38">
        <v>0.0</v>
      </c>
      <c r="U203" s="48">
        <f t="shared" si="23"/>
        <v>278</v>
      </c>
      <c r="V203" s="48">
        <f t="shared" si="24"/>
        <v>350</v>
      </c>
      <c r="W203" s="49">
        <f t="shared" si="25"/>
        <v>0.190647482</v>
      </c>
      <c r="X203" s="49">
        <f t="shared" si="26"/>
        <v>0.5503597122</v>
      </c>
      <c r="Y203" s="49">
        <f t="shared" si="27"/>
        <v>0.2589928058</v>
      </c>
      <c r="Z203" s="32" t="str">
        <f t="shared" si="28"/>
        <v>Milton</v>
      </c>
      <c r="AA203" s="50"/>
    </row>
    <row r="204">
      <c r="A204" s="110" t="s">
        <v>85</v>
      </c>
      <c r="B204" s="46" t="s">
        <v>2978</v>
      </c>
      <c r="C204" s="47"/>
      <c r="D204" s="38">
        <v>63.0</v>
      </c>
      <c r="E204" s="38">
        <v>72.0</v>
      </c>
      <c r="F204" s="38">
        <v>47.0</v>
      </c>
      <c r="G204" s="38">
        <v>16.0</v>
      </c>
      <c r="H204" s="38">
        <v>4.0</v>
      </c>
      <c r="I204" s="48">
        <f t="shared" si="17"/>
        <v>182</v>
      </c>
      <c r="J204" s="48">
        <f t="shared" si="18"/>
        <v>202</v>
      </c>
      <c r="K204" s="49">
        <f t="shared" si="19"/>
        <v>0.3461538462</v>
      </c>
      <c r="L204" s="49">
        <f t="shared" si="20"/>
        <v>0.3956043956</v>
      </c>
      <c r="M204" s="49">
        <f t="shared" si="21"/>
        <v>0.2582417582</v>
      </c>
      <c r="N204" s="32" t="str">
        <f t="shared" si="22"/>
        <v>Mal. Lott</v>
      </c>
      <c r="O204" s="50"/>
      <c r="P204" s="38">
        <v>79.0</v>
      </c>
      <c r="Q204" s="38">
        <v>54.0</v>
      </c>
      <c r="R204" s="38">
        <v>55.0</v>
      </c>
      <c r="S204" s="38">
        <v>5.0</v>
      </c>
      <c r="T204" s="38">
        <v>9.0</v>
      </c>
      <c r="U204" s="48">
        <f t="shared" si="23"/>
        <v>188</v>
      </c>
      <c r="V204" s="48">
        <f t="shared" si="24"/>
        <v>202</v>
      </c>
      <c r="W204" s="49">
        <f t="shared" si="25"/>
        <v>0.420212766</v>
      </c>
      <c r="X204" s="49">
        <f t="shared" si="26"/>
        <v>0.2872340426</v>
      </c>
      <c r="Y204" s="49">
        <f t="shared" si="27"/>
        <v>0.2925531915</v>
      </c>
      <c r="Z204" s="32" t="str">
        <f t="shared" si="28"/>
        <v>Jango</v>
      </c>
      <c r="AA204" s="50"/>
    </row>
    <row r="205">
      <c r="A205" s="110" t="s">
        <v>85</v>
      </c>
      <c r="B205" s="46" t="s">
        <v>2539</v>
      </c>
      <c r="C205" s="47"/>
      <c r="D205" s="38">
        <v>132.0</v>
      </c>
      <c r="E205" s="38">
        <v>114.0</v>
      </c>
      <c r="F205" s="38">
        <v>94.0</v>
      </c>
      <c r="G205" s="38">
        <v>14.0</v>
      </c>
      <c r="H205" s="38">
        <v>7.0</v>
      </c>
      <c r="I205" s="48">
        <f t="shared" si="17"/>
        <v>340</v>
      </c>
      <c r="J205" s="48">
        <f t="shared" si="18"/>
        <v>361</v>
      </c>
      <c r="K205" s="49">
        <f t="shared" si="19"/>
        <v>0.3882352941</v>
      </c>
      <c r="L205" s="49">
        <f t="shared" si="20"/>
        <v>0.3352941176</v>
      </c>
      <c r="M205" s="49">
        <f t="shared" si="21"/>
        <v>0.2764705882</v>
      </c>
      <c r="N205" s="32" t="str">
        <f t="shared" si="22"/>
        <v>Jânio</v>
      </c>
      <c r="O205" s="50"/>
      <c r="P205" s="38">
        <v>104.0</v>
      </c>
      <c r="Q205" s="38">
        <v>81.0</v>
      </c>
      <c r="R205" s="38">
        <v>82.0</v>
      </c>
      <c r="S205" s="38">
        <v>93.0</v>
      </c>
      <c r="T205" s="38">
        <v>1.0</v>
      </c>
      <c r="U205" s="48">
        <f t="shared" si="23"/>
        <v>267</v>
      </c>
      <c r="V205" s="48">
        <f t="shared" si="24"/>
        <v>361</v>
      </c>
      <c r="W205" s="49">
        <f t="shared" si="25"/>
        <v>0.3895131086</v>
      </c>
      <c r="X205" s="49">
        <f t="shared" si="26"/>
        <v>0.3033707865</v>
      </c>
      <c r="Y205" s="49">
        <f t="shared" si="27"/>
        <v>0.3071161049</v>
      </c>
      <c r="Z205" s="32" t="str">
        <f t="shared" si="28"/>
        <v>Jango</v>
      </c>
      <c r="AA205" s="50"/>
    </row>
    <row r="206">
      <c r="A206" s="110" t="s">
        <v>85</v>
      </c>
      <c r="B206" s="46" t="s">
        <v>2886</v>
      </c>
      <c r="C206" s="47"/>
      <c r="D206" s="38">
        <v>206.0</v>
      </c>
      <c r="E206" s="38">
        <v>88.0</v>
      </c>
      <c r="F206" s="38">
        <v>42.0</v>
      </c>
      <c r="G206" s="38">
        <v>5.0</v>
      </c>
      <c r="H206" s="38">
        <v>7.0</v>
      </c>
      <c r="I206" s="48">
        <f t="shared" si="17"/>
        <v>336</v>
      </c>
      <c r="J206" s="48">
        <f t="shared" si="18"/>
        <v>348</v>
      </c>
      <c r="K206" s="49">
        <f t="shared" si="19"/>
        <v>0.6130952381</v>
      </c>
      <c r="L206" s="49">
        <f t="shared" si="20"/>
        <v>0.2619047619</v>
      </c>
      <c r="M206" s="49">
        <f t="shared" si="21"/>
        <v>0.125</v>
      </c>
      <c r="N206" s="32" t="str">
        <f t="shared" si="22"/>
        <v>Jânio</v>
      </c>
      <c r="O206" s="50"/>
      <c r="P206" s="38">
        <v>74.0</v>
      </c>
      <c r="Q206" s="38">
        <v>144.0</v>
      </c>
      <c r="R206" s="38">
        <v>61.0</v>
      </c>
      <c r="S206" s="38">
        <v>61.0</v>
      </c>
      <c r="T206" s="38">
        <v>8.0</v>
      </c>
      <c r="U206" s="48">
        <f t="shared" si="23"/>
        <v>279</v>
      </c>
      <c r="V206" s="48">
        <f t="shared" si="24"/>
        <v>348</v>
      </c>
      <c r="W206" s="49">
        <f t="shared" si="25"/>
        <v>0.2652329749</v>
      </c>
      <c r="X206" s="49">
        <f t="shared" si="26"/>
        <v>0.5161290323</v>
      </c>
      <c r="Y206" s="49">
        <f t="shared" si="27"/>
        <v>0.2186379928</v>
      </c>
      <c r="Z206" s="32" t="str">
        <f t="shared" si="28"/>
        <v>Milton</v>
      </c>
      <c r="AA206" s="50"/>
    </row>
    <row r="207">
      <c r="A207" s="110" t="s">
        <v>85</v>
      </c>
      <c r="B207" s="46" t="s">
        <v>2456</v>
      </c>
      <c r="C207" s="47"/>
      <c r="D207" s="38">
        <v>208.0</v>
      </c>
      <c r="E207" s="38">
        <v>89.0</v>
      </c>
      <c r="F207" s="38">
        <v>54.0</v>
      </c>
      <c r="G207" s="38">
        <v>5.0</v>
      </c>
      <c r="H207" s="38">
        <v>3.0</v>
      </c>
      <c r="I207" s="48">
        <f t="shared" si="17"/>
        <v>351</v>
      </c>
      <c r="J207" s="48">
        <f t="shared" si="18"/>
        <v>359</v>
      </c>
      <c r="K207" s="49">
        <f t="shared" si="19"/>
        <v>0.5925925926</v>
      </c>
      <c r="L207" s="49">
        <f t="shared" si="20"/>
        <v>0.2535612536</v>
      </c>
      <c r="M207" s="49">
        <f t="shared" si="21"/>
        <v>0.1538461538</v>
      </c>
      <c r="N207" s="32" t="str">
        <f t="shared" si="22"/>
        <v>Jânio</v>
      </c>
      <c r="O207" s="50"/>
      <c r="P207" s="38">
        <v>60.0</v>
      </c>
      <c r="Q207" s="38">
        <v>149.0</v>
      </c>
      <c r="R207" s="38">
        <v>116.0</v>
      </c>
      <c r="S207" s="38">
        <v>33.0</v>
      </c>
      <c r="T207" s="38">
        <v>1.0</v>
      </c>
      <c r="U207" s="48">
        <f t="shared" si="23"/>
        <v>325</v>
      </c>
      <c r="V207" s="48">
        <f t="shared" si="24"/>
        <v>359</v>
      </c>
      <c r="W207" s="49">
        <f t="shared" si="25"/>
        <v>0.1846153846</v>
      </c>
      <c r="X207" s="49">
        <f t="shared" si="26"/>
        <v>0.4584615385</v>
      </c>
      <c r="Y207" s="49">
        <f t="shared" si="27"/>
        <v>0.3569230769</v>
      </c>
      <c r="Z207" s="32" t="str">
        <f t="shared" si="28"/>
        <v>Milton</v>
      </c>
      <c r="AA207" s="50"/>
    </row>
    <row r="208">
      <c r="A208" s="110" t="s">
        <v>85</v>
      </c>
      <c r="B208" s="46" t="s">
        <v>2385</v>
      </c>
      <c r="C208" s="47"/>
      <c r="D208" s="38">
        <v>165.0</v>
      </c>
      <c r="E208" s="38">
        <v>77.0</v>
      </c>
      <c r="F208" s="38">
        <v>88.0</v>
      </c>
      <c r="G208" s="38">
        <v>13.0</v>
      </c>
      <c r="H208" s="38">
        <v>4.0</v>
      </c>
      <c r="I208" s="48">
        <f t="shared" si="17"/>
        <v>330</v>
      </c>
      <c r="J208" s="48">
        <f t="shared" si="18"/>
        <v>347</v>
      </c>
      <c r="K208" s="49">
        <f t="shared" si="19"/>
        <v>0.5</v>
      </c>
      <c r="L208" s="49">
        <f t="shared" si="20"/>
        <v>0.2333333333</v>
      </c>
      <c r="M208" s="49">
        <f t="shared" si="21"/>
        <v>0.2666666667</v>
      </c>
      <c r="N208" s="32" t="str">
        <f t="shared" si="22"/>
        <v>Jânio</v>
      </c>
      <c r="O208" s="50"/>
      <c r="P208" s="38">
        <v>81.0</v>
      </c>
      <c r="Q208" s="38">
        <v>121.0</v>
      </c>
      <c r="R208" s="38">
        <v>79.0</v>
      </c>
      <c r="S208" s="38">
        <v>61.0</v>
      </c>
      <c r="T208" s="38">
        <v>5.0</v>
      </c>
      <c r="U208" s="48">
        <f t="shared" si="23"/>
        <v>281</v>
      </c>
      <c r="V208" s="48">
        <f t="shared" si="24"/>
        <v>347</v>
      </c>
      <c r="W208" s="49">
        <f t="shared" si="25"/>
        <v>0.2882562278</v>
      </c>
      <c r="X208" s="49">
        <f t="shared" si="26"/>
        <v>0.4306049822</v>
      </c>
      <c r="Y208" s="49">
        <f t="shared" si="27"/>
        <v>0.28113879</v>
      </c>
      <c r="Z208" s="32" t="str">
        <f t="shared" si="28"/>
        <v>Milton</v>
      </c>
      <c r="AA208" s="50"/>
    </row>
    <row r="209">
      <c r="A209" s="110" t="s">
        <v>85</v>
      </c>
      <c r="B209" s="46" t="s">
        <v>218</v>
      </c>
      <c r="C209" s="47"/>
      <c r="D209" s="38">
        <v>241.0</v>
      </c>
      <c r="E209" s="38">
        <v>70.0</v>
      </c>
      <c r="F209" s="38">
        <v>53.0</v>
      </c>
      <c r="G209" s="38">
        <v>0.0</v>
      </c>
      <c r="H209" s="38">
        <v>0.0</v>
      </c>
      <c r="I209" s="48">
        <f t="shared" si="17"/>
        <v>364</v>
      </c>
      <c r="J209" s="48">
        <f t="shared" si="18"/>
        <v>364</v>
      </c>
      <c r="K209" s="49">
        <f t="shared" si="19"/>
        <v>0.6620879121</v>
      </c>
      <c r="L209" s="49">
        <f t="shared" si="20"/>
        <v>0.1923076923</v>
      </c>
      <c r="M209" s="49">
        <f t="shared" si="21"/>
        <v>0.1456043956</v>
      </c>
      <c r="N209" s="32" t="str">
        <f t="shared" si="22"/>
        <v>Jânio</v>
      </c>
      <c r="O209" s="50"/>
      <c r="P209" s="38">
        <v>45.0</v>
      </c>
      <c r="Q209" s="38">
        <v>186.0</v>
      </c>
      <c r="R209" s="38">
        <v>81.0</v>
      </c>
      <c r="S209" s="38">
        <v>56.0</v>
      </c>
      <c r="T209" s="38">
        <v>0.0</v>
      </c>
      <c r="U209" s="48">
        <f t="shared" si="23"/>
        <v>312</v>
      </c>
      <c r="V209" s="48">
        <f t="shared" si="24"/>
        <v>368</v>
      </c>
      <c r="W209" s="49">
        <f t="shared" si="25"/>
        <v>0.1442307692</v>
      </c>
      <c r="X209" s="49">
        <f t="shared" si="26"/>
        <v>0.5961538462</v>
      </c>
      <c r="Y209" s="49">
        <f t="shared" si="27"/>
        <v>0.2596153846</v>
      </c>
      <c r="Z209" s="32" t="str">
        <f t="shared" si="28"/>
        <v>Milton</v>
      </c>
      <c r="AA209" s="50"/>
    </row>
    <row r="210">
      <c r="A210" s="110" t="s">
        <v>85</v>
      </c>
      <c r="B210" s="46" t="s">
        <v>143</v>
      </c>
      <c r="C210" s="47"/>
      <c r="D210" s="38">
        <v>59.0</v>
      </c>
      <c r="E210" s="38">
        <v>170.0</v>
      </c>
      <c r="F210" s="38">
        <v>125.0</v>
      </c>
      <c r="G210" s="38">
        <v>17.0</v>
      </c>
      <c r="H210" s="38">
        <v>2.0</v>
      </c>
      <c r="I210" s="48">
        <f t="shared" si="17"/>
        <v>354</v>
      </c>
      <c r="J210" s="48">
        <f t="shared" si="18"/>
        <v>373</v>
      </c>
      <c r="K210" s="49">
        <f t="shared" si="19"/>
        <v>0.1666666667</v>
      </c>
      <c r="L210" s="49">
        <f t="shared" si="20"/>
        <v>0.4802259887</v>
      </c>
      <c r="M210" s="49">
        <f t="shared" si="21"/>
        <v>0.3531073446</v>
      </c>
      <c r="N210" s="32" t="str">
        <f t="shared" si="22"/>
        <v>Mal. Lott</v>
      </c>
      <c r="O210" s="50"/>
      <c r="P210" s="38">
        <v>158.0</v>
      </c>
      <c r="Q210" s="38">
        <v>35.0</v>
      </c>
      <c r="R210" s="38">
        <v>104.0</v>
      </c>
      <c r="S210" s="38">
        <v>72.0</v>
      </c>
      <c r="T210" s="38">
        <v>4.0</v>
      </c>
      <c r="U210" s="48">
        <f t="shared" si="23"/>
        <v>297</v>
      </c>
      <c r="V210" s="48">
        <f t="shared" si="24"/>
        <v>373</v>
      </c>
      <c r="W210" s="49">
        <f t="shared" si="25"/>
        <v>0.531986532</v>
      </c>
      <c r="X210" s="49">
        <f t="shared" si="26"/>
        <v>0.1178451178</v>
      </c>
      <c r="Y210" s="49">
        <f t="shared" si="27"/>
        <v>0.3501683502</v>
      </c>
      <c r="Z210" s="32" t="str">
        <f t="shared" si="28"/>
        <v>Jango</v>
      </c>
      <c r="AA210" s="50"/>
    </row>
    <row r="211">
      <c r="A211" s="110" t="s">
        <v>85</v>
      </c>
      <c r="B211" s="46" t="s">
        <v>529</v>
      </c>
      <c r="C211" s="47"/>
      <c r="D211" s="38">
        <v>70.0</v>
      </c>
      <c r="E211" s="38">
        <v>137.0</v>
      </c>
      <c r="F211" s="38">
        <v>95.0</v>
      </c>
      <c r="G211" s="38">
        <v>21.0</v>
      </c>
      <c r="H211" s="38">
        <v>6.0</v>
      </c>
      <c r="I211" s="48">
        <f t="shared" si="17"/>
        <v>302</v>
      </c>
      <c r="J211" s="48">
        <f t="shared" si="18"/>
        <v>329</v>
      </c>
      <c r="K211" s="49">
        <f t="shared" si="19"/>
        <v>0.2317880795</v>
      </c>
      <c r="L211" s="49">
        <f t="shared" si="20"/>
        <v>0.4536423841</v>
      </c>
      <c r="M211" s="49">
        <f t="shared" si="21"/>
        <v>0.3145695364</v>
      </c>
      <c r="N211" s="32" t="str">
        <f t="shared" si="22"/>
        <v>Mal. Lott</v>
      </c>
      <c r="O211" s="50"/>
      <c r="P211" s="38">
        <v>119.0</v>
      </c>
      <c r="Q211" s="38">
        <v>37.0</v>
      </c>
      <c r="R211" s="38">
        <v>92.0</v>
      </c>
      <c r="S211" s="38">
        <v>75.0</v>
      </c>
      <c r="T211" s="38">
        <v>6.0</v>
      </c>
      <c r="U211" s="48">
        <f t="shared" si="23"/>
        <v>248</v>
      </c>
      <c r="V211" s="48">
        <f t="shared" si="24"/>
        <v>329</v>
      </c>
      <c r="W211" s="49">
        <f t="shared" si="25"/>
        <v>0.4798387097</v>
      </c>
      <c r="X211" s="49">
        <f t="shared" si="26"/>
        <v>0.1491935484</v>
      </c>
      <c r="Y211" s="49">
        <f t="shared" si="27"/>
        <v>0.3709677419</v>
      </c>
      <c r="Z211" s="32" t="str">
        <f t="shared" si="28"/>
        <v>Jango</v>
      </c>
      <c r="AA211" s="50"/>
    </row>
    <row r="212">
      <c r="A212" s="110" t="s">
        <v>85</v>
      </c>
      <c r="B212" s="46" t="s">
        <v>880</v>
      </c>
      <c r="C212" s="47"/>
      <c r="D212" s="38">
        <v>231.0</v>
      </c>
      <c r="E212" s="38">
        <v>82.0</v>
      </c>
      <c r="F212" s="38">
        <v>34.0</v>
      </c>
      <c r="G212" s="38">
        <v>5.0</v>
      </c>
      <c r="H212" s="38">
        <v>3.0</v>
      </c>
      <c r="I212" s="48">
        <f t="shared" si="17"/>
        <v>347</v>
      </c>
      <c r="J212" s="48">
        <f t="shared" si="18"/>
        <v>355</v>
      </c>
      <c r="K212" s="49">
        <f t="shared" si="19"/>
        <v>0.6657060519</v>
      </c>
      <c r="L212" s="49">
        <f t="shared" si="20"/>
        <v>0.2363112392</v>
      </c>
      <c r="M212" s="49">
        <f t="shared" si="21"/>
        <v>0.09798270893</v>
      </c>
      <c r="N212" s="32" t="str">
        <f t="shared" si="22"/>
        <v>Jânio</v>
      </c>
      <c r="O212" s="50"/>
      <c r="P212" s="38">
        <v>55.0</v>
      </c>
      <c r="Q212" s="38">
        <v>192.0</v>
      </c>
      <c r="R212" s="38">
        <v>56.0</v>
      </c>
      <c r="S212" s="38">
        <v>51.0</v>
      </c>
      <c r="T212" s="38">
        <v>1.0</v>
      </c>
      <c r="U212" s="48">
        <f t="shared" si="23"/>
        <v>303</v>
      </c>
      <c r="V212" s="48">
        <f t="shared" si="24"/>
        <v>355</v>
      </c>
      <c r="W212" s="49">
        <f t="shared" si="25"/>
        <v>0.1815181518</v>
      </c>
      <c r="X212" s="49">
        <f t="shared" si="26"/>
        <v>0.6336633663</v>
      </c>
      <c r="Y212" s="49">
        <f t="shared" si="27"/>
        <v>0.1848184818</v>
      </c>
      <c r="Z212" s="32" t="str">
        <f t="shared" si="28"/>
        <v>Milton</v>
      </c>
      <c r="AA212" s="50"/>
    </row>
    <row r="213">
      <c r="A213" s="110" t="s">
        <v>85</v>
      </c>
      <c r="B213" s="46" t="s">
        <v>549</v>
      </c>
      <c r="C213" s="47"/>
      <c r="D213" s="38">
        <v>248.0</v>
      </c>
      <c r="E213" s="38">
        <v>58.0</v>
      </c>
      <c r="F213" s="38">
        <v>32.0</v>
      </c>
      <c r="G213" s="38">
        <v>3.0</v>
      </c>
      <c r="H213" s="38">
        <v>1.0</v>
      </c>
      <c r="I213" s="48">
        <f t="shared" si="17"/>
        <v>338</v>
      </c>
      <c r="J213" s="48">
        <f t="shared" si="18"/>
        <v>342</v>
      </c>
      <c r="K213" s="49">
        <f t="shared" si="19"/>
        <v>0.7337278107</v>
      </c>
      <c r="L213" s="49">
        <f t="shared" si="20"/>
        <v>0.1715976331</v>
      </c>
      <c r="M213" s="49">
        <f t="shared" si="21"/>
        <v>0.09467455621</v>
      </c>
      <c r="N213" s="32" t="str">
        <f t="shared" si="22"/>
        <v>Jânio</v>
      </c>
      <c r="O213" s="50"/>
      <c r="P213" s="38">
        <v>53.0</v>
      </c>
      <c r="Q213" s="38">
        <v>200.0</v>
      </c>
      <c r="R213" s="38">
        <v>46.0</v>
      </c>
      <c r="S213" s="38">
        <v>43.0</v>
      </c>
      <c r="T213" s="38">
        <v>0.0</v>
      </c>
      <c r="U213" s="48">
        <f t="shared" si="23"/>
        <v>299</v>
      </c>
      <c r="V213" s="48">
        <f t="shared" si="24"/>
        <v>342</v>
      </c>
      <c r="W213" s="49">
        <f t="shared" si="25"/>
        <v>0.1772575251</v>
      </c>
      <c r="X213" s="49">
        <f t="shared" si="26"/>
        <v>0.6688963211</v>
      </c>
      <c r="Y213" s="49">
        <f t="shared" si="27"/>
        <v>0.1538461538</v>
      </c>
      <c r="Z213" s="32" t="str">
        <f t="shared" si="28"/>
        <v>Milton</v>
      </c>
      <c r="AA213" s="50"/>
    </row>
    <row r="214">
      <c r="A214" s="110" t="s">
        <v>85</v>
      </c>
      <c r="B214" s="46" t="s">
        <v>117</v>
      </c>
      <c r="C214" s="47"/>
      <c r="D214" s="38">
        <v>69.0</v>
      </c>
      <c r="E214" s="38">
        <v>191.0</v>
      </c>
      <c r="F214" s="38">
        <v>98.0</v>
      </c>
      <c r="G214" s="38">
        <v>20.0</v>
      </c>
      <c r="H214" s="38">
        <v>8.0</v>
      </c>
      <c r="I214" s="48">
        <f t="shared" si="17"/>
        <v>358</v>
      </c>
      <c r="J214" s="48">
        <f t="shared" si="18"/>
        <v>386</v>
      </c>
      <c r="K214" s="49">
        <f t="shared" si="19"/>
        <v>0.1927374302</v>
      </c>
      <c r="L214" s="49">
        <f t="shared" si="20"/>
        <v>0.5335195531</v>
      </c>
      <c r="M214" s="49">
        <f t="shared" si="21"/>
        <v>0.2737430168</v>
      </c>
      <c r="N214" s="32" t="str">
        <f t="shared" si="22"/>
        <v>Mal. Lott</v>
      </c>
      <c r="O214" s="50"/>
      <c r="P214" s="38">
        <v>189.0</v>
      </c>
      <c r="Q214" s="38">
        <v>45.0</v>
      </c>
      <c r="R214" s="38">
        <v>66.0</v>
      </c>
      <c r="S214" s="38">
        <v>84.0</v>
      </c>
      <c r="T214" s="38">
        <v>2.0</v>
      </c>
      <c r="U214" s="48">
        <f t="shared" si="23"/>
        <v>300</v>
      </c>
      <c r="V214" s="48">
        <f t="shared" si="24"/>
        <v>386</v>
      </c>
      <c r="W214" s="49">
        <f t="shared" si="25"/>
        <v>0.63</v>
      </c>
      <c r="X214" s="49">
        <f t="shared" si="26"/>
        <v>0.15</v>
      </c>
      <c r="Y214" s="49">
        <f t="shared" si="27"/>
        <v>0.22</v>
      </c>
      <c r="Z214" s="32" t="str">
        <f t="shared" si="28"/>
        <v>Jango</v>
      </c>
      <c r="AA214" s="50"/>
    </row>
    <row r="215">
      <c r="A215" s="110" t="s">
        <v>85</v>
      </c>
      <c r="B215" s="46" t="s">
        <v>2890</v>
      </c>
      <c r="C215" s="47"/>
      <c r="D215" s="38">
        <v>189.0</v>
      </c>
      <c r="E215" s="38">
        <v>82.0</v>
      </c>
      <c r="F215" s="38">
        <v>40.0</v>
      </c>
      <c r="G215" s="38">
        <v>11.0</v>
      </c>
      <c r="H215" s="38">
        <v>8.0</v>
      </c>
      <c r="I215" s="48">
        <f t="shared" si="17"/>
        <v>311</v>
      </c>
      <c r="J215" s="48">
        <f t="shared" si="18"/>
        <v>330</v>
      </c>
      <c r="K215" s="49">
        <f t="shared" si="19"/>
        <v>0.6077170418</v>
      </c>
      <c r="L215" s="49">
        <f t="shared" si="20"/>
        <v>0.2636655949</v>
      </c>
      <c r="M215" s="49">
        <f t="shared" si="21"/>
        <v>0.1286173633</v>
      </c>
      <c r="N215" s="32" t="str">
        <f t="shared" si="22"/>
        <v>Jânio</v>
      </c>
      <c r="O215" s="50"/>
      <c r="P215" s="38">
        <v>70.0</v>
      </c>
      <c r="Q215" s="38">
        <v>123.0</v>
      </c>
      <c r="R215" s="38">
        <v>61.0</v>
      </c>
      <c r="S215" s="38">
        <v>68.0</v>
      </c>
      <c r="T215" s="38">
        <v>8.0</v>
      </c>
      <c r="U215" s="48">
        <f t="shared" si="23"/>
        <v>254</v>
      </c>
      <c r="V215" s="48">
        <f t="shared" si="24"/>
        <v>330</v>
      </c>
      <c r="W215" s="49">
        <f t="shared" si="25"/>
        <v>0.2755905512</v>
      </c>
      <c r="X215" s="49">
        <f t="shared" si="26"/>
        <v>0.4842519685</v>
      </c>
      <c r="Y215" s="49">
        <f t="shared" si="27"/>
        <v>0.2401574803</v>
      </c>
      <c r="Z215" s="32" t="str">
        <f t="shared" si="28"/>
        <v>Milton</v>
      </c>
      <c r="AA215" s="50"/>
    </row>
    <row r="216">
      <c r="A216" s="110" t="s">
        <v>85</v>
      </c>
      <c r="B216" s="46" t="s">
        <v>578</v>
      </c>
      <c r="C216" s="47"/>
      <c r="D216" s="38">
        <v>205.0</v>
      </c>
      <c r="E216" s="38">
        <v>97.0</v>
      </c>
      <c r="F216" s="38">
        <v>51.0</v>
      </c>
      <c r="G216" s="38">
        <v>3.0</v>
      </c>
      <c r="H216" s="38">
        <v>3.0</v>
      </c>
      <c r="I216" s="48">
        <f t="shared" si="17"/>
        <v>353</v>
      </c>
      <c r="J216" s="48">
        <f t="shared" si="18"/>
        <v>359</v>
      </c>
      <c r="K216" s="49">
        <f t="shared" si="19"/>
        <v>0.5807365439</v>
      </c>
      <c r="L216" s="49">
        <f t="shared" si="20"/>
        <v>0.2747875354</v>
      </c>
      <c r="M216" s="49">
        <f t="shared" si="21"/>
        <v>0.1444759207</v>
      </c>
      <c r="N216" s="32" t="str">
        <f t="shared" si="22"/>
        <v>Jânio</v>
      </c>
      <c r="O216" s="50"/>
      <c r="P216" s="38">
        <v>75.0</v>
      </c>
      <c r="Q216" s="38">
        <v>147.0</v>
      </c>
      <c r="R216" s="38">
        <v>57.0</v>
      </c>
      <c r="S216" s="38">
        <v>77.0</v>
      </c>
      <c r="T216" s="38">
        <v>3.0</v>
      </c>
      <c r="U216" s="48">
        <f t="shared" si="23"/>
        <v>279</v>
      </c>
      <c r="V216" s="48">
        <f t="shared" si="24"/>
        <v>359</v>
      </c>
      <c r="W216" s="49">
        <f t="shared" si="25"/>
        <v>0.2688172043</v>
      </c>
      <c r="X216" s="49">
        <f t="shared" si="26"/>
        <v>0.5268817204</v>
      </c>
      <c r="Y216" s="49">
        <f t="shared" si="27"/>
        <v>0.2043010753</v>
      </c>
      <c r="Z216" s="32" t="str">
        <f t="shared" si="28"/>
        <v>Milton</v>
      </c>
      <c r="AA216" s="50"/>
    </row>
    <row r="217">
      <c r="A217" s="110" t="s">
        <v>85</v>
      </c>
      <c r="B217" s="46" t="s">
        <v>537</v>
      </c>
      <c r="C217" s="47"/>
      <c r="D217" s="38">
        <v>217.0</v>
      </c>
      <c r="E217" s="38">
        <v>105.0</v>
      </c>
      <c r="F217" s="38">
        <v>30.0</v>
      </c>
      <c r="G217" s="38">
        <v>5.0</v>
      </c>
      <c r="H217" s="38">
        <v>4.0</v>
      </c>
      <c r="I217" s="48">
        <f t="shared" si="17"/>
        <v>352</v>
      </c>
      <c r="J217" s="48">
        <f t="shared" si="18"/>
        <v>361</v>
      </c>
      <c r="K217" s="49">
        <f t="shared" si="19"/>
        <v>0.6164772727</v>
      </c>
      <c r="L217" s="49">
        <f t="shared" si="20"/>
        <v>0.2982954545</v>
      </c>
      <c r="M217" s="49">
        <f t="shared" si="21"/>
        <v>0.08522727273</v>
      </c>
      <c r="N217" s="32" t="str">
        <f t="shared" si="22"/>
        <v>Jânio</v>
      </c>
      <c r="O217" s="50"/>
      <c r="P217" s="38">
        <v>69.0</v>
      </c>
      <c r="Q217" s="38">
        <v>160.0</v>
      </c>
      <c r="R217" s="38">
        <v>47.0</v>
      </c>
      <c r="S217" s="38">
        <v>82.0</v>
      </c>
      <c r="T217" s="38">
        <v>3.0</v>
      </c>
      <c r="U217" s="48">
        <f t="shared" si="23"/>
        <v>276</v>
      </c>
      <c r="V217" s="48">
        <f t="shared" si="24"/>
        <v>361</v>
      </c>
      <c r="W217" s="49">
        <f t="shared" si="25"/>
        <v>0.25</v>
      </c>
      <c r="X217" s="49">
        <f t="shared" si="26"/>
        <v>0.5797101449</v>
      </c>
      <c r="Y217" s="49">
        <f t="shared" si="27"/>
        <v>0.1702898551</v>
      </c>
      <c r="Z217" s="32" t="str">
        <f t="shared" si="28"/>
        <v>Milton</v>
      </c>
      <c r="AA217" s="50"/>
    </row>
    <row r="218">
      <c r="A218" s="110" t="s">
        <v>85</v>
      </c>
      <c r="B218" s="46" t="s">
        <v>2474</v>
      </c>
      <c r="C218" s="47"/>
      <c r="D218" s="38">
        <v>232.0</v>
      </c>
      <c r="E218" s="38">
        <v>79.0</v>
      </c>
      <c r="F218" s="38">
        <v>38.0</v>
      </c>
      <c r="G218" s="38">
        <v>6.0</v>
      </c>
      <c r="H218" s="38">
        <v>0.0</v>
      </c>
      <c r="I218" s="48">
        <f t="shared" si="17"/>
        <v>349</v>
      </c>
      <c r="J218" s="48">
        <f t="shared" si="18"/>
        <v>355</v>
      </c>
      <c r="K218" s="49">
        <f t="shared" si="19"/>
        <v>0.664756447</v>
      </c>
      <c r="L218" s="49">
        <f t="shared" si="20"/>
        <v>0.2263610315</v>
      </c>
      <c r="M218" s="49">
        <f t="shared" si="21"/>
        <v>0.1088825215</v>
      </c>
      <c r="N218" s="32" t="str">
        <f t="shared" si="22"/>
        <v>Jânio</v>
      </c>
      <c r="O218" s="50"/>
      <c r="P218" s="38">
        <v>51.0</v>
      </c>
      <c r="Q218" s="38">
        <v>186.0</v>
      </c>
      <c r="R218" s="38">
        <v>63.0</v>
      </c>
      <c r="S218" s="38">
        <v>55.0</v>
      </c>
      <c r="T218" s="38">
        <v>1.0</v>
      </c>
      <c r="U218" s="48">
        <f t="shared" si="23"/>
        <v>300</v>
      </c>
      <c r="V218" s="48">
        <f t="shared" si="24"/>
        <v>356</v>
      </c>
      <c r="W218" s="49">
        <f t="shared" si="25"/>
        <v>0.17</v>
      </c>
      <c r="X218" s="49">
        <f t="shared" si="26"/>
        <v>0.62</v>
      </c>
      <c r="Y218" s="49">
        <f t="shared" si="27"/>
        <v>0.21</v>
      </c>
      <c r="Z218" s="32" t="str">
        <f t="shared" si="28"/>
        <v>Milton</v>
      </c>
      <c r="AA218" s="50"/>
    </row>
    <row r="219">
      <c r="A219" s="110" t="s">
        <v>85</v>
      </c>
      <c r="B219" s="46" t="s">
        <v>2361</v>
      </c>
      <c r="C219" s="47"/>
      <c r="D219" s="38">
        <v>141.0</v>
      </c>
      <c r="E219" s="38">
        <v>105.0</v>
      </c>
      <c r="F219" s="38">
        <v>70.0</v>
      </c>
      <c r="G219" s="38">
        <v>7.0</v>
      </c>
      <c r="H219" s="38">
        <v>6.0</v>
      </c>
      <c r="I219" s="48">
        <f t="shared" si="17"/>
        <v>316</v>
      </c>
      <c r="J219" s="48">
        <f t="shared" si="18"/>
        <v>329</v>
      </c>
      <c r="K219" s="49">
        <f t="shared" si="19"/>
        <v>0.4462025316</v>
      </c>
      <c r="L219" s="49">
        <f t="shared" si="20"/>
        <v>0.332278481</v>
      </c>
      <c r="M219" s="49">
        <f t="shared" si="21"/>
        <v>0.2215189873</v>
      </c>
      <c r="N219" s="32" t="str">
        <f t="shared" si="22"/>
        <v>Jânio</v>
      </c>
      <c r="O219" s="50"/>
      <c r="P219" s="38">
        <v>70.0</v>
      </c>
      <c r="Q219" s="38">
        <v>99.0</v>
      </c>
      <c r="R219" s="38">
        <v>80.0</v>
      </c>
      <c r="S219" s="38">
        <v>79.0</v>
      </c>
      <c r="T219" s="38">
        <v>1.0</v>
      </c>
      <c r="U219" s="48">
        <f t="shared" si="23"/>
        <v>249</v>
      </c>
      <c r="V219" s="48">
        <f t="shared" si="24"/>
        <v>329</v>
      </c>
      <c r="W219" s="49">
        <f t="shared" si="25"/>
        <v>0.281124498</v>
      </c>
      <c r="X219" s="49">
        <f t="shared" si="26"/>
        <v>0.3975903614</v>
      </c>
      <c r="Y219" s="49">
        <f t="shared" si="27"/>
        <v>0.3212851406</v>
      </c>
      <c r="Z219" s="32" t="str">
        <f t="shared" si="28"/>
        <v>Milton</v>
      </c>
      <c r="AA219" s="50"/>
    </row>
    <row r="220">
      <c r="A220" s="110" t="s">
        <v>85</v>
      </c>
      <c r="B220" s="46" t="s">
        <v>1236</v>
      </c>
      <c r="C220" s="47"/>
      <c r="D220" s="38">
        <v>228.0</v>
      </c>
      <c r="E220" s="38">
        <v>94.0</v>
      </c>
      <c r="F220" s="38">
        <v>25.0</v>
      </c>
      <c r="G220" s="38">
        <v>1.0</v>
      </c>
      <c r="H220" s="38">
        <v>3.0</v>
      </c>
      <c r="I220" s="48">
        <f t="shared" si="17"/>
        <v>347</v>
      </c>
      <c r="J220" s="48">
        <f t="shared" si="18"/>
        <v>351</v>
      </c>
      <c r="K220" s="49">
        <f t="shared" si="19"/>
        <v>0.6570605187</v>
      </c>
      <c r="L220" s="49">
        <f t="shared" si="20"/>
        <v>0.2708933718</v>
      </c>
      <c r="M220" s="49">
        <f t="shared" si="21"/>
        <v>0.07204610951</v>
      </c>
      <c r="N220" s="32" t="str">
        <f t="shared" si="22"/>
        <v>Jânio</v>
      </c>
      <c r="O220" s="50"/>
      <c r="P220" s="38">
        <v>66.0</v>
      </c>
      <c r="Q220" s="38">
        <v>196.0</v>
      </c>
      <c r="R220" s="38">
        <v>50.0</v>
      </c>
      <c r="S220" s="38">
        <v>37.0</v>
      </c>
      <c r="T220" s="38">
        <v>2.0</v>
      </c>
      <c r="U220" s="48">
        <f t="shared" si="23"/>
        <v>312</v>
      </c>
      <c r="V220" s="48">
        <f t="shared" si="24"/>
        <v>351</v>
      </c>
      <c r="W220" s="49">
        <f t="shared" si="25"/>
        <v>0.2115384615</v>
      </c>
      <c r="X220" s="49">
        <f t="shared" si="26"/>
        <v>0.6282051282</v>
      </c>
      <c r="Y220" s="49">
        <f t="shared" si="27"/>
        <v>0.1602564103</v>
      </c>
      <c r="Z220" s="32" t="str">
        <f t="shared" si="28"/>
        <v>Milton</v>
      </c>
      <c r="AA220" s="50"/>
    </row>
    <row r="221">
      <c r="A221" s="110" t="s">
        <v>85</v>
      </c>
      <c r="B221" s="46" t="s">
        <v>522</v>
      </c>
      <c r="C221" s="47"/>
      <c r="D221" s="38">
        <v>189.0</v>
      </c>
      <c r="E221" s="38">
        <v>80.0</v>
      </c>
      <c r="F221" s="38">
        <v>62.0</v>
      </c>
      <c r="G221" s="38">
        <v>13.0</v>
      </c>
      <c r="H221" s="38">
        <v>1.0</v>
      </c>
      <c r="I221" s="48">
        <f t="shared" si="17"/>
        <v>331</v>
      </c>
      <c r="J221" s="48">
        <f t="shared" si="18"/>
        <v>345</v>
      </c>
      <c r="K221" s="49">
        <f t="shared" si="19"/>
        <v>0.5709969789</v>
      </c>
      <c r="L221" s="49">
        <f t="shared" si="20"/>
        <v>0.2416918429</v>
      </c>
      <c r="M221" s="49">
        <f t="shared" si="21"/>
        <v>0.1873111782</v>
      </c>
      <c r="N221" s="32" t="str">
        <f t="shared" si="22"/>
        <v>Jânio</v>
      </c>
      <c r="O221" s="50"/>
      <c r="P221" s="38">
        <v>75.0</v>
      </c>
      <c r="Q221" s="38">
        <v>146.0</v>
      </c>
      <c r="R221" s="38">
        <v>46.0</v>
      </c>
      <c r="S221" s="38">
        <v>77.0</v>
      </c>
      <c r="T221" s="38">
        <v>1.0</v>
      </c>
      <c r="U221" s="48">
        <f t="shared" si="23"/>
        <v>267</v>
      </c>
      <c r="V221" s="48">
        <f t="shared" si="24"/>
        <v>345</v>
      </c>
      <c r="W221" s="49">
        <f t="shared" si="25"/>
        <v>0.2808988764</v>
      </c>
      <c r="X221" s="49">
        <f t="shared" si="26"/>
        <v>0.5468164794</v>
      </c>
      <c r="Y221" s="49">
        <f t="shared" si="27"/>
        <v>0.1722846442</v>
      </c>
      <c r="Z221" s="32" t="str">
        <f t="shared" si="28"/>
        <v>Milton</v>
      </c>
      <c r="AA221" s="50"/>
    </row>
    <row r="222">
      <c r="A222" s="110" t="s">
        <v>85</v>
      </c>
      <c r="B222" s="46" t="s">
        <v>129</v>
      </c>
      <c r="C222" s="47"/>
      <c r="D222" s="38">
        <v>246.0</v>
      </c>
      <c r="E222" s="38">
        <v>77.0</v>
      </c>
      <c r="F222" s="38">
        <v>29.0</v>
      </c>
      <c r="G222" s="38">
        <v>3.0</v>
      </c>
      <c r="H222" s="38">
        <v>2.0</v>
      </c>
      <c r="I222" s="48">
        <f t="shared" si="17"/>
        <v>352</v>
      </c>
      <c r="J222" s="48">
        <f t="shared" si="18"/>
        <v>357</v>
      </c>
      <c r="K222" s="49">
        <f t="shared" si="19"/>
        <v>0.6988636364</v>
      </c>
      <c r="L222" s="49">
        <f t="shared" si="20"/>
        <v>0.21875</v>
      </c>
      <c r="M222" s="49">
        <f t="shared" si="21"/>
        <v>0.08238636364</v>
      </c>
      <c r="N222" s="32" t="str">
        <f t="shared" si="22"/>
        <v>Jânio</v>
      </c>
      <c r="O222" s="50"/>
      <c r="P222" s="38">
        <v>51.0</v>
      </c>
      <c r="Q222" s="38">
        <v>201.0</v>
      </c>
      <c r="R222" s="38">
        <v>6.0</v>
      </c>
      <c r="S222" s="38">
        <v>42.0</v>
      </c>
      <c r="T222" s="38">
        <v>1.0</v>
      </c>
      <c r="U222" s="48">
        <f t="shared" si="23"/>
        <v>258</v>
      </c>
      <c r="V222" s="48">
        <f t="shared" si="24"/>
        <v>301</v>
      </c>
      <c r="W222" s="49">
        <f t="shared" si="25"/>
        <v>0.1976744186</v>
      </c>
      <c r="X222" s="49">
        <f t="shared" si="26"/>
        <v>0.7790697674</v>
      </c>
      <c r="Y222" s="49">
        <f t="shared" si="27"/>
        <v>0.02325581395</v>
      </c>
      <c r="Z222" s="32" t="str">
        <f t="shared" si="28"/>
        <v>Milton</v>
      </c>
      <c r="AA222" s="50"/>
    </row>
    <row r="223">
      <c r="A223" s="110" t="s">
        <v>85</v>
      </c>
      <c r="B223" s="46" t="s">
        <v>2775</v>
      </c>
      <c r="C223" s="47"/>
      <c r="D223" s="38">
        <v>183.0</v>
      </c>
      <c r="E223" s="38">
        <v>95.0</v>
      </c>
      <c r="F223" s="38">
        <v>59.0</v>
      </c>
      <c r="G223" s="38">
        <v>8.0</v>
      </c>
      <c r="H223" s="38">
        <v>3.0</v>
      </c>
      <c r="I223" s="48">
        <f t="shared" si="17"/>
        <v>337</v>
      </c>
      <c r="J223" s="48">
        <f t="shared" si="18"/>
        <v>348</v>
      </c>
      <c r="K223" s="49">
        <f t="shared" si="19"/>
        <v>0.5430267062</v>
      </c>
      <c r="L223" s="49">
        <f t="shared" si="20"/>
        <v>0.2818991098</v>
      </c>
      <c r="M223" s="49">
        <f t="shared" si="21"/>
        <v>0.175074184</v>
      </c>
      <c r="N223" s="32" t="str">
        <f t="shared" si="22"/>
        <v>Jânio</v>
      </c>
      <c r="O223" s="50"/>
      <c r="P223" s="38">
        <v>67.0</v>
      </c>
      <c r="Q223" s="38">
        <v>137.0</v>
      </c>
      <c r="R223" s="38">
        <v>72.0</v>
      </c>
      <c r="S223" s="38">
        <v>70.0</v>
      </c>
      <c r="T223" s="38">
        <v>2.0</v>
      </c>
      <c r="U223" s="48">
        <f t="shared" si="23"/>
        <v>276</v>
      </c>
      <c r="V223" s="48">
        <f t="shared" si="24"/>
        <v>348</v>
      </c>
      <c r="W223" s="49">
        <f t="shared" si="25"/>
        <v>0.2427536232</v>
      </c>
      <c r="X223" s="49">
        <f t="shared" si="26"/>
        <v>0.4963768116</v>
      </c>
      <c r="Y223" s="49">
        <f t="shared" si="27"/>
        <v>0.2608695652</v>
      </c>
      <c r="Z223" s="32" t="str">
        <f t="shared" si="28"/>
        <v>Milton</v>
      </c>
      <c r="AA223" s="50"/>
    </row>
    <row r="224">
      <c r="A224" s="110" t="s">
        <v>85</v>
      </c>
      <c r="B224" s="46" t="s">
        <v>1240</v>
      </c>
      <c r="C224" s="47"/>
      <c r="D224" s="38">
        <v>144.0</v>
      </c>
      <c r="E224" s="38">
        <v>119.0</v>
      </c>
      <c r="F224" s="38">
        <v>76.0</v>
      </c>
      <c r="G224" s="38">
        <v>17.0</v>
      </c>
      <c r="H224" s="38">
        <v>10.0</v>
      </c>
      <c r="I224" s="48">
        <f t="shared" si="17"/>
        <v>339</v>
      </c>
      <c r="J224" s="48">
        <f t="shared" si="18"/>
        <v>366</v>
      </c>
      <c r="K224" s="49">
        <f t="shared" si="19"/>
        <v>0.4247787611</v>
      </c>
      <c r="L224" s="49">
        <f t="shared" si="20"/>
        <v>0.3510324484</v>
      </c>
      <c r="M224" s="49">
        <f t="shared" si="21"/>
        <v>0.2241887906</v>
      </c>
      <c r="N224" s="32" t="str">
        <f t="shared" si="22"/>
        <v>Jânio</v>
      </c>
      <c r="O224" s="50"/>
      <c r="P224" s="38">
        <v>105.0</v>
      </c>
      <c r="Q224" s="38">
        <v>111.0</v>
      </c>
      <c r="R224" s="38">
        <v>69.0</v>
      </c>
      <c r="S224" s="38">
        <v>74.0</v>
      </c>
      <c r="T224" s="38">
        <v>7.0</v>
      </c>
      <c r="U224" s="48">
        <f t="shared" si="23"/>
        <v>285</v>
      </c>
      <c r="V224" s="48">
        <f t="shared" si="24"/>
        <v>366</v>
      </c>
      <c r="W224" s="49">
        <f t="shared" si="25"/>
        <v>0.3684210526</v>
      </c>
      <c r="X224" s="49">
        <f t="shared" si="26"/>
        <v>0.3894736842</v>
      </c>
      <c r="Y224" s="49">
        <f t="shared" si="27"/>
        <v>0.2421052632</v>
      </c>
      <c r="Z224" s="32" t="str">
        <f t="shared" si="28"/>
        <v>Milton</v>
      </c>
      <c r="AA224" s="50"/>
    </row>
    <row r="225">
      <c r="A225" s="110" t="s">
        <v>85</v>
      </c>
      <c r="B225" s="46" t="s">
        <v>864</v>
      </c>
      <c r="C225" s="47"/>
      <c r="D225" s="38">
        <v>266.0</v>
      </c>
      <c r="E225" s="38">
        <v>59.0</v>
      </c>
      <c r="F225" s="38">
        <v>34.0</v>
      </c>
      <c r="G225" s="38">
        <v>1.0</v>
      </c>
      <c r="H225" s="38">
        <v>2.0</v>
      </c>
      <c r="I225" s="48">
        <f t="shared" si="17"/>
        <v>359</v>
      </c>
      <c r="J225" s="48">
        <f t="shared" si="18"/>
        <v>362</v>
      </c>
      <c r="K225" s="49">
        <f t="shared" si="19"/>
        <v>0.7409470752</v>
      </c>
      <c r="L225" s="49">
        <f t="shared" si="20"/>
        <v>0.1643454039</v>
      </c>
      <c r="M225" s="49">
        <f t="shared" si="21"/>
        <v>0.09470752089</v>
      </c>
      <c r="N225" s="32" t="str">
        <f t="shared" si="22"/>
        <v>Jânio</v>
      </c>
      <c r="O225" s="50"/>
      <c r="P225" s="38">
        <v>46.0</v>
      </c>
      <c r="Q225" s="38">
        <v>193.0</v>
      </c>
      <c r="R225" s="38">
        <v>64.0</v>
      </c>
      <c r="S225" s="38">
        <v>59.0</v>
      </c>
      <c r="T225" s="38">
        <v>3.0</v>
      </c>
      <c r="U225" s="48">
        <f t="shared" si="23"/>
        <v>303</v>
      </c>
      <c r="V225" s="48">
        <f t="shared" si="24"/>
        <v>365</v>
      </c>
      <c r="W225" s="49">
        <f t="shared" si="25"/>
        <v>0.1518151815</v>
      </c>
      <c r="X225" s="49">
        <f t="shared" si="26"/>
        <v>0.6369636964</v>
      </c>
      <c r="Y225" s="49">
        <f t="shared" si="27"/>
        <v>0.2112211221</v>
      </c>
      <c r="Z225" s="32" t="str">
        <f t="shared" si="28"/>
        <v>Milton</v>
      </c>
      <c r="AA225" s="50"/>
    </row>
    <row r="226">
      <c r="A226" s="110" t="s">
        <v>85</v>
      </c>
      <c r="B226" s="46" t="s">
        <v>1234</v>
      </c>
      <c r="C226" s="47"/>
      <c r="D226" s="38">
        <v>214.0</v>
      </c>
      <c r="E226" s="38">
        <v>84.0</v>
      </c>
      <c r="F226" s="38">
        <v>40.0</v>
      </c>
      <c r="G226" s="38">
        <v>15.0</v>
      </c>
      <c r="H226" s="38">
        <v>5.0</v>
      </c>
      <c r="I226" s="48">
        <f t="shared" si="17"/>
        <v>338</v>
      </c>
      <c r="J226" s="48">
        <f t="shared" si="18"/>
        <v>358</v>
      </c>
      <c r="K226" s="49">
        <f t="shared" si="19"/>
        <v>0.6331360947</v>
      </c>
      <c r="L226" s="49">
        <f t="shared" si="20"/>
        <v>0.2485207101</v>
      </c>
      <c r="M226" s="49">
        <f t="shared" si="21"/>
        <v>0.1183431953</v>
      </c>
      <c r="N226" s="32" t="str">
        <f t="shared" si="22"/>
        <v>Jânio</v>
      </c>
      <c r="O226" s="50"/>
      <c r="P226" s="38">
        <v>61.0</v>
      </c>
      <c r="Q226" s="38">
        <v>169.0</v>
      </c>
      <c r="R226" s="38">
        <v>51.0</v>
      </c>
      <c r="S226" s="38">
        <v>77.0</v>
      </c>
      <c r="T226" s="38">
        <v>0.0</v>
      </c>
      <c r="U226" s="48">
        <f t="shared" si="23"/>
        <v>281</v>
      </c>
      <c r="V226" s="48">
        <f t="shared" si="24"/>
        <v>358</v>
      </c>
      <c r="W226" s="49">
        <f t="shared" si="25"/>
        <v>0.2170818505</v>
      </c>
      <c r="X226" s="49">
        <f t="shared" si="26"/>
        <v>0.6014234875</v>
      </c>
      <c r="Y226" s="49">
        <f t="shared" si="27"/>
        <v>0.1814946619</v>
      </c>
      <c r="Z226" s="32" t="str">
        <f t="shared" si="28"/>
        <v>Milton</v>
      </c>
      <c r="AA226" s="50"/>
    </row>
    <row r="227">
      <c r="A227" s="110" t="s">
        <v>85</v>
      </c>
      <c r="B227" s="46" t="s">
        <v>2915</v>
      </c>
      <c r="C227" s="47"/>
      <c r="D227" s="38">
        <v>102.0</v>
      </c>
      <c r="E227" s="38">
        <v>65.0</v>
      </c>
      <c r="F227" s="38">
        <v>31.0</v>
      </c>
      <c r="G227" s="38">
        <v>2.0</v>
      </c>
      <c r="H227" s="38">
        <v>3.0</v>
      </c>
      <c r="I227" s="48">
        <f t="shared" si="17"/>
        <v>198</v>
      </c>
      <c r="J227" s="48">
        <f t="shared" si="18"/>
        <v>203</v>
      </c>
      <c r="K227" s="49">
        <f t="shared" si="19"/>
        <v>0.5151515152</v>
      </c>
      <c r="L227" s="49">
        <f t="shared" si="20"/>
        <v>0.3282828283</v>
      </c>
      <c r="M227" s="49">
        <f t="shared" si="21"/>
        <v>0.1565656566</v>
      </c>
      <c r="N227" s="32" t="str">
        <f t="shared" si="22"/>
        <v>Jânio</v>
      </c>
      <c r="O227" s="50"/>
      <c r="P227" s="38">
        <v>58.0</v>
      </c>
      <c r="Q227" s="38">
        <v>68.0</v>
      </c>
      <c r="R227" s="38">
        <v>30.0</v>
      </c>
      <c r="S227" s="38">
        <v>44.0</v>
      </c>
      <c r="T227" s="38">
        <v>3.0</v>
      </c>
      <c r="U227" s="48">
        <f t="shared" si="23"/>
        <v>156</v>
      </c>
      <c r="V227" s="48">
        <f t="shared" si="24"/>
        <v>203</v>
      </c>
      <c r="W227" s="49">
        <f t="shared" si="25"/>
        <v>0.3717948718</v>
      </c>
      <c r="X227" s="49">
        <f t="shared" si="26"/>
        <v>0.4358974359</v>
      </c>
      <c r="Y227" s="49">
        <f t="shared" si="27"/>
        <v>0.1923076923</v>
      </c>
      <c r="Z227" s="32" t="str">
        <f t="shared" si="28"/>
        <v>Milton</v>
      </c>
      <c r="AA227" s="50"/>
    </row>
    <row r="228">
      <c r="A228" s="110" t="s">
        <v>90</v>
      </c>
      <c r="B228" s="46" t="s">
        <v>531</v>
      </c>
      <c r="C228" s="47"/>
      <c r="D228" s="38">
        <v>226.0</v>
      </c>
      <c r="E228" s="38">
        <v>95.0</v>
      </c>
      <c r="F228" s="38">
        <v>28.0</v>
      </c>
      <c r="G228" s="38">
        <v>2.0</v>
      </c>
      <c r="H228" s="38">
        <v>2.0</v>
      </c>
      <c r="I228" s="48">
        <f t="shared" si="17"/>
        <v>349</v>
      </c>
      <c r="J228" s="48">
        <f t="shared" si="18"/>
        <v>353</v>
      </c>
      <c r="K228" s="49">
        <f t="shared" si="19"/>
        <v>0.6475644699</v>
      </c>
      <c r="L228" s="49">
        <f t="shared" si="20"/>
        <v>0.2722063037</v>
      </c>
      <c r="M228" s="49">
        <f t="shared" si="21"/>
        <v>0.08022922636</v>
      </c>
      <c r="N228" s="32" t="str">
        <f t="shared" si="22"/>
        <v>Jânio</v>
      </c>
      <c r="O228" s="50"/>
      <c r="P228" s="38">
        <v>60.0</v>
      </c>
      <c r="Q228" s="38">
        <v>166.0</v>
      </c>
      <c r="R228" s="38">
        <v>49.0</v>
      </c>
      <c r="S228" s="38">
        <v>78.0</v>
      </c>
      <c r="T228" s="38">
        <v>0.0</v>
      </c>
      <c r="U228" s="48">
        <f t="shared" si="23"/>
        <v>275</v>
      </c>
      <c r="V228" s="48">
        <f t="shared" si="24"/>
        <v>353</v>
      </c>
      <c r="W228" s="49">
        <f t="shared" si="25"/>
        <v>0.2181818182</v>
      </c>
      <c r="X228" s="49">
        <f t="shared" si="26"/>
        <v>0.6036363636</v>
      </c>
      <c r="Y228" s="49">
        <f t="shared" si="27"/>
        <v>0.1781818182</v>
      </c>
      <c r="Z228" s="32" t="str">
        <f t="shared" si="28"/>
        <v>Milton</v>
      </c>
      <c r="AA228" s="50"/>
    </row>
    <row r="229">
      <c r="A229" s="110" t="s">
        <v>90</v>
      </c>
      <c r="B229" s="46" t="s">
        <v>2875</v>
      </c>
      <c r="C229" s="47"/>
      <c r="D229" s="38">
        <v>206.0</v>
      </c>
      <c r="E229" s="38">
        <v>86.0</v>
      </c>
      <c r="F229" s="38">
        <v>37.0</v>
      </c>
      <c r="G229" s="38">
        <v>5.0</v>
      </c>
      <c r="H229" s="38">
        <v>0.0</v>
      </c>
      <c r="I229" s="48">
        <f t="shared" si="17"/>
        <v>329</v>
      </c>
      <c r="J229" s="48">
        <f t="shared" si="18"/>
        <v>334</v>
      </c>
      <c r="K229" s="49">
        <f t="shared" si="19"/>
        <v>0.6261398176</v>
      </c>
      <c r="L229" s="49">
        <f t="shared" si="20"/>
        <v>0.2613981763</v>
      </c>
      <c r="M229" s="49">
        <f t="shared" si="21"/>
        <v>0.1124620061</v>
      </c>
      <c r="N229" s="32" t="str">
        <f t="shared" si="22"/>
        <v>Jânio</v>
      </c>
      <c r="O229" s="50"/>
      <c r="P229" s="38">
        <v>71.0</v>
      </c>
      <c r="Q229" s="38">
        <v>179.0</v>
      </c>
      <c r="R229" s="38">
        <v>49.0</v>
      </c>
      <c r="S229" s="38">
        <v>34.0</v>
      </c>
      <c r="T229" s="38">
        <v>1.0</v>
      </c>
      <c r="U229" s="48">
        <f t="shared" si="23"/>
        <v>299</v>
      </c>
      <c r="V229" s="48">
        <f t="shared" si="24"/>
        <v>334</v>
      </c>
      <c r="W229" s="49">
        <f t="shared" si="25"/>
        <v>0.237458194</v>
      </c>
      <c r="X229" s="49">
        <f t="shared" si="26"/>
        <v>0.5986622074</v>
      </c>
      <c r="Y229" s="49">
        <f t="shared" si="27"/>
        <v>0.1638795987</v>
      </c>
      <c r="Z229" s="32" t="str">
        <f t="shared" si="28"/>
        <v>Milton</v>
      </c>
      <c r="AA229" s="50"/>
    </row>
    <row r="230">
      <c r="A230" s="110" t="s">
        <v>90</v>
      </c>
      <c r="B230" s="46" t="s">
        <v>878</v>
      </c>
      <c r="C230" s="47"/>
      <c r="D230" s="38">
        <v>219.0</v>
      </c>
      <c r="E230" s="38">
        <v>67.0</v>
      </c>
      <c r="F230" s="38">
        <v>39.0</v>
      </c>
      <c r="G230" s="38">
        <v>9.0</v>
      </c>
      <c r="H230" s="38">
        <v>0.0</v>
      </c>
      <c r="I230" s="48">
        <f t="shared" si="17"/>
        <v>325</v>
      </c>
      <c r="J230" s="48">
        <f t="shared" si="18"/>
        <v>334</v>
      </c>
      <c r="K230" s="49">
        <f t="shared" si="19"/>
        <v>0.6738461538</v>
      </c>
      <c r="L230" s="49">
        <f t="shared" si="20"/>
        <v>0.2061538462</v>
      </c>
      <c r="M230" s="49">
        <f t="shared" si="21"/>
        <v>0.12</v>
      </c>
      <c r="N230" s="32" t="str">
        <f t="shared" si="22"/>
        <v>Jânio</v>
      </c>
      <c r="O230" s="50"/>
      <c r="P230" s="38">
        <v>47.0</v>
      </c>
      <c r="Q230" s="38">
        <v>180.0</v>
      </c>
      <c r="R230" s="38">
        <v>57.0</v>
      </c>
      <c r="S230" s="38">
        <v>49.0</v>
      </c>
      <c r="T230" s="38">
        <v>1.0</v>
      </c>
      <c r="U230" s="48">
        <f t="shared" si="23"/>
        <v>284</v>
      </c>
      <c r="V230" s="48">
        <f t="shared" si="24"/>
        <v>334</v>
      </c>
      <c r="W230" s="49">
        <f t="shared" si="25"/>
        <v>0.1654929577</v>
      </c>
      <c r="X230" s="49">
        <f t="shared" si="26"/>
        <v>0.6338028169</v>
      </c>
      <c r="Y230" s="49">
        <f t="shared" si="27"/>
        <v>0.2007042254</v>
      </c>
      <c r="Z230" s="32" t="str">
        <f t="shared" si="28"/>
        <v>Milton</v>
      </c>
      <c r="AA230" s="50"/>
    </row>
    <row r="231">
      <c r="A231" s="110" t="s">
        <v>90</v>
      </c>
      <c r="B231" s="46" t="s">
        <v>3239</v>
      </c>
      <c r="C231" s="47"/>
      <c r="D231" s="38">
        <v>207.0</v>
      </c>
      <c r="E231" s="38">
        <v>97.0</v>
      </c>
      <c r="F231" s="38">
        <v>37.0</v>
      </c>
      <c r="G231" s="38">
        <v>8.0</v>
      </c>
      <c r="H231" s="38">
        <v>5.0</v>
      </c>
      <c r="I231" s="48">
        <f t="shared" si="17"/>
        <v>341</v>
      </c>
      <c r="J231" s="48">
        <f t="shared" si="18"/>
        <v>354</v>
      </c>
      <c r="K231" s="49">
        <f t="shared" si="19"/>
        <v>0.6070381232</v>
      </c>
      <c r="L231" s="49">
        <f t="shared" si="20"/>
        <v>0.284457478</v>
      </c>
      <c r="M231" s="49">
        <f t="shared" si="21"/>
        <v>0.1085043988</v>
      </c>
      <c r="N231" s="32" t="str">
        <f t="shared" si="22"/>
        <v>Jânio</v>
      </c>
      <c r="O231" s="50"/>
      <c r="P231" s="38">
        <v>68.0</v>
      </c>
      <c r="Q231" s="38">
        <v>158.0</v>
      </c>
      <c r="R231" s="38">
        <v>51.0</v>
      </c>
      <c r="S231" s="38">
        <v>70.0</v>
      </c>
      <c r="T231" s="38">
        <v>7.0</v>
      </c>
      <c r="U231" s="48">
        <f t="shared" si="23"/>
        <v>277</v>
      </c>
      <c r="V231" s="48">
        <f t="shared" si="24"/>
        <v>354</v>
      </c>
      <c r="W231" s="49">
        <f t="shared" si="25"/>
        <v>0.2454873646</v>
      </c>
      <c r="X231" s="49">
        <f t="shared" si="26"/>
        <v>0.5703971119</v>
      </c>
      <c r="Y231" s="49">
        <f t="shared" si="27"/>
        <v>0.1841155235</v>
      </c>
      <c r="Z231" s="32" t="str">
        <f t="shared" si="28"/>
        <v>Milton</v>
      </c>
      <c r="AA231" s="50"/>
    </row>
    <row r="232">
      <c r="A232" s="110" t="s">
        <v>90</v>
      </c>
      <c r="B232" s="46" t="s">
        <v>2927</v>
      </c>
      <c r="C232" s="47"/>
      <c r="D232" s="38">
        <v>269.0</v>
      </c>
      <c r="E232" s="38">
        <v>95.0</v>
      </c>
      <c r="F232" s="38">
        <v>34.0</v>
      </c>
      <c r="G232" s="38">
        <v>9.0</v>
      </c>
      <c r="H232" s="38">
        <v>1.0</v>
      </c>
      <c r="I232" s="48">
        <f t="shared" si="17"/>
        <v>398</v>
      </c>
      <c r="J232" s="48">
        <f t="shared" si="18"/>
        <v>408</v>
      </c>
      <c r="K232" s="49">
        <f t="shared" si="19"/>
        <v>0.675879397</v>
      </c>
      <c r="L232" s="49">
        <f t="shared" si="20"/>
        <v>0.2386934673</v>
      </c>
      <c r="M232" s="49">
        <f t="shared" si="21"/>
        <v>0.08542713568</v>
      </c>
      <c r="N232" s="32" t="str">
        <f t="shared" si="22"/>
        <v>Jânio</v>
      </c>
      <c r="O232" s="50"/>
      <c r="P232" s="38">
        <v>76.0</v>
      </c>
      <c r="Q232" s="38">
        <v>159.0</v>
      </c>
      <c r="R232" s="38">
        <v>57.0</v>
      </c>
      <c r="S232" s="38">
        <v>51.0</v>
      </c>
      <c r="T232" s="38">
        <v>1.0</v>
      </c>
      <c r="U232" s="48">
        <f t="shared" si="23"/>
        <v>292</v>
      </c>
      <c r="V232" s="48">
        <f t="shared" si="24"/>
        <v>344</v>
      </c>
      <c r="W232" s="49">
        <f t="shared" si="25"/>
        <v>0.2602739726</v>
      </c>
      <c r="X232" s="49">
        <f t="shared" si="26"/>
        <v>0.5445205479</v>
      </c>
      <c r="Y232" s="49">
        <f t="shared" si="27"/>
        <v>0.1952054795</v>
      </c>
      <c r="Z232" s="32" t="str">
        <f t="shared" si="28"/>
        <v>Milton</v>
      </c>
      <c r="AA232" s="50"/>
    </row>
    <row r="233">
      <c r="A233" s="110" t="s">
        <v>90</v>
      </c>
      <c r="B233" s="46" t="s">
        <v>205</v>
      </c>
      <c r="C233" s="47"/>
      <c r="D233" s="38">
        <v>190.0</v>
      </c>
      <c r="E233" s="38">
        <v>99.0</v>
      </c>
      <c r="F233" s="38">
        <v>35.0</v>
      </c>
      <c r="G233" s="38">
        <v>7.0</v>
      </c>
      <c r="H233" s="38">
        <v>1.0</v>
      </c>
      <c r="I233" s="48">
        <f t="shared" si="17"/>
        <v>324</v>
      </c>
      <c r="J233" s="48">
        <f t="shared" si="18"/>
        <v>332</v>
      </c>
      <c r="K233" s="49">
        <f t="shared" si="19"/>
        <v>0.5864197531</v>
      </c>
      <c r="L233" s="49">
        <f t="shared" si="20"/>
        <v>0.3055555556</v>
      </c>
      <c r="M233" s="49">
        <f t="shared" si="21"/>
        <v>0.1080246914</v>
      </c>
      <c r="N233" s="32" t="str">
        <f t="shared" si="22"/>
        <v>Jânio</v>
      </c>
      <c r="O233" s="50"/>
      <c r="P233" s="38">
        <v>68.0</v>
      </c>
      <c r="Q233" s="38">
        <v>136.0</v>
      </c>
      <c r="R233" s="38">
        <v>63.0</v>
      </c>
      <c r="S233" s="38">
        <v>63.0</v>
      </c>
      <c r="T233" s="38">
        <v>2.0</v>
      </c>
      <c r="U233" s="48">
        <f t="shared" si="23"/>
        <v>267</v>
      </c>
      <c r="V233" s="48">
        <f t="shared" si="24"/>
        <v>332</v>
      </c>
      <c r="W233" s="49">
        <f t="shared" si="25"/>
        <v>0.2546816479</v>
      </c>
      <c r="X233" s="49">
        <f t="shared" si="26"/>
        <v>0.5093632959</v>
      </c>
      <c r="Y233" s="49">
        <f t="shared" si="27"/>
        <v>0.2359550562</v>
      </c>
      <c r="Z233" s="32" t="str">
        <f t="shared" si="28"/>
        <v>Milton</v>
      </c>
      <c r="AA233" s="50"/>
    </row>
    <row r="234">
      <c r="A234" s="110" t="s">
        <v>90</v>
      </c>
      <c r="B234" s="46" t="s">
        <v>3028</v>
      </c>
      <c r="C234" s="47"/>
      <c r="D234" s="38">
        <v>185.0</v>
      </c>
      <c r="E234" s="38">
        <v>85.0</v>
      </c>
      <c r="F234" s="38">
        <v>41.0</v>
      </c>
      <c r="G234" s="38">
        <v>12.0</v>
      </c>
      <c r="H234" s="38">
        <v>2.0</v>
      </c>
      <c r="I234" s="48">
        <f t="shared" si="17"/>
        <v>311</v>
      </c>
      <c r="J234" s="48">
        <f t="shared" si="18"/>
        <v>325</v>
      </c>
      <c r="K234" s="49">
        <f t="shared" si="19"/>
        <v>0.5948553055</v>
      </c>
      <c r="L234" s="49">
        <f t="shared" si="20"/>
        <v>0.2733118971</v>
      </c>
      <c r="M234" s="49">
        <f t="shared" si="21"/>
        <v>0.1318327974</v>
      </c>
      <c r="N234" s="32" t="str">
        <f t="shared" si="22"/>
        <v>Jânio</v>
      </c>
      <c r="O234" s="50"/>
      <c r="P234" s="38">
        <v>72.0</v>
      </c>
      <c r="Q234" s="38">
        <v>153.0</v>
      </c>
      <c r="R234" s="38">
        <v>41.0</v>
      </c>
      <c r="S234" s="38">
        <v>50.0</v>
      </c>
      <c r="T234" s="38">
        <v>9.0</v>
      </c>
      <c r="U234" s="48">
        <f t="shared" si="23"/>
        <v>266</v>
      </c>
      <c r="V234" s="48">
        <f t="shared" si="24"/>
        <v>325</v>
      </c>
      <c r="W234" s="49">
        <f t="shared" si="25"/>
        <v>0.2706766917</v>
      </c>
      <c r="X234" s="49">
        <f t="shared" si="26"/>
        <v>0.5751879699</v>
      </c>
      <c r="Y234" s="49">
        <f t="shared" si="27"/>
        <v>0.1541353383</v>
      </c>
      <c r="Z234" s="32" t="str">
        <f t="shared" si="28"/>
        <v>Milton</v>
      </c>
      <c r="AA234" s="50"/>
    </row>
    <row r="235">
      <c r="A235" s="110" t="s">
        <v>90</v>
      </c>
      <c r="B235" s="46" t="s">
        <v>2356</v>
      </c>
      <c r="C235" s="47"/>
      <c r="D235" s="38">
        <v>212.0</v>
      </c>
      <c r="E235" s="38">
        <v>76.0</v>
      </c>
      <c r="F235" s="38">
        <v>60.0</v>
      </c>
      <c r="G235" s="38">
        <v>5.0</v>
      </c>
      <c r="H235" s="38">
        <v>0.0</v>
      </c>
      <c r="I235" s="48">
        <f t="shared" si="17"/>
        <v>348</v>
      </c>
      <c r="J235" s="48">
        <f t="shared" si="18"/>
        <v>353</v>
      </c>
      <c r="K235" s="49">
        <f t="shared" si="19"/>
        <v>0.6091954023</v>
      </c>
      <c r="L235" s="49">
        <f t="shared" si="20"/>
        <v>0.2183908046</v>
      </c>
      <c r="M235" s="49">
        <f t="shared" si="21"/>
        <v>0.1724137931</v>
      </c>
      <c r="N235" s="32" t="str">
        <f t="shared" si="22"/>
        <v>Jânio</v>
      </c>
      <c r="O235" s="50"/>
      <c r="P235" s="38">
        <v>66.0</v>
      </c>
      <c r="Q235" s="38">
        <v>125.0</v>
      </c>
      <c r="R235" s="38">
        <v>70.0</v>
      </c>
      <c r="S235" s="38">
        <v>55.0</v>
      </c>
      <c r="T235" s="38">
        <v>1.0</v>
      </c>
      <c r="U235" s="48">
        <f t="shared" si="23"/>
        <v>261</v>
      </c>
      <c r="V235" s="48">
        <f t="shared" si="24"/>
        <v>317</v>
      </c>
      <c r="W235" s="49">
        <f t="shared" si="25"/>
        <v>0.2528735632</v>
      </c>
      <c r="X235" s="49">
        <f t="shared" si="26"/>
        <v>0.4789272031</v>
      </c>
      <c r="Y235" s="49">
        <f t="shared" si="27"/>
        <v>0.2681992337</v>
      </c>
      <c r="Z235" s="32" t="str">
        <f t="shared" si="28"/>
        <v>Milton</v>
      </c>
      <c r="AA235" s="50"/>
    </row>
    <row r="236">
      <c r="A236" s="110" t="s">
        <v>90</v>
      </c>
      <c r="B236" s="46" t="s">
        <v>410</v>
      </c>
      <c r="C236" s="47"/>
      <c r="D236" s="38">
        <v>225.0</v>
      </c>
      <c r="E236" s="38">
        <v>79.0</v>
      </c>
      <c r="F236" s="38">
        <v>31.0</v>
      </c>
      <c r="G236" s="38">
        <v>3.0</v>
      </c>
      <c r="H236" s="38">
        <v>1.0</v>
      </c>
      <c r="I236" s="48">
        <f t="shared" si="17"/>
        <v>335</v>
      </c>
      <c r="J236" s="48">
        <f t="shared" si="18"/>
        <v>339</v>
      </c>
      <c r="K236" s="49">
        <f t="shared" si="19"/>
        <v>0.671641791</v>
      </c>
      <c r="L236" s="49">
        <f t="shared" si="20"/>
        <v>0.2358208955</v>
      </c>
      <c r="M236" s="49">
        <f t="shared" si="21"/>
        <v>0.09253731343</v>
      </c>
      <c r="N236" s="32" t="str">
        <f t="shared" si="22"/>
        <v>Jânio</v>
      </c>
      <c r="O236" s="50"/>
      <c r="P236" s="38">
        <v>54.0</v>
      </c>
      <c r="Q236" s="38">
        <v>174.0</v>
      </c>
      <c r="R236" s="38">
        <v>46.0</v>
      </c>
      <c r="S236" s="38">
        <v>65.0</v>
      </c>
      <c r="T236" s="38">
        <v>0.0</v>
      </c>
      <c r="U236" s="48">
        <f t="shared" si="23"/>
        <v>274</v>
      </c>
      <c r="V236" s="48">
        <f t="shared" si="24"/>
        <v>339</v>
      </c>
      <c r="W236" s="49">
        <f t="shared" si="25"/>
        <v>0.197080292</v>
      </c>
      <c r="X236" s="49">
        <f t="shared" si="26"/>
        <v>0.6350364964</v>
      </c>
      <c r="Y236" s="49">
        <f t="shared" si="27"/>
        <v>0.1678832117</v>
      </c>
      <c r="Z236" s="32" t="str">
        <f t="shared" si="28"/>
        <v>Milton</v>
      </c>
      <c r="AA236" s="50"/>
    </row>
    <row r="237">
      <c r="A237" s="110" t="s">
        <v>90</v>
      </c>
      <c r="B237" s="46" t="s">
        <v>2909</v>
      </c>
      <c r="C237" s="47"/>
      <c r="D237" s="38">
        <v>234.0</v>
      </c>
      <c r="E237" s="38">
        <v>66.0</v>
      </c>
      <c r="F237" s="38">
        <v>30.0</v>
      </c>
      <c r="G237" s="38">
        <v>1.0</v>
      </c>
      <c r="H237" s="38">
        <v>1.0</v>
      </c>
      <c r="I237" s="48">
        <f t="shared" si="17"/>
        <v>330</v>
      </c>
      <c r="J237" s="48">
        <f t="shared" si="18"/>
        <v>332</v>
      </c>
      <c r="K237" s="49">
        <f t="shared" si="19"/>
        <v>0.7090909091</v>
      </c>
      <c r="L237" s="49">
        <f t="shared" si="20"/>
        <v>0.2</v>
      </c>
      <c r="M237" s="49">
        <f t="shared" si="21"/>
        <v>0.09090909091</v>
      </c>
      <c r="N237" s="32" t="str">
        <f t="shared" si="22"/>
        <v>Jânio</v>
      </c>
      <c r="O237" s="50"/>
      <c r="P237" s="38">
        <v>42.0</v>
      </c>
      <c r="Q237" s="38">
        <v>191.0</v>
      </c>
      <c r="R237" s="38">
        <v>38.0</v>
      </c>
      <c r="S237" s="38">
        <v>9.0</v>
      </c>
      <c r="T237" s="38">
        <v>1.0</v>
      </c>
      <c r="U237" s="48">
        <f t="shared" si="23"/>
        <v>271</v>
      </c>
      <c r="V237" s="48">
        <f t="shared" si="24"/>
        <v>281</v>
      </c>
      <c r="W237" s="49">
        <f t="shared" si="25"/>
        <v>0.1549815498</v>
      </c>
      <c r="X237" s="49">
        <f t="shared" si="26"/>
        <v>0.704797048</v>
      </c>
      <c r="Y237" s="49">
        <f t="shared" si="27"/>
        <v>0.1402214022</v>
      </c>
      <c r="Z237" s="32" t="str">
        <f t="shared" si="28"/>
        <v>Milton</v>
      </c>
      <c r="AA237" s="50"/>
    </row>
    <row r="238">
      <c r="A238" s="110" t="s">
        <v>90</v>
      </c>
      <c r="B238" s="46" t="s">
        <v>514</v>
      </c>
      <c r="C238" s="47"/>
      <c r="D238" s="38">
        <v>191.0</v>
      </c>
      <c r="E238" s="38">
        <v>84.0</v>
      </c>
      <c r="F238" s="38">
        <v>54.0</v>
      </c>
      <c r="G238" s="38">
        <v>5.0</v>
      </c>
      <c r="H238" s="38">
        <v>2.0</v>
      </c>
      <c r="I238" s="48">
        <f t="shared" si="17"/>
        <v>329</v>
      </c>
      <c r="J238" s="48">
        <f t="shared" si="18"/>
        <v>336</v>
      </c>
      <c r="K238" s="49">
        <f t="shared" si="19"/>
        <v>0.5805471125</v>
      </c>
      <c r="L238" s="49">
        <f t="shared" si="20"/>
        <v>0.2553191489</v>
      </c>
      <c r="M238" s="49">
        <f t="shared" si="21"/>
        <v>0.1641337386</v>
      </c>
      <c r="N238" s="32" t="str">
        <f t="shared" si="22"/>
        <v>Jânio</v>
      </c>
      <c r="O238" s="50"/>
      <c r="P238" s="38">
        <v>72.0</v>
      </c>
      <c r="Q238" s="38">
        <v>152.0</v>
      </c>
      <c r="R238" s="38">
        <v>63.0</v>
      </c>
      <c r="S238" s="38">
        <v>47.0</v>
      </c>
      <c r="T238" s="38">
        <v>2.0</v>
      </c>
      <c r="U238" s="48">
        <f t="shared" si="23"/>
        <v>287</v>
      </c>
      <c r="V238" s="48">
        <f t="shared" si="24"/>
        <v>336</v>
      </c>
      <c r="W238" s="49">
        <f t="shared" si="25"/>
        <v>0.2508710801</v>
      </c>
      <c r="X238" s="49">
        <f t="shared" si="26"/>
        <v>0.5296167247</v>
      </c>
      <c r="Y238" s="49">
        <f t="shared" si="27"/>
        <v>0.2195121951</v>
      </c>
      <c r="Z238" s="32" t="str">
        <f t="shared" si="28"/>
        <v>Milton</v>
      </c>
      <c r="AA238" s="50"/>
    </row>
    <row r="239">
      <c r="A239" s="110" t="s">
        <v>90</v>
      </c>
      <c r="B239" s="46" t="s">
        <v>2886</v>
      </c>
      <c r="C239" s="47"/>
      <c r="D239" s="38">
        <v>198.0</v>
      </c>
      <c r="E239" s="38">
        <v>86.0</v>
      </c>
      <c r="F239" s="38">
        <v>46.0</v>
      </c>
      <c r="G239" s="38">
        <v>4.0</v>
      </c>
      <c r="H239" s="38">
        <v>1.0</v>
      </c>
      <c r="I239" s="48">
        <f t="shared" si="17"/>
        <v>330</v>
      </c>
      <c r="J239" s="48">
        <f t="shared" si="18"/>
        <v>335</v>
      </c>
      <c r="K239" s="49">
        <f t="shared" si="19"/>
        <v>0.6</v>
      </c>
      <c r="L239" s="49">
        <f t="shared" si="20"/>
        <v>0.2606060606</v>
      </c>
      <c r="M239" s="49">
        <f t="shared" si="21"/>
        <v>0.1393939394</v>
      </c>
      <c r="N239" s="32" t="str">
        <f t="shared" si="22"/>
        <v>Jânio</v>
      </c>
      <c r="O239" s="50"/>
      <c r="P239" s="38">
        <v>72.0</v>
      </c>
      <c r="Q239" s="38">
        <v>150.0</v>
      </c>
      <c r="R239" s="38">
        <v>53.0</v>
      </c>
      <c r="S239" s="38">
        <v>59.0</v>
      </c>
      <c r="T239" s="38">
        <v>1.0</v>
      </c>
      <c r="U239" s="48">
        <f t="shared" si="23"/>
        <v>275</v>
      </c>
      <c r="V239" s="48">
        <f t="shared" si="24"/>
        <v>335</v>
      </c>
      <c r="W239" s="49">
        <f t="shared" si="25"/>
        <v>0.2618181818</v>
      </c>
      <c r="X239" s="49">
        <f t="shared" si="26"/>
        <v>0.5454545455</v>
      </c>
      <c r="Y239" s="49">
        <f t="shared" si="27"/>
        <v>0.1927272727</v>
      </c>
      <c r="Z239" s="32" t="str">
        <f t="shared" si="28"/>
        <v>Milton</v>
      </c>
      <c r="AA239" s="50"/>
    </row>
    <row r="240">
      <c r="A240" s="110" t="s">
        <v>90</v>
      </c>
      <c r="B240" s="46" t="s">
        <v>3080</v>
      </c>
      <c r="C240" s="47"/>
      <c r="D240" s="38">
        <v>234.0</v>
      </c>
      <c r="E240" s="38">
        <v>77.0</v>
      </c>
      <c r="F240" s="38">
        <v>33.0</v>
      </c>
      <c r="G240" s="38">
        <v>2.0</v>
      </c>
      <c r="H240" s="38">
        <v>0.0</v>
      </c>
      <c r="I240" s="48">
        <f t="shared" si="17"/>
        <v>344</v>
      </c>
      <c r="J240" s="48">
        <f t="shared" si="18"/>
        <v>346</v>
      </c>
      <c r="K240" s="49">
        <f t="shared" si="19"/>
        <v>0.6802325581</v>
      </c>
      <c r="L240" s="49">
        <f t="shared" si="20"/>
        <v>0.2238372093</v>
      </c>
      <c r="M240" s="49">
        <f t="shared" si="21"/>
        <v>0.09593023256</v>
      </c>
      <c r="N240" s="32" t="str">
        <f t="shared" si="22"/>
        <v>Jânio</v>
      </c>
      <c r="O240" s="50"/>
      <c r="P240" s="38">
        <v>57.0</v>
      </c>
      <c r="Q240" s="38">
        <v>175.0</v>
      </c>
      <c r="R240" s="38">
        <v>67.0</v>
      </c>
      <c r="S240" s="38">
        <v>46.0</v>
      </c>
      <c r="T240" s="38">
        <v>1.0</v>
      </c>
      <c r="U240" s="48">
        <f t="shared" si="23"/>
        <v>299</v>
      </c>
      <c r="V240" s="48">
        <f t="shared" si="24"/>
        <v>346</v>
      </c>
      <c r="W240" s="49">
        <f t="shared" si="25"/>
        <v>0.1906354515</v>
      </c>
      <c r="X240" s="49">
        <f t="shared" si="26"/>
        <v>0.5852842809</v>
      </c>
      <c r="Y240" s="49">
        <f t="shared" si="27"/>
        <v>0.2240802676</v>
      </c>
      <c r="Z240" s="32" t="str">
        <f t="shared" si="28"/>
        <v>Milton</v>
      </c>
      <c r="AA240" s="50"/>
    </row>
    <row r="241">
      <c r="A241" s="110" t="s">
        <v>90</v>
      </c>
      <c r="B241" s="46" t="s">
        <v>3240</v>
      </c>
      <c r="C241" s="47"/>
      <c r="D241" s="38">
        <v>268.0</v>
      </c>
      <c r="E241" s="38">
        <v>68.0</v>
      </c>
      <c r="F241" s="38">
        <v>22.0</v>
      </c>
      <c r="G241" s="38">
        <v>0.0</v>
      </c>
      <c r="H241" s="38">
        <v>3.0</v>
      </c>
      <c r="I241" s="48">
        <f t="shared" si="17"/>
        <v>358</v>
      </c>
      <c r="J241" s="48">
        <f t="shared" si="18"/>
        <v>361</v>
      </c>
      <c r="K241" s="49">
        <f t="shared" si="19"/>
        <v>0.748603352</v>
      </c>
      <c r="L241" s="49">
        <f t="shared" si="20"/>
        <v>0.1899441341</v>
      </c>
      <c r="M241" s="49">
        <f t="shared" si="21"/>
        <v>0.06145251397</v>
      </c>
      <c r="N241" s="32" t="str">
        <f t="shared" si="22"/>
        <v>Jânio</v>
      </c>
      <c r="O241" s="50"/>
      <c r="P241" s="38">
        <v>45.0</v>
      </c>
      <c r="Q241" s="38">
        <v>197.0</v>
      </c>
      <c r="R241" s="38">
        <v>51.0</v>
      </c>
      <c r="S241" s="38">
        <v>75.0</v>
      </c>
      <c r="T241" s="38">
        <v>2.0</v>
      </c>
      <c r="U241" s="48">
        <f t="shared" si="23"/>
        <v>293</v>
      </c>
      <c r="V241" s="48">
        <f t="shared" si="24"/>
        <v>370</v>
      </c>
      <c r="W241" s="49">
        <f t="shared" si="25"/>
        <v>0.1535836177</v>
      </c>
      <c r="X241" s="49">
        <f t="shared" si="26"/>
        <v>0.6723549488</v>
      </c>
      <c r="Y241" s="49">
        <f t="shared" si="27"/>
        <v>0.1740614334</v>
      </c>
      <c r="Z241" s="32" t="str">
        <f t="shared" si="28"/>
        <v>Milton</v>
      </c>
      <c r="AA241" s="50"/>
    </row>
    <row r="242">
      <c r="A242" s="110" t="s">
        <v>90</v>
      </c>
      <c r="B242" s="46" t="s">
        <v>2524</v>
      </c>
      <c r="C242" s="47"/>
      <c r="D242" s="38">
        <v>202.0</v>
      </c>
      <c r="E242" s="38">
        <v>91.0</v>
      </c>
      <c r="F242" s="38">
        <v>45.0</v>
      </c>
      <c r="G242" s="38">
        <v>3.0</v>
      </c>
      <c r="H242" s="38">
        <v>4.0</v>
      </c>
      <c r="I242" s="48">
        <f t="shared" si="17"/>
        <v>338</v>
      </c>
      <c r="J242" s="48">
        <f t="shared" si="18"/>
        <v>345</v>
      </c>
      <c r="K242" s="49">
        <f t="shared" si="19"/>
        <v>0.5976331361</v>
      </c>
      <c r="L242" s="49">
        <f t="shared" si="20"/>
        <v>0.2692307692</v>
      </c>
      <c r="M242" s="49">
        <f t="shared" si="21"/>
        <v>0.1331360947</v>
      </c>
      <c r="N242" s="32" t="str">
        <f t="shared" si="22"/>
        <v>Jânio</v>
      </c>
      <c r="O242" s="50"/>
      <c r="P242" s="38">
        <v>63.0</v>
      </c>
      <c r="Q242" s="38">
        <v>147.0</v>
      </c>
      <c r="R242" s="38">
        <v>68.0</v>
      </c>
      <c r="S242" s="38">
        <v>62.0</v>
      </c>
      <c r="T242" s="38">
        <v>3.0</v>
      </c>
      <c r="U242" s="48">
        <f t="shared" si="23"/>
        <v>278</v>
      </c>
      <c r="V242" s="48">
        <f t="shared" si="24"/>
        <v>343</v>
      </c>
      <c r="W242" s="49">
        <f t="shared" si="25"/>
        <v>0.226618705</v>
      </c>
      <c r="X242" s="49">
        <f t="shared" si="26"/>
        <v>0.5287769784</v>
      </c>
      <c r="Y242" s="49">
        <f t="shared" si="27"/>
        <v>0.2446043165</v>
      </c>
      <c r="Z242" s="32" t="str">
        <f t="shared" si="28"/>
        <v>Milton</v>
      </c>
      <c r="AA242" s="50"/>
    </row>
    <row r="243">
      <c r="A243" s="110" t="s">
        <v>90</v>
      </c>
      <c r="B243" s="46" t="s">
        <v>2900</v>
      </c>
      <c r="C243" s="47"/>
      <c r="D243" s="38">
        <v>193.0</v>
      </c>
      <c r="E243" s="38">
        <v>88.0</v>
      </c>
      <c r="F243" s="38">
        <v>39.0</v>
      </c>
      <c r="G243" s="38">
        <v>6.0</v>
      </c>
      <c r="H243" s="38">
        <v>13.0</v>
      </c>
      <c r="I243" s="48">
        <f t="shared" si="17"/>
        <v>320</v>
      </c>
      <c r="J243" s="48">
        <f t="shared" si="18"/>
        <v>339</v>
      </c>
      <c r="K243" s="49">
        <f t="shared" si="19"/>
        <v>0.603125</v>
      </c>
      <c r="L243" s="49">
        <f t="shared" si="20"/>
        <v>0.275</v>
      </c>
      <c r="M243" s="49">
        <f t="shared" si="21"/>
        <v>0.121875</v>
      </c>
      <c r="N243" s="32" t="str">
        <f t="shared" si="22"/>
        <v>Jânio</v>
      </c>
      <c r="O243" s="50"/>
      <c r="P243" s="38">
        <v>66.0</v>
      </c>
      <c r="Q243" s="38">
        <v>157.0</v>
      </c>
      <c r="R243" s="38">
        <v>50.0</v>
      </c>
      <c r="S243" s="38">
        <v>58.0</v>
      </c>
      <c r="T243" s="38">
        <v>8.0</v>
      </c>
      <c r="U243" s="48">
        <f t="shared" si="23"/>
        <v>273</v>
      </c>
      <c r="V243" s="48">
        <f t="shared" si="24"/>
        <v>339</v>
      </c>
      <c r="W243" s="49">
        <f t="shared" si="25"/>
        <v>0.2417582418</v>
      </c>
      <c r="X243" s="49">
        <f t="shared" si="26"/>
        <v>0.5750915751</v>
      </c>
      <c r="Y243" s="49">
        <f t="shared" si="27"/>
        <v>0.1831501832</v>
      </c>
      <c r="Z243" s="32" t="str">
        <f t="shared" si="28"/>
        <v>Milton</v>
      </c>
      <c r="AA243" s="50"/>
    </row>
    <row r="244">
      <c r="A244" s="110" t="s">
        <v>90</v>
      </c>
      <c r="B244" s="46" t="s">
        <v>585</v>
      </c>
      <c r="C244" s="47"/>
      <c r="D244" s="38">
        <v>240.0</v>
      </c>
      <c r="E244" s="38">
        <v>69.0</v>
      </c>
      <c r="F244" s="38">
        <v>21.0</v>
      </c>
      <c r="G244" s="38">
        <v>4.0</v>
      </c>
      <c r="H244" s="38">
        <v>3.0</v>
      </c>
      <c r="I244" s="48">
        <f t="shared" si="17"/>
        <v>330</v>
      </c>
      <c r="J244" s="48">
        <f t="shared" si="18"/>
        <v>337</v>
      </c>
      <c r="K244" s="49">
        <f t="shared" si="19"/>
        <v>0.7272727273</v>
      </c>
      <c r="L244" s="49">
        <f t="shared" si="20"/>
        <v>0.2090909091</v>
      </c>
      <c r="M244" s="49">
        <f t="shared" si="21"/>
        <v>0.06363636364</v>
      </c>
      <c r="N244" s="32" t="str">
        <f t="shared" si="22"/>
        <v>Jânio</v>
      </c>
      <c r="O244" s="50"/>
      <c r="P244" s="38">
        <v>50.0</v>
      </c>
      <c r="Q244" s="38">
        <v>198.0</v>
      </c>
      <c r="R244" s="38">
        <v>33.0</v>
      </c>
      <c r="S244" s="38">
        <v>55.0</v>
      </c>
      <c r="T244" s="38">
        <v>1.0</v>
      </c>
      <c r="U244" s="48">
        <f t="shared" si="23"/>
        <v>281</v>
      </c>
      <c r="V244" s="48">
        <f t="shared" si="24"/>
        <v>337</v>
      </c>
      <c r="W244" s="49">
        <f t="shared" si="25"/>
        <v>0.1779359431</v>
      </c>
      <c r="X244" s="49">
        <f t="shared" si="26"/>
        <v>0.7046263345</v>
      </c>
      <c r="Y244" s="49">
        <f t="shared" si="27"/>
        <v>0.1174377224</v>
      </c>
      <c r="Z244" s="32" t="str">
        <f t="shared" si="28"/>
        <v>Milton</v>
      </c>
      <c r="AA244" s="50"/>
    </row>
    <row r="245">
      <c r="A245" s="110" t="s">
        <v>90</v>
      </c>
      <c r="B245" s="46" t="s">
        <v>2527</v>
      </c>
      <c r="C245" s="47"/>
      <c r="D245" s="38">
        <v>217.0</v>
      </c>
      <c r="E245" s="38">
        <v>98.0</v>
      </c>
      <c r="F245" s="38">
        <v>24.0</v>
      </c>
      <c r="G245" s="38">
        <v>5.0</v>
      </c>
      <c r="H245" s="38">
        <v>14.0</v>
      </c>
      <c r="I245" s="48">
        <f t="shared" si="17"/>
        <v>339</v>
      </c>
      <c r="J245" s="48">
        <f t="shared" si="18"/>
        <v>358</v>
      </c>
      <c r="K245" s="49">
        <f t="shared" si="19"/>
        <v>0.6401179941</v>
      </c>
      <c r="L245" s="49">
        <f t="shared" si="20"/>
        <v>0.2890855457</v>
      </c>
      <c r="M245" s="49">
        <f t="shared" si="21"/>
        <v>0.07079646018</v>
      </c>
      <c r="N245" s="32" t="str">
        <f t="shared" si="22"/>
        <v>Jânio</v>
      </c>
      <c r="O245" s="50"/>
      <c r="P245" s="38">
        <v>56.0</v>
      </c>
      <c r="Q245" s="38">
        <v>172.0</v>
      </c>
      <c r="R245" s="38">
        <v>61.0</v>
      </c>
      <c r="S245" s="38">
        <v>61.0</v>
      </c>
      <c r="T245" s="38">
        <v>8.0</v>
      </c>
      <c r="U245" s="48">
        <f t="shared" si="23"/>
        <v>289</v>
      </c>
      <c r="V245" s="48">
        <f t="shared" si="24"/>
        <v>358</v>
      </c>
      <c r="W245" s="49">
        <f t="shared" si="25"/>
        <v>0.1937716263</v>
      </c>
      <c r="X245" s="49">
        <f t="shared" si="26"/>
        <v>0.5951557093</v>
      </c>
      <c r="Y245" s="49">
        <f t="shared" si="27"/>
        <v>0.2110726644</v>
      </c>
      <c r="Z245" s="32" t="str">
        <f t="shared" si="28"/>
        <v>Milton</v>
      </c>
      <c r="AA245" s="50"/>
    </row>
    <row r="246">
      <c r="A246" s="110" t="s">
        <v>90</v>
      </c>
      <c r="B246" s="46" t="s">
        <v>3065</v>
      </c>
      <c r="C246" s="47"/>
      <c r="D246" s="38">
        <v>188.0</v>
      </c>
      <c r="E246" s="38">
        <v>78.0</v>
      </c>
      <c r="F246" s="38">
        <v>51.0</v>
      </c>
      <c r="G246" s="38">
        <v>20.0</v>
      </c>
      <c r="H246" s="38">
        <v>6.0</v>
      </c>
      <c r="I246" s="48">
        <f t="shared" si="17"/>
        <v>317</v>
      </c>
      <c r="J246" s="48">
        <f t="shared" si="18"/>
        <v>343</v>
      </c>
      <c r="K246" s="49">
        <f t="shared" si="19"/>
        <v>0.5930599369</v>
      </c>
      <c r="L246" s="49">
        <f t="shared" si="20"/>
        <v>0.2460567823</v>
      </c>
      <c r="M246" s="49">
        <f t="shared" si="21"/>
        <v>0.1608832808</v>
      </c>
      <c r="N246" s="32" t="str">
        <f t="shared" si="22"/>
        <v>Jânio</v>
      </c>
      <c r="O246" s="50"/>
      <c r="P246" s="38">
        <v>57.0</v>
      </c>
      <c r="Q246" s="38">
        <v>141.0</v>
      </c>
      <c r="R246" s="38">
        <v>67.0</v>
      </c>
      <c r="S246" s="38">
        <v>52.0</v>
      </c>
      <c r="T246" s="38">
        <v>8.0</v>
      </c>
      <c r="U246" s="48">
        <f t="shared" si="23"/>
        <v>265</v>
      </c>
      <c r="V246" s="48">
        <f t="shared" si="24"/>
        <v>325</v>
      </c>
      <c r="W246" s="49">
        <f t="shared" si="25"/>
        <v>0.2150943396</v>
      </c>
      <c r="X246" s="49">
        <f t="shared" si="26"/>
        <v>0.5320754717</v>
      </c>
      <c r="Y246" s="49">
        <f t="shared" si="27"/>
        <v>0.2528301887</v>
      </c>
      <c r="Z246" s="32" t="str">
        <f t="shared" si="28"/>
        <v>Milton</v>
      </c>
      <c r="AA246" s="50"/>
    </row>
    <row r="247">
      <c r="A247" s="110" t="s">
        <v>90</v>
      </c>
      <c r="B247" s="46" t="s">
        <v>3062</v>
      </c>
      <c r="C247" s="47"/>
      <c r="D247" s="38">
        <v>198.0</v>
      </c>
      <c r="E247" s="38">
        <v>82.0</v>
      </c>
      <c r="F247" s="38">
        <v>33.0</v>
      </c>
      <c r="G247" s="38">
        <v>4.0</v>
      </c>
      <c r="H247" s="38">
        <v>3.0</v>
      </c>
      <c r="I247" s="48">
        <f t="shared" si="17"/>
        <v>313</v>
      </c>
      <c r="J247" s="48">
        <f t="shared" si="18"/>
        <v>320</v>
      </c>
      <c r="K247" s="49">
        <f t="shared" si="19"/>
        <v>0.6325878594</v>
      </c>
      <c r="L247" s="49">
        <f t="shared" si="20"/>
        <v>0.2619808307</v>
      </c>
      <c r="M247" s="49">
        <f t="shared" si="21"/>
        <v>0.1054313099</v>
      </c>
      <c r="N247" s="32" t="str">
        <f t="shared" si="22"/>
        <v>Jânio</v>
      </c>
      <c r="O247" s="50"/>
      <c r="P247" s="38">
        <v>53.0</v>
      </c>
      <c r="Q247" s="38">
        <v>143.0</v>
      </c>
      <c r="R247" s="38">
        <v>60.0</v>
      </c>
      <c r="S247" s="38">
        <v>60.0</v>
      </c>
      <c r="T247" s="38">
        <v>4.0</v>
      </c>
      <c r="U247" s="48">
        <f t="shared" si="23"/>
        <v>256</v>
      </c>
      <c r="V247" s="48">
        <f t="shared" si="24"/>
        <v>320</v>
      </c>
      <c r="W247" s="49">
        <f t="shared" si="25"/>
        <v>0.20703125</v>
      </c>
      <c r="X247" s="49">
        <f t="shared" si="26"/>
        <v>0.55859375</v>
      </c>
      <c r="Y247" s="49">
        <f t="shared" si="27"/>
        <v>0.234375</v>
      </c>
      <c r="Z247" s="32" t="str">
        <f t="shared" si="28"/>
        <v>Milton</v>
      </c>
      <c r="AA247" s="50"/>
    </row>
    <row r="248">
      <c r="A248" s="110" t="s">
        <v>90</v>
      </c>
      <c r="B248" s="46" t="s">
        <v>2544</v>
      </c>
      <c r="C248" s="47"/>
      <c r="D248" s="38">
        <v>238.0</v>
      </c>
      <c r="E248" s="38">
        <v>87.0</v>
      </c>
      <c r="F248" s="38">
        <v>22.0</v>
      </c>
      <c r="G248" s="38">
        <v>6.0</v>
      </c>
      <c r="H248" s="38">
        <v>1.0</v>
      </c>
      <c r="I248" s="48">
        <f t="shared" si="17"/>
        <v>347</v>
      </c>
      <c r="J248" s="48">
        <f t="shared" si="18"/>
        <v>354</v>
      </c>
      <c r="K248" s="49">
        <f t="shared" si="19"/>
        <v>0.6858789625</v>
      </c>
      <c r="L248" s="49">
        <f t="shared" si="20"/>
        <v>0.2507204611</v>
      </c>
      <c r="M248" s="49">
        <f t="shared" si="21"/>
        <v>0.06340057637</v>
      </c>
      <c r="N248" s="32" t="str">
        <f t="shared" si="22"/>
        <v>Jânio</v>
      </c>
      <c r="O248" s="50"/>
      <c r="P248" s="38">
        <v>56.0</v>
      </c>
      <c r="Q248" s="38">
        <v>184.0</v>
      </c>
      <c r="R248" s="38">
        <v>49.0</v>
      </c>
      <c r="S248" s="38">
        <v>63.0</v>
      </c>
      <c r="T248" s="38">
        <v>2.0</v>
      </c>
      <c r="U248" s="48">
        <f t="shared" si="23"/>
        <v>289</v>
      </c>
      <c r="V248" s="48">
        <f t="shared" si="24"/>
        <v>354</v>
      </c>
      <c r="W248" s="49">
        <f t="shared" si="25"/>
        <v>0.1937716263</v>
      </c>
      <c r="X248" s="49">
        <f t="shared" si="26"/>
        <v>0.6366782007</v>
      </c>
      <c r="Y248" s="49">
        <f t="shared" si="27"/>
        <v>0.169550173</v>
      </c>
      <c r="Z248" s="32" t="str">
        <f t="shared" si="28"/>
        <v>Milton</v>
      </c>
      <c r="AA248" s="50"/>
    </row>
    <row r="249">
      <c r="A249" s="110" t="s">
        <v>90</v>
      </c>
      <c r="B249" s="46" t="s">
        <v>2512</v>
      </c>
      <c r="C249" s="47"/>
      <c r="D249" s="38">
        <v>229.0</v>
      </c>
      <c r="E249" s="38">
        <v>90.0</v>
      </c>
      <c r="F249" s="38">
        <v>23.0</v>
      </c>
      <c r="G249" s="38">
        <v>6.0</v>
      </c>
      <c r="H249" s="38">
        <v>0.0</v>
      </c>
      <c r="I249" s="48">
        <f t="shared" si="17"/>
        <v>342</v>
      </c>
      <c r="J249" s="48">
        <f t="shared" si="18"/>
        <v>348</v>
      </c>
      <c r="K249" s="49">
        <f t="shared" si="19"/>
        <v>0.6695906433</v>
      </c>
      <c r="L249" s="49">
        <f t="shared" si="20"/>
        <v>0.2631578947</v>
      </c>
      <c r="M249" s="49">
        <f t="shared" si="21"/>
        <v>0.06725146199</v>
      </c>
      <c r="N249" s="32" t="str">
        <f t="shared" si="22"/>
        <v>Jânio</v>
      </c>
      <c r="O249" s="50"/>
      <c r="P249" s="38">
        <v>60.0</v>
      </c>
      <c r="Q249" s="38">
        <v>169.0</v>
      </c>
      <c r="R249" s="38">
        <v>51.0</v>
      </c>
      <c r="S249" s="38">
        <v>58.0</v>
      </c>
      <c r="T249" s="38">
        <v>0.0</v>
      </c>
      <c r="U249" s="48">
        <f t="shared" si="23"/>
        <v>280</v>
      </c>
      <c r="V249" s="48">
        <f t="shared" si="24"/>
        <v>338</v>
      </c>
      <c r="W249" s="49">
        <f t="shared" si="25"/>
        <v>0.2142857143</v>
      </c>
      <c r="X249" s="49">
        <f t="shared" si="26"/>
        <v>0.6035714286</v>
      </c>
      <c r="Y249" s="49">
        <f t="shared" si="27"/>
        <v>0.1821428571</v>
      </c>
      <c r="Z249" s="32" t="str">
        <f t="shared" si="28"/>
        <v>Milton</v>
      </c>
      <c r="AA249" s="50"/>
    </row>
    <row r="250">
      <c r="A250" s="110" t="s">
        <v>90</v>
      </c>
      <c r="B250" s="46" t="s">
        <v>254</v>
      </c>
      <c r="C250" s="47"/>
      <c r="D250" s="38">
        <v>194.0</v>
      </c>
      <c r="E250" s="38">
        <v>95.0</v>
      </c>
      <c r="F250" s="38">
        <v>52.0</v>
      </c>
      <c r="G250" s="38">
        <v>11.0</v>
      </c>
      <c r="H250" s="38">
        <v>2.0</v>
      </c>
      <c r="I250" s="48">
        <f t="shared" si="17"/>
        <v>341</v>
      </c>
      <c r="J250" s="48">
        <f t="shared" si="18"/>
        <v>354</v>
      </c>
      <c r="K250" s="49">
        <f t="shared" si="19"/>
        <v>0.568914956</v>
      </c>
      <c r="L250" s="49">
        <f t="shared" si="20"/>
        <v>0.2785923754</v>
      </c>
      <c r="M250" s="49">
        <f t="shared" si="21"/>
        <v>0.1524926686</v>
      </c>
      <c r="N250" s="32" t="str">
        <f t="shared" si="22"/>
        <v>Jânio</v>
      </c>
      <c r="O250" s="50"/>
      <c r="P250" s="38">
        <v>73.0</v>
      </c>
      <c r="Q250" s="38">
        <v>145.0</v>
      </c>
      <c r="R250" s="38">
        <v>54.0</v>
      </c>
      <c r="S250" s="38">
        <v>78.0</v>
      </c>
      <c r="T250" s="38">
        <v>4.0</v>
      </c>
      <c r="U250" s="48">
        <f t="shared" si="23"/>
        <v>272</v>
      </c>
      <c r="V250" s="48">
        <f t="shared" si="24"/>
        <v>354</v>
      </c>
      <c r="W250" s="49">
        <f t="shared" si="25"/>
        <v>0.2683823529</v>
      </c>
      <c r="X250" s="49">
        <f t="shared" si="26"/>
        <v>0.5330882353</v>
      </c>
      <c r="Y250" s="49">
        <f t="shared" si="27"/>
        <v>0.1985294118</v>
      </c>
      <c r="Z250" s="32" t="str">
        <f t="shared" si="28"/>
        <v>Milton</v>
      </c>
      <c r="AA250" s="50"/>
    </row>
    <row r="251">
      <c r="A251" s="110" t="s">
        <v>90</v>
      </c>
      <c r="B251" s="46" t="s">
        <v>2987</v>
      </c>
      <c r="C251" s="47"/>
      <c r="D251" s="38">
        <v>206.0</v>
      </c>
      <c r="E251" s="38">
        <v>92.0</v>
      </c>
      <c r="F251" s="38">
        <v>38.0</v>
      </c>
      <c r="G251" s="38">
        <v>7.0</v>
      </c>
      <c r="H251" s="38">
        <v>6.0</v>
      </c>
      <c r="I251" s="48">
        <f t="shared" si="17"/>
        <v>336</v>
      </c>
      <c r="J251" s="48">
        <f t="shared" si="18"/>
        <v>349</v>
      </c>
      <c r="K251" s="49">
        <f t="shared" si="19"/>
        <v>0.6130952381</v>
      </c>
      <c r="L251" s="49">
        <f t="shared" si="20"/>
        <v>0.2738095238</v>
      </c>
      <c r="M251" s="49">
        <f t="shared" si="21"/>
        <v>0.1130952381</v>
      </c>
      <c r="N251" s="32" t="str">
        <f t="shared" si="22"/>
        <v>Jânio</v>
      </c>
      <c r="O251" s="50"/>
      <c r="P251" s="38">
        <v>64.0</v>
      </c>
      <c r="Q251" s="38">
        <v>155.0</v>
      </c>
      <c r="R251" s="38">
        <v>44.0</v>
      </c>
      <c r="S251" s="38">
        <v>80.0</v>
      </c>
      <c r="T251" s="38">
        <v>6.0</v>
      </c>
      <c r="U251" s="48">
        <f t="shared" si="23"/>
        <v>263</v>
      </c>
      <c r="V251" s="48">
        <f t="shared" si="24"/>
        <v>349</v>
      </c>
      <c r="W251" s="49">
        <f t="shared" si="25"/>
        <v>0.2433460076</v>
      </c>
      <c r="X251" s="49">
        <f t="shared" si="26"/>
        <v>0.5893536122</v>
      </c>
      <c r="Y251" s="49">
        <f t="shared" si="27"/>
        <v>0.1673003802</v>
      </c>
      <c r="Z251" s="32" t="str">
        <f t="shared" si="28"/>
        <v>Milton</v>
      </c>
      <c r="AA251" s="50"/>
    </row>
    <row r="252">
      <c r="A252" s="110" t="s">
        <v>90</v>
      </c>
      <c r="B252" s="46" t="s">
        <v>308</v>
      </c>
      <c r="C252" s="47"/>
      <c r="D252" s="38">
        <v>225.0</v>
      </c>
      <c r="E252" s="38">
        <v>68.0</v>
      </c>
      <c r="F252" s="38">
        <v>33.0</v>
      </c>
      <c r="G252" s="38">
        <v>5.0</v>
      </c>
      <c r="H252" s="38">
        <v>1.0</v>
      </c>
      <c r="I252" s="48">
        <f t="shared" si="17"/>
        <v>326</v>
      </c>
      <c r="J252" s="48">
        <f t="shared" si="18"/>
        <v>332</v>
      </c>
      <c r="K252" s="49">
        <f t="shared" si="19"/>
        <v>0.6901840491</v>
      </c>
      <c r="L252" s="49">
        <f t="shared" si="20"/>
        <v>0.2085889571</v>
      </c>
      <c r="M252" s="49">
        <f t="shared" si="21"/>
        <v>0.1012269939</v>
      </c>
      <c r="N252" s="32" t="str">
        <f t="shared" si="22"/>
        <v>Jânio</v>
      </c>
      <c r="O252" s="50"/>
      <c r="P252" s="38">
        <v>50.0</v>
      </c>
      <c r="Q252" s="38">
        <v>170.0</v>
      </c>
      <c r="R252" s="38">
        <v>55.0</v>
      </c>
      <c r="S252" s="38">
        <v>56.0</v>
      </c>
      <c r="T252" s="38">
        <v>1.0</v>
      </c>
      <c r="U252" s="48">
        <f t="shared" si="23"/>
        <v>275</v>
      </c>
      <c r="V252" s="48">
        <f t="shared" si="24"/>
        <v>332</v>
      </c>
      <c r="W252" s="49">
        <f t="shared" si="25"/>
        <v>0.1818181818</v>
      </c>
      <c r="X252" s="49">
        <f t="shared" si="26"/>
        <v>0.6181818182</v>
      </c>
      <c r="Y252" s="49">
        <f t="shared" si="27"/>
        <v>0.2</v>
      </c>
      <c r="Z252" s="32" t="str">
        <f t="shared" si="28"/>
        <v>Milton</v>
      </c>
      <c r="AA252" s="50"/>
    </row>
    <row r="253">
      <c r="A253" s="110" t="s">
        <v>90</v>
      </c>
      <c r="B253" s="46" t="s">
        <v>133</v>
      </c>
      <c r="C253" s="47"/>
      <c r="D253" s="38">
        <v>197.0</v>
      </c>
      <c r="E253" s="38">
        <v>98.0</v>
      </c>
      <c r="F253" s="38">
        <v>40.0</v>
      </c>
      <c r="G253" s="38">
        <v>9.0</v>
      </c>
      <c r="H253" s="38">
        <v>1.0</v>
      </c>
      <c r="I253" s="48">
        <f t="shared" si="17"/>
        <v>335</v>
      </c>
      <c r="J253" s="48">
        <f t="shared" si="18"/>
        <v>345</v>
      </c>
      <c r="K253" s="49">
        <f t="shared" si="19"/>
        <v>0.5880597015</v>
      </c>
      <c r="L253" s="49">
        <f t="shared" si="20"/>
        <v>0.2925373134</v>
      </c>
      <c r="M253" s="49">
        <f t="shared" si="21"/>
        <v>0.1194029851</v>
      </c>
      <c r="N253" s="32" t="str">
        <f t="shared" si="22"/>
        <v>Jânio</v>
      </c>
      <c r="O253" s="50"/>
      <c r="P253" s="38">
        <v>56.0</v>
      </c>
      <c r="Q253" s="38">
        <v>154.0</v>
      </c>
      <c r="R253" s="38">
        <v>50.0</v>
      </c>
      <c r="S253" s="38">
        <v>62.0</v>
      </c>
      <c r="T253" s="38">
        <v>3.0</v>
      </c>
      <c r="U253" s="48">
        <f t="shared" si="23"/>
        <v>260</v>
      </c>
      <c r="V253" s="48">
        <f t="shared" si="24"/>
        <v>325</v>
      </c>
      <c r="W253" s="49">
        <f t="shared" si="25"/>
        <v>0.2153846154</v>
      </c>
      <c r="X253" s="49">
        <f t="shared" si="26"/>
        <v>0.5923076923</v>
      </c>
      <c r="Y253" s="49">
        <f t="shared" si="27"/>
        <v>0.1923076923</v>
      </c>
      <c r="Z253" s="32" t="str">
        <f t="shared" si="28"/>
        <v>Milton</v>
      </c>
      <c r="AA253" s="50"/>
    </row>
    <row r="254">
      <c r="A254" s="110" t="s">
        <v>90</v>
      </c>
      <c r="B254" s="46" t="s">
        <v>3022</v>
      </c>
      <c r="C254" s="47"/>
      <c r="D254" s="38">
        <v>206.0</v>
      </c>
      <c r="E254" s="38">
        <v>74.0</v>
      </c>
      <c r="F254" s="38">
        <v>39.0</v>
      </c>
      <c r="G254" s="38">
        <v>11.0</v>
      </c>
      <c r="H254" s="38">
        <v>3.0</v>
      </c>
      <c r="I254" s="48">
        <f t="shared" si="17"/>
        <v>319</v>
      </c>
      <c r="J254" s="48">
        <f t="shared" si="18"/>
        <v>333</v>
      </c>
      <c r="K254" s="49">
        <f t="shared" si="19"/>
        <v>0.6457680251</v>
      </c>
      <c r="L254" s="49">
        <f t="shared" si="20"/>
        <v>0.2319749216</v>
      </c>
      <c r="M254" s="49">
        <f t="shared" si="21"/>
        <v>0.1222570533</v>
      </c>
      <c r="N254" s="32" t="str">
        <f t="shared" si="22"/>
        <v>Jânio</v>
      </c>
      <c r="O254" s="50"/>
      <c r="P254" s="38">
        <v>63.0</v>
      </c>
      <c r="Q254" s="38">
        <v>135.0</v>
      </c>
      <c r="R254" s="38">
        <v>42.0</v>
      </c>
      <c r="S254" s="38">
        <v>91.0</v>
      </c>
      <c r="T254" s="38">
        <v>2.0</v>
      </c>
      <c r="U254" s="48">
        <f t="shared" si="23"/>
        <v>240</v>
      </c>
      <c r="V254" s="48">
        <f t="shared" si="24"/>
        <v>333</v>
      </c>
      <c r="W254" s="49">
        <f t="shared" si="25"/>
        <v>0.2625</v>
      </c>
      <c r="X254" s="49">
        <f t="shared" si="26"/>
        <v>0.5625</v>
      </c>
      <c r="Y254" s="49">
        <f t="shared" si="27"/>
        <v>0.175</v>
      </c>
      <c r="Z254" s="32" t="str">
        <f t="shared" si="28"/>
        <v>Milton</v>
      </c>
      <c r="AA254" s="50"/>
    </row>
    <row r="255">
      <c r="A255" s="110" t="s">
        <v>90</v>
      </c>
      <c r="B255" s="46" t="s">
        <v>3088</v>
      </c>
      <c r="C255" s="47"/>
      <c r="D255" s="38">
        <v>194.0</v>
      </c>
      <c r="E255" s="38">
        <v>75.0</v>
      </c>
      <c r="F255" s="38">
        <v>38.0</v>
      </c>
      <c r="G255" s="38">
        <v>4.0</v>
      </c>
      <c r="H255" s="38">
        <v>10.0</v>
      </c>
      <c r="I255" s="48">
        <f t="shared" si="17"/>
        <v>307</v>
      </c>
      <c r="J255" s="48">
        <f t="shared" si="18"/>
        <v>321</v>
      </c>
      <c r="K255" s="49">
        <f t="shared" si="19"/>
        <v>0.6319218241</v>
      </c>
      <c r="L255" s="49">
        <f t="shared" si="20"/>
        <v>0.2442996743</v>
      </c>
      <c r="M255" s="49">
        <f t="shared" si="21"/>
        <v>0.1237785016</v>
      </c>
      <c r="N255" s="32" t="str">
        <f t="shared" si="22"/>
        <v>Jânio</v>
      </c>
      <c r="O255" s="50"/>
      <c r="P255" s="38">
        <v>50.0</v>
      </c>
      <c r="Q255" s="38">
        <v>147.0</v>
      </c>
      <c r="R255" s="38">
        <v>52.0</v>
      </c>
      <c r="S255" s="38">
        <v>65.0</v>
      </c>
      <c r="T255" s="38">
        <v>7.0</v>
      </c>
      <c r="U255" s="48">
        <f t="shared" si="23"/>
        <v>249</v>
      </c>
      <c r="V255" s="48">
        <f t="shared" si="24"/>
        <v>321</v>
      </c>
      <c r="W255" s="49">
        <f t="shared" si="25"/>
        <v>0.2008032129</v>
      </c>
      <c r="X255" s="49">
        <f t="shared" si="26"/>
        <v>0.5903614458</v>
      </c>
      <c r="Y255" s="49">
        <f t="shared" si="27"/>
        <v>0.2088353414</v>
      </c>
      <c r="Z255" s="32" t="str">
        <f t="shared" si="28"/>
        <v>Milton</v>
      </c>
      <c r="AA255" s="50"/>
    </row>
    <row r="256">
      <c r="A256" s="110" t="s">
        <v>90</v>
      </c>
      <c r="B256" s="46" t="s">
        <v>3007</v>
      </c>
      <c r="C256" s="47"/>
      <c r="D256" s="38">
        <v>174.0</v>
      </c>
      <c r="E256" s="38">
        <v>102.0</v>
      </c>
      <c r="F256" s="38">
        <v>44.0</v>
      </c>
      <c r="G256" s="38">
        <v>9.0</v>
      </c>
      <c r="H256" s="38">
        <v>0.0</v>
      </c>
      <c r="I256" s="48">
        <f t="shared" si="17"/>
        <v>320</v>
      </c>
      <c r="J256" s="48">
        <f t="shared" si="18"/>
        <v>329</v>
      </c>
      <c r="K256" s="49">
        <f t="shared" si="19"/>
        <v>0.54375</v>
      </c>
      <c r="L256" s="49">
        <f t="shared" si="20"/>
        <v>0.31875</v>
      </c>
      <c r="M256" s="49">
        <f t="shared" si="21"/>
        <v>0.1375</v>
      </c>
      <c r="N256" s="32" t="str">
        <f t="shared" si="22"/>
        <v>Jânio</v>
      </c>
      <c r="O256" s="50"/>
      <c r="P256" s="38">
        <v>82.0</v>
      </c>
      <c r="Q256" s="38">
        <v>124.0</v>
      </c>
      <c r="R256" s="38">
        <v>47.0</v>
      </c>
      <c r="S256" s="38">
        <v>76.0</v>
      </c>
      <c r="T256" s="38">
        <v>0.0</v>
      </c>
      <c r="U256" s="48">
        <f t="shared" si="23"/>
        <v>253</v>
      </c>
      <c r="V256" s="48">
        <f t="shared" si="24"/>
        <v>329</v>
      </c>
      <c r="W256" s="49">
        <f t="shared" si="25"/>
        <v>0.3241106719</v>
      </c>
      <c r="X256" s="49">
        <f t="shared" si="26"/>
        <v>0.4901185771</v>
      </c>
      <c r="Y256" s="49">
        <f t="shared" si="27"/>
        <v>0.185770751</v>
      </c>
      <c r="Z256" s="32" t="str">
        <f t="shared" si="28"/>
        <v>Milton</v>
      </c>
      <c r="AA256" s="50"/>
    </row>
    <row r="257">
      <c r="A257" s="110" t="s">
        <v>90</v>
      </c>
      <c r="B257" s="46" t="s">
        <v>2977</v>
      </c>
      <c r="C257" s="47"/>
      <c r="D257" s="38">
        <v>192.0</v>
      </c>
      <c r="E257" s="38">
        <v>72.0</v>
      </c>
      <c r="F257" s="38">
        <v>52.0</v>
      </c>
      <c r="G257" s="38">
        <v>6.0</v>
      </c>
      <c r="H257" s="38">
        <v>4.0</v>
      </c>
      <c r="I257" s="48">
        <f t="shared" si="17"/>
        <v>316</v>
      </c>
      <c r="J257" s="48">
        <f t="shared" si="18"/>
        <v>326</v>
      </c>
      <c r="K257" s="49">
        <f t="shared" si="19"/>
        <v>0.6075949367</v>
      </c>
      <c r="L257" s="49">
        <f t="shared" si="20"/>
        <v>0.2278481013</v>
      </c>
      <c r="M257" s="49">
        <f t="shared" si="21"/>
        <v>0.164556962</v>
      </c>
      <c r="N257" s="32" t="str">
        <f t="shared" si="22"/>
        <v>Jânio</v>
      </c>
      <c r="O257" s="50"/>
      <c r="P257" s="38">
        <v>59.0</v>
      </c>
      <c r="Q257" s="38">
        <v>145.0</v>
      </c>
      <c r="R257" s="38">
        <v>54.0</v>
      </c>
      <c r="S257" s="38">
        <v>70.0</v>
      </c>
      <c r="T257" s="38">
        <v>4.0</v>
      </c>
      <c r="U257" s="48">
        <f t="shared" si="23"/>
        <v>258</v>
      </c>
      <c r="V257" s="48">
        <f t="shared" si="24"/>
        <v>332</v>
      </c>
      <c r="W257" s="49">
        <f t="shared" si="25"/>
        <v>0.2286821705</v>
      </c>
      <c r="X257" s="49">
        <f t="shared" si="26"/>
        <v>0.5620155039</v>
      </c>
      <c r="Y257" s="49">
        <f t="shared" si="27"/>
        <v>0.2093023256</v>
      </c>
      <c r="Z257" s="32" t="str">
        <f t="shared" si="28"/>
        <v>Milton</v>
      </c>
      <c r="AA257" s="50"/>
    </row>
    <row r="258">
      <c r="A258" s="110" t="s">
        <v>90</v>
      </c>
      <c r="B258" s="46" t="s">
        <v>3074</v>
      </c>
      <c r="C258" s="47"/>
      <c r="D258" s="38">
        <v>194.0</v>
      </c>
      <c r="E258" s="38">
        <v>78.0</v>
      </c>
      <c r="F258" s="38">
        <v>38.0</v>
      </c>
      <c r="G258" s="38">
        <v>4.0</v>
      </c>
      <c r="H258" s="38">
        <v>5.0</v>
      </c>
      <c r="I258" s="48">
        <f t="shared" si="17"/>
        <v>310</v>
      </c>
      <c r="J258" s="48">
        <f t="shared" si="18"/>
        <v>319</v>
      </c>
      <c r="K258" s="49">
        <f t="shared" si="19"/>
        <v>0.6258064516</v>
      </c>
      <c r="L258" s="49">
        <f t="shared" si="20"/>
        <v>0.2516129032</v>
      </c>
      <c r="M258" s="49">
        <f t="shared" si="21"/>
        <v>0.1225806452</v>
      </c>
      <c r="N258" s="32" t="str">
        <f t="shared" si="22"/>
        <v>Jânio</v>
      </c>
      <c r="O258" s="50"/>
      <c r="P258" s="38">
        <v>64.0</v>
      </c>
      <c r="Q258" s="38">
        <v>141.0</v>
      </c>
      <c r="R258" s="38">
        <v>52.0</v>
      </c>
      <c r="S258" s="38">
        <v>59.0</v>
      </c>
      <c r="T258" s="38">
        <v>3.0</v>
      </c>
      <c r="U258" s="48">
        <f t="shared" si="23"/>
        <v>257</v>
      </c>
      <c r="V258" s="48">
        <f t="shared" si="24"/>
        <v>319</v>
      </c>
      <c r="W258" s="49">
        <f t="shared" si="25"/>
        <v>0.2490272374</v>
      </c>
      <c r="X258" s="49">
        <f t="shared" si="26"/>
        <v>0.5486381323</v>
      </c>
      <c r="Y258" s="49">
        <f t="shared" si="27"/>
        <v>0.2023346304</v>
      </c>
      <c r="Z258" s="32" t="str">
        <f t="shared" si="28"/>
        <v>Milton</v>
      </c>
      <c r="AA258" s="50"/>
    </row>
    <row r="259">
      <c r="A259" s="110" t="s">
        <v>90</v>
      </c>
      <c r="B259" s="46" t="s">
        <v>2546</v>
      </c>
      <c r="C259" s="47"/>
      <c r="D259" s="38">
        <v>208.0</v>
      </c>
      <c r="E259" s="38">
        <v>94.0</v>
      </c>
      <c r="F259" s="38">
        <v>25.0</v>
      </c>
      <c r="G259" s="38">
        <v>5.0</v>
      </c>
      <c r="H259" s="38">
        <v>0.0</v>
      </c>
      <c r="I259" s="48">
        <f t="shared" si="17"/>
        <v>327</v>
      </c>
      <c r="J259" s="48">
        <f t="shared" si="18"/>
        <v>332</v>
      </c>
      <c r="K259" s="49">
        <f t="shared" si="19"/>
        <v>0.6360856269</v>
      </c>
      <c r="L259" s="49">
        <f t="shared" si="20"/>
        <v>0.2874617737</v>
      </c>
      <c r="M259" s="49">
        <f t="shared" si="21"/>
        <v>0.07645259939</v>
      </c>
      <c r="N259" s="32" t="str">
        <f t="shared" si="22"/>
        <v>Jânio</v>
      </c>
      <c r="O259" s="50"/>
      <c r="P259" s="38">
        <v>79.0</v>
      </c>
      <c r="Q259" s="38">
        <v>153.0</v>
      </c>
      <c r="R259" s="38">
        <v>40.0</v>
      </c>
      <c r="S259" s="38">
        <v>60.0</v>
      </c>
      <c r="T259" s="38">
        <v>0.0</v>
      </c>
      <c r="U259" s="48">
        <f t="shared" si="23"/>
        <v>272</v>
      </c>
      <c r="V259" s="48">
        <f t="shared" si="24"/>
        <v>332</v>
      </c>
      <c r="W259" s="49">
        <f t="shared" si="25"/>
        <v>0.2904411765</v>
      </c>
      <c r="X259" s="49">
        <f t="shared" si="26"/>
        <v>0.5625</v>
      </c>
      <c r="Y259" s="49">
        <f t="shared" si="27"/>
        <v>0.1470588235</v>
      </c>
      <c r="Z259" s="32" t="str">
        <f t="shared" si="28"/>
        <v>Milton</v>
      </c>
      <c r="AA259" s="50"/>
    </row>
    <row r="260">
      <c r="A260" s="110" t="s">
        <v>90</v>
      </c>
      <c r="B260" s="46" t="s">
        <v>3012</v>
      </c>
      <c r="C260" s="47"/>
      <c r="D260" s="38">
        <v>150.0</v>
      </c>
      <c r="E260" s="38">
        <v>107.0</v>
      </c>
      <c r="F260" s="38">
        <v>54.0</v>
      </c>
      <c r="G260" s="38">
        <v>13.0</v>
      </c>
      <c r="H260" s="38">
        <v>3.0</v>
      </c>
      <c r="I260" s="48">
        <f t="shared" si="17"/>
        <v>311</v>
      </c>
      <c r="J260" s="48">
        <f t="shared" si="18"/>
        <v>327</v>
      </c>
      <c r="K260" s="49">
        <f t="shared" si="19"/>
        <v>0.4823151125</v>
      </c>
      <c r="L260" s="49">
        <f t="shared" si="20"/>
        <v>0.3440514469</v>
      </c>
      <c r="M260" s="49">
        <f t="shared" si="21"/>
        <v>0.1736334405</v>
      </c>
      <c r="N260" s="32" t="str">
        <f t="shared" si="22"/>
        <v>Jânio</v>
      </c>
      <c r="O260" s="50"/>
      <c r="P260" s="38">
        <v>82.0</v>
      </c>
      <c r="Q260" s="38">
        <v>117.0</v>
      </c>
      <c r="R260" s="38">
        <v>53.0</v>
      </c>
      <c r="S260" s="38">
        <v>72.0</v>
      </c>
      <c r="T260" s="38">
        <v>3.0</v>
      </c>
      <c r="U260" s="48">
        <f t="shared" si="23"/>
        <v>252</v>
      </c>
      <c r="V260" s="48">
        <f t="shared" si="24"/>
        <v>327</v>
      </c>
      <c r="W260" s="49">
        <f t="shared" si="25"/>
        <v>0.3253968254</v>
      </c>
      <c r="X260" s="49">
        <f t="shared" si="26"/>
        <v>0.4642857143</v>
      </c>
      <c r="Y260" s="49">
        <f t="shared" si="27"/>
        <v>0.2103174603</v>
      </c>
      <c r="Z260" s="32" t="str">
        <f t="shared" si="28"/>
        <v>Milton</v>
      </c>
      <c r="AA260" s="50"/>
    </row>
    <row r="261">
      <c r="A261" s="110" t="s">
        <v>90</v>
      </c>
      <c r="B261" s="46" t="s">
        <v>2945</v>
      </c>
      <c r="C261" s="47"/>
      <c r="D261" s="38">
        <v>194.0</v>
      </c>
      <c r="E261" s="38">
        <v>81.0</v>
      </c>
      <c r="F261" s="38">
        <v>60.0</v>
      </c>
      <c r="G261" s="38">
        <v>11.0</v>
      </c>
      <c r="H261" s="38">
        <v>0.0</v>
      </c>
      <c r="I261" s="48">
        <f t="shared" si="17"/>
        <v>335</v>
      </c>
      <c r="J261" s="48">
        <f t="shared" si="18"/>
        <v>346</v>
      </c>
      <c r="K261" s="49">
        <f t="shared" si="19"/>
        <v>0.5791044776</v>
      </c>
      <c r="L261" s="49">
        <f t="shared" si="20"/>
        <v>0.2417910448</v>
      </c>
      <c r="M261" s="49">
        <f t="shared" si="21"/>
        <v>0.1791044776</v>
      </c>
      <c r="N261" s="32" t="str">
        <f t="shared" si="22"/>
        <v>Jânio</v>
      </c>
      <c r="O261" s="50"/>
      <c r="P261" s="38">
        <v>60.0</v>
      </c>
      <c r="Q261" s="38">
        <v>145.0</v>
      </c>
      <c r="R261" s="38">
        <v>77.0</v>
      </c>
      <c r="S261" s="38">
        <v>64.0</v>
      </c>
      <c r="T261" s="38">
        <v>0.0</v>
      </c>
      <c r="U261" s="48">
        <f t="shared" si="23"/>
        <v>282</v>
      </c>
      <c r="V261" s="48">
        <f t="shared" si="24"/>
        <v>346</v>
      </c>
      <c r="W261" s="49">
        <f t="shared" si="25"/>
        <v>0.2127659574</v>
      </c>
      <c r="X261" s="49">
        <f t="shared" si="26"/>
        <v>0.5141843972</v>
      </c>
      <c r="Y261" s="49">
        <f t="shared" si="27"/>
        <v>0.2730496454</v>
      </c>
      <c r="Z261" s="32" t="str">
        <f t="shared" si="28"/>
        <v>Milton</v>
      </c>
      <c r="AA261" s="50"/>
    </row>
    <row r="262">
      <c r="A262" s="110" t="s">
        <v>90</v>
      </c>
      <c r="B262" s="46" t="s">
        <v>220</v>
      </c>
      <c r="C262" s="47"/>
      <c r="D262" s="38">
        <v>183.0</v>
      </c>
      <c r="E262" s="38">
        <v>89.0</v>
      </c>
      <c r="F262" s="38">
        <v>51.0</v>
      </c>
      <c r="G262" s="38">
        <v>10.0</v>
      </c>
      <c r="H262" s="38">
        <v>3.0</v>
      </c>
      <c r="I262" s="48">
        <f t="shared" si="17"/>
        <v>323</v>
      </c>
      <c r="J262" s="48">
        <f t="shared" si="18"/>
        <v>336</v>
      </c>
      <c r="K262" s="49">
        <f t="shared" si="19"/>
        <v>0.5665634675</v>
      </c>
      <c r="L262" s="49">
        <f t="shared" si="20"/>
        <v>0.2755417957</v>
      </c>
      <c r="M262" s="49">
        <f t="shared" si="21"/>
        <v>0.1578947368</v>
      </c>
      <c r="N262" s="32" t="str">
        <f t="shared" si="22"/>
        <v>Jânio</v>
      </c>
      <c r="O262" s="50"/>
      <c r="P262" s="38">
        <v>59.0</v>
      </c>
      <c r="Q262" s="38">
        <v>133.0</v>
      </c>
      <c r="R262" s="38">
        <v>56.0</v>
      </c>
      <c r="S262" s="38">
        <v>75.0</v>
      </c>
      <c r="T262" s="38">
        <v>4.0</v>
      </c>
      <c r="U262" s="48">
        <f t="shared" si="23"/>
        <v>248</v>
      </c>
      <c r="V262" s="48">
        <f t="shared" si="24"/>
        <v>327</v>
      </c>
      <c r="W262" s="49">
        <f t="shared" si="25"/>
        <v>0.2379032258</v>
      </c>
      <c r="X262" s="49">
        <f t="shared" si="26"/>
        <v>0.5362903226</v>
      </c>
      <c r="Y262" s="49">
        <f t="shared" si="27"/>
        <v>0.2258064516</v>
      </c>
      <c r="Z262" s="32" t="str">
        <f t="shared" si="28"/>
        <v>Milton</v>
      </c>
      <c r="AA262" s="50"/>
    </row>
    <row r="263">
      <c r="A263" s="110" t="s">
        <v>90</v>
      </c>
      <c r="B263" s="46" t="s">
        <v>3104</v>
      </c>
      <c r="C263" s="47"/>
      <c r="D263" s="38">
        <v>191.0</v>
      </c>
      <c r="E263" s="38">
        <v>92.0</v>
      </c>
      <c r="F263" s="38">
        <v>49.0</v>
      </c>
      <c r="G263" s="38">
        <v>7.0</v>
      </c>
      <c r="H263" s="38">
        <v>3.0</v>
      </c>
      <c r="I263" s="48">
        <f t="shared" si="17"/>
        <v>332</v>
      </c>
      <c r="J263" s="48">
        <f t="shared" si="18"/>
        <v>342</v>
      </c>
      <c r="K263" s="49">
        <f t="shared" si="19"/>
        <v>0.5753012048</v>
      </c>
      <c r="L263" s="49">
        <f t="shared" si="20"/>
        <v>0.2771084337</v>
      </c>
      <c r="M263" s="49">
        <f t="shared" si="21"/>
        <v>0.1475903614</v>
      </c>
      <c r="N263" s="32" t="str">
        <f t="shared" si="22"/>
        <v>Jânio</v>
      </c>
      <c r="O263" s="50"/>
      <c r="P263" s="38">
        <v>61.0</v>
      </c>
      <c r="Q263" s="38">
        <v>147.0</v>
      </c>
      <c r="R263" s="38">
        <v>63.0</v>
      </c>
      <c r="S263" s="38">
        <v>66.0</v>
      </c>
      <c r="T263" s="38">
        <v>5.0</v>
      </c>
      <c r="U263" s="48">
        <f t="shared" si="23"/>
        <v>271</v>
      </c>
      <c r="V263" s="48">
        <f t="shared" si="24"/>
        <v>342</v>
      </c>
      <c r="W263" s="49">
        <f t="shared" si="25"/>
        <v>0.2250922509</v>
      </c>
      <c r="X263" s="49">
        <f t="shared" si="26"/>
        <v>0.5424354244</v>
      </c>
      <c r="Y263" s="49">
        <f t="shared" si="27"/>
        <v>0.2324723247</v>
      </c>
      <c r="Z263" s="32" t="str">
        <f t="shared" si="28"/>
        <v>Milton</v>
      </c>
      <c r="AA263" s="50"/>
    </row>
    <row r="264">
      <c r="A264" s="110" t="s">
        <v>90</v>
      </c>
      <c r="B264" s="46" t="s">
        <v>3241</v>
      </c>
      <c r="C264" s="47"/>
      <c r="D264" s="38">
        <v>199.0</v>
      </c>
      <c r="E264" s="38">
        <v>111.0</v>
      </c>
      <c r="F264" s="38">
        <v>34.0</v>
      </c>
      <c r="G264" s="38">
        <v>4.0</v>
      </c>
      <c r="H264" s="38">
        <v>3.0</v>
      </c>
      <c r="I264" s="48">
        <f t="shared" si="17"/>
        <v>344</v>
      </c>
      <c r="J264" s="48">
        <f t="shared" si="18"/>
        <v>351</v>
      </c>
      <c r="K264" s="49">
        <f t="shared" si="19"/>
        <v>0.5784883721</v>
      </c>
      <c r="L264" s="49">
        <f t="shared" si="20"/>
        <v>0.3226744186</v>
      </c>
      <c r="M264" s="49">
        <f t="shared" si="21"/>
        <v>0.0988372093</v>
      </c>
      <c r="N264" s="32" t="str">
        <f t="shared" si="22"/>
        <v>Jânio</v>
      </c>
      <c r="O264" s="50"/>
      <c r="P264" s="38">
        <v>79.0</v>
      </c>
      <c r="Q264" s="38">
        <v>135.0</v>
      </c>
      <c r="R264" s="38">
        <v>66.0</v>
      </c>
      <c r="S264" s="38">
        <v>68.0</v>
      </c>
      <c r="T264" s="38">
        <v>3.0</v>
      </c>
      <c r="U264" s="48">
        <f t="shared" si="23"/>
        <v>280</v>
      </c>
      <c r="V264" s="48">
        <f t="shared" si="24"/>
        <v>351</v>
      </c>
      <c r="W264" s="49">
        <f t="shared" si="25"/>
        <v>0.2821428571</v>
      </c>
      <c r="X264" s="49">
        <f t="shared" si="26"/>
        <v>0.4821428571</v>
      </c>
      <c r="Y264" s="49">
        <f t="shared" si="27"/>
        <v>0.2357142857</v>
      </c>
      <c r="Z264" s="32" t="str">
        <f t="shared" si="28"/>
        <v>Milton</v>
      </c>
      <c r="AA264" s="50"/>
    </row>
    <row r="265">
      <c r="A265" s="110" t="s">
        <v>90</v>
      </c>
      <c r="B265" s="46" t="s">
        <v>3090</v>
      </c>
      <c r="C265" s="47"/>
      <c r="D265" s="38">
        <v>177.0</v>
      </c>
      <c r="E265" s="38">
        <v>99.0</v>
      </c>
      <c r="F265" s="38">
        <v>49.0</v>
      </c>
      <c r="G265" s="38">
        <v>4.0</v>
      </c>
      <c r="H265" s="38">
        <v>5.0</v>
      </c>
      <c r="I265" s="48">
        <f t="shared" si="17"/>
        <v>325</v>
      </c>
      <c r="J265" s="48">
        <f t="shared" si="18"/>
        <v>334</v>
      </c>
      <c r="K265" s="49">
        <f t="shared" si="19"/>
        <v>0.5446153846</v>
      </c>
      <c r="L265" s="49">
        <f t="shared" si="20"/>
        <v>0.3046153846</v>
      </c>
      <c r="M265" s="49">
        <f t="shared" si="21"/>
        <v>0.1507692308</v>
      </c>
      <c r="N265" s="32" t="str">
        <f t="shared" si="22"/>
        <v>Jânio</v>
      </c>
      <c r="O265" s="50"/>
      <c r="P265" s="38">
        <v>67.0</v>
      </c>
      <c r="Q265" s="38">
        <v>147.0</v>
      </c>
      <c r="R265" s="38">
        <v>66.0</v>
      </c>
      <c r="S265" s="38">
        <v>49.0</v>
      </c>
      <c r="T265" s="38">
        <v>5.0</v>
      </c>
      <c r="U265" s="48">
        <f t="shared" si="23"/>
        <v>280</v>
      </c>
      <c r="V265" s="48">
        <f t="shared" si="24"/>
        <v>334</v>
      </c>
      <c r="W265" s="49">
        <f t="shared" si="25"/>
        <v>0.2392857143</v>
      </c>
      <c r="X265" s="49">
        <f t="shared" si="26"/>
        <v>0.525</v>
      </c>
      <c r="Y265" s="49">
        <f t="shared" si="27"/>
        <v>0.2357142857</v>
      </c>
      <c r="Z265" s="32" t="str">
        <f t="shared" si="28"/>
        <v>Milton</v>
      </c>
      <c r="AA265" s="50"/>
    </row>
    <row r="266">
      <c r="A266" s="110" t="s">
        <v>90</v>
      </c>
      <c r="B266" s="46" t="s">
        <v>3068</v>
      </c>
      <c r="C266" s="47"/>
      <c r="D266" s="38">
        <v>183.0</v>
      </c>
      <c r="E266" s="38">
        <v>73.0</v>
      </c>
      <c r="F266" s="38">
        <v>42.0</v>
      </c>
      <c r="G266" s="38">
        <v>4.0</v>
      </c>
      <c r="H266" s="38">
        <v>1.0</v>
      </c>
      <c r="I266" s="48">
        <f t="shared" si="17"/>
        <v>298</v>
      </c>
      <c r="J266" s="48">
        <f t="shared" si="18"/>
        <v>303</v>
      </c>
      <c r="K266" s="49">
        <f t="shared" si="19"/>
        <v>0.6140939597</v>
      </c>
      <c r="L266" s="49">
        <f t="shared" si="20"/>
        <v>0.244966443</v>
      </c>
      <c r="M266" s="49">
        <f t="shared" si="21"/>
        <v>0.1409395973</v>
      </c>
      <c r="N266" s="32" t="str">
        <f t="shared" si="22"/>
        <v>Jânio</v>
      </c>
      <c r="O266" s="50"/>
      <c r="P266" s="38">
        <v>43.0</v>
      </c>
      <c r="Q266" s="38">
        <v>129.0</v>
      </c>
      <c r="R266" s="38">
        <v>62.0</v>
      </c>
      <c r="S266" s="38">
        <v>68.0</v>
      </c>
      <c r="T266" s="38">
        <v>1.0</v>
      </c>
      <c r="U266" s="48">
        <f t="shared" si="23"/>
        <v>234</v>
      </c>
      <c r="V266" s="48">
        <f t="shared" si="24"/>
        <v>303</v>
      </c>
      <c r="W266" s="49">
        <f t="shared" si="25"/>
        <v>0.1837606838</v>
      </c>
      <c r="X266" s="49">
        <f t="shared" si="26"/>
        <v>0.5512820513</v>
      </c>
      <c r="Y266" s="49">
        <f t="shared" si="27"/>
        <v>0.264957265</v>
      </c>
      <c r="Z266" s="32" t="str">
        <f t="shared" si="28"/>
        <v>Milton</v>
      </c>
      <c r="AA266" s="50"/>
    </row>
    <row r="267">
      <c r="A267" s="110" t="s">
        <v>90</v>
      </c>
      <c r="B267" s="46" t="s">
        <v>3112</v>
      </c>
      <c r="C267" s="47"/>
      <c r="D267" s="38">
        <v>249.0</v>
      </c>
      <c r="E267" s="38">
        <v>80.0</v>
      </c>
      <c r="F267" s="38">
        <v>30.0</v>
      </c>
      <c r="G267" s="38">
        <v>5.0</v>
      </c>
      <c r="H267" s="38">
        <v>0.0</v>
      </c>
      <c r="I267" s="48">
        <f t="shared" si="17"/>
        <v>359</v>
      </c>
      <c r="J267" s="48">
        <f t="shared" si="18"/>
        <v>364</v>
      </c>
      <c r="K267" s="49">
        <f t="shared" si="19"/>
        <v>0.6935933148</v>
      </c>
      <c r="L267" s="49">
        <f t="shared" si="20"/>
        <v>0.2228412256</v>
      </c>
      <c r="M267" s="49">
        <f t="shared" si="21"/>
        <v>0.08356545961</v>
      </c>
      <c r="N267" s="32" t="str">
        <f t="shared" si="22"/>
        <v>Jânio</v>
      </c>
      <c r="O267" s="50"/>
      <c r="P267" s="38">
        <v>54.0</v>
      </c>
      <c r="Q267" s="38">
        <v>202.0</v>
      </c>
      <c r="R267" s="38">
        <v>50.0</v>
      </c>
      <c r="S267" s="38">
        <v>65.0</v>
      </c>
      <c r="T267" s="38">
        <v>0.0</v>
      </c>
      <c r="U267" s="48">
        <f t="shared" si="23"/>
        <v>306</v>
      </c>
      <c r="V267" s="48">
        <f t="shared" si="24"/>
        <v>371</v>
      </c>
      <c r="W267" s="49">
        <f t="shared" si="25"/>
        <v>0.1764705882</v>
      </c>
      <c r="X267" s="49">
        <f t="shared" si="26"/>
        <v>0.660130719</v>
      </c>
      <c r="Y267" s="49">
        <f t="shared" si="27"/>
        <v>0.1633986928</v>
      </c>
      <c r="Z267" s="32" t="str">
        <f t="shared" si="28"/>
        <v>Milton</v>
      </c>
      <c r="AA267" s="50"/>
    </row>
    <row r="268">
      <c r="A268" s="110" t="s">
        <v>90</v>
      </c>
      <c r="B268" s="46" t="s">
        <v>3100</v>
      </c>
      <c r="C268" s="47"/>
      <c r="D268" s="38">
        <v>235.0</v>
      </c>
      <c r="E268" s="38">
        <v>85.0</v>
      </c>
      <c r="F268" s="38">
        <v>33.0</v>
      </c>
      <c r="G268" s="38">
        <v>8.0</v>
      </c>
      <c r="H268" s="38">
        <v>5.0</v>
      </c>
      <c r="I268" s="48">
        <f t="shared" si="17"/>
        <v>353</v>
      </c>
      <c r="J268" s="48">
        <f t="shared" si="18"/>
        <v>366</v>
      </c>
      <c r="K268" s="49">
        <f t="shared" si="19"/>
        <v>0.6657223796</v>
      </c>
      <c r="L268" s="49">
        <f t="shared" si="20"/>
        <v>0.2407932011</v>
      </c>
      <c r="M268" s="49">
        <f t="shared" si="21"/>
        <v>0.09348441926</v>
      </c>
      <c r="N268" s="32" t="str">
        <f t="shared" si="22"/>
        <v>Jânio</v>
      </c>
      <c r="O268" s="50"/>
      <c r="P268" s="38">
        <v>56.0</v>
      </c>
      <c r="Q268" s="38">
        <v>173.0</v>
      </c>
      <c r="R268" s="38">
        <v>57.0</v>
      </c>
      <c r="S268" s="38">
        <v>82.0</v>
      </c>
      <c r="T268" s="38">
        <v>3.0</v>
      </c>
      <c r="U268" s="48">
        <f t="shared" si="23"/>
        <v>286</v>
      </c>
      <c r="V268" s="48">
        <f t="shared" si="24"/>
        <v>371</v>
      </c>
      <c r="W268" s="49">
        <f t="shared" si="25"/>
        <v>0.1958041958</v>
      </c>
      <c r="X268" s="49">
        <f t="shared" si="26"/>
        <v>0.6048951049</v>
      </c>
      <c r="Y268" s="49">
        <f t="shared" si="27"/>
        <v>0.1993006993</v>
      </c>
      <c r="Z268" s="32" t="str">
        <f t="shared" si="28"/>
        <v>Milton</v>
      </c>
      <c r="AA268" s="50"/>
    </row>
    <row r="269">
      <c r="A269" s="110" t="s">
        <v>92</v>
      </c>
      <c r="B269" s="46" t="s">
        <v>127</v>
      </c>
      <c r="C269" s="47"/>
      <c r="D269" s="38">
        <v>183.0</v>
      </c>
      <c r="E269" s="38">
        <v>93.0</v>
      </c>
      <c r="F269" s="38">
        <v>41.0</v>
      </c>
      <c r="G269" s="38">
        <v>4.0</v>
      </c>
      <c r="H269" s="38">
        <v>6.0</v>
      </c>
      <c r="I269" s="48">
        <f t="shared" si="17"/>
        <v>317</v>
      </c>
      <c r="J269" s="48">
        <f t="shared" si="18"/>
        <v>327</v>
      </c>
      <c r="K269" s="49">
        <f t="shared" si="19"/>
        <v>0.5772870662</v>
      </c>
      <c r="L269" s="49">
        <f t="shared" si="20"/>
        <v>0.2933753943</v>
      </c>
      <c r="M269" s="49">
        <f t="shared" si="21"/>
        <v>0.1293375394</v>
      </c>
      <c r="N269" s="32" t="str">
        <f t="shared" si="22"/>
        <v>Jânio</v>
      </c>
      <c r="O269" s="50"/>
      <c r="P269" s="38">
        <v>67.0</v>
      </c>
      <c r="Q269" s="48">
        <v>132.0</v>
      </c>
      <c r="R269" s="38">
        <v>54.0</v>
      </c>
      <c r="S269" s="38">
        <v>67.0</v>
      </c>
      <c r="T269" s="38">
        <v>7.0</v>
      </c>
      <c r="U269" s="48">
        <f t="shared" si="23"/>
        <v>253</v>
      </c>
      <c r="V269" s="48">
        <f t="shared" si="24"/>
        <v>327</v>
      </c>
      <c r="W269" s="49">
        <f t="shared" si="25"/>
        <v>0.2648221344</v>
      </c>
      <c r="X269" s="49">
        <f t="shared" si="26"/>
        <v>0.5217391304</v>
      </c>
      <c r="Y269" s="49">
        <f t="shared" si="27"/>
        <v>0.2134387352</v>
      </c>
      <c r="Z269" s="32" t="str">
        <f t="shared" si="28"/>
        <v>Milton</v>
      </c>
      <c r="AA269" s="50"/>
    </row>
    <row r="270">
      <c r="A270" s="110" t="s">
        <v>92</v>
      </c>
      <c r="B270" s="46" t="s">
        <v>858</v>
      </c>
      <c r="C270" s="47"/>
      <c r="D270" s="38">
        <v>128.0</v>
      </c>
      <c r="E270" s="38">
        <v>108.0</v>
      </c>
      <c r="F270" s="38">
        <v>97.0</v>
      </c>
      <c r="G270" s="38">
        <v>9.0</v>
      </c>
      <c r="H270" s="38">
        <v>10.0</v>
      </c>
      <c r="I270" s="48">
        <f t="shared" si="17"/>
        <v>333</v>
      </c>
      <c r="J270" s="48">
        <f t="shared" si="18"/>
        <v>352</v>
      </c>
      <c r="K270" s="49">
        <f t="shared" si="19"/>
        <v>0.3843843844</v>
      </c>
      <c r="L270" s="49">
        <f t="shared" si="20"/>
        <v>0.3243243243</v>
      </c>
      <c r="M270" s="49">
        <f t="shared" si="21"/>
        <v>0.2912912913</v>
      </c>
      <c r="N270" s="32" t="str">
        <f t="shared" si="22"/>
        <v>Jânio</v>
      </c>
      <c r="O270" s="50"/>
      <c r="P270" s="38">
        <v>91.0</v>
      </c>
      <c r="Q270" s="48">
        <v>80.0</v>
      </c>
      <c r="R270" s="38">
        <v>76.0</v>
      </c>
      <c r="S270" s="38">
        <v>96.0</v>
      </c>
      <c r="T270" s="38">
        <v>9.0</v>
      </c>
      <c r="U270" s="48">
        <f t="shared" si="23"/>
        <v>247</v>
      </c>
      <c r="V270" s="48">
        <f t="shared" si="24"/>
        <v>352</v>
      </c>
      <c r="W270" s="49">
        <f t="shared" si="25"/>
        <v>0.3684210526</v>
      </c>
      <c r="X270" s="49">
        <f t="shared" si="26"/>
        <v>0.3238866397</v>
      </c>
      <c r="Y270" s="49">
        <f t="shared" si="27"/>
        <v>0.3076923077</v>
      </c>
      <c r="Z270" s="32" t="str">
        <f t="shared" si="28"/>
        <v>Jango</v>
      </c>
      <c r="AA270" s="50"/>
    </row>
    <row r="271">
      <c r="A271" s="110" t="s">
        <v>92</v>
      </c>
      <c r="B271" s="46" t="s">
        <v>514</v>
      </c>
      <c r="C271" s="47"/>
      <c r="D271" s="38">
        <v>129.0</v>
      </c>
      <c r="E271" s="38">
        <v>99.0</v>
      </c>
      <c r="F271" s="38">
        <v>62.0</v>
      </c>
      <c r="G271" s="38">
        <v>2.0</v>
      </c>
      <c r="H271" s="38">
        <v>4.0</v>
      </c>
      <c r="I271" s="48">
        <f t="shared" si="17"/>
        <v>290</v>
      </c>
      <c r="J271" s="48">
        <f t="shared" si="18"/>
        <v>296</v>
      </c>
      <c r="K271" s="49">
        <f t="shared" si="19"/>
        <v>0.4448275862</v>
      </c>
      <c r="L271" s="49">
        <f t="shared" si="20"/>
        <v>0.3413793103</v>
      </c>
      <c r="M271" s="49">
        <f t="shared" si="21"/>
        <v>0.2137931034</v>
      </c>
      <c r="N271" s="32" t="str">
        <f t="shared" si="22"/>
        <v>Jânio</v>
      </c>
      <c r="O271" s="50"/>
      <c r="P271" s="38">
        <v>78.0</v>
      </c>
      <c r="Q271" s="38">
        <v>139.0</v>
      </c>
      <c r="R271" s="38">
        <v>60.0</v>
      </c>
      <c r="S271" s="38">
        <v>15.0</v>
      </c>
      <c r="T271" s="38">
        <v>4.0</v>
      </c>
      <c r="U271" s="48">
        <f t="shared" si="23"/>
        <v>277</v>
      </c>
      <c r="V271" s="48">
        <f t="shared" si="24"/>
        <v>296</v>
      </c>
      <c r="W271" s="49">
        <f t="shared" si="25"/>
        <v>0.2815884477</v>
      </c>
      <c r="X271" s="49">
        <f t="shared" si="26"/>
        <v>0.5018050542</v>
      </c>
      <c r="Y271" s="49">
        <f t="shared" si="27"/>
        <v>0.2166064982</v>
      </c>
      <c r="Z271" s="32" t="str">
        <f t="shared" si="28"/>
        <v>Milton</v>
      </c>
      <c r="AA271" s="50"/>
    </row>
    <row r="272">
      <c r="A272" s="110" t="s">
        <v>92</v>
      </c>
      <c r="B272" s="46" t="s">
        <v>501</v>
      </c>
      <c r="C272" s="47"/>
      <c r="D272" s="38">
        <v>180.0</v>
      </c>
      <c r="E272" s="38">
        <v>111.0</v>
      </c>
      <c r="F272" s="38">
        <v>55.0</v>
      </c>
      <c r="G272" s="38">
        <v>2.0</v>
      </c>
      <c r="H272" s="38">
        <v>5.0</v>
      </c>
      <c r="I272" s="48">
        <f t="shared" si="17"/>
        <v>346</v>
      </c>
      <c r="J272" s="48">
        <f t="shared" si="18"/>
        <v>353</v>
      </c>
      <c r="K272" s="49">
        <f t="shared" si="19"/>
        <v>0.5202312139</v>
      </c>
      <c r="L272" s="49">
        <f t="shared" si="20"/>
        <v>0.3208092486</v>
      </c>
      <c r="M272" s="49">
        <f t="shared" si="21"/>
        <v>0.1589595376</v>
      </c>
      <c r="N272" s="32" t="str">
        <f t="shared" si="22"/>
        <v>Jânio</v>
      </c>
      <c r="O272" s="50"/>
      <c r="P272" s="38">
        <v>82.0</v>
      </c>
      <c r="Q272" s="38">
        <v>134.0</v>
      </c>
      <c r="R272" s="38">
        <v>65.0</v>
      </c>
      <c r="S272" s="38">
        <v>65.0</v>
      </c>
      <c r="T272" s="38">
        <v>5.0</v>
      </c>
      <c r="U272" s="48">
        <f t="shared" si="23"/>
        <v>281</v>
      </c>
      <c r="V272" s="48">
        <f t="shared" si="24"/>
        <v>351</v>
      </c>
      <c r="W272" s="49">
        <f t="shared" si="25"/>
        <v>0.2918149466</v>
      </c>
      <c r="X272" s="49">
        <f t="shared" si="26"/>
        <v>0.4768683274</v>
      </c>
      <c r="Y272" s="49">
        <f t="shared" si="27"/>
        <v>0.231316726</v>
      </c>
      <c r="Z272" s="32" t="str">
        <f t="shared" si="28"/>
        <v>Milton</v>
      </c>
      <c r="AA272" s="50"/>
    </row>
    <row r="273">
      <c r="A273" s="110" t="s">
        <v>92</v>
      </c>
      <c r="B273" s="46" t="s">
        <v>2775</v>
      </c>
      <c r="C273" s="47"/>
      <c r="D273" s="38">
        <v>171.0</v>
      </c>
      <c r="E273" s="38">
        <v>82.0</v>
      </c>
      <c r="F273" s="38">
        <v>63.0</v>
      </c>
      <c r="G273" s="38">
        <v>15.0</v>
      </c>
      <c r="H273" s="38">
        <v>3.0</v>
      </c>
      <c r="I273" s="48">
        <f t="shared" si="17"/>
        <v>316</v>
      </c>
      <c r="J273" s="48">
        <f t="shared" si="18"/>
        <v>334</v>
      </c>
      <c r="K273" s="49">
        <f t="shared" si="19"/>
        <v>0.5411392405</v>
      </c>
      <c r="L273" s="49">
        <f t="shared" si="20"/>
        <v>0.2594936709</v>
      </c>
      <c r="M273" s="49">
        <f t="shared" si="21"/>
        <v>0.1993670886</v>
      </c>
      <c r="N273" s="32" t="str">
        <f t="shared" si="22"/>
        <v>Jânio</v>
      </c>
      <c r="O273" s="50"/>
      <c r="P273" s="38">
        <v>66.0</v>
      </c>
      <c r="Q273" s="38">
        <v>116.0</v>
      </c>
      <c r="R273" s="38">
        <v>79.0</v>
      </c>
      <c r="S273" s="38">
        <v>72.0</v>
      </c>
      <c r="T273" s="38">
        <v>1.0</v>
      </c>
      <c r="U273" s="48">
        <f t="shared" si="23"/>
        <v>261</v>
      </c>
      <c r="V273" s="48">
        <f t="shared" si="24"/>
        <v>334</v>
      </c>
      <c r="W273" s="49">
        <f t="shared" si="25"/>
        <v>0.2528735632</v>
      </c>
      <c r="X273" s="49">
        <f t="shared" si="26"/>
        <v>0.4444444444</v>
      </c>
      <c r="Y273" s="49">
        <f t="shared" si="27"/>
        <v>0.3026819923</v>
      </c>
      <c r="Z273" s="32" t="str">
        <f t="shared" si="28"/>
        <v>Milton</v>
      </c>
      <c r="AA273" s="50"/>
    </row>
    <row r="274">
      <c r="A274" s="110" t="s">
        <v>92</v>
      </c>
      <c r="B274" s="46" t="s">
        <v>94</v>
      </c>
      <c r="C274" s="47"/>
      <c r="D274" s="38">
        <v>177.0</v>
      </c>
      <c r="E274" s="38">
        <v>30.0</v>
      </c>
      <c r="F274" s="38">
        <v>11.0</v>
      </c>
      <c r="G274" s="38">
        <v>8.0</v>
      </c>
      <c r="H274" s="38">
        <v>3.0</v>
      </c>
      <c r="I274" s="48">
        <f t="shared" si="17"/>
        <v>218</v>
      </c>
      <c r="J274" s="48">
        <f t="shared" si="18"/>
        <v>229</v>
      </c>
      <c r="K274" s="49">
        <f t="shared" si="19"/>
        <v>0.8119266055</v>
      </c>
      <c r="L274" s="49">
        <f t="shared" si="20"/>
        <v>0.1376146789</v>
      </c>
      <c r="M274" s="49">
        <f t="shared" si="21"/>
        <v>0.0504587156</v>
      </c>
      <c r="N274" s="32" t="str">
        <f t="shared" si="22"/>
        <v>Jânio</v>
      </c>
      <c r="O274" s="50"/>
      <c r="P274" s="38">
        <v>12.0</v>
      </c>
      <c r="Q274" s="38">
        <v>155.0</v>
      </c>
      <c r="R274" s="38">
        <v>20.0</v>
      </c>
      <c r="S274" s="38">
        <v>34.0</v>
      </c>
      <c r="T274" s="38">
        <v>0.0</v>
      </c>
      <c r="U274" s="48">
        <f t="shared" si="23"/>
        <v>187</v>
      </c>
      <c r="V274" s="48">
        <f t="shared" si="24"/>
        <v>221</v>
      </c>
      <c r="W274" s="49">
        <f t="shared" si="25"/>
        <v>0.06417112299</v>
      </c>
      <c r="X274" s="49">
        <f t="shared" si="26"/>
        <v>0.8288770053</v>
      </c>
      <c r="Y274" s="49">
        <f t="shared" si="27"/>
        <v>0.1069518717</v>
      </c>
      <c r="Z274" s="32" t="str">
        <f t="shared" si="28"/>
        <v>Milton</v>
      </c>
      <c r="AA274" s="50"/>
    </row>
    <row r="275">
      <c r="A275" s="110" t="s">
        <v>92</v>
      </c>
      <c r="B275" s="46" t="s">
        <v>299</v>
      </c>
      <c r="C275" s="47"/>
      <c r="D275" s="38">
        <v>201.0</v>
      </c>
      <c r="E275" s="38">
        <v>83.0</v>
      </c>
      <c r="F275" s="38">
        <v>38.0</v>
      </c>
      <c r="G275" s="38">
        <v>6.0</v>
      </c>
      <c r="H275" s="38">
        <v>4.0</v>
      </c>
      <c r="I275" s="48">
        <f t="shared" si="17"/>
        <v>322</v>
      </c>
      <c r="J275" s="48">
        <f t="shared" si="18"/>
        <v>332</v>
      </c>
      <c r="K275" s="49">
        <f t="shared" si="19"/>
        <v>0.6242236025</v>
      </c>
      <c r="L275" s="49">
        <f t="shared" si="20"/>
        <v>0.2577639752</v>
      </c>
      <c r="M275" s="49">
        <f t="shared" si="21"/>
        <v>0.1180124224</v>
      </c>
      <c r="N275" s="32" t="str">
        <f t="shared" si="22"/>
        <v>Jânio</v>
      </c>
      <c r="O275" s="50"/>
      <c r="P275" s="38">
        <v>56.0</v>
      </c>
      <c r="Q275" s="38">
        <v>159.0</v>
      </c>
      <c r="R275" s="38">
        <v>62.0</v>
      </c>
      <c r="S275" s="38">
        <v>51.0</v>
      </c>
      <c r="T275" s="38">
        <v>4.0</v>
      </c>
      <c r="U275" s="48">
        <f t="shared" si="23"/>
        <v>277</v>
      </c>
      <c r="V275" s="48">
        <f t="shared" si="24"/>
        <v>332</v>
      </c>
      <c r="W275" s="49">
        <f t="shared" si="25"/>
        <v>0.202166065</v>
      </c>
      <c r="X275" s="49">
        <f t="shared" si="26"/>
        <v>0.5740072202</v>
      </c>
      <c r="Y275" s="49">
        <f t="shared" si="27"/>
        <v>0.2238267148</v>
      </c>
      <c r="Z275" s="32" t="str">
        <f t="shared" si="28"/>
        <v>Milton</v>
      </c>
      <c r="AA275" s="50"/>
    </row>
    <row r="276">
      <c r="A276" s="110" t="s">
        <v>92</v>
      </c>
      <c r="B276" s="46" t="s">
        <v>327</v>
      </c>
      <c r="C276" s="47"/>
      <c r="D276" s="38">
        <v>85.0</v>
      </c>
      <c r="E276" s="38">
        <v>52.0</v>
      </c>
      <c r="F276" s="38">
        <v>53.0</v>
      </c>
      <c r="G276" s="38">
        <v>0.0</v>
      </c>
      <c r="H276" s="38">
        <v>5.0</v>
      </c>
      <c r="I276" s="48">
        <f t="shared" si="17"/>
        <v>190</v>
      </c>
      <c r="J276" s="48">
        <f t="shared" si="18"/>
        <v>195</v>
      </c>
      <c r="K276" s="49">
        <f t="shared" si="19"/>
        <v>0.4473684211</v>
      </c>
      <c r="L276" s="49">
        <f t="shared" si="20"/>
        <v>0.2736842105</v>
      </c>
      <c r="M276" s="49">
        <f t="shared" si="21"/>
        <v>0.2789473684</v>
      </c>
      <c r="N276" s="32" t="str">
        <f t="shared" si="22"/>
        <v>Jânio</v>
      </c>
      <c r="O276" s="50"/>
      <c r="P276" s="38">
        <v>41.0</v>
      </c>
      <c r="Q276" s="38">
        <v>60.0</v>
      </c>
      <c r="R276" s="38">
        <v>40.0</v>
      </c>
      <c r="S276" s="38">
        <v>49.0</v>
      </c>
      <c r="T276" s="38">
        <v>5.0</v>
      </c>
      <c r="U276" s="48">
        <f t="shared" si="23"/>
        <v>141</v>
      </c>
      <c r="V276" s="48">
        <f t="shared" si="24"/>
        <v>195</v>
      </c>
      <c r="W276" s="49">
        <f t="shared" si="25"/>
        <v>0.2907801418</v>
      </c>
      <c r="X276" s="49">
        <f t="shared" si="26"/>
        <v>0.4255319149</v>
      </c>
      <c r="Y276" s="49">
        <f t="shared" si="27"/>
        <v>0.2836879433</v>
      </c>
      <c r="Z276" s="32" t="str">
        <f t="shared" si="28"/>
        <v>Milton</v>
      </c>
      <c r="AA276" s="50"/>
    </row>
    <row r="277">
      <c r="A277" s="110" t="s">
        <v>92</v>
      </c>
      <c r="B277" s="46" t="s">
        <v>529</v>
      </c>
      <c r="C277" s="47"/>
      <c r="D277" s="38">
        <v>305.0</v>
      </c>
      <c r="E277" s="38">
        <v>72.0</v>
      </c>
      <c r="F277" s="38">
        <v>40.0</v>
      </c>
      <c r="G277" s="38">
        <v>3.0</v>
      </c>
      <c r="H277" s="38">
        <v>3.0</v>
      </c>
      <c r="I277" s="48">
        <f t="shared" si="17"/>
        <v>417</v>
      </c>
      <c r="J277" s="48">
        <f t="shared" si="18"/>
        <v>423</v>
      </c>
      <c r="K277" s="49">
        <f t="shared" si="19"/>
        <v>0.7314148681</v>
      </c>
      <c r="L277" s="49">
        <f t="shared" si="20"/>
        <v>0.1726618705</v>
      </c>
      <c r="M277" s="49">
        <f t="shared" si="21"/>
        <v>0.09592326139</v>
      </c>
      <c r="N277" s="32" t="str">
        <f t="shared" si="22"/>
        <v>Jânio</v>
      </c>
      <c r="O277" s="50"/>
      <c r="P277" s="38">
        <v>57.0</v>
      </c>
      <c r="Q277" s="38">
        <v>159.0</v>
      </c>
      <c r="R277" s="38">
        <v>46.0</v>
      </c>
      <c r="S277" s="38">
        <v>58.0</v>
      </c>
      <c r="T277" s="38">
        <v>3.0</v>
      </c>
      <c r="U277" s="48">
        <f t="shared" si="23"/>
        <v>262</v>
      </c>
      <c r="V277" s="48">
        <f t="shared" si="24"/>
        <v>323</v>
      </c>
      <c r="W277" s="49">
        <f t="shared" si="25"/>
        <v>0.2175572519</v>
      </c>
      <c r="X277" s="49">
        <f t="shared" si="26"/>
        <v>0.606870229</v>
      </c>
      <c r="Y277" s="49">
        <f t="shared" si="27"/>
        <v>0.1755725191</v>
      </c>
      <c r="Z277" s="32" t="str">
        <f t="shared" si="28"/>
        <v>Milton</v>
      </c>
      <c r="AA277" s="50"/>
    </row>
    <row r="278">
      <c r="A278" s="110" t="s">
        <v>92</v>
      </c>
      <c r="B278" s="46" t="s">
        <v>133</v>
      </c>
      <c r="C278" s="47"/>
      <c r="D278" s="38">
        <v>200.0</v>
      </c>
      <c r="E278" s="38">
        <v>76.0</v>
      </c>
      <c r="F278" s="38">
        <v>50.0</v>
      </c>
      <c r="G278" s="38">
        <v>0.0</v>
      </c>
      <c r="H278" s="38">
        <v>3.0</v>
      </c>
      <c r="I278" s="48">
        <f t="shared" si="17"/>
        <v>326</v>
      </c>
      <c r="J278" s="48">
        <f t="shared" si="18"/>
        <v>329</v>
      </c>
      <c r="K278" s="49">
        <f t="shared" si="19"/>
        <v>0.6134969325</v>
      </c>
      <c r="L278" s="49">
        <f t="shared" si="20"/>
        <v>0.2331288344</v>
      </c>
      <c r="M278" s="49">
        <f t="shared" si="21"/>
        <v>0.1533742331</v>
      </c>
      <c r="N278" s="32" t="str">
        <f t="shared" si="22"/>
        <v>Jânio</v>
      </c>
      <c r="O278" s="50"/>
      <c r="P278" s="38">
        <v>52.0</v>
      </c>
      <c r="Q278" s="38">
        <v>153.0</v>
      </c>
      <c r="R278" s="38">
        <v>65.0</v>
      </c>
      <c r="S278" s="38">
        <v>56.0</v>
      </c>
      <c r="T278" s="38">
        <v>3.0</v>
      </c>
      <c r="U278" s="48">
        <f t="shared" si="23"/>
        <v>270</v>
      </c>
      <c r="V278" s="48">
        <f t="shared" si="24"/>
        <v>329</v>
      </c>
      <c r="W278" s="49">
        <f t="shared" si="25"/>
        <v>0.1925925926</v>
      </c>
      <c r="X278" s="49">
        <f t="shared" si="26"/>
        <v>0.5666666667</v>
      </c>
      <c r="Y278" s="49">
        <f t="shared" si="27"/>
        <v>0.2407407407</v>
      </c>
      <c r="Z278" s="32" t="str">
        <f t="shared" si="28"/>
        <v>Milton</v>
      </c>
      <c r="AA278" s="50"/>
    </row>
    <row r="279">
      <c r="A279" s="110" t="s">
        <v>92</v>
      </c>
      <c r="B279" s="46" t="s">
        <v>2388</v>
      </c>
      <c r="C279" s="47"/>
      <c r="D279" s="38">
        <v>224.0</v>
      </c>
      <c r="E279" s="38">
        <v>89.0</v>
      </c>
      <c r="F279" s="38">
        <v>41.0</v>
      </c>
      <c r="G279" s="38">
        <v>4.0</v>
      </c>
      <c r="H279" s="38">
        <v>4.0</v>
      </c>
      <c r="I279" s="48">
        <f t="shared" si="17"/>
        <v>354</v>
      </c>
      <c r="J279" s="48">
        <f t="shared" si="18"/>
        <v>362</v>
      </c>
      <c r="K279" s="49">
        <f t="shared" si="19"/>
        <v>0.6327683616</v>
      </c>
      <c r="L279" s="49">
        <f t="shared" si="20"/>
        <v>0.2514124294</v>
      </c>
      <c r="M279" s="49">
        <f t="shared" si="21"/>
        <v>0.115819209</v>
      </c>
      <c r="N279" s="32" t="str">
        <f t="shared" si="22"/>
        <v>Jânio</v>
      </c>
      <c r="O279" s="50"/>
      <c r="P279" s="38">
        <v>72.0</v>
      </c>
      <c r="Q279" s="38">
        <v>172.0</v>
      </c>
      <c r="R279" s="38">
        <v>61.0</v>
      </c>
      <c r="S279" s="38">
        <v>55.0</v>
      </c>
      <c r="T279" s="38">
        <v>2.0</v>
      </c>
      <c r="U279" s="48">
        <f t="shared" si="23"/>
        <v>305</v>
      </c>
      <c r="V279" s="48">
        <f t="shared" si="24"/>
        <v>362</v>
      </c>
      <c r="W279" s="49">
        <f t="shared" si="25"/>
        <v>0.2360655738</v>
      </c>
      <c r="X279" s="49">
        <f t="shared" si="26"/>
        <v>0.5639344262</v>
      </c>
      <c r="Y279" s="49">
        <f t="shared" si="27"/>
        <v>0.2</v>
      </c>
      <c r="Z279" s="32" t="str">
        <f t="shared" si="28"/>
        <v>Milton</v>
      </c>
      <c r="AA279" s="50"/>
    </row>
    <row r="280">
      <c r="A280" s="110" t="s">
        <v>92</v>
      </c>
      <c r="B280" s="46" t="s">
        <v>575</v>
      </c>
      <c r="C280" s="47"/>
      <c r="D280" s="38">
        <v>136.0</v>
      </c>
      <c r="E280" s="38">
        <v>107.0</v>
      </c>
      <c r="F280" s="38">
        <v>93.0</v>
      </c>
      <c r="G280" s="38">
        <v>10.0</v>
      </c>
      <c r="H280" s="38">
        <v>6.0</v>
      </c>
      <c r="I280" s="48">
        <f t="shared" si="17"/>
        <v>336</v>
      </c>
      <c r="J280" s="48">
        <f t="shared" si="18"/>
        <v>352</v>
      </c>
      <c r="K280" s="49">
        <f t="shared" si="19"/>
        <v>0.4047619048</v>
      </c>
      <c r="L280" s="49">
        <f t="shared" si="20"/>
        <v>0.318452381</v>
      </c>
      <c r="M280" s="49">
        <f t="shared" si="21"/>
        <v>0.2767857143</v>
      </c>
      <c r="N280" s="32" t="str">
        <f t="shared" si="22"/>
        <v>Jânio</v>
      </c>
      <c r="O280" s="50"/>
      <c r="P280" s="38">
        <v>80.0</v>
      </c>
      <c r="Q280" s="38">
        <v>97.0</v>
      </c>
      <c r="R280" s="38">
        <v>90.0</v>
      </c>
      <c r="S280" s="38">
        <v>79.0</v>
      </c>
      <c r="T280" s="38">
        <v>6.0</v>
      </c>
      <c r="U280" s="48">
        <f t="shared" si="23"/>
        <v>267</v>
      </c>
      <c r="V280" s="48">
        <f t="shared" si="24"/>
        <v>352</v>
      </c>
      <c r="W280" s="49">
        <f t="shared" si="25"/>
        <v>0.2996254682</v>
      </c>
      <c r="X280" s="49">
        <f t="shared" si="26"/>
        <v>0.3632958801</v>
      </c>
      <c r="Y280" s="49">
        <f t="shared" si="27"/>
        <v>0.3370786517</v>
      </c>
      <c r="Z280" s="32" t="str">
        <f t="shared" si="28"/>
        <v>Milton</v>
      </c>
      <c r="AA280" s="50"/>
    </row>
    <row r="281">
      <c r="A281" s="110" t="s">
        <v>92</v>
      </c>
      <c r="B281" s="46" t="s">
        <v>111</v>
      </c>
      <c r="C281" s="47"/>
      <c r="D281" s="38">
        <v>80.0</v>
      </c>
      <c r="E281" s="38">
        <v>178.0</v>
      </c>
      <c r="F281" s="38">
        <v>52.0</v>
      </c>
      <c r="G281" s="38">
        <v>8.0</v>
      </c>
      <c r="H281" s="38">
        <v>6.0</v>
      </c>
      <c r="I281" s="48">
        <f t="shared" si="17"/>
        <v>310</v>
      </c>
      <c r="J281" s="48">
        <f t="shared" si="18"/>
        <v>324</v>
      </c>
      <c r="K281" s="49">
        <f t="shared" si="19"/>
        <v>0.2580645161</v>
      </c>
      <c r="L281" s="49">
        <f t="shared" si="20"/>
        <v>0.5741935484</v>
      </c>
      <c r="M281" s="49">
        <f t="shared" si="21"/>
        <v>0.1677419355</v>
      </c>
      <c r="N281" s="32" t="str">
        <f t="shared" si="22"/>
        <v>Mal. Lott</v>
      </c>
      <c r="O281" s="50"/>
      <c r="P281" s="38">
        <v>122.0</v>
      </c>
      <c r="Q281" s="38">
        <v>72.0</v>
      </c>
      <c r="R281" s="38">
        <v>60.0</v>
      </c>
      <c r="S281" s="38">
        <v>64.0</v>
      </c>
      <c r="T281" s="38">
        <v>6.0</v>
      </c>
      <c r="U281" s="48">
        <f t="shared" si="23"/>
        <v>254</v>
      </c>
      <c r="V281" s="48">
        <f t="shared" si="24"/>
        <v>324</v>
      </c>
      <c r="W281" s="49">
        <f t="shared" si="25"/>
        <v>0.4803149606</v>
      </c>
      <c r="X281" s="49">
        <f t="shared" si="26"/>
        <v>0.2834645669</v>
      </c>
      <c r="Y281" s="49">
        <f t="shared" si="27"/>
        <v>0.2362204724</v>
      </c>
      <c r="Z281" s="32" t="str">
        <f t="shared" si="28"/>
        <v>Jango</v>
      </c>
      <c r="AA281" s="50"/>
    </row>
    <row r="282">
      <c r="A282" s="110" t="s">
        <v>92</v>
      </c>
      <c r="B282" s="46" t="s">
        <v>131</v>
      </c>
      <c r="C282" s="47"/>
      <c r="D282" s="38">
        <v>188.0</v>
      </c>
      <c r="E282" s="38">
        <v>95.0</v>
      </c>
      <c r="F282" s="38">
        <v>64.0</v>
      </c>
      <c r="G282" s="38">
        <v>2.0</v>
      </c>
      <c r="H282" s="38">
        <v>2.0</v>
      </c>
      <c r="I282" s="48">
        <f t="shared" si="17"/>
        <v>347</v>
      </c>
      <c r="J282" s="48">
        <f t="shared" si="18"/>
        <v>351</v>
      </c>
      <c r="K282" s="49">
        <f t="shared" si="19"/>
        <v>0.5417867435</v>
      </c>
      <c r="L282" s="49">
        <f t="shared" si="20"/>
        <v>0.2737752161</v>
      </c>
      <c r="M282" s="49">
        <f t="shared" si="21"/>
        <v>0.1844380403</v>
      </c>
      <c r="N282" s="32" t="str">
        <f t="shared" si="22"/>
        <v>Jânio</v>
      </c>
      <c r="O282" s="50"/>
      <c r="P282" s="38">
        <v>64.0</v>
      </c>
      <c r="Q282" s="38">
        <v>150.0</v>
      </c>
      <c r="R282" s="38">
        <v>66.0</v>
      </c>
      <c r="S282" s="38">
        <v>69.0</v>
      </c>
      <c r="T282" s="38">
        <v>2.0</v>
      </c>
      <c r="U282" s="48">
        <f t="shared" si="23"/>
        <v>280</v>
      </c>
      <c r="V282" s="48">
        <f t="shared" si="24"/>
        <v>351</v>
      </c>
      <c r="W282" s="49">
        <f t="shared" si="25"/>
        <v>0.2285714286</v>
      </c>
      <c r="X282" s="49">
        <f t="shared" si="26"/>
        <v>0.5357142857</v>
      </c>
      <c r="Y282" s="49">
        <f t="shared" si="27"/>
        <v>0.2357142857</v>
      </c>
      <c r="Z282" s="32" t="str">
        <f t="shared" si="28"/>
        <v>Milton</v>
      </c>
      <c r="AA282" s="50"/>
    </row>
    <row r="283">
      <c r="A283" s="110" t="s">
        <v>92</v>
      </c>
      <c r="B283" s="46" t="s">
        <v>518</v>
      </c>
      <c r="C283" s="47"/>
      <c r="D283" s="38">
        <v>123.0</v>
      </c>
      <c r="E283" s="38">
        <v>115.0</v>
      </c>
      <c r="F283" s="38">
        <v>100.0</v>
      </c>
      <c r="G283" s="38">
        <v>8.0</v>
      </c>
      <c r="H283" s="38">
        <v>6.0</v>
      </c>
      <c r="I283" s="48">
        <f t="shared" si="17"/>
        <v>338</v>
      </c>
      <c r="J283" s="48">
        <f t="shared" si="18"/>
        <v>352</v>
      </c>
      <c r="K283" s="49">
        <f t="shared" si="19"/>
        <v>0.3639053254</v>
      </c>
      <c r="L283" s="49">
        <f t="shared" si="20"/>
        <v>0.3402366864</v>
      </c>
      <c r="M283" s="49">
        <f t="shared" si="21"/>
        <v>0.2958579882</v>
      </c>
      <c r="N283" s="32" t="str">
        <f t="shared" si="22"/>
        <v>Jânio</v>
      </c>
      <c r="O283" s="50"/>
      <c r="P283" s="38">
        <v>84.0</v>
      </c>
      <c r="Q283" s="38">
        <v>96.0</v>
      </c>
      <c r="R283" s="38">
        <v>88.0</v>
      </c>
      <c r="S283" s="38">
        <v>78.0</v>
      </c>
      <c r="T283" s="38">
        <v>6.0</v>
      </c>
      <c r="U283" s="48">
        <f t="shared" si="23"/>
        <v>268</v>
      </c>
      <c r="V283" s="48">
        <f t="shared" si="24"/>
        <v>352</v>
      </c>
      <c r="W283" s="49">
        <f t="shared" si="25"/>
        <v>0.3134328358</v>
      </c>
      <c r="X283" s="49">
        <f t="shared" si="26"/>
        <v>0.3582089552</v>
      </c>
      <c r="Y283" s="49">
        <f t="shared" si="27"/>
        <v>0.328358209</v>
      </c>
      <c r="Z283" s="32" t="str">
        <f t="shared" si="28"/>
        <v>Milton</v>
      </c>
      <c r="AA283" s="50"/>
    </row>
    <row r="284">
      <c r="A284" s="110" t="s">
        <v>92</v>
      </c>
      <c r="B284" s="46" t="s">
        <v>258</v>
      </c>
      <c r="C284" s="47"/>
      <c r="D284" s="38">
        <v>147.0</v>
      </c>
      <c r="E284" s="38">
        <v>90.0</v>
      </c>
      <c r="F284" s="38">
        <v>89.0</v>
      </c>
      <c r="G284" s="38">
        <v>11.0</v>
      </c>
      <c r="H284" s="38">
        <v>7.0</v>
      </c>
      <c r="I284" s="48">
        <f t="shared" si="17"/>
        <v>326</v>
      </c>
      <c r="J284" s="48">
        <f t="shared" si="18"/>
        <v>344</v>
      </c>
      <c r="K284" s="49">
        <f t="shared" si="19"/>
        <v>0.4509202454</v>
      </c>
      <c r="L284" s="49">
        <f t="shared" si="20"/>
        <v>0.2760736196</v>
      </c>
      <c r="M284" s="49">
        <f t="shared" si="21"/>
        <v>0.273006135</v>
      </c>
      <c r="N284" s="32" t="str">
        <f t="shared" si="22"/>
        <v>Jânio</v>
      </c>
      <c r="O284" s="50"/>
      <c r="P284" s="38">
        <v>78.0</v>
      </c>
      <c r="Q284" s="38">
        <v>110.0</v>
      </c>
      <c r="R284" s="38">
        <v>75.0</v>
      </c>
      <c r="S284" s="38">
        <v>74.0</v>
      </c>
      <c r="T284" s="38">
        <v>7.0</v>
      </c>
      <c r="U284" s="48">
        <f t="shared" si="23"/>
        <v>263</v>
      </c>
      <c r="V284" s="48">
        <f t="shared" si="24"/>
        <v>344</v>
      </c>
      <c r="W284" s="49">
        <f t="shared" si="25"/>
        <v>0.2965779468</v>
      </c>
      <c r="X284" s="49">
        <f t="shared" si="26"/>
        <v>0.4182509506</v>
      </c>
      <c r="Y284" s="49">
        <f t="shared" si="27"/>
        <v>0.2851711027</v>
      </c>
      <c r="Z284" s="32" t="str">
        <f t="shared" si="28"/>
        <v>Milton</v>
      </c>
      <c r="AA284" s="50"/>
    </row>
    <row r="285">
      <c r="A285" s="110" t="s">
        <v>92</v>
      </c>
      <c r="B285" s="46" t="s">
        <v>2416</v>
      </c>
      <c r="C285" s="47"/>
      <c r="D285" s="38">
        <v>251.0</v>
      </c>
      <c r="E285" s="38">
        <v>92.0</v>
      </c>
      <c r="F285" s="38">
        <v>34.0</v>
      </c>
      <c r="G285" s="38">
        <v>5.0</v>
      </c>
      <c r="H285" s="38">
        <v>2.0</v>
      </c>
      <c r="I285" s="48">
        <f t="shared" si="17"/>
        <v>377</v>
      </c>
      <c r="J285" s="48">
        <f t="shared" si="18"/>
        <v>384</v>
      </c>
      <c r="K285" s="49">
        <f t="shared" si="19"/>
        <v>0.6657824934</v>
      </c>
      <c r="L285" s="49">
        <f t="shared" si="20"/>
        <v>0.2440318302</v>
      </c>
      <c r="M285" s="49">
        <f t="shared" si="21"/>
        <v>0.09018567639</v>
      </c>
      <c r="N285" s="32" t="str">
        <f t="shared" si="22"/>
        <v>Jânio</v>
      </c>
      <c r="O285" s="50"/>
      <c r="P285" s="38">
        <v>70.0</v>
      </c>
      <c r="Q285" s="38">
        <v>191.0</v>
      </c>
      <c r="R285" s="38">
        <v>51.0</v>
      </c>
      <c r="S285" s="38">
        <v>72.0</v>
      </c>
      <c r="T285" s="38">
        <v>0.0</v>
      </c>
      <c r="U285" s="48">
        <f t="shared" si="23"/>
        <v>312</v>
      </c>
      <c r="V285" s="48">
        <f t="shared" si="24"/>
        <v>384</v>
      </c>
      <c r="W285" s="49">
        <f t="shared" si="25"/>
        <v>0.2243589744</v>
      </c>
      <c r="X285" s="49">
        <f t="shared" si="26"/>
        <v>0.6121794872</v>
      </c>
      <c r="Y285" s="49">
        <f t="shared" si="27"/>
        <v>0.1634615385</v>
      </c>
      <c r="Z285" s="32" t="str">
        <f t="shared" si="28"/>
        <v>Milton</v>
      </c>
      <c r="AA285" s="50"/>
    </row>
    <row r="286">
      <c r="A286" s="110" t="s">
        <v>92</v>
      </c>
      <c r="B286" s="46" t="s">
        <v>2382</v>
      </c>
      <c r="C286" s="47"/>
      <c r="D286" s="38">
        <v>245.0</v>
      </c>
      <c r="E286" s="38">
        <v>72.0</v>
      </c>
      <c r="F286" s="38">
        <v>49.0</v>
      </c>
      <c r="G286" s="38">
        <v>2.0</v>
      </c>
      <c r="H286" s="38">
        <v>2.0</v>
      </c>
      <c r="I286" s="48">
        <f t="shared" si="17"/>
        <v>366</v>
      </c>
      <c r="J286" s="48">
        <f t="shared" si="18"/>
        <v>370</v>
      </c>
      <c r="K286" s="49">
        <f t="shared" si="19"/>
        <v>0.6693989071</v>
      </c>
      <c r="L286" s="49">
        <f t="shared" si="20"/>
        <v>0.1967213115</v>
      </c>
      <c r="M286" s="49">
        <f t="shared" si="21"/>
        <v>0.1338797814</v>
      </c>
      <c r="N286" s="32" t="str">
        <f t="shared" si="22"/>
        <v>Jânio</v>
      </c>
      <c r="O286" s="50"/>
      <c r="P286" s="38">
        <v>48.0</v>
      </c>
      <c r="Q286" s="38">
        <v>195.0</v>
      </c>
      <c r="R286" s="38">
        <v>58.0</v>
      </c>
      <c r="S286" s="38">
        <v>66.0</v>
      </c>
      <c r="T286" s="38">
        <v>3.0</v>
      </c>
      <c r="U286" s="48">
        <f t="shared" si="23"/>
        <v>301</v>
      </c>
      <c r="V286" s="48">
        <f t="shared" si="24"/>
        <v>370</v>
      </c>
      <c r="W286" s="49">
        <f t="shared" si="25"/>
        <v>0.1594684385</v>
      </c>
      <c r="X286" s="49">
        <f t="shared" si="26"/>
        <v>0.6478405316</v>
      </c>
      <c r="Y286" s="49">
        <f t="shared" si="27"/>
        <v>0.1926910299</v>
      </c>
      <c r="Z286" s="32" t="str">
        <f t="shared" si="28"/>
        <v>Milton</v>
      </c>
      <c r="AA286" s="50"/>
    </row>
    <row r="287">
      <c r="A287" s="110" t="s">
        <v>92</v>
      </c>
      <c r="B287" s="46" t="s">
        <v>862</v>
      </c>
      <c r="C287" s="47"/>
      <c r="D287" s="38">
        <v>122.0</v>
      </c>
      <c r="E287" s="38">
        <v>79.0</v>
      </c>
      <c r="F287" s="38">
        <v>108.0</v>
      </c>
      <c r="G287" s="38">
        <v>8.0</v>
      </c>
      <c r="H287" s="38">
        <v>2.0</v>
      </c>
      <c r="I287" s="48">
        <f t="shared" si="17"/>
        <v>309</v>
      </c>
      <c r="J287" s="48">
        <f t="shared" si="18"/>
        <v>319</v>
      </c>
      <c r="K287" s="49">
        <f t="shared" si="19"/>
        <v>0.3948220065</v>
      </c>
      <c r="L287" s="49">
        <f t="shared" si="20"/>
        <v>0.2556634304</v>
      </c>
      <c r="M287" s="49">
        <f t="shared" si="21"/>
        <v>0.3495145631</v>
      </c>
      <c r="N287" s="32" t="str">
        <f t="shared" si="22"/>
        <v>Jânio</v>
      </c>
      <c r="O287" s="50"/>
      <c r="P287" s="38">
        <v>79.0</v>
      </c>
      <c r="Q287" s="38">
        <v>89.0</v>
      </c>
      <c r="R287" s="38">
        <v>64.0</v>
      </c>
      <c r="S287" s="38">
        <v>85.0</v>
      </c>
      <c r="T287" s="38">
        <v>2.0</v>
      </c>
      <c r="U287" s="48">
        <f t="shared" si="23"/>
        <v>232</v>
      </c>
      <c r="V287" s="48">
        <f t="shared" si="24"/>
        <v>319</v>
      </c>
      <c r="W287" s="49">
        <f t="shared" si="25"/>
        <v>0.3405172414</v>
      </c>
      <c r="X287" s="49">
        <f t="shared" si="26"/>
        <v>0.3836206897</v>
      </c>
      <c r="Y287" s="49">
        <f t="shared" si="27"/>
        <v>0.275862069</v>
      </c>
      <c r="Z287" s="32" t="str">
        <f t="shared" si="28"/>
        <v>Milton</v>
      </c>
      <c r="AA287" s="50"/>
    </row>
    <row r="288">
      <c r="A288" s="110" t="s">
        <v>92</v>
      </c>
      <c r="B288" s="46" t="s">
        <v>215</v>
      </c>
      <c r="C288" s="47"/>
      <c r="D288" s="38">
        <v>183.0</v>
      </c>
      <c r="E288" s="38">
        <v>86.0</v>
      </c>
      <c r="F288" s="38">
        <v>55.0</v>
      </c>
      <c r="G288" s="38">
        <v>5.0</v>
      </c>
      <c r="H288" s="38">
        <v>1.0</v>
      </c>
      <c r="I288" s="48">
        <f t="shared" si="17"/>
        <v>324</v>
      </c>
      <c r="J288" s="48">
        <f t="shared" si="18"/>
        <v>330</v>
      </c>
      <c r="K288" s="49">
        <f t="shared" si="19"/>
        <v>0.5648148148</v>
      </c>
      <c r="L288" s="49">
        <f t="shared" si="20"/>
        <v>0.2654320988</v>
      </c>
      <c r="M288" s="49">
        <f t="shared" si="21"/>
        <v>0.1697530864</v>
      </c>
      <c r="N288" s="32" t="str">
        <f t="shared" si="22"/>
        <v>Jânio</v>
      </c>
      <c r="O288" s="50"/>
      <c r="P288" s="38">
        <v>69.0</v>
      </c>
      <c r="Q288" s="38">
        <v>144.0</v>
      </c>
      <c r="R288" s="38">
        <v>56.0</v>
      </c>
      <c r="S288" s="38">
        <v>60.0</v>
      </c>
      <c r="T288" s="38">
        <v>1.0</v>
      </c>
      <c r="U288" s="48">
        <f t="shared" si="23"/>
        <v>269</v>
      </c>
      <c r="V288" s="48">
        <f t="shared" si="24"/>
        <v>330</v>
      </c>
      <c r="W288" s="49">
        <f t="shared" si="25"/>
        <v>0.2565055762</v>
      </c>
      <c r="X288" s="49">
        <f t="shared" si="26"/>
        <v>0.5353159851</v>
      </c>
      <c r="Y288" s="49">
        <f t="shared" si="27"/>
        <v>0.2081784387</v>
      </c>
      <c r="Z288" s="32" t="str">
        <f t="shared" si="28"/>
        <v>Milton</v>
      </c>
      <c r="AA288" s="50"/>
    </row>
    <row r="289">
      <c r="A289" s="110" t="s">
        <v>92</v>
      </c>
      <c r="B289" s="46" t="s">
        <v>145</v>
      </c>
      <c r="C289" s="47"/>
      <c r="D289" s="38">
        <v>183.0</v>
      </c>
      <c r="E289" s="38">
        <v>90.0</v>
      </c>
      <c r="F289" s="38">
        <v>45.0</v>
      </c>
      <c r="G289" s="38">
        <v>4.0</v>
      </c>
      <c r="H289" s="38">
        <v>2.0</v>
      </c>
      <c r="I289" s="48">
        <f t="shared" si="17"/>
        <v>318</v>
      </c>
      <c r="J289" s="48">
        <f t="shared" si="18"/>
        <v>324</v>
      </c>
      <c r="K289" s="49">
        <f t="shared" si="19"/>
        <v>0.5754716981</v>
      </c>
      <c r="L289" s="49">
        <f t="shared" si="20"/>
        <v>0.2830188679</v>
      </c>
      <c r="M289" s="49">
        <f t="shared" si="21"/>
        <v>0.141509434</v>
      </c>
      <c r="N289" s="32" t="str">
        <f t="shared" si="22"/>
        <v>Jânio</v>
      </c>
      <c r="O289" s="50"/>
      <c r="P289" s="38">
        <v>63.0</v>
      </c>
      <c r="Q289" s="38">
        <v>154.0</v>
      </c>
      <c r="R289" s="38">
        <v>47.0</v>
      </c>
      <c r="S289" s="38">
        <v>69.0</v>
      </c>
      <c r="T289" s="38">
        <v>1.0</v>
      </c>
      <c r="U289" s="48">
        <f t="shared" si="23"/>
        <v>264</v>
      </c>
      <c r="V289" s="48">
        <f t="shared" si="24"/>
        <v>334</v>
      </c>
      <c r="W289" s="49">
        <f t="shared" si="25"/>
        <v>0.2386363636</v>
      </c>
      <c r="X289" s="49">
        <f t="shared" si="26"/>
        <v>0.5833333333</v>
      </c>
      <c r="Y289" s="49">
        <f t="shared" si="27"/>
        <v>0.178030303</v>
      </c>
      <c r="Z289" s="32" t="str">
        <f t="shared" si="28"/>
        <v>Milton</v>
      </c>
      <c r="AA289" s="50"/>
    </row>
    <row r="290">
      <c r="A290" s="110" t="s">
        <v>92</v>
      </c>
      <c r="B290" s="46" t="s">
        <v>220</v>
      </c>
      <c r="C290" s="47"/>
      <c r="D290" s="38">
        <v>190.0</v>
      </c>
      <c r="E290" s="38">
        <v>94.0</v>
      </c>
      <c r="F290" s="38">
        <v>55.0</v>
      </c>
      <c r="G290" s="38">
        <v>6.0</v>
      </c>
      <c r="H290" s="38">
        <v>2.0</v>
      </c>
      <c r="I290" s="48">
        <f t="shared" si="17"/>
        <v>339</v>
      </c>
      <c r="J290" s="48">
        <f t="shared" si="18"/>
        <v>347</v>
      </c>
      <c r="K290" s="49">
        <f t="shared" si="19"/>
        <v>0.5604719764</v>
      </c>
      <c r="L290" s="49">
        <f t="shared" si="20"/>
        <v>0.2772861357</v>
      </c>
      <c r="M290" s="49">
        <f t="shared" si="21"/>
        <v>0.1622418879</v>
      </c>
      <c r="N290" s="32" t="str">
        <f t="shared" si="22"/>
        <v>Jânio</v>
      </c>
      <c r="O290" s="50"/>
      <c r="P290" s="38">
        <v>65.0</v>
      </c>
      <c r="Q290" s="38">
        <v>141.0</v>
      </c>
      <c r="R290" s="38">
        <v>69.0</v>
      </c>
      <c r="S290" s="38">
        <v>70.0</v>
      </c>
      <c r="T290" s="38">
        <v>2.0</v>
      </c>
      <c r="U290" s="48">
        <f t="shared" si="23"/>
        <v>275</v>
      </c>
      <c r="V290" s="48">
        <f t="shared" si="24"/>
        <v>347</v>
      </c>
      <c r="W290" s="49">
        <f t="shared" si="25"/>
        <v>0.2363636364</v>
      </c>
      <c r="X290" s="49">
        <f t="shared" si="26"/>
        <v>0.5127272727</v>
      </c>
      <c r="Y290" s="49">
        <f t="shared" si="27"/>
        <v>0.2509090909</v>
      </c>
      <c r="Z290" s="32" t="str">
        <f t="shared" si="28"/>
        <v>Milton</v>
      </c>
      <c r="AA290" s="50"/>
    </row>
    <row r="291">
      <c r="A291" s="110" t="s">
        <v>92</v>
      </c>
      <c r="B291" s="46" t="s">
        <v>312</v>
      </c>
      <c r="C291" s="47"/>
      <c r="D291" s="38">
        <v>205.0</v>
      </c>
      <c r="E291" s="38">
        <v>79.0</v>
      </c>
      <c r="F291" s="38">
        <v>55.0</v>
      </c>
      <c r="G291" s="38">
        <v>4.0</v>
      </c>
      <c r="H291" s="38">
        <v>8.0</v>
      </c>
      <c r="I291" s="48">
        <f t="shared" si="17"/>
        <v>339</v>
      </c>
      <c r="J291" s="48">
        <f t="shared" si="18"/>
        <v>351</v>
      </c>
      <c r="K291" s="49">
        <f t="shared" si="19"/>
        <v>0.604719764</v>
      </c>
      <c r="L291" s="49">
        <f t="shared" si="20"/>
        <v>0.2330383481</v>
      </c>
      <c r="M291" s="49">
        <f t="shared" si="21"/>
        <v>0.1622418879</v>
      </c>
      <c r="N291" s="32" t="str">
        <f t="shared" si="22"/>
        <v>Jânio</v>
      </c>
      <c r="O291" s="50"/>
      <c r="P291" s="38">
        <v>48.0</v>
      </c>
      <c r="Q291" s="38">
        <v>138.0</v>
      </c>
      <c r="R291" s="38">
        <v>66.0</v>
      </c>
      <c r="S291" s="38">
        <v>91.0</v>
      </c>
      <c r="T291" s="38">
        <v>8.0</v>
      </c>
      <c r="U291" s="48">
        <f t="shared" si="23"/>
        <v>252</v>
      </c>
      <c r="V291" s="48">
        <f t="shared" si="24"/>
        <v>351</v>
      </c>
      <c r="W291" s="49">
        <f t="shared" si="25"/>
        <v>0.1904761905</v>
      </c>
      <c r="X291" s="49">
        <f t="shared" si="26"/>
        <v>0.5476190476</v>
      </c>
      <c r="Y291" s="49">
        <f t="shared" si="27"/>
        <v>0.2619047619</v>
      </c>
      <c r="Z291" s="32" t="str">
        <f t="shared" si="28"/>
        <v>Milton</v>
      </c>
      <c r="AA291" s="50"/>
    </row>
    <row r="292">
      <c r="A292" s="110" t="s">
        <v>92</v>
      </c>
      <c r="B292" s="46" t="s">
        <v>3240</v>
      </c>
      <c r="C292" s="47"/>
      <c r="D292" s="38">
        <v>179.0</v>
      </c>
      <c r="E292" s="38">
        <v>101.0</v>
      </c>
      <c r="F292" s="38">
        <v>47.0</v>
      </c>
      <c r="G292" s="38">
        <v>1.0</v>
      </c>
      <c r="H292" s="38">
        <v>2.0</v>
      </c>
      <c r="I292" s="48">
        <f t="shared" si="17"/>
        <v>327</v>
      </c>
      <c r="J292" s="48">
        <f t="shared" si="18"/>
        <v>330</v>
      </c>
      <c r="K292" s="49">
        <f t="shared" si="19"/>
        <v>0.5474006116</v>
      </c>
      <c r="L292" s="49">
        <f t="shared" si="20"/>
        <v>0.3088685015</v>
      </c>
      <c r="M292" s="49">
        <f t="shared" si="21"/>
        <v>0.1437308869</v>
      </c>
      <c r="N292" s="32" t="str">
        <f t="shared" si="22"/>
        <v>Jânio</v>
      </c>
      <c r="O292" s="50"/>
      <c r="P292" s="38">
        <v>81.0</v>
      </c>
      <c r="Q292" s="38">
        <v>124.0</v>
      </c>
      <c r="R292" s="38">
        <v>60.0</v>
      </c>
      <c r="S292" s="38">
        <v>63.0</v>
      </c>
      <c r="T292" s="38">
        <v>2.0</v>
      </c>
      <c r="U292" s="48">
        <f t="shared" si="23"/>
        <v>265</v>
      </c>
      <c r="V292" s="48">
        <f t="shared" si="24"/>
        <v>330</v>
      </c>
      <c r="W292" s="49">
        <f t="shared" si="25"/>
        <v>0.3056603774</v>
      </c>
      <c r="X292" s="49">
        <f t="shared" si="26"/>
        <v>0.4679245283</v>
      </c>
      <c r="Y292" s="49">
        <f t="shared" si="27"/>
        <v>0.2264150943</v>
      </c>
      <c r="Z292" s="32" t="str">
        <f t="shared" si="28"/>
        <v>Milton</v>
      </c>
      <c r="AA292" s="50"/>
    </row>
    <row r="293">
      <c r="A293" s="110" t="s">
        <v>92</v>
      </c>
      <c r="B293" s="46" t="s">
        <v>319</v>
      </c>
      <c r="C293" s="47"/>
      <c r="D293" s="38">
        <v>199.0</v>
      </c>
      <c r="E293" s="38">
        <v>91.0</v>
      </c>
      <c r="F293" s="38">
        <v>39.0</v>
      </c>
      <c r="G293" s="38">
        <v>4.0</v>
      </c>
      <c r="H293" s="38">
        <v>0.0</v>
      </c>
      <c r="I293" s="48">
        <f t="shared" si="17"/>
        <v>329</v>
      </c>
      <c r="J293" s="48">
        <f t="shared" si="18"/>
        <v>333</v>
      </c>
      <c r="K293" s="49">
        <f t="shared" si="19"/>
        <v>0.6048632219</v>
      </c>
      <c r="L293" s="49">
        <f t="shared" si="20"/>
        <v>0.2765957447</v>
      </c>
      <c r="M293" s="49">
        <f t="shared" si="21"/>
        <v>0.1185410334</v>
      </c>
      <c r="N293" s="32" t="str">
        <f t="shared" si="22"/>
        <v>Jânio</v>
      </c>
      <c r="O293" s="50"/>
      <c r="P293" s="38">
        <v>69.0</v>
      </c>
      <c r="Q293" s="38">
        <v>155.0</v>
      </c>
      <c r="R293" s="38">
        <v>57.0</v>
      </c>
      <c r="S293" s="38">
        <v>52.0</v>
      </c>
      <c r="T293" s="38">
        <v>0.0</v>
      </c>
      <c r="U293" s="48">
        <f t="shared" si="23"/>
        <v>281</v>
      </c>
      <c r="V293" s="48">
        <f t="shared" si="24"/>
        <v>333</v>
      </c>
      <c r="W293" s="49">
        <f t="shared" si="25"/>
        <v>0.2455516014</v>
      </c>
      <c r="X293" s="49">
        <f t="shared" si="26"/>
        <v>0.5516014235</v>
      </c>
      <c r="Y293" s="49">
        <f t="shared" si="27"/>
        <v>0.2028469751</v>
      </c>
      <c r="Z293" s="32" t="str">
        <f t="shared" si="28"/>
        <v>Milton</v>
      </c>
      <c r="AA293" s="50"/>
    </row>
    <row r="294">
      <c r="A294" s="110" t="s">
        <v>92</v>
      </c>
      <c r="B294" s="46" t="s">
        <v>324</v>
      </c>
      <c r="C294" s="47"/>
      <c r="D294" s="38">
        <v>136.0</v>
      </c>
      <c r="E294" s="38">
        <v>100.0</v>
      </c>
      <c r="F294" s="38">
        <v>79.0</v>
      </c>
      <c r="G294" s="38">
        <v>8.0</v>
      </c>
      <c r="H294" s="38">
        <v>13.0</v>
      </c>
      <c r="I294" s="48">
        <f t="shared" si="17"/>
        <v>315</v>
      </c>
      <c r="J294" s="48">
        <f t="shared" si="18"/>
        <v>336</v>
      </c>
      <c r="K294" s="49">
        <f t="shared" si="19"/>
        <v>0.4317460317</v>
      </c>
      <c r="L294" s="49">
        <f t="shared" si="20"/>
        <v>0.3174603175</v>
      </c>
      <c r="M294" s="49">
        <f t="shared" si="21"/>
        <v>0.2507936508</v>
      </c>
      <c r="N294" s="32" t="str">
        <f t="shared" si="22"/>
        <v>Jânio</v>
      </c>
      <c r="O294" s="50"/>
      <c r="P294" s="38">
        <v>85.0</v>
      </c>
      <c r="Q294" s="38">
        <v>108.0</v>
      </c>
      <c r="R294" s="38">
        <v>61.0</v>
      </c>
      <c r="S294" s="38">
        <v>69.0</v>
      </c>
      <c r="T294" s="38">
        <v>13.0</v>
      </c>
      <c r="U294" s="48">
        <f t="shared" si="23"/>
        <v>254</v>
      </c>
      <c r="V294" s="48">
        <f t="shared" si="24"/>
        <v>336</v>
      </c>
      <c r="W294" s="49">
        <f t="shared" si="25"/>
        <v>0.3346456693</v>
      </c>
      <c r="X294" s="49">
        <f t="shared" si="26"/>
        <v>0.4251968504</v>
      </c>
      <c r="Y294" s="49">
        <f t="shared" si="27"/>
        <v>0.2401574803</v>
      </c>
      <c r="Z294" s="32" t="str">
        <f t="shared" si="28"/>
        <v>Milton</v>
      </c>
      <c r="AA294" s="50"/>
    </row>
    <row r="295">
      <c r="A295" s="110" t="s">
        <v>92</v>
      </c>
      <c r="B295" s="46" t="s">
        <v>540</v>
      </c>
      <c r="C295" s="47"/>
      <c r="D295" s="38">
        <v>148.0</v>
      </c>
      <c r="E295" s="38">
        <v>87.0</v>
      </c>
      <c r="F295" s="38">
        <v>103.0</v>
      </c>
      <c r="G295" s="38">
        <v>7.0</v>
      </c>
      <c r="H295" s="38">
        <v>6.0</v>
      </c>
      <c r="I295" s="48">
        <f t="shared" si="17"/>
        <v>338</v>
      </c>
      <c r="J295" s="48">
        <f t="shared" si="18"/>
        <v>351</v>
      </c>
      <c r="K295" s="49">
        <f t="shared" si="19"/>
        <v>0.4378698225</v>
      </c>
      <c r="L295" s="49">
        <f t="shared" si="20"/>
        <v>0.2573964497</v>
      </c>
      <c r="M295" s="49">
        <f t="shared" si="21"/>
        <v>0.3047337278</v>
      </c>
      <c r="N295" s="32" t="str">
        <f t="shared" si="22"/>
        <v>Jânio</v>
      </c>
      <c r="O295" s="50"/>
      <c r="P295" s="38">
        <v>94.0</v>
      </c>
      <c r="Q295" s="38">
        <v>104.0</v>
      </c>
      <c r="R295" s="38">
        <v>64.0</v>
      </c>
      <c r="S295" s="38">
        <v>83.0</v>
      </c>
      <c r="T295" s="38">
        <v>6.0</v>
      </c>
      <c r="U295" s="48">
        <f t="shared" si="23"/>
        <v>262</v>
      </c>
      <c r="V295" s="48">
        <f t="shared" si="24"/>
        <v>351</v>
      </c>
      <c r="W295" s="49">
        <f t="shared" si="25"/>
        <v>0.358778626</v>
      </c>
      <c r="X295" s="49">
        <f t="shared" si="26"/>
        <v>0.3969465649</v>
      </c>
      <c r="Y295" s="49">
        <f t="shared" si="27"/>
        <v>0.2442748092</v>
      </c>
      <c r="Z295" s="32" t="str">
        <f t="shared" si="28"/>
        <v>Milton</v>
      </c>
      <c r="AA295" s="50"/>
    </row>
    <row r="296">
      <c r="A296" s="110" t="s">
        <v>92</v>
      </c>
      <c r="B296" s="46" t="s">
        <v>554</v>
      </c>
      <c r="C296" s="47"/>
      <c r="D296" s="38">
        <v>114.0</v>
      </c>
      <c r="E296" s="38">
        <v>54.0</v>
      </c>
      <c r="F296" s="38">
        <v>29.0</v>
      </c>
      <c r="G296" s="38">
        <v>2.0</v>
      </c>
      <c r="H296" s="38">
        <v>4.0</v>
      </c>
      <c r="I296" s="48">
        <f t="shared" si="17"/>
        <v>197</v>
      </c>
      <c r="J296" s="48">
        <f t="shared" si="18"/>
        <v>203</v>
      </c>
      <c r="K296" s="49">
        <f t="shared" si="19"/>
        <v>0.578680203</v>
      </c>
      <c r="L296" s="49">
        <f t="shared" si="20"/>
        <v>0.2741116751</v>
      </c>
      <c r="M296" s="49">
        <f t="shared" si="21"/>
        <v>0.1472081218</v>
      </c>
      <c r="N296" s="32" t="str">
        <f t="shared" si="22"/>
        <v>Jânio</v>
      </c>
      <c r="O296" s="50"/>
      <c r="P296" s="38">
        <v>39.0</v>
      </c>
      <c r="Q296" s="38">
        <v>78.0</v>
      </c>
      <c r="R296" s="38">
        <v>30.0</v>
      </c>
      <c r="S296" s="38">
        <v>0.0</v>
      </c>
      <c r="T296" s="38">
        <v>4.0</v>
      </c>
      <c r="U296" s="48">
        <f t="shared" si="23"/>
        <v>147</v>
      </c>
      <c r="V296" s="48">
        <f t="shared" si="24"/>
        <v>151</v>
      </c>
      <c r="W296" s="49">
        <f t="shared" si="25"/>
        <v>0.2653061224</v>
      </c>
      <c r="X296" s="49">
        <f t="shared" si="26"/>
        <v>0.5306122449</v>
      </c>
      <c r="Y296" s="49">
        <f t="shared" si="27"/>
        <v>0.2040816327</v>
      </c>
      <c r="Z296" s="32" t="str">
        <f t="shared" si="28"/>
        <v>Milton</v>
      </c>
      <c r="AA296" s="50"/>
    </row>
    <row r="297">
      <c r="A297" s="110" t="s">
        <v>92</v>
      </c>
      <c r="B297" s="46" t="s">
        <v>874</v>
      </c>
      <c r="C297" s="47"/>
      <c r="D297" s="38">
        <v>124.0</v>
      </c>
      <c r="E297" s="38">
        <v>114.0</v>
      </c>
      <c r="F297" s="38">
        <v>102.0</v>
      </c>
      <c r="G297" s="38">
        <v>13.0</v>
      </c>
      <c r="H297" s="38">
        <v>10.0</v>
      </c>
      <c r="I297" s="48">
        <f t="shared" si="17"/>
        <v>340</v>
      </c>
      <c r="J297" s="48">
        <f t="shared" si="18"/>
        <v>363</v>
      </c>
      <c r="K297" s="49">
        <f t="shared" si="19"/>
        <v>0.3647058824</v>
      </c>
      <c r="L297" s="49">
        <f t="shared" si="20"/>
        <v>0.3352941176</v>
      </c>
      <c r="M297" s="49">
        <f t="shared" si="21"/>
        <v>0.3</v>
      </c>
      <c r="N297" s="32" t="str">
        <f t="shared" si="22"/>
        <v>Jânio</v>
      </c>
      <c r="O297" s="50"/>
      <c r="P297" s="38">
        <v>105.0</v>
      </c>
      <c r="Q297" s="38">
        <v>76.0</v>
      </c>
      <c r="R297" s="38">
        <v>84.0</v>
      </c>
      <c r="S297" s="38">
        <v>0.0</v>
      </c>
      <c r="T297" s="38">
        <v>0.0</v>
      </c>
      <c r="U297" s="48">
        <f t="shared" si="23"/>
        <v>265</v>
      </c>
      <c r="V297" s="48">
        <f t="shared" si="24"/>
        <v>265</v>
      </c>
      <c r="W297" s="49">
        <f t="shared" si="25"/>
        <v>0.3962264151</v>
      </c>
      <c r="X297" s="49">
        <f t="shared" si="26"/>
        <v>0.2867924528</v>
      </c>
      <c r="Y297" s="49">
        <f t="shared" si="27"/>
        <v>0.3169811321</v>
      </c>
      <c r="Z297" s="32" t="str">
        <f t="shared" si="28"/>
        <v>Jango</v>
      </c>
      <c r="AA297" s="50"/>
    </row>
    <row r="298">
      <c r="A298" s="110" t="s">
        <v>92</v>
      </c>
      <c r="B298" s="46" t="s">
        <v>846</v>
      </c>
      <c r="C298" s="47"/>
      <c r="D298" s="38">
        <v>178.0</v>
      </c>
      <c r="E298" s="38">
        <v>97.0</v>
      </c>
      <c r="F298" s="38">
        <v>75.0</v>
      </c>
      <c r="G298" s="38">
        <v>0.0</v>
      </c>
      <c r="H298" s="38">
        <v>11.0</v>
      </c>
      <c r="I298" s="48">
        <f t="shared" si="17"/>
        <v>350</v>
      </c>
      <c r="J298" s="48">
        <f t="shared" si="18"/>
        <v>361</v>
      </c>
      <c r="K298" s="49">
        <f t="shared" si="19"/>
        <v>0.5085714286</v>
      </c>
      <c r="L298" s="49">
        <f t="shared" si="20"/>
        <v>0.2771428571</v>
      </c>
      <c r="M298" s="49">
        <f t="shared" si="21"/>
        <v>0.2142857143</v>
      </c>
      <c r="N298" s="32" t="str">
        <f t="shared" si="22"/>
        <v>Jânio</v>
      </c>
      <c r="O298" s="50"/>
      <c r="P298" s="38">
        <v>77.0</v>
      </c>
      <c r="Q298" s="38">
        <v>124.0</v>
      </c>
      <c r="R298" s="38">
        <v>67.0</v>
      </c>
      <c r="S298" s="38">
        <v>90.0</v>
      </c>
      <c r="T298" s="38">
        <v>3.0</v>
      </c>
      <c r="U298" s="48">
        <f t="shared" si="23"/>
        <v>268</v>
      </c>
      <c r="V298" s="48">
        <f t="shared" si="24"/>
        <v>361</v>
      </c>
      <c r="W298" s="49">
        <f t="shared" si="25"/>
        <v>0.2873134328</v>
      </c>
      <c r="X298" s="49">
        <f t="shared" si="26"/>
        <v>0.4626865672</v>
      </c>
      <c r="Y298" s="49">
        <f t="shared" si="27"/>
        <v>0.25</v>
      </c>
      <c r="Z298" s="32" t="str">
        <f t="shared" si="28"/>
        <v>Milton</v>
      </c>
      <c r="AA298" s="50"/>
    </row>
    <row r="299">
      <c r="A299" s="110" t="s">
        <v>92</v>
      </c>
      <c r="B299" s="46" t="s">
        <v>1229</v>
      </c>
      <c r="C299" s="47"/>
      <c r="D299" s="38">
        <v>185.0</v>
      </c>
      <c r="E299" s="38">
        <v>84.0</v>
      </c>
      <c r="F299" s="38">
        <v>80.0</v>
      </c>
      <c r="G299" s="38">
        <v>7.0</v>
      </c>
      <c r="H299" s="38">
        <v>1.0</v>
      </c>
      <c r="I299" s="48">
        <f t="shared" si="17"/>
        <v>349</v>
      </c>
      <c r="J299" s="48">
        <f t="shared" si="18"/>
        <v>357</v>
      </c>
      <c r="K299" s="49">
        <f t="shared" si="19"/>
        <v>0.5300859599</v>
      </c>
      <c r="L299" s="49">
        <f t="shared" si="20"/>
        <v>0.2406876791</v>
      </c>
      <c r="M299" s="49">
        <f t="shared" si="21"/>
        <v>0.229226361</v>
      </c>
      <c r="N299" s="32" t="str">
        <f t="shared" si="22"/>
        <v>Jânio</v>
      </c>
      <c r="O299" s="50"/>
      <c r="P299" s="38">
        <v>74.0</v>
      </c>
      <c r="Q299" s="38">
        <v>141.0</v>
      </c>
      <c r="R299" s="38">
        <v>63.0</v>
      </c>
      <c r="S299" s="38">
        <v>78.0</v>
      </c>
      <c r="T299" s="38">
        <v>1.0</v>
      </c>
      <c r="U299" s="48">
        <f t="shared" si="23"/>
        <v>278</v>
      </c>
      <c r="V299" s="48">
        <f t="shared" si="24"/>
        <v>357</v>
      </c>
      <c r="W299" s="49">
        <f t="shared" si="25"/>
        <v>0.2661870504</v>
      </c>
      <c r="X299" s="49">
        <f t="shared" si="26"/>
        <v>0.5071942446</v>
      </c>
      <c r="Y299" s="49">
        <f t="shared" si="27"/>
        <v>0.226618705</v>
      </c>
      <c r="Z299" s="32" t="str">
        <f t="shared" si="28"/>
        <v>Milton</v>
      </c>
      <c r="AA299" s="50"/>
    </row>
    <row r="300">
      <c r="A300" s="110" t="s">
        <v>92</v>
      </c>
      <c r="B300" s="46" t="s">
        <v>2354</v>
      </c>
      <c r="C300" s="47"/>
      <c r="D300" s="38">
        <v>194.0</v>
      </c>
      <c r="E300" s="38">
        <v>82.0</v>
      </c>
      <c r="F300" s="38">
        <v>51.0</v>
      </c>
      <c r="G300" s="38">
        <v>13.0</v>
      </c>
      <c r="H300" s="38">
        <v>2.0</v>
      </c>
      <c r="I300" s="48">
        <f t="shared" si="17"/>
        <v>327</v>
      </c>
      <c r="J300" s="48">
        <f t="shared" si="18"/>
        <v>342</v>
      </c>
      <c r="K300" s="49">
        <f t="shared" si="19"/>
        <v>0.5932721713</v>
      </c>
      <c r="L300" s="49">
        <f t="shared" si="20"/>
        <v>0.250764526</v>
      </c>
      <c r="M300" s="49">
        <f t="shared" si="21"/>
        <v>0.1559633028</v>
      </c>
      <c r="N300" s="32" t="str">
        <f t="shared" si="22"/>
        <v>Jânio</v>
      </c>
      <c r="O300" s="50"/>
      <c r="P300" s="38">
        <v>71.0</v>
      </c>
      <c r="Q300" s="38">
        <v>130.0</v>
      </c>
      <c r="R300" s="38">
        <v>61.0</v>
      </c>
      <c r="S300" s="38">
        <v>80.0</v>
      </c>
      <c r="T300" s="38">
        <v>0.0</v>
      </c>
      <c r="U300" s="48">
        <f t="shared" si="23"/>
        <v>262</v>
      </c>
      <c r="V300" s="48">
        <f t="shared" si="24"/>
        <v>342</v>
      </c>
      <c r="W300" s="49">
        <f t="shared" si="25"/>
        <v>0.2709923664</v>
      </c>
      <c r="X300" s="49">
        <f t="shared" si="26"/>
        <v>0.4961832061</v>
      </c>
      <c r="Y300" s="49">
        <f t="shared" si="27"/>
        <v>0.2328244275</v>
      </c>
      <c r="Z300" s="32" t="str">
        <f t="shared" si="28"/>
        <v>Milton</v>
      </c>
      <c r="AA300" s="50"/>
    </row>
    <row r="301">
      <c r="A301" s="110" t="s">
        <v>92</v>
      </c>
      <c r="B301" s="46" t="s">
        <v>327</v>
      </c>
      <c r="C301" s="47"/>
      <c r="D301" s="38">
        <v>142.0</v>
      </c>
      <c r="E301" s="38">
        <v>70.0</v>
      </c>
      <c r="F301" s="38">
        <v>67.0</v>
      </c>
      <c r="G301" s="38">
        <v>5.0</v>
      </c>
      <c r="H301" s="38">
        <v>4.0</v>
      </c>
      <c r="I301" s="48">
        <f t="shared" si="17"/>
        <v>279</v>
      </c>
      <c r="J301" s="48">
        <f t="shared" si="18"/>
        <v>288</v>
      </c>
      <c r="K301" s="49">
        <f t="shared" si="19"/>
        <v>0.5089605735</v>
      </c>
      <c r="L301" s="49">
        <f t="shared" si="20"/>
        <v>0.2508960573</v>
      </c>
      <c r="M301" s="49">
        <f t="shared" si="21"/>
        <v>0.2401433692</v>
      </c>
      <c r="N301" s="32" t="str">
        <f t="shared" si="22"/>
        <v>Jânio</v>
      </c>
      <c r="O301" s="50"/>
      <c r="P301" s="38">
        <v>60.0</v>
      </c>
      <c r="Q301" s="38">
        <v>101.0</v>
      </c>
      <c r="R301" s="38">
        <v>69.0</v>
      </c>
      <c r="S301" s="38">
        <v>25.0</v>
      </c>
      <c r="T301" s="38">
        <v>4.0</v>
      </c>
      <c r="U301" s="48">
        <f t="shared" si="23"/>
        <v>230</v>
      </c>
      <c r="V301" s="48">
        <f t="shared" si="24"/>
        <v>259</v>
      </c>
      <c r="W301" s="49">
        <f t="shared" si="25"/>
        <v>0.2608695652</v>
      </c>
      <c r="X301" s="49">
        <f t="shared" si="26"/>
        <v>0.4391304348</v>
      </c>
      <c r="Y301" s="49">
        <f t="shared" si="27"/>
        <v>0.3</v>
      </c>
      <c r="Z301" s="32" t="str">
        <f t="shared" si="28"/>
        <v>Milton</v>
      </c>
      <c r="AA301" s="50"/>
    </row>
    <row r="302">
      <c r="A302" s="110" t="s">
        <v>92</v>
      </c>
      <c r="B302" s="46" t="s">
        <v>504</v>
      </c>
      <c r="C302" s="47"/>
      <c r="D302" s="38">
        <v>155.0</v>
      </c>
      <c r="E302" s="38">
        <v>62.0</v>
      </c>
      <c r="F302" s="38">
        <v>97.0</v>
      </c>
      <c r="G302" s="38">
        <v>6.0</v>
      </c>
      <c r="H302" s="38">
        <v>5.0</v>
      </c>
      <c r="I302" s="48">
        <f t="shared" si="17"/>
        <v>314</v>
      </c>
      <c r="J302" s="48">
        <f t="shared" si="18"/>
        <v>325</v>
      </c>
      <c r="K302" s="49">
        <f t="shared" si="19"/>
        <v>0.4936305732</v>
      </c>
      <c r="L302" s="49">
        <f t="shared" si="20"/>
        <v>0.1974522293</v>
      </c>
      <c r="M302" s="49">
        <f t="shared" si="21"/>
        <v>0.3089171975</v>
      </c>
      <c r="N302" s="32" t="str">
        <f t="shared" si="22"/>
        <v>Jânio</v>
      </c>
      <c r="O302" s="50"/>
      <c r="P302" s="38">
        <v>72.0</v>
      </c>
      <c r="Q302" s="38">
        <v>120.0</v>
      </c>
      <c r="R302" s="38">
        <v>63.0</v>
      </c>
      <c r="S302" s="38">
        <v>64.0</v>
      </c>
      <c r="T302" s="38">
        <v>6.0</v>
      </c>
      <c r="U302" s="48">
        <f t="shared" si="23"/>
        <v>255</v>
      </c>
      <c r="V302" s="48">
        <f t="shared" si="24"/>
        <v>325</v>
      </c>
      <c r="W302" s="49">
        <f t="shared" si="25"/>
        <v>0.2823529412</v>
      </c>
      <c r="X302" s="49">
        <f t="shared" si="26"/>
        <v>0.4705882353</v>
      </c>
      <c r="Y302" s="49">
        <f t="shared" si="27"/>
        <v>0.2470588235</v>
      </c>
      <c r="Z302" s="32" t="str">
        <f t="shared" si="28"/>
        <v>Milton</v>
      </c>
      <c r="AA302" s="50"/>
    </row>
    <row r="303">
      <c r="A303" s="110" t="s">
        <v>92</v>
      </c>
      <c r="B303" s="46" t="s">
        <v>509</v>
      </c>
      <c r="C303" s="47"/>
      <c r="D303" s="38">
        <v>214.0</v>
      </c>
      <c r="E303" s="38">
        <v>85.0</v>
      </c>
      <c r="F303" s="38">
        <v>46.0</v>
      </c>
      <c r="G303" s="38">
        <v>3.0</v>
      </c>
      <c r="H303" s="38">
        <v>3.0</v>
      </c>
      <c r="I303" s="48">
        <f t="shared" si="17"/>
        <v>345</v>
      </c>
      <c r="J303" s="48">
        <f t="shared" si="18"/>
        <v>351</v>
      </c>
      <c r="K303" s="49">
        <f t="shared" si="19"/>
        <v>0.6202898551</v>
      </c>
      <c r="L303" s="49">
        <f t="shared" si="20"/>
        <v>0.2463768116</v>
      </c>
      <c r="M303" s="49">
        <f t="shared" si="21"/>
        <v>0.1333333333</v>
      </c>
      <c r="N303" s="32" t="str">
        <f t="shared" si="22"/>
        <v>Jânio</v>
      </c>
      <c r="O303" s="50"/>
      <c r="P303" s="38">
        <v>66.0</v>
      </c>
      <c r="Q303" s="38">
        <v>159.0</v>
      </c>
      <c r="R303" s="38">
        <v>59.0</v>
      </c>
      <c r="S303" s="38">
        <v>3.0</v>
      </c>
      <c r="T303" s="38">
        <v>78.0</v>
      </c>
      <c r="U303" s="48">
        <f t="shared" si="23"/>
        <v>284</v>
      </c>
      <c r="V303" s="48">
        <f t="shared" si="24"/>
        <v>365</v>
      </c>
      <c r="W303" s="49">
        <f t="shared" si="25"/>
        <v>0.2323943662</v>
      </c>
      <c r="X303" s="49">
        <f t="shared" si="26"/>
        <v>0.5598591549</v>
      </c>
      <c r="Y303" s="49">
        <f t="shared" si="27"/>
        <v>0.2077464789</v>
      </c>
      <c r="Z303" s="32" t="str">
        <f t="shared" si="28"/>
        <v>Milton</v>
      </c>
      <c r="AA303" s="50"/>
    </row>
    <row r="304">
      <c r="A304" s="110" t="s">
        <v>92</v>
      </c>
      <c r="B304" s="46" t="s">
        <v>524</v>
      </c>
      <c r="C304" s="47"/>
      <c r="D304" s="38">
        <v>180.0</v>
      </c>
      <c r="E304" s="38">
        <v>88.0</v>
      </c>
      <c r="F304" s="38">
        <v>57.0</v>
      </c>
      <c r="G304" s="38">
        <v>6.0</v>
      </c>
      <c r="H304" s="38">
        <v>7.0</v>
      </c>
      <c r="I304" s="48">
        <f t="shared" si="17"/>
        <v>325</v>
      </c>
      <c r="J304" s="48">
        <f t="shared" si="18"/>
        <v>338</v>
      </c>
      <c r="K304" s="49">
        <f t="shared" si="19"/>
        <v>0.5538461538</v>
      </c>
      <c r="L304" s="49">
        <f t="shared" si="20"/>
        <v>0.2707692308</v>
      </c>
      <c r="M304" s="49">
        <f t="shared" si="21"/>
        <v>0.1753846154</v>
      </c>
      <c r="N304" s="32" t="str">
        <f t="shared" si="22"/>
        <v>Jânio</v>
      </c>
      <c r="O304" s="50"/>
      <c r="P304" s="38">
        <v>70.0</v>
      </c>
      <c r="Q304" s="38">
        <v>124.0</v>
      </c>
      <c r="R304" s="38">
        <v>60.0</v>
      </c>
      <c r="S304" s="38">
        <v>77.0</v>
      </c>
      <c r="T304" s="38">
        <v>7.0</v>
      </c>
      <c r="U304" s="48">
        <f t="shared" si="23"/>
        <v>254</v>
      </c>
      <c r="V304" s="48">
        <f t="shared" si="24"/>
        <v>338</v>
      </c>
      <c r="W304" s="49">
        <f t="shared" si="25"/>
        <v>0.2755905512</v>
      </c>
      <c r="X304" s="49">
        <f t="shared" si="26"/>
        <v>0.4881889764</v>
      </c>
      <c r="Y304" s="49">
        <f t="shared" si="27"/>
        <v>0.2362204724</v>
      </c>
      <c r="Z304" s="32" t="str">
        <f t="shared" si="28"/>
        <v>Milton</v>
      </c>
      <c r="AA304" s="50"/>
    </row>
    <row r="305">
      <c r="A305" s="110" t="s">
        <v>92</v>
      </c>
      <c r="B305" s="46" t="s">
        <v>2410</v>
      </c>
      <c r="C305" s="47"/>
      <c r="D305" s="38">
        <v>227.0</v>
      </c>
      <c r="E305" s="38">
        <v>80.0</v>
      </c>
      <c r="F305" s="38">
        <v>56.0</v>
      </c>
      <c r="G305" s="38">
        <v>2.0</v>
      </c>
      <c r="H305" s="38">
        <v>5.0</v>
      </c>
      <c r="I305" s="48">
        <f t="shared" si="17"/>
        <v>363</v>
      </c>
      <c r="J305" s="48">
        <f t="shared" si="18"/>
        <v>370</v>
      </c>
      <c r="K305" s="49">
        <f t="shared" si="19"/>
        <v>0.6253443526</v>
      </c>
      <c r="L305" s="49">
        <f t="shared" si="20"/>
        <v>0.2203856749</v>
      </c>
      <c r="M305" s="49">
        <f t="shared" si="21"/>
        <v>0.1542699725</v>
      </c>
      <c r="N305" s="32" t="str">
        <f t="shared" si="22"/>
        <v>Jânio</v>
      </c>
      <c r="O305" s="50"/>
      <c r="P305" s="38">
        <v>62.0</v>
      </c>
      <c r="Q305" s="38">
        <v>163.0</v>
      </c>
      <c r="R305" s="38">
        <v>66.0</v>
      </c>
      <c r="S305" s="38">
        <v>76.0</v>
      </c>
      <c r="T305" s="38">
        <v>3.0</v>
      </c>
      <c r="U305" s="48">
        <f t="shared" si="23"/>
        <v>291</v>
      </c>
      <c r="V305" s="48">
        <f t="shared" si="24"/>
        <v>370</v>
      </c>
      <c r="W305" s="49">
        <f t="shared" si="25"/>
        <v>0.2130584192</v>
      </c>
      <c r="X305" s="49">
        <f t="shared" si="26"/>
        <v>0.560137457</v>
      </c>
      <c r="Y305" s="49">
        <f t="shared" si="27"/>
        <v>0.2268041237</v>
      </c>
      <c r="Z305" s="32" t="str">
        <f t="shared" si="28"/>
        <v>Milton</v>
      </c>
      <c r="AA305" s="50"/>
    </row>
    <row r="306">
      <c r="A306" s="110" t="s">
        <v>92</v>
      </c>
      <c r="B306" s="46" t="s">
        <v>90</v>
      </c>
      <c r="C306" s="47"/>
      <c r="D306" s="38">
        <v>170.0</v>
      </c>
      <c r="E306" s="38">
        <v>81.0</v>
      </c>
      <c r="F306" s="38">
        <v>48.0</v>
      </c>
      <c r="G306" s="38">
        <v>1.0</v>
      </c>
      <c r="H306" s="38">
        <v>5.0</v>
      </c>
      <c r="I306" s="48">
        <f t="shared" si="17"/>
        <v>299</v>
      </c>
      <c r="J306" s="48">
        <f t="shared" si="18"/>
        <v>305</v>
      </c>
      <c r="K306" s="49">
        <f t="shared" si="19"/>
        <v>0.5685618729</v>
      </c>
      <c r="L306" s="49">
        <f t="shared" si="20"/>
        <v>0.27090301</v>
      </c>
      <c r="M306" s="49">
        <f t="shared" si="21"/>
        <v>0.1605351171</v>
      </c>
      <c r="N306" s="32" t="str">
        <f t="shared" si="22"/>
        <v>Jânio</v>
      </c>
      <c r="O306" s="50"/>
      <c r="P306" s="38">
        <v>52.0</v>
      </c>
      <c r="Q306" s="38">
        <v>134.0</v>
      </c>
      <c r="R306" s="38">
        <v>67.0</v>
      </c>
      <c r="S306" s="38">
        <v>48.0</v>
      </c>
      <c r="T306" s="38">
        <v>4.0</v>
      </c>
      <c r="U306" s="48">
        <f t="shared" si="23"/>
        <v>253</v>
      </c>
      <c r="V306" s="48">
        <f t="shared" si="24"/>
        <v>305</v>
      </c>
      <c r="W306" s="49">
        <f t="shared" si="25"/>
        <v>0.2055335968</v>
      </c>
      <c r="X306" s="49">
        <f t="shared" si="26"/>
        <v>0.5296442688</v>
      </c>
      <c r="Y306" s="49">
        <f t="shared" si="27"/>
        <v>0.2648221344</v>
      </c>
      <c r="Z306" s="32" t="str">
        <f t="shared" si="28"/>
        <v>Milton</v>
      </c>
      <c r="AA306" s="50"/>
    </row>
    <row r="307">
      <c r="A307" s="110" t="s">
        <v>92</v>
      </c>
      <c r="B307" s="46" t="s">
        <v>324</v>
      </c>
      <c r="C307" s="47"/>
      <c r="D307" s="38">
        <v>136.0</v>
      </c>
      <c r="E307" s="38">
        <v>100.0</v>
      </c>
      <c r="F307" s="38">
        <v>79.0</v>
      </c>
      <c r="G307" s="38">
        <v>8.0</v>
      </c>
      <c r="H307" s="38">
        <v>13.0</v>
      </c>
      <c r="I307" s="48">
        <f t="shared" si="17"/>
        <v>315</v>
      </c>
      <c r="J307" s="48">
        <f t="shared" si="18"/>
        <v>336</v>
      </c>
      <c r="K307" s="49">
        <f t="shared" si="19"/>
        <v>0.4317460317</v>
      </c>
      <c r="L307" s="49">
        <f t="shared" si="20"/>
        <v>0.3174603175</v>
      </c>
      <c r="M307" s="49">
        <f t="shared" si="21"/>
        <v>0.2507936508</v>
      </c>
      <c r="N307" s="32" t="str">
        <f t="shared" si="22"/>
        <v>Jânio</v>
      </c>
      <c r="O307" s="50"/>
      <c r="P307" s="38">
        <v>85.0</v>
      </c>
      <c r="Q307" s="38">
        <v>108.0</v>
      </c>
      <c r="R307" s="38">
        <v>61.0</v>
      </c>
      <c r="S307" s="38">
        <v>69.0</v>
      </c>
      <c r="T307" s="38">
        <v>13.0</v>
      </c>
      <c r="U307" s="48">
        <f t="shared" si="23"/>
        <v>254</v>
      </c>
      <c r="V307" s="48">
        <f t="shared" si="24"/>
        <v>336</v>
      </c>
      <c r="W307" s="49">
        <f t="shared" si="25"/>
        <v>0.3346456693</v>
      </c>
      <c r="X307" s="49">
        <f t="shared" si="26"/>
        <v>0.4251968504</v>
      </c>
      <c r="Y307" s="49">
        <f t="shared" si="27"/>
        <v>0.2401574803</v>
      </c>
      <c r="Z307" s="32" t="str">
        <f t="shared" si="28"/>
        <v>Milton</v>
      </c>
      <c r="AA307" s="50"/>
    </row>
    <row r="308">
      <c r="A308" s="110" t="s">
        <v>92</v>
      </c>
      <c r="B308" s="46" t="s">
        <v>549</v>
      </c>
      <c r="C308" s="47"/>
      <c r="D308" s="38">
        <v>216.0</v>
      </c>
      <c r="E308" s="38">
        <v>87.0</v>
      </c>
      <c r="F308" s="38">
        <v>44.0</v>
      </c>
      <c r="G308" s="38">
        <v>10.0</v>
      </c>
      <c r="H308" s="38">
        <v>7.0</v>
      </c>
      <c r="I308" s="48">
        <f t="shared" si="17"/>
        <v>347</v>
      </c>
      <c r="J308" s="48">
        <f t="shared" si="18"/>
        <v>364</v>
      </c>
      <c r="K308" s="49">
        <f t="shared" si="19"/>
        <v>0.6224783862</v>
      </c>
      <c r="L308" s="49">
        <f t="shared" si="20"/>
        <v>0.2507204611</v>
      </c>
      <c r="M308" s="49">
        <f t="shared" si="21"/>
        <v>0.1268011527</v>
      </c>
      <c r="N308" s="32" t="str">
        <f t="shared" si="22"/>
        <v>Jânio</v>
      </c>
      <c r="O308" s="50"/>
      <c r="P308" s="38">
        <v>67.0</v>
      </c>
      <c r="Q308" s="38">
        <v>157.0</v>
      </c>
      <c r="R308" s="38">
        <v>67.0</v>
      </c>
      <c r="S308" s="38">
        <v>65.0</v>
      </c>
      <c r="T308" s="38">
        <v>8.0</v>
      </c>
      <c r="U308" s="48">
        <f t="shared" si="23"/>
        <v>291</v>
      </c>
      <c r="V308" s="48">
        <f t="shared" si="24"/>
        <v>364</v>
      </c>
      <c r="W308" s="49">
        <f t="shared" si="25"/>
        <v>0.2302405498</v>
      </c>
      <c r="X308" s="49">
        <f t="shared" si="26"/>
        <v>0.5395189003</v>
      </c>
      <c r="Y308" s="49">
        <f t="shared" si="27"/>
        <v>0.2302405498</v>
      </c>
      <c r="Z308" s="32" t="str">
        <f t="shared" si="28"/>
        <v>Milton</v>
      </c>
      <c r="AA308" s="50"/>
    </row>
    <row r="309">
      <c r="A309" s="110" t="s">
        <v>92</v>
      </c>
      <c r="B309" s="46" t="s">
        <v>209</v>
      </c>
      <c r="C309" s="47"/>
      <c r="D309" s="38">
        <v>67.0</v>
      </c>
      <c r="E309" s="38">
        <v>114.0</v>
      </c>
      <c r="F309" s="38">
        <v>123.0</v>
      </c>
      <c r="G309" s="38">
        <v>23.0</v>
      </c>
      <c r="H309" s="38">
        <v>12.0</v>
      </c>
      <c r="I309" s="48">
        <f t="shared" si="17"/>
        <v>304</v>
      </c>
      <c r="J309" s="48">
        <f t="shared" si="18"/>
        <v>339</v>
      </c>
      <c r="K309" s="49">
        <f t="shared" si="19"/>
        <v>0.2203947368</v>
      </c>
      <c r="L309" s="49">
        <f t="shared" si="20"/>
        <v>0.375</v>
      </c>
      <c r="M309" s="49">
        <f t="shared" si="21"/>
        <v>0.4046052632</v>
      </c>
      <c r="N309" s="32" t="str">
        <f t="shared" si="22"/>
        <v>Adhemar</v>
      </c>
      <c r="O309" s="50"/>
      <c r="P309" s="38">
        <v>125.0</v>
      </c>
      <c r="Q309" s="38">
        <v>42.0</v>
      </c>
      <c r="R309" s="38">
        <v>70.0</v>
      </c>
      <c r="S309" s="38">
        <v>91.0</v>
      </c>
      <c r="T309" s="38">
        <v>11.0</v>
      </c>
      <c r="U309" s="48">
        <f t="shared" si="23"/>
        <v>237</v>
      </c>
      <c r="V309" s="48">
        <f t="shared" si="24"/>
        <v>339</v>
      </c>
      <c r="W309" s="49">
        <f t="shared" si="25"/>
        <v>0.5274261603</v>
      </c>
      <c r="X309" s="49">
        <f t="shared" si="26"/>
        <v>0.1772151899</v>
      </c>
      <c r="Y309" s="49">
        <f t="shared" si="27"/>
        <v>0.2953586498</v>
      </c>
      <c r="Z309" s="32" t="str">
        <f t="shared" si="28"/>
        <v>Jango</v>
      </c>
      <c r="AA309" s="50"/>
    </row>
    <row r="310">
      <c r="A310" s="110" t="s">
        <v>94</v>
      </c>
      <c r="B310" s="46" t="s">
        <v>563</v>
      </c>
      <c r="C310" s="47"/>
      <c r="D310" s="38">
        <v>154.0</v>
      </c>
      <c r="E310" s="38">
        <v>130.0</v>
      </c>
      <c r="F310" s="38">
        <v>76.0</v>
      </c>
      <c r="G310" s="38">
        <v>16.0</v>
      </c>
      <c r="H310" s="38">
        <v>1.0</v>
      </c>
      <c r="I310" s="48">
        <f t="shared" si="17"/>
        <v>360</v>
      </c>
      <c r="J310" s="48">
        <f t="shared" si="18"/>
        <v>377</v>
      </c>
      <c r="K310" s="49">
        <f t="shared" si="19"/>
        <v>0.4277777778</v>
      </c>
      <c r="L310" s="49">
        <f t="shared" si="20"/>
        <v>0.3611111111</v>
      </c>
      <c r="M310" s="49">
        <f t="shared" si="21"/>
        <v>0.2111111111</v>
      </c>
      <c r="N310" s="32" t="str">
        <f t="shared" si="22"/>
        <v>Jânio</v>
      </c>
      <c r="O310" s="50"/>
      <c r="P310" s="38">
        <v>109.0</v>
      </c>
      <c r="Q310" s="38">
        <v>112.0</v>
      </c>
      <c r="R310" s="38">
        <v>78.0</v>
      </c>
      <c r="S310" s="38">
        <v>74.0</v>
      </c>
      <c r="T310" s="38">
        <v>4.0</v>
      </c>
      <c r="U310" s="48">
        <f t="shared" si="23"/>
        <v>299</v>
      </c>
      <c r="V310" s="48">
        <f t="shared" si="24"/>
        <v>377</v>
      </c>
      <c r="W310" s="49">
        <f t="shared" si="25"/>
        <v>0.364548495</v>
      </c>
      <c r="X310" s="49">
        <f t="shared" si="26"/>
        <v>0.3745819398</v>
      </c>
      <c r="Y310" s="49">
        <f t="shared" si="27"/>
        <v>0.2608695652</v>
      </c>
      <c r="Z310" s="32" t="str">
        <f t="shared" si="28"/>
        <v>Milton</v>
      </c>
      <c r="AA310" s="50"/>
    </row>
    <row r="311">
      <c r="A311" s="110" t="s">
        <v>94</v>
      </c>
      <c r="B311" s="46" t="s">
        <v>1234</v>
      </c>
      <c r="C311" s="47"/>
      <c r="D311" s="38">
        <v>208.0</v>
      </c>
      <c r="E311" s="38">
        <v>90.0</v>
      </c>
      <c r="F311" s="38">
        <v>61.0</v>
      </c>
      <c r="G311" s="38">
        <v>2.0</v>
      </c>
      <c r="H311" s="38">
        <v>0.0</v>
      </c>
      <c r="I311" s="48">
        <f t="shared" si="17"/>
        <v>359</v>
      </c>
      <c r="J311" s="48">
        <f t="shared" si="18"/>
        <v>361</v>
      </c>
      <c r="K311" s="49">
        <f t="shared" si="19"/>
        <v>0.5793871866</v>
      </c>
      <c r="L311" s="49">
        <f t="shared" si="20"/>
        <v>0.2506963788</v>
      </c>
      <c r="M311" s="49">
        <f t="shared" si="21"/>
        <v>0.1699164345</v>
      </c>
      <c r="N311" s="32" t="str">
        <f t="shared" si="22"/>
        <v>Jânio</v>
      </c>
      <c r="O311" s="50"/>
      <c r="P311" s="38">
        <v>72.0</v>
      </c>
      <c r="Q311" s="38">
        <v>151.0</v>
      </c>
      <c r="R311" s="38">
        <v>58.0</v>
      </c>
      <c r="S311" s="38">
        <v>68.0</v>
      </c>
      <c r="T311" s="38">
        <v>0.0</v>
      </c>
      <c r="U311" s="48">
        <f t="shared" si="23"/>
        <v>281</v>
      </c>
      <c r="V311" s="48">
        <f t="shared" si="24"/>
        <v>349</v>
      </c>
      <c r="W311" s="49">
        <f t="shared" si="25"/>
        <v>0.256227758</v>
      </c>
      <c r="X311" s="49">
        <f t="shared" si="26"/>
        <v>0.537366548</v>
      </c>
      <c r="Y311" s="49">
        <f t="shared" si="27"/>
        <v>0.206405694</v>
      </c>
      <c r="Z311" s="32" t="str">
        <f t="shared" si="28"/>
        <v>Milton</v>
      </c>
      <c r="AA311" s="50"/>
    </row>
    <row r="312">
      <c r="A312" s="110" t="s">
        <v>94</v>
      </c>
      <c r="B312" s="46" t="s">
        <v>2400</v>
      </c>
      <c r="C312" s="47"/>
      <c r="D312" s="38">
        <v>221.0</v>
      </c>
      <c r="E312" s="38">
        <v>82.0</v>
      </c>
      <c r="F312" s="38">
        <v>51.0</v>
      </c>
      <c r="G312" s="38">
        <v>5.0</v>
      </c>
      <c r="H312" s="38">
        <v>4.0</v>
      </c>
      <c r="I312" s="48">
        <f t="shared" si="17"/>
        <v>354</v>
      </c>
      <c r="J312" s="48">
        <f t="shared" si="18"/>
        <v>363</v>
      </c>
      <c r="K312" s="49">
        <f t="shared" si="19"/>
        <v>0.6242937853</v>
      </c>
      <c r="L312" s="49">
        <f t="shared" si="20"/>
        <v>0.2316384181</v>
      </c>
      <c r="M312" s="49">
        <f t="shared" si="21"/>
        <v>0.1440677966</v>
      </c>
      <c r="N312" s="32" t="str">
        <f t="shared" si="22"/>
        <v>Jânio</v>
      </c>
      <c r="O312" s="50"/>
      <c r="P312" s="38">
        <v>67.0</v>
      </c>
      <c r="Q312" s="38">
        <v>153.0</v>
      </c>
      <c r="R312" s="38">
        <v>69.0</v>
      </c>
      <c r="S312" s="38">
        <v>69.0</v>
      </c>
      <c r="T312" s="38">
        <v>3.0</v>
      </c>
      <c r="U312" s="48">
        <f t="shared" si="23"/>
        <v>289</v>
      </c>
      <c r="V312" s="48">
        <f t="shared" si="24"/>
        <v>361</v>
      </c>
      <c r="W312" s="49">
        <f t="shared" si="25"/>
        <v>0.23183391</v>
      </c>
      <c r="X312" s="49">
        <f t="shared" si="26"/>
        <v>0.5294117647</v>
      </c>
      <c r="Y312" s="49">
        <f t="shared" si="27"/>
        <v>0.2387543253</v>
      </c>
      <c r="Z312" s="32" t="str">
        <f t="shared" si="28"/>
        <v>Milton</v>
      </c>
      <c r="AA312" s="50"/>
    </row>
    <row r="313">
      <c r="A313" s="110" t="s">
        <v>94</v>
      </c>
      <c r="B313" s="46" t="s">
        <v>119</v>
      </c>
      <c r="C313" s="47"/>
      <c r="D313" s="38">
        <v>255.0</v>
      </c>
      <c r="E313" s="38">
        <v>71.0</v>
      </c>
      <c r="F313" s="38">
        <v>33.0</v>
      </c>
      <c r="G313" s="38">
        <v>6.0</v>
      </c>
      <c r="H313" s="38">
        <v>1.0</v>
      </c>
      <c r="I313" s="48">
        <f t="shared" si="17"/>
        <v>359</v>
      </c>
      <c r="J313" s="48">
        <f t="shared" si="18"/>
        <v>366</v>
      </c>
      <c r="K313" s="49">
        <f t="shared" si="19"/>
        <v>0.7103064067</v>
      </c>
      <c r="L313" s="49">
        <f t="shared" si="20"/>
        <v>0.1977715877</v>
      </c>
      <c r="M313" s="49">
        <f t="shared" si="21"/>
        <v>0.09192200557</v>
      </c>
      <c r="N313" s="32" t="str">
        <f t="shared" si="22"/>
        <v>Jânio</v>
      </c>
      <c r="O313" s="50"/>
      <c r="P313" s="38">
        <v>41.0</v>
      </c>
      <c r="Q313" s="38">
        <v>206.0</v>
      </c>
      <c r="R313" s="38">
        <v>44.0</v>
      </c>
      <c r="S313" s="38">
        <v>74.0</v>
      </c>
      <c r="T313" s="38">
        <v>1.0</v>
      </c>
      <c r="U313" s="48">
        <f t="shared" si="23"/>
        <v>291</v>
      </c>
      <c r="V313" s="48">
        <f t="shared" si="24"/>
        <v>366</v>
      </c>
      <c r="W313" s="49">
        <f t="shared" si="25"/>
        <v>0.1408934708</v>
      </c>
      <c r="X313" s="49">
        <f t="shared" si="26"/>
        <v>0.7079037801</v>
      </c>
      <c r="Y313" s="49">
        <f t="shared" si="27"/>
        <v>0.1512027491</v>
      </c>
      <c r="Z313" s="32" t="str">
        <f t="shared" si="28"/>
        <v>Milton</v>
      </c>
      <c r="AA313" s="50"/>
    </row>
    <row r="314">
      <c r="A314" s="110" t="s">
        <v>94</v>
      </c>
      <c r="B314" s="46" t="s">
        <v>2412</v>
      </c>
      <c r="C314" s="47"/>
      <c r="D314" s="38">
        <v>168.0</v>
      </c>
      <c r="E314" s="38">
        <v>88.0</v>
      </c>
      <c r="F314" s="38">
        <v>87.0</v>
      </c>
      <c r="G314" s="38">
        <v>7.0</v>
      </c>
      <c r="H314" s="38">
        <v>11.0</v>
      </c>
      <c r="I314" s="48">
        <f t="shared" si="17"/>
        <v>343</v>
      </c>
      <c r="J314" s="48">
        <f t="shared" si="18"/>
        <v>361</v>
      </c>
      <c r="K314" s="49">
        <f t="shared" si="19"/>
        <v>0.4897959184</v>
      </c>
      <c r="L314" s="49">
        <f t="shared" si="20"/>
        <v>0.2565597668</v>
      </c>
      <c r="M314" s="49">
        <f t="shared" si="21"/>
        <v>0.2536443149</v>
      </c>
      <c r="N314" s="32" t="str">
        <f t="shared" si="22"/>
        <v>Jânio</v>
      </c>
      <c r="O314" s="50"/>
      <c r="P314" s="38">
        <v>72.0</v>
      </c>
      <c r="Q314" s="38">
        <v>120.0</v>
      </c>
      <c r="R314" s="38">
        <v>69.0</v>
      </c>
      <c r="S314" s="38">
        <v>90.0</v>
      </c>
      <c r="T314" s="38">
        <v>4.0</v>
      </c>
      <c r="U314" s="48">
        <f t="shared" si="23"/>
        <v>261</v>
      </c>
      <c r="V314" s="48">
        <f t="shared" si="24"/>
        <v>355</v>
      </c>
      <c r="W314" s="49">
        <f t="shared" si="25"/>
        <v>0.275862069</v>
      </c>
      <c r="X314" s="49">
        <f t="shared" si="26"/>
        <v>0.4597701149</v>
      </c>
      <c r="Y314" s="49">
        <f t="shared" si="27"/>
        <v>0.2643678161</v>
      </c>
      <c r="Z314" s="32" t="str">
        <f t="shared" si="28"/>
        <v>Milton</v>
      </c>
      <c r="AA314" s="50"/>
    </row>
    <row r="315">
      <c r="A315" s="110" t="s">
        <v>94</v>
      </c>
      <c r="B315" s="46" t="s">
        <v>512</v>
      </c>
      <c r="C315" s="47"/>
      <c r="D315" s="38">
        <v>207.0</v>
      </c>
      <c r="E315" s="38">
        <v>76.0</v>
      </c>
      <c r="F315" s="38">
        <v>45.0</v>
      </c>
      <c r="G315" s="38">
        <v>9.0</v>
      </c>
      <c r="H315" s="38">
        <v>6.0</v>
      </c>
      <c r="I315" s="48">
        <f t="shared" si="17"/>
        <v>328</v>
      </c>
      <c r="J315" s="48">
        <f t="shared" si="18"/>
        <v>343</v>
      </c>
      <c r="K315" s="49">
        <f t="shared" si="19"/>
        <v>0.631097561</v>
      </c>
      <c r="L315" s="49">
        <f t="shared" si="20"/>
        <v>0.2317073171</v>
      </c>
      <c r="M315" s="49">
        <f t="shared" si="21"/>
        <v>0.137195122</v>
      </c>
      <c r="N315" s="32" t="str">
        <f t="shared" si="22"/>
        <v>Jânio</v>
      </c>
      <c r="O315" s="50"/>
      <c r="P315" s="38">
        <v>58.0</v>
      </c>
      <c r="Q315" s="38">
        <v>149.0</v>
      </c>
      <c r="R315" s="38">
        <v>56.0</v>
      </c>
      <c r="S315" s="38">
        <v>75.0</v>
      </c>
      <c r="T315" s="38">
        <v>5.0</v>
      </c>
      <c r="U315" s="48">
        <f t="shared" si="23"/>
        <v>263</v>
      </c>
      <c r="V315" s="48">
        <f t="shared" si="24"/>
        <v>343</v>
      </c>
      <c r="W315" s="49">
        <f t="shared" si="25"/>
        <v>0.2205323194</v>
      </c>
      <c r="X315" s="49">
        <f t="shared" si="26"/>
        <v>0.566539924</v>
      </c>
      <c r="Y315" s="49">
        <f t="shared" si="27"/>
        <v>0.2129277567</v>
      </c>
      <c r="Z315" s="32" t="str">
        <f t="shared" si="28"/>
        <v>Milton</v>
      </c>
      <c r="AA315" s="50"/>
    </row>
    <row r="316">
      <c r="A316" s="110" t="s">
        <v>94</v>
      </c>
      <c r="B316" s="46" t="s">
        <v>196</v>
      </c>
      <c r="C316" s="47"/>
      <c r="D316" s="38">
        <v>224.0</v>
      </c>
      <c r="E316" s="38">
        <v>73.0</v>
      </c>
      <c r="F316" s="38">
        <v>54.0</v>
      </c>
      <c r="G316" s="38">
        <v>6.0</v>
      </c>
      <c r="H316" s="38">
        <v>0.0</v>
      </c>
      <c r="I316" s="48">
        <f t="shared" si="17"/>
        <v>351</v>
      </c>
      <c r="J316" s="48">
        <f t="shared" si="18"/>
        <v>357</v>
      </c>
      <c r="K316" s="49">
        <f t="shared" si="19"/>
        <v>0.6381766382</v>
      </c>
      <c r="L316" s="49">
        <f t="shared" si="20"/>
        <v>0.207977208</v>
      </c>
      <c r="M316" s="49">
        <f t="shared" si="21"/>
        <v>0.1538461538</v>
      </c>
      <c r="N316" s="32" t="str">
        <f t="shared" si="22"/>
        <v>Jânio</v>
      </c>
      <c r="O316" s="50"/>
      <c r="P316" s="38">
        <v>55.0</v>
      </c>
      <c r="Q316" s="38">
        <v>164.0</v>
      </c>
      <c r="R316" s="38">
        <v>69.0</v>
      </c>
      <c r="S316" s="38">
        <v>68.0</v>
      </c>
      <c r="T316" s="38">
        <v>0.0</v>
      </c>
      <c r="U316" s="48">
        <f t="shared" si="23"/>
        <v>288</v>
      </c>
      <c r="V316" s="48">
        <f t="shared" si="24"/>
        <v>356</v>
      </c>
      <c r="W316" s="49">
        <f t="shared" si="25"/>
        <v>0.1909722222</v>
      </c>
      <c r="X316" s="49">
        <f t="shared" si="26"/>
        <v>0.5694444444</v>
      </c>
      <c r="Y316" s="49">
        <f t="shared" si="27"/>
        <v>0.2395833333</v>
      </c>
      <c r="Z316" s="32" t="str">
        <f t="shared" si="28"/>
        <v>Milton</v>
      </c>
      <c r="AA316" s="50"/>
    </row>
    <row r="317">
      <c r="A317" s="110" t="s">
        <v>94</v>
      </c>
      <c r="B317" s="46" t="s">
        <v>2873</v>
      </c>
      <c r="C317" s="47"/>
      <c r="D317" s="38">
        <v>190.0</v>
      </c>
      <c r="E317" s="38">
        <v>94.0</v>
      </c>
      <c r="F317" s="38">
        <v>80.0</v>
      </c>
      <c r="G317" s="38">
        <v>7.0</v>
      </c>
      <c r="H317" s="38">
        <v>4.0</v>
      </c>
      <c r="I317" s="48">
        <f t="shared" si="17"/>
        <v>364</v>
      </c>
      <c r="J317" s="48">
        <f t="shared" si="18"/>
        <v>375</v>
      </c>
      <c r="K317" s="49">
        <f t="shared" si="19"/>
        <v>0.521978022</v>
      </c>
      <c r="L317" s="49">
        <f t="shared" si="20"/>
        <v>0.2582417582</v>
      </c>
      <c r="M317" s="49">
        <f t="shared" si="21"/>
        <v>0.2197802198</v>
      </c>
      <c r="N317" s="32" t="str">
        <f t="shared" si="22"/>
        <v>Jânio</v>
      </c>
      <c r="O317" s="50"/>
      <c r="P317" s="38">
        <v>86.0</v>
      </c>
      <c r="Q317" s="38">
        <v>140.0</v>
      </c>
      <c r="R317" s="38">
        <v>67.0</v>
      </c>
      <c r="S317" s="38">
        <v>79.0</v>
      </c>
      <c r="T317" s="38">
        <v>3.0</v>
      </c>
      <c r="U317" s="48">
        <f t="shared" si="23"/>
        <v>293</v>
      </c>
      <c r="V317" s="48">
        <f t="shared" si="24"/>
        <v>375</v>
      </c>
      <c r="W317" s="49">
        <f t="shared" si="25"/>
        <v>0.2935153584</v>
      </c>
      <c r="X317" s="49">
        <f t="shared" si="26"/>
        <v>0.4778156997</v>
      </c>
      <c r="Y317" s="49">
        <f t="shared" si="27"/>
        <v>0.228668942</v>
      </c>
      <c r="Z317" s="32" t="str">
        <f t="shared" si="28"/>
        <v>Milton</v>
      </c>
      <c r="AA317" s="50"/>
    </row>
    <row r="318">
      <c r="A318" s="110" t="s">
        <v>94</v>
      </c>
      <c r="B318" s="46" t="s">
        <v>2443</v>
      </c>
      <c r="C318" s="47"/>
      <c r="D318" s="38">
        <v>214.0</v>
      </c>
      <c r="E318" s="38">
        <v>100.0</v>
      </c>
      <c r="F318" s="38">
        <v>45.0</v>
      </c>
      <c r="G318" s="38">
        <v>1.0</v>
      </c>
      <c r="H318" s="38">
        <v>5.0</v>
      </c>
      <c r="I318" s="48">
        <f t="shared" si="17"/>
        <v>359</v>
      </c>
      <c r="J318" s="48">
        <f t="shared" si="18"/>
        <v>365</v>
      </c>
      <c r="K318" s="49">
        <f t="shared" si="19"/>
        <v>0.5961002786</v>
      </c>
      <c r="L318" s="49">
        <f t="shared" si="20"/>
        <v>0.278551532</v>
      </c>
      <c r="M318" s="49">
        <f t="shared" si="21"/>
        <v>0.1253481894</v>
      </c>
      <c r="N318" s="32" t="str">
        <f t="shared" si="22"/>
        <v>Jânio</v>
      </c>
      <c r="O318" s="50"/>
      <c r="P318" s="38">
        <v>71.0</v>
      </c>
      <c r="Q318" s="38">
        <v>160.0</v>
      </c>
      <c r="R318" s="38">
        <v>63.0</v>
      </c>
      <c r="S318" s="38">
        <v>66.0</v>
      </c>
      <c r="T318" s="38">
        <v>5.0</v>
      </c>
      <c r="U318" s="48">
        <f t="shared" si="23"/>
        <v>294</v>
      </c>
      <c r="V318" s="48">
        <f t="shared" si="24"/>
        <v>365</v>
      </c>
      <c r="W318" s="49">
        <f t="shared" si="25"/>
        <v>0.2414965986</v>
      </c>
      <c r="X318" s="49">
        <f t="shared" si="26"/>
        <v>0.5442176871</v>
      </c>
      <c r="Y318" s="49">
        <f t="shared" si="27"/>
        <v>0.2142857143</v>
      </c>
      <c r="Z318" s="32" t="str">
        <f t="shared" si="28"/>
        <v>Milton</v>
      </c>
      <c r="AA318" s="50"/>
    </row>
    <row r="319">
      <c r="A319" s="110" t="s">
        <v>94</v>
      </c>
      <c r="B319" s="46" t="s">
        <v>2933</v>
      </c>
      <c r="C319" s="47"/>
      <c r="D319" s="38">
        <v>178.0</v>
      </c>
      <c r="E319" s="38">
        <v>105.0</v>
      </c>
      <c r="F319" s="38">
        <v>72.0</v>
      </c>
      <c r="G319" s="38">
        <v>8.0</v>
      </c>
      <c r="H319" s="38">
        <v>1.0</v>
      </c>
      <c r="I319" s="48">
        <f t="shared" si="17"/>
        <v>355</v>
      </c>
      <c r="J319" s="48">
        <f t="shared" si="18"/>
        <v>364</v>
      </c>
      <c r="K319" s="49">
        <f t="shared" si="19"/>
        <v>0.5014084507</v>
      </c>
      <c r="L319" s="49">
        <f t="shared" si="20"/>
        <v>0.2957746479</v>
      </c>
      <c r="M319" s="49">
        <f t="shared" si="21"/>
        <v>0.2028169014</v>
      </c>
      <c r="N319" s="32" t="str">
        <f t="shared" si="22"/>
        <v>Jânio</v>
      </c>
      <c r="O319" s="50"/>
      <c r="P319" s="38">
        <v>99.0</v>
      </c>
      <c r="Q319" s="38">
        <v>130.0</v>
      </c>
      <c r="R319" s="38">
        <v>58.0</v>
      </c>
      <c r="S319" s="38">
        <v>76.0</v>
      </c>
      <c r="T319" s="38">
        <v>1.0</v>
      </c>
      <c r="U319" s="48">
        <f t="shared" si="23"/>
        <v>287</v>
      </c>
      <c r="V319" s="48">
        <f t="shared" si="24"/>
        <v>364</v>
      </c>
      <c r="W319" s="49">
        <f t="shared" si="25"/>
        <v>0.3449477352</v>
      </c>
      <c r="X319" s="49">
        <f t="shared" si="26"/>
        <v>0.4529616725</v>
      </c>
      <c r="Y319" s="49">
        <f t="shared" si="27"/>
        <v>0.2020905923</v>
      </c>
      <c r="Z319" s="32" t="str">
        <f t="shared" si="28"/>
        <v>Milton</v>
      </c>
      <c r="AA319" s="50"/>
    </row>
    <row r="320">
      <c r="A320" s="110" t="s">
        <v>94</v>
      </c>
      <c r="B320" s="46" t="s">
        <v>2416</v>
      </c>
      <c r="C320" s="47"/>
      <c r="D320" s="38">
        <v>212.0</v>
      </c>
      <c r="E320" s="38">
        <v>111.0</v>
      </c>
      <c r="F320" s="38">
        <v>42.0</v>
      </c>
      <c r="G320" s="38">
        <v>42.0</v>
      </c>
      <c r="H320" s="38">
        <v>2.0</v>
      </c>
      <c r="I320" s="48">
        <f t="shared" si="17"/>
        <v>365</v>
      </c>
      <c r="J320" s="48">
        <f t="shared" si="18"/>
        <v>409</v>
      </c>
      <c r="K320" s="49">
        <f t="shared" si="19"/>
        <v>0.5808219178</v>
      </c>
      <c r="L320" s="49">
        <f t="shared" si="20"/>
        <v>0.304109589</v>
      </c>
      <c r="M320" s="49">
        <f t="shared" si="21"/>
        <v>0.1150684932</v>
      </c>
      <c r="N320" s="32" t="str">
        <f t="shared" si="22"/>
        <v>Jânio</v>
      </c>
      <c r="O320" s="50"/>
      <c r="P320" s="38">
        <v>74.0</v>
      </c>
      <c r="Q320" s="38">
        <v>163.0</v>
      </c>
      <c r="R320" s="38">
        <v>70.0</v>
      </c>
      <c r="S320" s="38">
        <v>63.0</v>
      </c>
      <c r="T320" s="38">
        <v>3.0</v>
      </c>
      <c r="U320" s="48">
        <f t="shared" si="23"/>
        <v>307</v>
      </c>
      <c r="V320" s="48">
        <f t="shared" si="24"/>
        <v>373</v>
      </c>
      <c r="W320" s="49">
        <f t="shared" si="25"/>
        <v>0.2410423453</v>
      </c>
      <c r="X320" s="49">
        <f t="shared" si="26"/>
        <v>0.5309446254</v>
      </c>
      <c r="Y320" s="49">
        <f t="shared" si="27"/>
        <v>0.2280130293</v>
      </c>
      <c r="Z320" s="32" t="str">
        <f t="shared" si="28"/>
        <v>Milton</v>
      </c>
      <c r="AA320" s="50"/>
    </row>
    <row r="321">
      <c r="A321" s="110" t="s">
        <v>94</v>
      </c>
      <c r="B321" s="46" t="s">
        <v>533</v>
      </c>
      <c r="C321" s="47"/>
      <c r="D321" s="38">
        <v>169.0</v>
      </c>
      <c r="E321" s="38">
        <v>89.0</v>
      </c>
      <c r="F321" s="38">
        <v>71.0</v>
      </c>
      <c r="G321" s="38">
        <v>15.0</v>
      </c>
      <c r="H321" s="38">
        <v>6.0</v>
      </c>
      <c r="I321" s="48">
        <f t="shared" si="17"/>
        <v>329</v>
      </c>
      <c r="J321" s="48">
        <f t="shared" si="18"/>
        <v>350</v>
      </c>
      <c r="K321" s="49">
        <f t="shared" si="19"/>
        <v>0.5136778116</v>
      </c>
      <c r="L321" s="49">
        <f t="shared" si="20"/>
        <v>0.2705167173</v>
      </c>
      <c r="M321" s="49">
        <f t="shared" si="21"/>
        <v>0.2158054711</v>
      </c>
      <c r="N321" s="32" t="str">
        <f t="shared" si="22"/>
        <v>Jânio</v>
      </c>
      <c r="O321" s="50"/>
      <c r="P321" s="38">
        <v>71.0</v>
      </c>
      <c r="Q321" s="38">
        <v>120.0</v>
      </c>
      <c r="R321" s="38">
        <v>71.0</v>
      </c>
      <c r="S321" s="38">
        <v>82.0</v>
      </c>
      <c r="T321" s="38">
        <v>5.0</v>
      </c>
      <c r="U321" s="48">
        <f t="shared" si="23"/>
        <v>262</v>
      </c>
      <c r="V321" s="48">
        <f t="shared" si="24"/>
        <v>349</v>
      </c>
      <c r="W321" s="49">
        <f t="shared" si="25"/>
        <v>0.2709923664</v>
      </c>
      <c r="X321" s="49">
        <f t="shared" si="26"/>
        <v>0.4580152672</v>
      </c>
      <c r="Y321" s="49">
        <f t="shared" si="27"/>
        <v>0.2709923664</v>
      </c>
      <c r="Z321" s="32" t="str">
        <f t="shared" si="28"/>
        <v>Milton</v>
      </c>
      <c r="AA321" s="50"/>
    </row>
    <row r="322">
      <c r="A322" s="110" t="s">
        <v>94</v>
      </c>
      <c r="B322" s="46" t="s">
        <v>580</v>
      </c>
      <c r="C322" s="47"/>
      <c r="D322" s="38">
        <v>140.0</v>
      </c>
      <c r="E322" s="38">
        <v>121.0</v>
      </c>
      <c r="F322" s="38">
        <v>75.0</v>
      </c>
      <c r="G322" s="38">
        <v>10.0</v>
      </c>
      <c r="H322" s="38">
        <v>10.0</v>
      </c>
      <c r="I322" s="48">
        <f t="shared" si="17"/>
        <v>336</v>
      </c>
      <c r="J322" s="48">
        <f t="shared" si="18"/>
        <v>356</v>
      </c>
      <c r="K322" s="49">
        <f t="shared" si="19"/>
        <v>0.4166666667</v>
      </c>
      <c r="L322" s="49">
        <f t="shared" si="20"/>
        <v>0.3601190476</v>
      </c>
      <c r="M322" s="49">
        <f t="shared" si="21"/>
        <v>0.2232142857</v>
      </c>
      <c r="N322" s="32" t="str">
        <f t="shared" si="22"/>
        <v>Jânio</v>
      </c>
      <c r="O322" s="50"/>
      <c r="P322" s="38">
        <v>118.0</v>
      </c>
      <c r="Q322" s="38">
        <v>100.0</v>
      </c>
      <c r="R322" s="38">
        <v>69.0</v>
      </c>
      <c r="S322" s="38">
        <v>58.0</v>
      </c>
      <c r="T322" s="38">
        <v>11.0</v>
      </c>
      <c r="U322" s="48">
        <f t="shared" si="23"/>
        <v>287</v>
      </c>
      <c r="V322" s="48">
        <f t="shared" si="24"/>
        <v>356</v>
      </c>
      <c r="W322" s="49">
        <f t="shared" si="25"/>
        <v>0.4111498258</v>
      </c>
      <c r="X322" s="49">
        <f t="shared" si="26"/>
        <v>0.3484320557</v>
      </c>
      <c r="Y322" s="49">
        <f t="shared" si="27"/>
        <v>0.2404181185</v>
      </c>
      <c r="Z322" s="32" t="str">
        <f t="shared" si="28"/>
        <v>Jango</v>
      </c>
      <c r="AA322" s="50"/>
    </row>
    <row r="323">
      <c r="A323" s="110" t="s">
        <v>94</v>
      </c>
      <c r="B323" s="46" t="s">
        <v>1236</v>
      </c>
      <c r="C323" s="47"/>
      <c r="D323" s="38">
        <v>191.0</v>
      </c>
      <c r="E323" s="38">
        <v>104.0</v>
      </c>
      <c r="F323" s="38">
        <v>58.0</v>
      </c>
      <c r="G323" s="38">
        <v>9.0</v>
      </c>
      <c r="H323" s="38">
        <v>1.0</v>
      </c>
      <c r="I323" s="48">
        <f t="shared" si="17"/>
        <v>353</v>
      </c>
      <c r="J323" s="48">
        <f t="shared" si="18"/>
        <v>363</v>
      </c>
      <c r="K323" s="49">
        <f t="shared" si="19"/>
        <v>0.5410764873</v>
      </c>
      <c r="L323" s="49">
        <f t="shared" si="20"/>
        <v>0.2946175637</v>
      </c>
      <c r="M323" s="49">
        <f t="shared" si="21"/>
        <v>0.164305949</v>
      </c>
      <c r="N323" s="32" t="str">
        <f t="shared" si="22"/>
        <v>Jânio</v>
      </c>
      <c r="O323" s="50"/>
      <c r="P323" s="38">
        <v>81.0</v>
      </c>
      <c r="Q323" s="38">
        <v>135.0</v>
      </c>
      <c r="R323" s="38">
        <v>62.0</v>
      </c>
      <c r="S323" s="38">
        <v>81.0</v>
      </c>
      <c r="T323" s="38">
        <v>4.0</v>
      </c>
      <c r="U323" s="48">
        <f t="shared" si="23"/>
        <v>278</v>
      </c>
      <c r="V323" s="48">
        <f t="shared" si="24"/>
        <v>363</v>
      </c>
      <c r="W323" s="49">
        <f t="shared" si="25"/>
        <v>0.2913669065</v>
      </c>
      <c r="X323" s="49">
        <f t="shared" si="26"/>
        <v>0.4856115108</v>
      </c>
      <c r="Y323" s="49">
        <f t="shared" si="27"/>
        <v>0.2230215827</v>
      </c>
      <c r="Z323" s="32" t="str">
        <f t="shared" si="28"/>
        <v>Milton</v>
      </c>
      <c r="AA323" s="50"/>
    </row>
    <row r="324">
      <c r="A324" s="110" t="s">
        <v>94</v>
      </c>
      <c r="B324" s="46" t="s">
        <v>2370</v>
      </c>
      <c r="C324" s="47"/>
      <c r="D324" s="38">
        <v>68.0</v>
      </c>
      <c r="E324" s="38">
        <v>118.0</v>
      </c>
      <c r="F324" s="38">
        <v>96.0</v>
      </c>
      <c r="G324" s="38">
        <v>17.0</v>
      </c>
      <c r="H324" s="38">
        <v>9.0</v>
      </c>
      <c r="I324" s="48">
        <f t="shared" si="17"/>
        <v>282</v>
      </c>
      <c r="J324" s="48">
        <f t="shared" si="18"/>
        <v>308</v>
      </c>
      <c r="K324" s="49">
        <f t="shared" si="19"/>
        <v>0.2411347518</v>
      </c>
      <c r="L324" s="49">
        <f t="shared" si="20"/>
        <v>0.4184397163</v>
      </c>
      <c r="M324" s="49">
        <f t="shared" si="21"/>
        <v>0.3404255319</v>
      </c>
      <c r="N324" s="32" t="str">
        <f t="shared" si="22"/>
        <v>Mal. Lott</v>
      </c>
      <c r="O324" s="50"/>
      <c r="P324" s="38">
        <v>131.0</v>
      </c>
      <c r="Q324" s="38">
        <v>42.0</v>
      </c>
      <c r="R324" s="38">
        <v>63.0</v>
      </c>
      <c r="S324" s="38">
        <v>64.0</v>
      </c>
      <c r="T324" s="38">
        <v>8.0</v>
      </c>
      <c r="U324" s="48">
        <f t="shared" si="23"/>
        <v>236</v>
      </c>
      <c r="V324" s="48">
        <f t="shared" si="24"/>
        <v>308</v>
      </c>
      <c r="W324" s="49">
        <f t="shared" si="25"/>
        <v>0.5550847458</v>
      </c>
      <c r="X324" s="49">
        <f t="shared" si="26"/>
        <v>0.1779661017</v>
      </c>
      <c r="Y324" s="49">
        <f t="shared" si="27"/>
        <v>0.2669491525</v>
      </c>
      <c r="Z324" s="32" t="str">
        <f t="shared" si="28"/>
        <v>Jango</v>
      </c>
      <c r="AA324" s="50"/>
    </row>
    <row r="325">
      <c r="A325" s="110" t="s">
        <v>94</v>
      </c>
      <c r="B325" s="46" t="s">
        <v>2388</v>
      </c>
      <c r="C325" s="47"/>
      <c r="D325" s="38">
        <v>103.0</v>
      </c>
      <c r="E325" s="38">
        <v>91.0</v>
      </c>
      <c r="F325" s="38">
        <v>80.0</v>
      </c>
      <c r="G325" s="38">
        <v>13.0</v>
      </c>
      <c r="H325" s="38">
        <v>2.0</v>
      </c>
      <c r="I325" s="48">
        <f t="shared" si="17"/>
        <v>274</v>
      </c>
      <c r="J325" s="48">
        <f t="shared" si="18"/>
        <v>289</v>
      </c>
      <c r="K325" s="49">
        <f t="shared" si="19"/>
        <v>0.3759124088</v>
      </c>
      <c r="L325" s="49">
        <f t="shared" si="20"/>
        <v>0.3321167883</v>
      </c>
      <c r="M325" s="49">
        <f t="shared" si="21"/>
        <v>0.2919708029</v>
      </c>
      <c r="N325" s="32" t="str">
        <f t="shared" si="22"/>
        <v>Jânio</v>
      </c>
      <c r="O325" s="50"/>
      <c r="P325" s="38">
        <v>84.0</v>
      </c>
      <c r="Q325" s="38">
        <v>71.0</v>
      </c>
      <c r="R325" s="38">
        <v>58.0</v>
      </c>
      <c r="S325" s="38">
        <v>74.0</v>
      </c>
      <c r="T325" s="38">
        <v>2.0</v>
      </c>
      <c r="U325" s="48">
        <f t="shared" si="23"/>
        <v>213</v>
      </c>
      <c r="V325" s="48">
        <f t="shared" si="24"/>
        <v>289</v>
      </c>
      <c r="W325" s="49">
        <f t="shared" si="25"/>
        <v>0.3943661972</v>
      </c>
      <c r="X325" s="49">
        <f t="shared" si="26"/>
        <v>0.3333333333</v>
      </c>
      <c r="Y325" s="49">
        <f t="shared" si="27"/>
        <v>0.2723004695</v>
      </c>
      <c r="Z325" s="32" t="str">
        <f t="shared" si="28"/>
        <v>Jango</v>
      </c>
      <c r="AA325" s="50"/>
    </row>
    <row r="326">
      <c r="A326" s="110" t="s">
        <v>94</v>
      </c>
      <c r="B326" s="46" t="s">
        <v>3022</v>
      </c>
      <c r="C326" s="47"/>
      <c r="D326" s="38">
        <v>198.0</v>
      </c>
      <c r="E326" s="38">
        <v>84.0</v>
      </c>
      <c r="F326" s="38">
        <v>45.0</v>
      </c>
      <c r="G326" s="38">
        <v>11.0</v>
      </c>
      <c r="H326" s="38">
        <v>4.0</v>
      </c>
      <c r="I326" s="48">
        <f t="shared" si="17"/>
        <v>327</v>
      </c>
      <c r="J326" s="48">
        <f t="shared" si="18"/>
        <v>342</v>
      </c>
      <c r="K326" s="49">
        <f t="shared" si="19"/>
        <v>0.6055045872</v>
      </c>
      <c r="L326" s="49">
        <f t="shared" si="20"/>
        <v>0.2568807339</v>
      </c>
      <c r="M326" s="49">
        <f t="shared" si="21"/>
        <v>0.1376146789</v>
      </c>
      <c r="N326" s="32" t="str">
        <f t="shared" si="22"/>
        <v>Jânio</v>
      </c>
      <c r="O326" s="50"/>
      <c r="P326" s="38">
        <v>65.0</v>
      </c>
      <c r="Q326" s="38">
        <v>142.0</v>
      </c>
      <c r="R326" s="38">
        <v>55.0</v>
      </c>
      <c r="S326" s="38">
        <v>75.0</v>
      </c>
      <c r="T326" s="38">
        <v>5.0</v>
      </c>
      <c r="U326" s="48">
        <f t="shared" si="23"/>
        <v>262</v>
      </c>
      <c r="V326" s="48">
        <f t="shared" si="24"/>
        <v>342</v>
      </c>
      <c r="W326" s="49">
        <f t="shared" si="25"/>
        <v>0.2480916031</v>
      </c>
      <c r="X326" s="49">
        <f t="shared" si="26"/>
        <v>0.5419847328</v>
      </c>
      <c r="Y326" s="49">
        <f t="shared" si="27"/>
        <v>0.2099236641</v>
      </c>
      <c r="Z326" s="32" t="str">
        <f t="shared" si="28"/>
        <v>Milton</v>
      </c>
      <c r="AA326" s="50"/>
    </row>
    <row r="327">
      <c r="A327" s="110" t="s">
        <v>94</v>
      </c>
      <c r="B327" s="46" t="s">
        <v>3019</v>
      </c>
      <c r="C327" s="47"/>
      <c r="D327" s="38">
        <v>213.0</v>
      </c>
      <c r="E327" s="38">
        <v>74.0</v>
      </c>
      <c r="F327" s="38">
        <v>39.0</v>
      </c>
      <c r="G327" s="38">
        <v>15.0</v>
      </c>
      <c r="H327" s="38">
        <v>6.0</v>
      </c>
      <c r="I327" s="48">
        <f t="shared" si="17"/>
        <v>326</v>
      </c>
      <c r="J327" s="48">
        <f t="shared" si="18"/>
        <v>347</v>
      </c>
      <c r="K327" s="49">
        <f t="shared" si="19"/>
        <v>0.6533742331</v>
      </c>
      <c r="L327" s="49">
        <f t="shared" si="20"/>
        <v>0.226993865</v>
      </c>
      <c r="M327" s="49">
        <f t="shared" si="21"/>
        <v>0.1196319018</v>
      </c>
      <c r="N327" s="32" t="str">
        <f t="shared" si="22"/>
        <v>Jânio</v>
      </c>
      <c r="O327" s="50"/>
      <c r="P327" s="38">
        <v>54.0</v>
      </c>
      <c r="Q327" s="38">
        <v>144.0</v>
      </c>
      <c r="R327" s="38">
        <v>58.0</v>
      </c>
      <c r="S327" s="38">
        <v>88.0</v>
      </c>
      <c r="T327" s="38">
        <v>3.0</v>
      </c>
      <c r="U327" s="48">
        <f t="shared" si="23"/>
        <v>256</v>
      </c>
      <c r="V327" s="48">
        <f t="shared" si="24"/>
        <v>347</v>
      </c>
      <c r="W327" s="49">
        <f t="shared" si="25"/>
        <v>0.2109375</v>
      </c>
      <c r="X327" s="49">
        <f t="shared" si="26"/>
        <v>0.5625</v>
      </c>
      <c r="Y327" s="49">
        <f t="shared" si="27"/>
        <v>0.2265625</v>
      </c>
      <c r="Z327" s="32" t="str">
        <f t="shared" si="28"/>
        <v>Milton</v>
      </c>
      <c r="AA327" s="50"/>
    </row>
    <row r="328">
      <c r="A328" s="110" t="s">
        <v>94</v>
      </c>
      <c r="B328" s="46" t="s">
        <v>2869</v>
      </c>
      <c r="C328" s="47"/>
      <c r="D328" s="38">
        <v>184.0</v>
      </c>
      <c r="E328" s="38">
        <v>86.0</v>
      </c>
      <c r="F328" s="38">
        <v>92.0</v>
      </c>
      <c r="G328" s="38">
        <v>5.0</v>
      </c>
      <c r="H328" s="38">
        <v>5.0</v>
      </c>
      <c r="I328" s="48">
        <f t="shared" si="17"/>
        <v>362</v>
      </c>
      <c r="J328" s="48">
        <f t="shared" si="18"/>
        <v>372</v>
      </c>
      <c r="K328" s="49">
        <f t="shared" si="19"/>
        <v>0.5082872928</v>
      </c>
      <c r="L328" s="49">
        <f t="shared" si="20"/>
        <v>0.2375690608</v>
      </c>
      <c r="M328" s="49">
        <f t="shared" si="21"/>
        <v>0.2541436464</v>
      </c>
      <c r="N328" s="32" t="str">
        <f t="shared" si="22"/>
        <v>Jânio</v>
      </c>
      <c r="O328" s="50"/>
      <c r="P328" s="38">
        <v>97.0</v>
      </c>
      <c r="Q328" s="38">
        <v>149.0</v>
      </c>
      <c r="R328" s="38">
        <v>47.0</v>
      </c>
      <c r="S328" s="38">
        <v>74.0</v>
      </c>
      <c r="T328" s="38">
        <v>5.0</v>
      </c>
      <c r="U328" s="48">
        <f t="shared" si="23"/>
        <v>293</v>
      </c>
      <c r="V328" s="48">
        <f t="shared" si="24"/>
        <v>372</v>
      </c>
      <c r="W328" s="49">
        <f t="shared" si="25"/>
        <v>0.3310580205</v>
      </c>
      <c r="X328" s="49">
        <f t="shared" si="26"/>
        <v>0.5085324232</v>
      </c>
      <c r="Y328" s="49">
        <f t="shared" si="27"/>
        <v>0.1604095563</v>
      </c>
      <c r="Z328" s="32" t="str">
        <f t="shared" si="28"/>
        <v>Milton</v>
      </c>
      <c r="AA328" s="50"/>
    </row>
    <row r="329">
      <c r="A329" s="110" t="s">
        <v>94</v>
      </c>
      <c r="B329" s="46" t="s">
        <v>2403</v>
      </c>
      <c r="C329" s="47"/>
      <c r="D329" s="38">
        <v>173.0</v>
      </c>
      <c r="E329" s="38">
        <v>107.0</v>
      </c>
      <c r="F329" s="38">
        <v>80.0</v>
      </c>
      <c r="G329" s="38">
        <v>9.0</v>
      </c>
      <c r="H329" s="38">
        <v>5.0</v>
      </c>
      <c r="I329" s="48">
        <f t="shared" si="17"/>
        <v>360</v>
      </c>
      <c r="J329" s="48">
        <f t="shared" si="18"/>
        <v>374</v>
      </c>
      <c r="K329" s="49">
        <f t="shared" si="19"/>
        <v>0.4805555556</v>
      </c>
      <c r="L329" s="49">
        <f t="shared" si="20"/>
        <v>0.2972222222</v>
      </c>
      <c r="M329" s="49">
        <f t="shared" si="21"/>
        <v>0.2222222222</v>
      </c>
      <c r="N329" s="32" t="str">
        <f t="shared" si="22"/>
        <v>Jânio</v>
      </c>
      <c r="O329" s="50"/>
      <c r="P329" s="38">
        <v>102.0</v>
      </c>
      <c r="Q329" s="38">
        <v>120.0</v>
      </c>
      <c r="R329" s="38">
        <v>68.0</v>
      </c>
      <c r="S329" s="38">
        <v>79.0</v>
      </c>
      <c r="T329" s="38">
        <v>5.0</v>
      </c>
      <c r="U329" s="48">
        <f t="shared" si="23"/>
        <v>290</v>
      </c>
      <c r="V329" s="48">
        <f t="shared" si="24"/>
        <v>374</v>
      </c>
      <c r="W329" s="49">
        <f t="shared" si="25"/>
        <v>0.3517241379</v>
      </c>
      <c r="X329" s="49">
        <f t="shared" si="26"/>
        <v>0.4137931034</v>
      </c>
      <c r="Y329" s="49">
        <f t="shared" si="27"/>
        <v>0.2344827586</v>
      </c>
      <c r="Z329" s="32" t="str">
        <f t="shared" si="28"/>
        <v>Milton</v>
      </c>
      <c r="AA329" s="50"/>
    </row>
    <row r="330">
      <c r="A330" s="110" t="s">
        <v>94</v>
      </c>
      <c r="B330" s="46" t="s">
        <v>2945</v>
      </c>
      <c r="C330" s="47"/>
      <c r="D330" s="38">
        <v>208.0</v>
      </c>
      <c r="E330" s="38">
        <v>76.0</v>
      </c>
      <c r="F330" s="38">
        <v>67.0</v>
      </c>
      <c r="G330" s="38">
        <v>11.0</v>
      </c>
      <c r="H330" s="38">
        <v>5.0</v>
      </c>
      <c r="I330" s="48">
        <f t="shared" si="17"/>
        <v>351</v>
      </c>
      <c r="J330" s="48">
        <f t="shared" si="18"/>
        <v>367</v>
      </c>
      <c r="K330" s="49">
        <f t="shared" si="19"/>
        <v>0.5925925926</v>
      </c>
      <c r="L330" s="49">
        <f t="shared" si="20"/>
        <v>0.2165242165</v>
      </c>
      <c r="M330" s="49">
        <f t="shared" si="21"/>
        <v>0.1908831909</v>
      </c>
      <c r="N330" s="32" t="str">
        <f t="shared" si="22"/>
        <v>Jânio</v>
      </c>
      <c r="O330" s="50"/>
      <c r="P330" s="38">
        <v>74.0</v>
      </c>
      <c r="Q330" s="38">
        <v>151.0</v>
      </c>
      <c r="R330" s="38">
        <v>75.0</v>
      </c>
      <c r="S330" s="38">
        <v>65.0</v>
      </c>
      <c r="T330" s="38">
        <v>2.0</v>
      </c>
      <c r="U330" s="48">
        <f t="shared" si="23"/>
        <v>300</v>
      </c>
      <c r="V330" s="48">
        <f t="shared" si="24"/>
        <v>367</v>
      </c>
      <c r="W330" s="49">
        <f t="shared" si="25"/>
        <v>0.2466666667</v>
      </c>
      <c r="X330" s="49">
        <f t="shared" si="26"/>
        <v>0.5033333333</v>
      </c>
      <c r="Y330" s="49">
        <f t="shared" si="27"/>
        <v>0.25</v>
      </c>
      <c r="Z330" s="32" t="str">
        <f t="shared" si="28"/>
        <v>Milton</v>
      </c>
      <c r="AA330" s="50"/>
    </row>
    <row r="331">
      <c r="A331" s="110" t="s">
        <v>94</v>
      </c>
      <c r="B331" s="46" t="s">
        <v>3052</v>
      </c>
      <c r="C331" s="47"/>
      <c r="D331" s="38">
        <v>158.0</v>
      </c>
      <c r="E331" s="38">
        <v>73.0</v>
      </c>
      <c r="F331" s="38">
        <v>63.0</v>
      </c>
      <c r="G331" s="38">
        <v>7.0</v>
      </c>
      <c r="H331" s="38">
        <v>4.0</v>
      </c>
      <c r="I331" s="48">
        <f t="shared" si="17"/>
        <v>294</v>
      </c>
      <c r="J331" s="48">
        <f t="shared" si="18"/>
        <v>305</v>
      </c>
      <c r="K331" s="49">
        <f t="shared" si="19"/>
        <v>0.537414966</v>
      </c>
      <c r="L331" s="49">
        <f t="shared" si="20"/>
        <v>0.2482993197</v>
      </c>
      <c r="M331" s="49">
        <f t="shared" si="21"/>
        <v>0.2142857143</v>
      </c>
      <c r="N331" s="32" t="str">
        <f t="shared" si="22"/>
        <v>Jânio</v>
      </c>
      <c r="O331" s="50"/>
      <c r="P331" s="38">
        <v>57.0</v>
      </c>
      <c r="Q331" s="38">
        <v>109.0</v>
      </c>
      <c r="R331" s="38">
        <v>78.0</v>
      </c>
      <c r="S331" s="38">
        <v>60.0</v>
      </c>
      <c r="T331" s="38">
        <v>1.0</v>
      </c>
      <c r="U331" s="48">
        <f t="shared" si="23"/>
        <v>244</v>
      </c>
      <c r="V331" s="48">
        <f t="shared" si="24"/>
        <v>305</v>
      </c>
      <c r="W331" s="49">
        <f t="shared" si="25"/>
        <v>0.2336065574</v>
      </c>
      <c r="X331" s="49">
        <f t="shared" si="26"/>
        <v>0.4467213115</v>
      </c>
      <c r="Y331" s="49">
        <f t="shared" si="27"/>
        <v>0.3196721311</v>
      </c>
      <c r="Z331" s="32" t="str">
        <f t="shared" si="28"/>
        <v>Milton</v>
      </c>
      <c r="AA331" s="50"/>
    </row>
    <row r="332">
      <c r="A332" s="110" t="s">
        <v>94</v>
      </c>
      <c r="B332" s="46" t="s">
        <v>327</v>
      </c>
      <c r="C332" s="47"/>
      <c r="D332" s="38">
        <v>256.0</v>
      </c>
      <c r="E332" s="38">
        <v>70.0</v>
      </c>
      <c r="F332" s="38">
        <v>31.0</v>
      </c>
      <c r="G332" s="38">
        <v>4.0</v>
      </c>
      <c r="H332" s="38">
        <v>3.0</v>
      </c>
      <c r="I332" s="48">
        <f t="shared" si="17"/>
        <v>357</v>
      </c>
      <c r="J332" s="48">
        <f t="shared" si="18"/>
        <v>364</v>
      </c>
      <c r="K332" s="49">
        <f t="shared" si="19"/>
        <v>0.7170868347</v>
      </c>
      <c r="L332" s="49">
        <f t="shared" si="20"/>
        <v>0.1960784314</v>
      </c>
      <c r="M332" s="49">
        <f t="shared" si="21"/>
        <v>0.08683473389</v>
      </c>
      <c r="N332" s="32" t="str">
        <f t="shared" si="22"/>
        <v>Jânio</v>
      </c>
      <c r="O332" s="50"/>
      <c r="P332" s="38">
        <v>49.0</v>
      </c>
      <c r="Q332" s="38">
        <v>200.0</v>
      </c>
      <c r="R332" s="38">
        <v>52.0</v>
      </c>
      <c r="S332" s="38">
        <v>50.0</v>
      </c>
      <c r="T332" s="38">
        <v>13.0</v>
      </c>
      <c r="U332" s="48">
        <f t="shared" si="23"/>
        <v>301</v>
      </c>
      <c r="V332" s="48">
        <f t="shared" si="24"/>
        <v>364</v>
      </c>
      <c r="W332" s="49">
        <f t="shared" si="25"/>
        <v>0.1627906977</v>
      </c>
      <c r="X332" s="49">
        <f t="shared" si="26"/>
        <v>0.6644518272</v>
      </c>
      <c r="Y332" s="49">
        <f t="shared" si="27"/>
        <v>0.1727574751</v>
      </c>
      <c r="Z332" s="32" t="str">
        <f t="shared" si="28"/>
        <v>Milton</v>
      </c>
      <c r="AA332" s="50"/>
    </row>
    <row r="333">
      <c r="A333" s="110" t="s">
        <v>94</v>
      </c>
      <c r="B333" s="46" t="s">
        <v>308</v>
      </c>
      <c r="C333" s="47"/>
      <c r="D333" s="38">
        <v>246.0</v>
      </c>
      <c r="E333" s="38">
        <v>84.0</v>
      </c>
      <c r="F333" s="38">
        <v>27.0</v>
      </c>
      <c r="G333" s="38">
        <v>2.0</v>
      </c>
      <c r="H333" s="38">
        <v>0.0</v>
      </c>
      <c r="I333" s="48">
        <f t="shared" si="17"/>
        <v>357</v>
      </c>
      <c r="J333" s="48">
        <f t="shared" si="18"/>
        <v>359</v>
      </c>
      <c r="K333" s="49">
        <f t="shared" si="19"/>
        <v>0.6890756303</v>
      </c>
      <c r="L333" s="49">
        <f t="shared" si="20"/>
        <v>0.2352941176</v>
      </c>
      <c r="M333" s="49">
        <f t="shared" si="21"/>
        <v>0.0756302521</v>
      </c>
      <c r="N333" s="32" t="str">
        <f t="shared" si="22"/>
        <v>Jânio</v>
      </c>
      <c r="O333" s="50"/>
      <c r="P333" s="38">
        <v>54.0</v>
      </c>
      <c r="Q333" s="38">
        <v>207.0</v>
      </c>
      <c r="R333" s="38">
        <v>444.0</v>
      </c>
      <c r="S333" s="38">
        <v>44.0</v>
      </c>
      <c r="T333" s="38">
        <v>0.0</v>
      </c>
      <c r="U333" s="48">
        <f t="shared" si="23"/>
        <v>705</v>
      </c>
      <c r="V333" s="48">
        <f t="shared" si="24"/>
        <v>749</v>
      </c>
      <c r="W333" s="49">
        <f t="shared" si="25"/>
        <v>0.07659574468</v>
      </c>
      <c r="X333" s="49">
        <f t="shared" si="26"/>
        <v>0.2936170213</v>
      </c>
      <c r="Y333" s="49">
        <f t="shared" si="27"/>
        <v>0.629787234</v>
      </c>
      <c r="Z333" s="32" t="str">
        <f t="shared" si="28"/>
        <v>Ferrari</v>
      </c>
      <c r="AA333" s="50"/>
    </row>
    <row r="334">
      <c r="A334" s="110" t="s">
        <v>94</v>
      </c>
      <c r="B334" s="46" t="s">
        <v>529</v>
      </c>
      <c r="C334" s="47"/>
      <c r="D334" s="38">
        <v>220.0</v>
      </c>
      <c r="E334" s="38">
        <v>95.0</v>
      </c>
      <c r="F334" s="38">
        <v>41.0</v>
      </c>
      <c r="G334" s="38">
        <v>6.0</v>
      </c>
      <c r="H334" s="38">
        <v>1.0</v>
      </c>
      <c r="I334" s="48">
        <f t="shared" si="17"/>
        <v>356</v>
      </c>
      <c r="J334" s="48">
        <f t="shared" si="18"/>
        <v>363</v>
      </c>
      <c r="K334" s="49">
        <f t="shared" si="19"/>
        <v>0.6179775281</v>
      </c>
      <c r="L334" s="49">
        <f t="shared" si="20"/>
        <v>0.2668539326</v>
      </c>
      <c r="M334" s="49">
        <f t="shared" si="21"/>
        <v>0.1151685393</v>
      </c>
      <c r="N334" s="32" t="str">
        <f t="shared" si="22"/>
        <v>Jânio</v>
      </c>
      <c r="O334" s="50"/>
      <c r="P334" s="38">
        <v>66.0</v>
      </c>
      <c r="Q334" s="38">
        <v>186.0</v>
      </c>
      <c r="R334" s="38">
        <v>51.0</v>
      </c>
      <c r="S334" s="38">
        <v>58.0</v>
      </c>
      <c r="T334" s="38">
        <v>2.0</v>
      </c>
      <c r="U334" s="48">
        <f t="shared" si="23"/>
        <v>303</v>
      </c>
      <c r="V334" s="48">
        <f t="shared" si="24"/>
        <v>363</v>
      </c>
      <c r="W334" s="49">
        <f t="shared" si="25"/>
        <v>0.2178217822</v>
      </c>
      <c r="X334" s="49">
        <f t="shared" si="26"/>
        <v>0.6138613861</v>
      </c>
      <c r="Y334" s="49">
        <f t="shared" si="27"/>
        <v>0.1683168317</v>
      </c>
      <c r="Z334" s="32" t="str">
        <f t="shared" si="28"/>
        <v>Milton</v>
      </c>
      <c r="AA334" s="50"/>
    </row>
    <row r="335">
      <c r="A335" s="110" t="s">
        <v>94</v>
      </c>
      <c r="B335" s="46" t="s">
        <v>3242</v>
      </c>
      <c r="C335" s="47"/>
      <c r="D335" s="38">
        <v>118.0</v>
      </c>
      <c r="E335" s="38">
        <v>107.0</v>
      </c>
      <c r="F335" s="38">
        <v>109.0</v>
      </c>
      <c r="G335" s="38">
        <v>14.0</v>
      </c>
      <c r="H335" s="38">
        <v>4.0</v>
      </c>
      <c r="I335" s="48">
        <f t="shared" si="17"/>
        <v>334</v>
      </c>
      <c r="J335" s="48">
        <f t="shared" si="18"/>
        <v>352</v>
      </c>
      <c r="K335" s="49">
        <f t="shared" si="19"/>
        <v>0.3532934132</v>
      </c>
      <c r="L335" s="49">
        <f t="shared" si="20"/>
        <v>0.3203592814</v>
      </c>
      <c r="M335" s="49">
        <f t="shared" si="21"/>
        <v>0.3263473054</v>
      </c>
      <c r="N335" s="32" t="str">
        <f t="shared" si="22"/>
        <v>Jânio</v>
      </c>
      <c r="O335" s="50"/>
      <c r="P335" s="38">
        <v>99.0</v>
      </c>
      <c r="Q335" s="38">
        <v>96.0</v>
      </c>
      <c r="R335" s="38">
        <v>65.0</v>
      </c>
      <c r="S335" s="38">
        <v>86.0</v>
      </c>
      <c r="T335" s="38">
        <v>6.0</v>
      </c>
      <c r="U335" s="48">
        <f t="shared" si="23"/>
        <v>260</v>
      </c>
      <c r="V335" s="48">
        <f t="shared" si="24"/>
        <v>352</v>
      </c>
      <c r="W335" s="49">
        <f t="shared" si="25"/>
        <v>0.3807692308</v>
      </c>
      <c r="X335" s="49">
        <f t="shared" si="26"/>
        <v>0.3692307692</v>
      </c>
      <c r="Y335" s="49">
        <f t="shared" si="27"/>
        <v>0.25</v>
      </c>
      <c r="Z335" s="32" t="str">
        <f t="shared" si="28"/>
        <v>Jango</v>
      </c>
      <c r="AA335" s="50"/>
    </row>
    <row r="336">
      <c r="A336" s="110" t="s">
        <v>94</v>
      </c>
      <c r="B336" s="46" t="s">
        <v>585</v>
      </c>
      <c r="C336" s="47"/>
      <c r="D336" s="38">
        <v>117.0</v>
      </c>
      <c r="E336" s="38">
        <v>133.0</v>
      </c>
      <c r="F336" s="38">
        <v>87.0</v>
      </c>
      <c r="G336" s="38">
        <v>21.0</v>
      </c>
      <c r="H336" s="38">
        <v>4.0</v>
      </c>
      <c r="I336" s="48">
        <f t="shared" si="17"/>
        <v>337</v>
      </c>
      <c r="J336" s="48">
        <f t="shared" si="18"/>
        <v>362</v>
      </c>
      <c r="K336" s="49">
        <f t="shared" si="19"/>
        <v>0.3471810089</v>
      </c>
      <c r="L336" s="49">
        <f t="shared" si="20"/>
        <v>0.3946587537</v>
      </c>
      <c r="M336" s="49">
        <f t="shared" si="21"/>
        <v>0.2581602374</v>
      </c>
      <c r="N336" s="32" t="str">
        <f t="shared" si="22"/>
        <v>Mal. Lott</v>
      </c>
      <c r="O336" s="50"/>
      <c r="P336" s="38">
        <v>122.0</v>
      </c>
      <c r="Q336" s="38">
        <v>80.0</v>
      </c>
      <c r="R336" s="38">
        <v>81.0</v>
      </c>
      <c r="S336" s="38">
        <v>78.0</v>
      </c>
      <c r="T336" s="38">
        <v>1.0</v>
      </c>
      <c r="U336" s="48">
        <f t="shared" si="23"/>
        <v>283</v>
      </c>
      <c r="V336" s="48">
        <f t="shared" si="24"/>
        <v>362</v>
      </c>
      <c r="W336" s="49">
        <f t="shared" si="25"/>
        <v>0.4310954064</v>
      </c>
      <c r="X336" s="49">
        <f t="shared" si="26"/>
        <v>0.2826855124</v>
      </c>
      <c r="Y336" s="49">
        <f t="shared" si="27"/>
        <v>0.2862190813</v>
      </c>
      <c r="Z336" s="32" t="str">
        <f t="shared" si="28"/>
        <v>Jango</v>
      </c>
      <c r="AA336" s="50"/>
    </row>
    <row r="337">
      <c r="A337" s="110" t="s">
        <v>94</v>
      </c>
      <c r="B337" s="46" t="s">
        <v>3040</v>
      </c>
      <c r="C337" s="47"/>
      <c r="D337" s="38">
        <v>217.0</v>
      </c>
      <c r="E337" s="38">
        <v>78.0</v>
      </c>
      <c r="F337" s="38">
        <v>36.0</v>
      </c>
      <c r="G337" s="38">
        <v>8.0</v>
      </c>
      <c r="H337" s="38">
        <v>4.0</v>
      </c>
      <c r="I337" s="48">
        <f t="shared" si="17"/>
        <v>331</v>
      </c>
      <c r="J337" s="48">
        <f t="shared" si="18"/>
        <v>343</v>
      </c>
      <c r="K337" s="49">
        <f t="shared" si="19"/>
        <v>0.6555891239</v>
      </c>
      <c r="L337" s="49">
        <f t="shared" si="20"/>
        <v>0.2356495468</v>
      </c>
      <c r="M337" s="49">
        <f t="shared" si="21"/>
        <v>0.1087613293</v>
      </c>
      <c r="N337" s="32" t="str">
        <f t="shared" si="22"/>
        <v>Jânio</v>
      </c>
      <c r="O337" s="50"/>
      <c r="P337" s="38">
        <v>49.0</v>
      </c>
      <c r="Q337" s="38">
        <v>165.0</v>
      </c>
      <c r="R337" s="38">
        <v>67.0</v>
      </c>
      <c r="S337" s="38">
        <v>60.0</v>
      </c>
      <c r="T337" s="38">
        <v>2.0</v>
      </c>
      <c r="U337" s="48">
        <f t="shared" si="23"/>
        <v>281</v>
      </c>
      <c r="V337" s="48">
        <f t="shared" si="24"/>
        <v>343</v>
      </c>
      <c r="W337" s="49">
        <f t="shared" si="25"/>
        <v>0.1743772242</v>
      </c>
      <c r="X337" s="49">
        <f t="shared" si="26"/>
        <v>0.5871886121</v>
      </c>
      <c r="Y337" s="49">
        <f t="shared" si="27"/>
        <v>0.2384341637</v>
      </c>
      <c r="Z337" s="32" t="str">
        <f t="shared" si="28"/>
        <v>Milton</v>
      </c>
      <c r="AA337" s="50"/>
    </row>
    <row r="338">
      <c r="A338" s="110" t="s">
        <v>94</v>
      </c>
      <c r="B338" s="46" t="s">
        <v>2775</v>
      </c>
      <c r="C338" s="47"/>
      <c r="D338" s="38">
        <v>71.0</v>
      </c>
      <c r="E338" s="38">
        <v>130.0</v>
      </c>
      <c r="F338" s="38">
        <v>102.0</v>
      </c>
      <c r="G338" s="38">
        <v>8.0</v>
      </c>
      <c r="H338" s="38">
        <v>15.0</v>
      </c>
      <c r="I338" s="48">
        <f t="shared" si="17"/>
        <v>303</v>
      </c>
      <c r="J338" s="48">
        <f t="shared" si="18"/>
        <v>326</v>
      </c>
      <c r="K338" s="49">
        <f t="shared" si="19"/>
        <v>0.2343234323</v>
      </c>
      <c r="L338" s="49">
        <f t="shared" si="20"/>
        <v>0.4290429043</v>
      </c>
      <c r="M338" s="49">
        <f t="shared" si="21"/>
        <v>0.3366336634</v>
      </c>
      <c r="N338" s="32" t="str">
        <f t="shared" si="22"/>
        <v>Mal. Lott</v>
      </c>
      <c r="O338" s="50"/>
      <c r="P338" s="38">
        <v>130.0</v>
      </c>
      <c r="Q338" s="38">
        <v>52.0</v>
      </c>
      <c r="R338" s="38">
        <v>72.0</v>
      </c>
      <c r="S338" s="38">
        <v>65.0</v>
      </c>
      <c r="T338" s="38">
        <v>7.0</v>
      </c>
      <c r="U338" s="48">
        <f t="shared" si="23"/>
        <v>254</v>
      </c>
      <c r="V338" s="48">
        <f t="shared" si="24"/>
        <v>326</v>
      </c>
      <c r="W338" s="49">
        <f t="shared" si="25"/>
        <v>0.5118110236</v>
      </c>
      <c r="X338" s="49">
        <f t="shared" si="26"/>
        <v>0.2047244094</v>
      </c>
      <c r="Y338" s="49">
        <f t="shared" si="27"/>
        <v>0.2834645669</v>
      </c>
      <c r="Z338" s="32" t="str">
        <f t="shared" si="28"/>
        <v>Jango</v>
      </c>
      <c r="AA338" s="50"/>
    </row>
    <row r="339">
      <c r="A339" s="110" t="s">
        <v>94</v>
      </c>
      <c r="B339" s="46" t="s">
        <v>3076</v>
      </c>
      <c r="C339" s="47"/>
      <c r="D339" s="38">
        <v>257.0</v>
      </c>
      <c r="E339" s="38">
        <v>71.0</v>
      </c>
      <c r="F339" s="38">
        <v>35.0</v>
      </c>
      <c r="G339" s="38">
        <v>1.0</v>
      </c>
      <c r="H339" s="38">
        <v>4.0</v>
      </c>
      <c r="I339" s="48">
        <f t="shared" si="17"/>
        <v>363</v>
      </c>
      <c r="J339" s="48">
        <f t="shared" si="18"/>
        <v>368</v>
      </c>
      <c r="K339" s="49">
        <f t="shared" si="19"/>
        <v>0.7079889807</v>
      </c>
      <c r="L339" s="49">
        <f t="shared" si="20"/>
        <v>0.1955922865</v>
      </c>
      <c r="M339" s="49">
        <f t="shared" si="21"/>
        <v>0.09641873278</v>
      </c>
      <c r="N339" s="32" t="str">
        <f t="shared" si="22"/>
        <v>Jânio</v>
      </c>
      <c r="O339" s="50"/>
      <c r="P339" s="38">
        <v>52.0</v>
      </c>
      <c r="Q339" s="38">
        <v>206.0</v>
      </c>
      <c r="R339" s="38">
        <v>57.0</v>
      </c>
      <c r="S339" s="38">
        <v>49.0</v>
      </c>
      <c r="T339" s="38">
        <v>4.0</v>
      </c>
      <c r="U339" s="48">
        <f t="shared" si="23"/>
        <v>315</v>
      </c>
      <c r="V339" s="48">
        <f t="shared" si="24"/>
        <v>368</v>
      </c>
      <c r="W339" s="49">
        <f t="shared" si="25"/>
        <v>0.1650793651</v>
      </c>
      <c r="X339" s="49">
        <f t="shared" si="26"/>
        <v>0.653968254</v>
      </c>
      <c r="Y339" s="49">
        <f t="shared" si="27"/>
        <v>0.180952381</v>
      </c>
      <c r="Z339" s="32" t="str">
        <f t="shared" si="28"/>
        <v>Milton</v>
      </c>
      <c r="AA339" s="50"/>
    </row>
    <row r="340">
      <c r="A340" s="110" t="s">
        <v>94</v>
      </c>
      <c r="B340" s="46" t="s">
        <v>94</v>
      </c>
      <c r="C340" s="47"/>
      <c r="D340" s="38">
        <v>224.0</v>
      </c>
      <c r="E340" s="38">
        <v>92.0</v>
      </c>
      <c r="F340" s="38">
        <v>40.0</v>
      </c>
      <c r="G340" s="38">
        <v>6.0</v>
      </c>
      <c r="H340" s="38">
        <v>1.0</v>
      </c>
      <c r="I340" s="48">
        <f t="shared" si="17"/>
        <v>356</v>
      </c>
      <c r="J340" s="48">
        <f t="shared" si="18"/>
        <v>363</v>
      </c>
      <c r="K340" s="49">
        <f t="shared" si="19"/>
        <v>0.6292134831</v>
      </c>
      <c r="L340" s="49">
        <f t="shared" si="20"/>
        <v>0.2584269663</v>
      </c>
      <c r="M340" s="49">
        <f t="shared" si="21"/>
        <v>0.1123595506</v>
      </c>
      <c r="N340" s="32" t="str">
        <f t="shared" si="22"/>
        <v>Jânio</v>
      </c>
      <c r="O340" s="50"/>
      <c r="P340" s="38">
        <v>60.0</v>
      </c>
      <c r="Q340" s="38">
        <v>174.0</v>
      </c>
      <c r="R340" s="38">
        <v>57.0</v>
      </c>
      <c r="S340" s="38">
        <v>71.0</v>
      </c>
      <c r="T340" s="38">
        <v>1.0</v>
      </c>
      <c r="U340" s="48">
        <f t="shared" si="23"/>
        <v>291</v>
      </c>
      <c r="V340" s="48">
        <f t="shared" si="24"/>
        <v>363</v>
      </c>
      <c r="W340" s="49">
        <f t="shared" si="25"/>
        <v>0.206185567</v>
      </c>
      <c r="X340" s="49">
        <f t="shared" si="26"/>
        <v>0.5979381443</v>
      </c>
      <c r="Y340" s="49">
        <f t="shared" si="27"/>
        <v>0.1958762887</v>
      </c>
      <c r="Z340" s="32" t="str">
        <f t="shared" si="28"/>
        <v>Milton</v>
      </c>
      <c r="AA340" s="50"/>
    </row>
    <row r="341">
      <c r="A341" s="110" t="s">
        <v>94</v>
      </c>
      <c r="B341" s="46" t="s">
        <v>3024</v>
      </c>
      <c r="C341" s="47"/>
      <c r="D341" s="38">
        <v>153.0</v>
      </c>
      <c r="E341" s="38">
        <v>106.0</v>
      </c>
      <c r="F341" s="38">
        <v>91.0</v>
      </c>
      <c r="G341" s="38">
        <v>8.0</v>
      </c>
      <c r="H341" s="38">
        <v>4.0</v>
      </c>
      <c r="I341" s="48">
        <f t="shared" si="17"/>
        <v>350</v>
      </c>
      <c r="J341" s="48">
        <f t="shared" si="18"/>
        <v>362</v>
      </c>
      <c r="K341" s="49">
        <f t="shared" si="19"/>
        <v>0.4371428571</v>
      </c>
      <c r="L341" s="49">
        <f t="shared" si="20"/>
        <v>0.3028571429</v>
      </c>
      <c r="M341" s="49">
        <f t="shared" si="21"/>
        <v>0.26</v>
      </c>
      <c r="N341" s="32" t="str">
        <f t="shared" si="22"/>
        <v>Jânio</v>
      </c>
      <c r="O341" s="50"/>
      <c r="P341" s="38">
        <v>83.0</v>
      </c>
      <c r="Q341" s="38">
        <v>103.0</v>
      </c>
      <c r="R341" s="38">
        <v>85.0</v>
      </c>
      <c r="S341" s="38">
        <v>89.0</v>
      </c>
      <c r="T341" s="38">
        <v>2.0</v>
      </c>
      <c r="U341" s="48">
        <f t="shared" si="23"/>
        <v>271</v>
      </c>
      <c r="V341" s="48">
        <f t="shared" si="24"/>
        <v>362</v>
      </c>
      <c r="W341" s="49">
        <f t="shared" si="25"/>
        <v>0.3062730627</v>
      </c>
      <c r="X341" s="49">
        <f t="shared" si="26"/>
        <v>0.3800738007</v>
      </c>
      <c r="Y341" s="49">
        <f t="shared" si="27"/>
        <v>0.3136531365</v>
      </c>
      <c r="Z341" s="32" t="str">
        <f t="shared" si="28"/>
        <v>Milton</v>
      </c>
      <c r="AA341" s="50"/>
    </row>
    <row r="342">
      <c r="A342" s="110" t="s">
        <v>94</v>
      </c>
      <c r="B342" s="46" t="s">
        <v>125</v>
      </c>
      <c r="C342" s="47"/>
      <c r="D342" s="38">
        <v>211.0</v>
      </c>
      <c r="E342" s="38">
        <v>95.0</v>
      </c>
      <c r="F342" s="38">
        <v>45.0</v>
      </c>
      <c r="G342" s="38">
        <v>12.0</v>
      </c>
      <c r="H342" s="38">
        <v>3.0</v>
      </c>
      <c r="I342" s="48">
        <f t="shared" si="17"/>
        <v>351</v>
      </c>
      <c r="J342" s="48">
        <f t="shared" si="18"/>
        <v>366</v>
      </c>
      <c r="K342" s="49">
        <f t="shared" si="19"/>
        <v>0.6011396011</v>
      </c>
      <c r="L342" s="49">
        <f t="shared" si="20"/>
        <v>0.2706552707</v>
      </c>
      <c r="M342" s="49">
        <f t="shared" si="21"/>
        <v>0.1282051282</v>
      </c>
      <c r="N342" s="32" t="str">
        <f t="shared" si="22"/>
        <v>Jânio</v>
      </c>
      <c r="O342" s="50"/>
      <c r="P342" s="38">
        <v>76.0</v>
      </c>
      <c r="Q342" s="38">
        <v>151.0</v>
      </c>
      <c r="R342" s="38">
        <v>74.0</v>
      </c>
      <c r="S342" s="38">
        <v>64.0</v>
      </c>
      <c r="T342" s="38">
        <v>1.0</v>
      </c>
      <c r="U342" s="48">
        <f t="shared" si="23"/>
        <v>301</v>
      </c>
      <c r="V342" s="48">
        <f t="shared" si="24"/>
        <v>366</v>
      </c>
      <c r="W342" s="49">
        <f t="shared" si="25"/>
        <v>0.2524916944</v>
      </c>
      <c r="X342" s="49">
        <f t="shared" si="26"/>
        <v>0.5016611296</v>
      </c>
      <c r="Y342" s="49">
        <f t="shared" si="27"/>
        <v>0.2458471761</v>
      </c>
      <c r="Z342" s="32" t="str">
        <f t="shared" si="28"/>
        <v>Milton</v>
      </c>
      <c r="AA342" s="50"/>
    </row>
    <row r="343">
      <c r="A343" s="110" t="s">
        <v>94</v>
      </c>
      <c r="B343" s="46" t="s">
        <v>218</v>
      </c>
      <c r="C343" s="47"/>
      <c r="D343" s="38">
        <v>201.0</v>
      </c>
      <c r="E343" s="38">
        <v>107.0</v>
      </c>
      <c r="F343" s="38">
        <v>42.0</v>
      </c>
      <c r="G343" s="38">
        <v>2.0</v>
      </c>
      <c r="H343" s="38">
        <v>4.0</v>
      </c>
      <c r="I343" s="48">
        <f t="shared" si="17"/>
        <v>350</v>
      </c>
      <c r="J343" s="48">
        <f t="shared" si="18"/>
        <v>356</v>
      </c>
      <c r="K343" s="49">
        <f t="shared" si="19"/>
        <v>0.5742857143</v>
      </c>
      <c r="L343" s="49">
        <f t="shared" si="20"/>
        <v>0.3057142857</v>
      </c>
      <c r="M343" s="49">
        <f t="shared" si="21"/>
        <v>0.12</v>
      </c>
      <c r="N343" s="32" t="str">
        <f t="shared" si="22"/>
        <v>Jânio</v>
      </c>
      <c r="O343" s="50"/>
      <c r="P343" s="38">
        <v>77.0</v>
      </c>
      <c r="Q343" s="38">
        <v>158.0</v>
      </c>
      <c r="R343" s="38">
        <v>70.0</v>
      </c>
      <c r="S343" s="38">
        <v>49.0</v>
      </c>
      <c r="T343" s="38">
        <v>2.0</v>
      </c>
      <c r="U343" s="48">
        <f t="shared" si="23"/>
        <v>305</v>
      </c>
      <c r="V343" s="48">
        <f t="shared" si="24"/>
        <v>356</v>
      </c>
      <c r="W343" s="49">
        <f t="shared" si="25"/>
        <v>0.2524590164</v>
      </c>
      <c r="X343" s="49">
        <f t="shared" si="26"/>
        <v>0.5180327869</v>
      </c>
      <c r="Y343" s="49">
        <f t="shared" si="27"/>
        <v>0.2295081967</v>
      </c>
      <c r="Z343" s="32" t="str">
        <f t="shared" si="28"/>
        <v>Milton</v>
      </c>
      <c r="AA343" s="50"/>
    </row>
    <row r="344">
      <c r="A344" s="110" t="s">
        <v>94</v>
      </c>
      <c r="B344" s="46" t="s">
        <v>568</v>
      </c>
      <c r="C344" s="47"/>
      <c r="D344" s="38">
        <v>106.0</v>
      </c>
      <c r="E344" s="38">
        <v>21.0</v>
      </c>
      <c r="F344" s="38">
        <v>92.0</v>
      </c>
      <c r="G344" s="38">
        <v>33.0</v>
      </c>
      <c r="H344" s="38">
        <v>9.0</v>
      </c>
      <c r="I344" s="48">
        <f t="shared" si="17"/>
        <v>219</v>
      </c>
      <c r="J344" s="48">
        <f t="shared" si="18"/>
        <v>261</v>
      </c>
      <c r="K344" s="49">
        <f t="shared" si="19"/>
        <v>0.4840182648</v>
      </c>
      <c r="L344" s="49">
        <f t="shared" si="20"/>
        <v>0.09589041096</v>
      </c>
      <c r="M344" s="49">
        <f t="shared" si="21"/>
        <v>0.4200913242</v>
      </c>
      <c r="N344" s="32" t="str">
        <f t="shared" si="22"/>
        <v>Jânio</v>
      </c>
      <c r="O344" s="50"/>
      <c r="P344" s="38">
        <v>106.0</v>
      </c>
      <c r="Q344" s="38">
        <v>62.0</v>
      </c>
      <c r="R344" s="38">
        <v>84.0</v>
      </c>
      <c r="S344" s="38">
        <v>100.0</v>
      </c>
      <c r="T344" s="38">
        <v>9.0</v>
      </c>
      <c r="U344" s="48">
        <f t="shared" si="23"/>
        <v>252</v>
      </c>
      <c r="V344" s="48">
        <f t="shared" si="24"/>
        <v>361</v>
      </c>
      <c r="W344" s="49">
        <f t="shared" si="25"/>
        <v>0.4206349206</v>
      </c>
      <c r="X344" s="49">
        <f t="shared" si="26"/>
        <v>0.246031746</v>
      </c>
      <c r="Y344" s="49">
        <f t="shared" si="27"/>
        <v>0.3333333333</v>
      </c>
      <c r="Z344" s="32" t="str">
        <f t="shared" si="28"/>
        <v>Jango</v>
      </c>
      <c r="AA344" s="50"/>
    </row>
    <row r="345">
      <c r="A345" s="110" t="s">
        <v>97</v>
      </c>
      <c r="B345" s="46" t="s">
        <v>111</v>
      </c>
      <c r="C345" s="47"/>
      <c r="D345" s="38">
        <v>165.0</v>
      </c>
      <c r="E345" s="38">
        <v>100.0</v>
      </c>
      <c r="F345" s="38">
        <v>85.0</v>
      </c>
      <c r="G345" s="38">
        <v>1.0</v>
      </c>
      <c r="H345" s="38">
        <v>9.0</v>
      </c>
      <c r="I345" s="48">
        <f t="shared" si="17"/>
        <v>350</v>
      </c>
      <c r="J345" s="48">
        <f t="shared" si="18"/>
        <v>360</v>
      </c>
      <c r="K345" s="49">
        <f t="shared" si="19"/>
        <v>0.4714285714</v>
      </c>
      <c r="L345" s="49">
        <f t="shared" si="20"/>
        <v>0.2857142857</v>
      </c>
      <c r="M345" s="49">
        <f t="shared" si="21"/>
        <v>0.2428571429</v>
      </c>
      <c r="N345" s="32" t="str">
        <f t="shared" si="22"/>
        <v>Jânio</v>
      </c>
      <c r="O345" s="50"/>
      <c r="P345" s="38">
        <v>98.0</v>
      </c>
      <c r="Q345" s="38">
        <v>135.0</v>
      </c>
      <c r="R345" s="38">
        <v>67.0</v>
      </c>
      <c r="S345" s="38">
        <v>51.0</v>
      </c>
      <c r="T345" s="38">
        <v>9.0</v>
      </c>
      <c r="U345" s="48">
        <f t="shared" si="23"/>
        <v>300</v>
      </c>
      <c r="V345" s="48">
        <f t="shared" si="24"/>
        <v>360</v>
      </c>
      <c r="W345" s="49">
        <f t="shared" si="25"/>
        <v>0.3266666667</v>
      </c>
      <c r="X345" s="49">
        <f t="shared" si="26"/>
        <v>0.45</v>
      </c>
      <c r="Y345" s="49">
        <f t="shared" si="27"/>
        <v>0.2233333333</v>
      </c>
      <c r="Z345" s="32" t="str">
        <f t="shared" si="28"/>
        <v>Milton</v>
      </c>
      <c r="AA345" s="50"/>
    </row>
    <row r="346">
      <c r="A346" s="110" t="s">
        <v>97</v>
      </c>
      <c r="B346" s="46" t="s">
        <v>321</v>
      </c>
      <c r="C346" s="47"/>
      <c r="D346" s="38">
        <v>169.0</v>
      </c>
      <c r="E346" s="38">
        <v>85.0</v>
      </c>
      <c r="F346" s="38">
        <v>62.0</v>
      </c>
      <c r="G346" s="38">
        <v>29.0</v>
      </c>
      <c r="H346" s="38">
        <v>10.0</v>
      </c>
      <c r="I346" s="48">
        <f t="shared" si="17"/>
        <v>316</v>
      </c>
      <c r="J346" s="48">
        <f t="shared" si="18"/>
        <v>355</v>
      </c>
      <c r="K346" s="49">
        <f t="shared" si="19"/>
        <v>0.5348101266</v>
      </c>
      <c r="L346" s="49">
        <f t="shared" si="20"/>
        <v>0.2689873418</v>
      </c>
      <c r="M346" s="49">
        <f t="shared" si="21"/>
        <v>0.1962025316</v>
      </c>
      <c r="N346" s="32" t="str">
        <f t="shared" si="22"/>
        <v>Jânio</v>
      </c>
      <c r="O346" s="50"/>
      <c r="P346" s="38">
        <v>75.0</v>
      </c>
      <c r="Q346" s="38">
        <v>123.0</v>
      </c>
      <c r="R346" s="38">
        <v>69.0</v>
      </c>
      <c r="S346" s="38">
        <v>70.0</v>
      </c>
      <c r="T346" s="38">
        <v>18.0</v>
      </c>
      <c r="U346" s="48">
        <f t="shared" si="23"/>
        <v>267</v>
      </c>
      <c r="V346" s="48">
        <f t="shared" si="24"/>
        <v>355</v>
      </c>
      <c r="W346" s="49">
        <f t="shared" si="25"/>
        <v>0.2808988764</v>
      </c>
      <c r="X346" s="49">
        <f t="shared" si="26"/>
        <v>0.4606741573</v>
      </c>
      <c r="Y346" s="49">
        <f t="shared" si="27"/>
        <v>0.2584269663</v>
      </c>
      <c r="Z346" s="32" t="str">
        <f t="shared" si="28"/>
        <v>Milton</v>
      </c>
      <c r="AA346" s="50"/>
    </row>
    <row r="347">
      <c r="A347" s="110" t="s">
        <v>97</v>
      </c>
      <c r="B347" s="46" t="s">
        <v>3007</v>
      </c>
      <c r="C347" s="47"/>
      <c r="D347" s="38">
        <v>166.0</v>
      </c>
      <c r="E347" s="38">
        <v>84.0</v>
      </c>
      <c r="F347" s="38">
        <v>87.0</v>
      </c>
      <c r="G347" s="38">
        <v>11.0</v>
      </c>
      <c r="H347" s="38">
        <v>8.0</v>
      </c>
      <c r="I347" s="48">
        <f t="shared" si="17"/>
        <v>337</v>
      </c>
      <c r="J347" s="48">
        <f t="shared" si="18"/>
        <v>356</v>
      </c>
      <c r="K347" s="49">
        <f t="shared" si="19"/>
        <v>0.4925816024</v>
      </c>
      <c r="L347" s="49">
        <f t="shared" si="20"/>
        <v>0.2492581602</v>
      </c>
      <c r="M347" s="49">
        <f t="shared" si="21"/>
        <v>0.2581602374</v>
      </c>
      <c r="N347" s="32" t="str">
        <f t="shared" si="22"/>
        <v>Jânio</v>
      </c>
      <c r="O347" s="50"/>
      <c r="P347" s="38">
        <v>78.0</v>
      </c>
      <c r="Q347" s="38">
        <v>95.0</v>
      </c>
      <c r="R347" s="38">
        <v>80.0</v>
      </c>
      <c r="S347" s="38">
        <v>94.0</v>
      </c>
      <c r="T347" s="38">
        <v>9.0</v>
      </c>
      <c r="U347" s="48">
        <f t="shared" si="23"/>
        <v>253</v>
      </c>
      <c r="V347" s="48">
        <f t="shared" si="24"/>
        <v>356</v>
      </c>
      <c r="W347" s="49">
        <f t="shared" si="25"/>
        <v>0.3083003953</v>
      </c>
      <c r="X347" s="49">
        <f t="shared" si="26"/>
        <v>0.3754940711</v>
      </c>
      <c r="Y347" s="49">
        <f t="shared" si="27"/>
        <v>0.3162055336</v>
      </c>
      <c r="Z347" s="32" t="str">
        <f t="shared" si="28"/>
        <v>Milton</v>
      </c>
      <c r="AA347" s="50"/>
    </row>
    <row r="348">
      <c r="A348" s="110" t="s">
        <v>97</v>
      </c>
      <c r="B348" s="46" t="s">
        <v>2494</v>
      </c>
      <c r="C348" s="47"/>
      <c r="D348" s="38">
        <v>171.0</v>
      </c>
      <c r="E348" s="38">
        <v>103.0</v>
      </c>
      <c r="F348" s="38">
        <v>85.0</v>
      </c>
      <c r="G348" s="38">
        <v>3.0</v>
      </c>
      <c r="H348" s="38">
        <v>5.0</v>
      </c>
      <c r="I348" s="48">
        <f t="shared" si="17"/>
        <v>359</v>
      </c>
      <c r="J348" s="48">
        <f t="shared" si="18"/>
        <v>367</v>
      </c>
      <c r="K348" s="49">
        <f t="shared" si="19"/>
        <v>0.4763231198</v>
      </c>
      <c r="L348" s="49">
        <f t="shared" si="20"/>
        <v>0.286908078</v>
      </c>
      <c r="M348" s="49">
        <f t="shared" si="21"/>
        <v>0.2367688022</v>
      </c>
      <c r="N348" s="32" t="str">
        <f t="shared" si="22"/>
        <v>Jânio</v>
      </c>
      <c r="O348" s="50"/>
      <c r="P348" s="38">
        <v>85.0</v>
      </c>
      <c r="Q348" s="38">
        <v>123.0</v>
      </c>
      <c r="R348" s="38">
        <v>67.0</v>
      </c>
      <c r="S348" s="38">
        <v>84.0</v>
      </c>
      <c r="T348" s="38">
        <v>6.0</v>
      </c>
      <c r="U348" s="48">
        <f t="shared" si="23"/>
        <v>275</v>
      </c>
      <c r="V348" s="48">
        <f t="shared" si="24"/>
        <v>365</v>
      </c>
      <c r="W348" s="49">
        <f t="shared" si="25"/>
        <v>0.3090909091</v>
      </c>
      <c r="X348" s="49">
        <f t="shared" si="26"/>
        <v>0.4472727273</v>
      </c>
      <c r="Y348" s="49">
        <f t="shared" si="27"/>
        <v>0.2436363636</v>
      </c>
      <c r="Z348" s="32" t="str">
        <f t="shared" si="28"/>
        <v>Milton</v>
      </c>
      <c r="AA348" s="50"/>
    </row>
    <row r="349">
      <c r="A349" s="110" t="s">
        <v>97</v>
      </c>
      <c r="B349" s="46" t="s">
        <v>1240</v>
      </c>
      <c r="C349" s="47"/>
      <c r="D349" s="38">
        <v>191.0</v>
      </c>
      <c r="E349" s="38">
        <v>104.0</v>
      </c>
      <c r="F349" s="38">
        <v>61.0</v>
      </c>
      <c r="G349" s="38">
        <v>5.0</v>
      </c>
      <c r="H349" s="38">
        <v>3.0</v>
      </c>
      <c r="I349" s="48">
        <f t="shared" si="17"/>
        <v>356</v>
      </c>
      <c r="J349" s="48">
        <f t="shared" si="18"/>
        <v>364</v>
      </c>
      <c r="K349" s="49">
        <f t="shared" si="19"/>
        <v>0.5365168539</v>
      </c>
      <c r="L349" s="49">
        <f t="shared" si="20"/>
        <v>0.2921348315</v>
      </c>
      <c r="M349" s="49">
        <f t="shared" si="21"/>
        <v>0.1713483146</v>
      </c>
      <c r="N349" s="32" t="str">
        <f t="shared" si="22"/>
        <v>Jânio</v>
      </c>
      <c r="O349" s="50"/>
      <c r="P349" s="38">
        <v>86.0</v>
      </c>
      <c r="Q349" s="38">
        <v>124.0</v>
      </c>
      <c r="R349" s="38">
        <v>72.0</v>
      </c>
      <c r="S349" s="38">
        <v>78.0</v>
      </c>
      <c r="T349" s="38">
        <v>4.0</v>
      </c>
      <c r="U349" s="48">
        <f t="shared" si="23"/>
        <v>282</v>
      </c>
      <c r="V349" s="48">
        <f t="shared" si="24"/>
        <v>364</v>
      </c>
      <c r="W349" s="49">
        <f t="shared" si="25"/>
        <v>0.304964539</v>
      </c>
      <c r="X349" s="49">
        <f t="shared" si="26"/>
        <v>0.4397163121</v>
      </c>
      <c r="Y349" s="49">
        <f t="shared" si="27"/>
        <v>0.2553191489</v>
      </c>
      <c r="Z349" s="32" t="str">
        <f t="shared" si="28"/>
        <v>Milton</v>
      </c>
      <c r="AA349" s="50"/>
    </row>
    <row r="350">
      <c r="A350" s="110" t="s">
        <v>97</v>
      </c>
      <c r="B350" s="46" t="s">
        <v>3058</v>
      </c>
      <c r="C350" s="47"/>
      <c r="D350" s="38">
        <v>106.0</v>
      </c>
      <c r="E350" s="38">
        <v>131.0</v>
      </c>
      <c r="F350" s="38">
        <v>103.0</v>
      </c>
      <c r="G350" s="38">
        <v>14.0</v>
      </c>
      <c r="H350" s="38">
        <v>12.0</v>
      </c>
      <c r="I350" s="48">
        <f t="shared" si="17"/>
        <v>340</v>
      </c>
      <c r="J350" s="48">
        <f t="shared" si="18"/>
        <v>366</v>
      </c>
      <c r="K350" s="49">
        <f t="shared" si="19"/>
        <v>0.3117647059</v>
      </c>
      <c r="L350" s="49">
        <f t="shared" si="20"/>
        <v>0.3852941176</v>
      </c>
      <c r="M350" s="49">
        <f t="shared" si="21"/>
        <v>0.3029411765</v>
      </c>
      <c r="N350" s="32" t="str">
        <f t="shared" si="22"/>
        <v>Mal. Lott</v>
      </c>
      <c r="O350" s="50"/>
      <c r="P350" s="38">
        <v>120.0</v>
      </c>
      <c r="Q350" s="38">
        <v>68.0</v>
      </c>
      <c r="R350" s="38">
        <v>92.0</v>
      </c>
      <c r="S350" s="38">
        <v>92.0</v>
      </c>
      <c r="T350" s="38">
        <v>14.0</v>
      </c>
      <c r="U350" s="48">
        <f t="shared" si="23"/>
        <v>280</v>
      </c>
      <c r="V350" s="48">
        <f t="shared" si="24"/>
        <v>386</v>
      </c>
      <c r="W350" s="49">
        <f t="shared" si="25"/>
        <v>0.4285714286</v>
      </c>
      <c r="X350" s="49">
        <f t="shared" si="26"/>
        <v>0.2428571429</v>
      </c>
      <c r="Y350" s="49">
        <f t="shared" si="27"/>
        <v>0.3285714286</v>
      </c>
      <c r="Z350" s="32" t="str">
        <f t="shared" si="28"/>
        <v>Jango</v>
      </c>
      <c r="AA350" s="50"/>
    </row>
    <row r="351">
      <c r="A351" s="110" t="s">
        <v>97</v>
      </c>
      <c r="B351" s="46" t="s">
        <v>2984</v>
      </c>
      <c r="C351" s="47"/>
      <c r="D351" s="38">
        <v>92.0</v>
      </c>
      <c r="E351" s="38">
        <v>103.0</v>
      </c>
      <c r="F351" s="38">
        <v>123.0</v>
      </c>
      <c r="G351" s="38">
        <v>20.0</v>
      </c>
      <c r="H351" s="38">
        <v>6.0</v>
      </c>
      <c r="I351" s="48">
        <f t="shared" si="17"/>
        <v>318</v>
      </c>
      <c r="J351" s="48">
        <f t="shared" si="18"/>
        <v>344</v>
      </c>
      <c r="K351" s="49">
        <f t="shared" si="19"/>
        <v>0.2893081761</v>
      </c>
      <c r="L351" s="49">
        <f t="shared" si="20"/>
        <v>0.3238993711</v>
      </c>
      <c r="M351" s="49">
        <f t="shared" si="21"/>
        <v>0.3867924528</v>
      </c>
      <c r="N351" s="32" t="str">
        <f t="shared" si="22"/>
        <v>Adhemar</v>
      </c>
      <c r="O351" s="50"/>
      <c r="P351" s="38">
        <v>116.0</v>
      </c>
      <c r="Q351" s="38">
        <v>68.0</v>
      </c>
      <c r="R351" s="38">
        <v>79.0</v>
      </c>
      <c r="S351" s="38">
        <v>73.0</v>
      </c>
      <c r="T351" s="38">
        <v>8.0</v>
      </c>
      <c r="U351" s="48">
        <f t="shared" si="23"/>
        <v>263</v>
      </c>
      <c r="V351" s="48">
        <f t="shared" si="24"/>
        <v>344</v>
      </c>
      <c r="W351" s="49">
        <f t="shared" si="25"/>
        <v>0.4410646388</v>
      </c>
      <c r="X351" s="49">
        <f t="shared" si="26"/>
        <v>0.2585551331</v>
      </c>
      <c r="Y351" s="49">
        <f t="shared" si="27"/>
        <v>0.3003802281</v>
      </c>
      <c r="Z351" s="32" t="str">
        <f t="shared" si="28"/>
        <v>Jango</v>
      </c>
      <c r="AA351" s="50"/>
    </row>
    <row r="352">
      <c r="A352" s="110" t="s">
        <v>97</v>
      </c>
      <c r="B352" s="46" t="s">
        <v>2991</v>
      </c>
      <c r="C352" s="47"/>
      <c r="D352" s="38">
        <v>124.0</v>
      </c>
      <c r="E352" s="38">
        <v>95.0</v>
      </c>
      <c r="F352" s="38">
        <v>106.0</v>
      </c>
      <c r="G352" s="38">
        <v>17.0</v>
      </c>
      <c r="H352" s="38">
        <v>3.0</v>
      </c>
      <c r="I352" s="48">
        <f t="shared" si="17"/>
        <v>325</v>
      </c>
      <c r="J352" s="48">
        <f t="shared" si="18"/>
        <v>345</v>
      </c>
      <c r="K352" s="49">
        <f t="shared" si="19"/>
        <v>0.3815384615</v>
      </c>
      <c r="L352" s="49">
        <f t="shared" si="20"/>
        <v>0.2923076923</v>
      </c>
      <c r="M352" s="49">
        <f t="shared" si="21"/>
        <v>0.3261538462</v>
      </c>
      <c r="N352" s="32" t="str">
        <f t="shared" si="22"/>
        <v>Jânio</v>
      </c>
      <c r="O352" s="50"/>
      <c r="P352" s="38">
        <v>79.0</v>
      </c>
      <c r="Q352" s="38">
        <v>105.0</v>
      </c>
      <c r="R352" s="38">
        <v>68.0</v>
      </c>
      <c r="S352" s="38">
        <v>90.0</v>
      </c>
      <c r="T352" s="38">
        <v>3.0</v>
      </c>
      <c r="U352" s="48">
        <f t="shared" si="23"/>
        <v>252</v>
      </c>
      <c r="V352" s="48">
        <f t="shared" si="24"/>
        <v>345</v>
      </c>
      <c r="W352" s="49">
        <f t="shared" si="25"/>
        <v>0.3134920635</v>
      </c>
      <c r="X352" s="49">
        <f t="shared" si="26"/>
        <v>0.4166666667</v>
      </c>
      <c r="Y352" s="49">
        <f t="shared" si="27"/>
        <v>0.2698412698</v>
      </c>
      <c r="Z352" s="32" t="str">
        <f t="shared" si="28"/>
        <v>Milton</v>
      </c>
      <c r="AA352" s="50"/>
    </row>
    <row r="353">
      <c r="A353" s="110" t="s">
        <v>97</v>
      </c>
      <c r="B353" s="46" t="s">
        <v>882</v>
      </c>
      <c r="C353" s="47"/>
      <c r="D353" s="38">
        <v>128.0</v>
      </c>
      <c r="E353" s="38">
        <v>122.0</v>
      </c>
      <c r="F353" s="38">
        <v>87.0</v>
      </c>
      <c r="G353" s="38">
        <v>8.0</v>
      </c>
      <c r="H353" s="38">
        <v>10.0</v>
      </c>
      <c r="I353" s="48">
        <f t="shared" si="17"/>
        <v>337</v>
      </c>
      <c r="J353" s="48">
        <f t="shared" si="18"/>
        <v>355</v>
      </c>
      <c r="K353" s="49">
        <f t="shared" si="19"/>
        <v>0.3798219585</v>
      </c>
      <c r="L353" s="49">
        <f t="shared" si="20"/>
        <v>0.3620178042</v>
      </c>
      <c r="M353" s="49">
        <f t="shared" si="21"/>
        <v>0.2581602374</v>
      </c>
      <c r="N353" s="32" t="str">
        <f t="shared" si="22"/>
        <v>Jânio</v>
      </c>
      <c r="O353" s="50"/>
      <c r="P353" s="38">
        <v>109.0</v>
      </c>
      <c r="Q353" s="38">
        <v>84.0</v>
      </c>
      <c r="R353" s="38">
        <v>77.0</v>
      </c>
      <c r="S353" s="38">
        <v>78.0</v>
      </c>
      <c r="T353" s="38">
        <v>7.0</v>
      </c>
      <c r="U353" s="48">
        <f t="shared" si="23"/>
        <v>270</v>
      </c>
      <c r="V353" s="48">
        <f t="shared" si="24"/>
        <v>355</v>
      </c>
      <c r="W353" s="49">
        <f t="shared" si="25"/>
        <v>0.4037037037</v>
      </c>
      <c r="X353" s="49">
        <f t="shared" si="26"/>
        <v>0.3111111111</v>
      </c>
      <c r="Y353" s="49">
        <f t="shared" si="27"/>
        <v>0.2851851852</v>
      </c>
      <c r="Z353" s="32" t="str">
        <f t="shared" si="28"/>
        <v>Jango</v>
      </c>
      <c r="AA353" s="50"/>
    </row>
    <row r="354">
      <c r="A354" s="110" t="s">
        <v>97</v>
      </c>
      <c r="B354" s="46" t="s">
        <v>107</v>
      </c>
      <c r="C354" s="47"/>
      <c r="D354" s="38">
        <v>130.0</v>
      </c>
      <c r="E354" s="38">
        <v>104.0</v>
      </c>
      <c r="F354" s="38">
        <v>100.0</v>
      </c>
      <c r="G354" s="38">
        <v>9.0</v>
      </c>
      <c r="H354" s="38">
        <v>6.0</v>
      </c>
      <c r="I354" s="48">
        <f t="shared" si="17"/>
        <v>334</v>
      </c>
      <c r="J354" s="48">
        <f t="shared" si="18"/>
        <v>349</v>
      </c>
      <c r="K354" s="49">
        <f t="shared" si="19"/>
        <v>0.3892215569</v>
      </c>
      <c r="L354" s="49">
        <f t="shared" si="20"/>
        <v>0.3113772455</v>
      </c>
      <c r="M354" s="49">
        <f t="shared" si="21"/>
        <v>0.2994011976</v>
      </c>
      <c r="N354" s="32" t="str">
        <f t="shared" si="22"/>
        <v>Jânio</v>
      </c>
      <c r="O354" s="50"/>
      <c r="P354" s="38">
        <v>87.0</v>
      </c>
      <c r="Q354" s="38">
        <v>104.0</v>
      </c>
      <c r="R354" s="38">
        <v>74.0</v>
      </c>
      <c r="S354" s="38">
        <v>78.0</v>
      </c>
      <c r="T354" s="38">
        <v>6.0</v>
      </c>
      <c r="U354" s="48">
        <f t="shared" si="23"/>
        <v>265</v>
      </c>
      <c r="V354" s="48">
        <f t="shared" si="24"/>
        <v>349</v>
      </c>
      <c r="W354" s="49">
        <f t="shared" si="25"/>
        <v>0.3283018868</v>
      </c>
      <c r="X354" s="49">
        <f t="shared" si="26"/>
        <v>0.3924528302</v>
      </c>
      <c r="Y354" s="49">
        <f t="shared" si="27"/>
        <v>0.279245283</v>
      </c>
      <c r="Z354" s="32" t="str">
        <f t="shared" si="28"/>
        <v>Milton</v>
      </c>
      <c r="AA354" s="50"/>
    </row>
    <row r="355">
      <c r="A355" s="110" t="s">
        <v>97</v>
      </c>
      <c r="B355" s="46" t="s">
        <v>890</v>
      </c>
      <c r="C355" s="47"/>
      <c r="D355" s="38">
        <v>181.0</v>
      </c>
      <c r="E355" s="38">
        <v>110.0</v>
      </c>
      <c r="F355" s="38">
        <v>67.0</v>
      </c>
      <c r="G355" s="38">
        <v>7.0</v>
      </c>
      <c r="H355" s="38">
        <v>3.0</v>
      </c>
      <c r="I355" s="48">
        <f t="shared" si="17"/>
        <v>358</v>
      </c>
      <c r="J355" s="48">
        <f t="shared" si="18"/>
        <v>368</v>
      </c>
      <c r="K355" s="49">
        <f t="shared" si="19"/>
        <v>0.5055865922</v>
      </c>
      <c r="L355" s="49">
        <f t="shared" si="20"/>
        <v>0.3072625698</v>
      </c>
      <c r="M355" s="49">
        <f t="shared" si="21"/>
        <v>0.187150838</v>
      </c>
      <c r="N355" s="32" t="str">
        <f t="shared" si="22"/>
        <v>Jânio</v>
      </c>
      <c r="O355" s="50"/>
      <c r="P355" s="38">
        <v>81.0</v>
      </c>
      <c r="Q355" s="38">
        <v>136.0</v>
      </c>
      <c r="R355" s="38">
        <v>77.0</v>
      </c>
      <c r="S355" s="38">
        <v>72.0</v>
      </c>
      <c r="T355" s="38">
        <v>2.0</v>
      </c>
      <c r="U355" s="48">
        <f t="shared" si="23"/>
        <v>294</v>
      </c>
      <c r="V355" s="48">
        <f t="shared" si="24"/>
        <v>368</v>
      </c>
      <c r="W355" s="49">
        <f t="shared" si="25"/>
        <v>0.2755102041</v>
      </c>
      <c r="X355" s="49">
        <f t="shared" si="26"/>
        <v>0.462585034</v>
      </c>
      <c r="Y355" s="49">
        <f t="shared" si="27"/>
        <v>0.2619047619</v>
      </c>
      <c r="Z355" s="32" t="str">
        <f t="shared" si="28"/>
        <v>Milton</v>
      </c>
      <c r="AA355" s="50"/>
    </row>
    <row r="356">
      <c r="A356" s="110" t="s">
        <v>97</v>
      </c>
      <c r="B356" s="46" t="s">
        <v>3052</v>
      </c>
      <c r="C356" s="47"/>
      <c r="D356" s="38">
        <v>165.0</v>
      </c>
      <c r="E356" s="38">
        <v>101.0</v>
      </c>
      <c r="F356" s="38">
        <v>91.0</v>
      </c>
      <c r="G356" s="38">
        <v>11.0</v>
      </c>
      <c r="H356" s="38">
        <v>2.0</v>
      </c>
      <c r="I356" s="48">
        <f t="shared" si="17"/>
        <v>357</v>
      </c>
      <c r="J356" s="48">
        <f t="shared" si="18"/>
        <v>370</v>
      </c>
      <c r="K356" s="49">
        <f t="shared" si="19"/>
        <v>0.4621848739</v>
      </c>
      <c r="L356" s="49">
        <f t="shared" si="20"/>
        <v>0.2829131653</v>
      </c>
      <c r="M356" s="49">
        <f t="shared" si="21"/>
        <v>0.2549019608</v>
      </c>
      <c r="N356" s="32" t="str">
        <f t="shared" si="22"/>
        <v>Jânio</v>
      </c>
      <c r="O356" s="50"/>
      <c r="P356" s="38">
        <v>75.0</v>
      </c>
      <c r="Q356" s="38">
        <v>120.0</v>
      </c>
      <c r="R356" s="38">
        <v>83.0</v>
      </c>
      <c r="S356" s="38">
        <v>90.0</v>
      </c>
      <c r="T356" s="38">
        <v>2.0</v>
      </c>
      <c r="U356" s="48">
        <f t="shared" si="23"/>
        <v>278</v>
      </c>
      <c r="V356" s="48">
        <f t="shared" si="24"/>
        <v>370</v>
      </c>
      <c r="W356" s="49">
        <f t="shared" si="25"/>
        <v>0.2697841727</v>
      </c>
      <c r="X356" s="49">
        <f t="shared" si="26"/>
        <v>0.4316546763</v>
      </c>
      <c r="Y356" s="49">
        <f t="shared" si="27"/>
        <v>0.2985611511</v>
      </c>
      <c r="Z356" s="32" t="str">
        <f t="shared" si="28"/>
        <v>Milton</v>
      </c>
      <c r="AA356" s="50"/>
    </row>
    <row r="357">
      <c r="A357" s="110" t="s">
        <v>97</v>
      </c>
      <c r="B357" s="46" t="s">
        <v>3033</v>
      </c>
      <c r="C357" s="47"/>
      <c r="D357" s="38">
        <v>148.0</v>
      </c>
      <c r="E357" s="38">
        <v>121.0</v>
      </c>
      <c r="F357" s="38">
        <v>86.0</v>
      </c>
      <c r="G357" s="38">
        <v>14.0</v>
      </c>
      <c r="H357" s="38">
        <v>5.0</v>
      </c>
      <c r="I357" s="48">
        <f t="shared" si="17"/>
        <v>355</v>
      </c>
      <c r="J357" s="48">
        <f t="shared" si="18"/>
        <v>374</v>
      </c>
      <c r="K357" s="49">
        <f t="shared" si="19"/>
        <v>0.4169014085</v>
      </c>
      <c r="L357" s="49">
        <f t="shared" si="20"/>
        <v>0.3408450704</v>
      </c>
      <c r="M357" s="49">
        <f t="shared" si="21"/>
        <v>0.2422535211</v>
      </c>
      <c r="N357" s="32" t="str">
        <f t="shared" si="22"/>
        <v>Jânio</v>
      </c>
      <c r="O357" s="50"/>
      <c r="P357" s="38">
        <v>101.0</v>
      </c>
      <c r="Q357" s="38">
        <v>98.0</v>
      </c>
      <c r="R357" s="38">
        <v>89.0</v>
      </c>
      <c r="S357" s="38">
        <v>82.0</v>
      </c>
      <c r="T357" s="38">
        <v>4.0</v>
      </c>
      <c r="U357" s="48">
        <f t="shared" si="23"/>
        <v>288</v>
      </c>
      <c r="V357" s="48">
        <f t="shared" si="24"/>
        <v>374</v>
      </c>
      <c r="W357" s="49">
        <f t="shared" si="25"/>
        <v>0.3506944444</v>
      </c>
      <c r="X357" s="49">
        <f t="shared" si="26"/>
        <v>0.3402777778</v>
      </c>
      <c r="Y357" s="49">
        <f t="shared" si="27"/>
        <v>0.3090277778</v>
      </c>
      <c r="Z357" s="32" t="str">
        <f t="shared" si="28"/>
        <v>Jango</v>
      </c>
      <c r="AA357" s="50"/>
    </row>
    <row r="358">
      <c r="A358" s="110" t="s">
        <v>97</v>
      </c>
      <c r="B358" s="46" t="s">
        <v>3068</v>
      </c>
      <c r="C358" s="47"/>
      <c r="D358" s="38">
        <v>24.0</v>
      </c>
      <c r="E358" s="38">
        <v>21.0</v>
      </c>
      <c r="F358" s="38">
        <v>30.0</v>
      </c>
      <c r="G358" s="38">
        <v>3.0</v>
      </c>
      <c r="H358" s="38">
        <v>3.0</v>
      </c>
      <c r="I358" s="48">
        <f t="shared" si="17"/>
        <v>75</v>
      </c>
      <c r="J358" s="48">
        <f t="shared" si="18"/>
        <v>81</v>
      </c>
      <c r="K358" s="49">
        <f t="shared" si="19"/>
        <v>0.32</v>
      </c>
      <c r="L358" s="49">
        <f t="shared" si="20"/>
        <v>0.28</v>
      </c>
      <c r="M358" s="49">
        <f t="shared" si="21"/>
        <v>0.4</v>
      </c>
      <c r="N358" s="32" t="str">
        <f t="shared" si="22"/>
        <v>Adhemar</v>
      </c>
      <c r="O358" s="50"/>
      <c r="P358" s="38">
        <v>15.0</v>
      </c>
      <c r="Q358" s="38">
        <v>23.0</v>
      </c>
      <c r="R358" s="38">
        <v>27.0</v>
      </c>
      <c r="S358" s="38">
        <v>13.0</v>
      </c>
      <c r="T358" s="38">
        <v>3.0</v>
      </c>
      <c r="U358" s="48">
        <f t="shared" si="23"/>
        <v>65</v>
      </c>
      <c r="V358" s="48">
        <f t="shared" si="24"/>
        <v>81</v>
      </c>
      <c r="W358" s="49">
        <f t="shared" si="25"/>
        <v>0.2307692308</v>
      </c>
      <c r="X358" s="49">
        <f t="shared" si="26"/>
        <v>0.3538461538</v>
      </c>
      <c r="Y358" s="49">
        <f t="shared" si="27"/>
        <v>0.4153846154</v>
      </c>
      <c r="Z358" s="32" t="str">
        <f t="shared" si="28"/>
        <v>Ferrari</v>
      </c>
      <c r="AA358" s="50"/>
    </row>
    <row r="359">
      <c r="A359" s="110" t="s">
        <v>97</v>
      </c>
      <c r="B359" s="46" t="s">
        <v>3065</v>
      </c>
      <c r="C359" s="47"/>
      <c r="D359" s="38">
        <v>138.0</v>
      </c>
      <c r="E359" s="38">
        <v>67.0</v>
      </c>
      <c r="F359" s="38">
        <v>81.0</v>
      </c>
      <c r="G359" s="38">
        <v>3.0</v>
      </c>
      <c r="H359" s="38">
        <v>4.0</v>
      </c>
      <c r="I359" s="48">
        <f t="shared" si="17"/>
        <v>286</v>
      </c>
      <c r="J359" s="48">
        <f t="shared" si="18"/>
        <v>293</v>
      </c>
      <c r="K359" s="49">
        <f t="shared" si="19"/>
        <v>0.4825174825</v>
      </c>
      <c r="L359" s="49">
        <f t="shared" si="20"/>
        <v>0.2342657343</v>
      </c>
      <c r="M359" s="49">
        <f t="shared" si="21"/>
        <v>0.2832167832</v>
      </c>
      <c r="N359" s="32" t="str">
        <f t="shared" si="22"/>
        <v>Jânio</v>
      </c>
      <c r="O359" s="50"/>
      <c r="P359" s="38">
        <v>60.0</v>
      </c>
      <c r="Q359" s="38">
        <v>109.0</v>
      </c>
      <c r="R359" s="38">
        <v>60.0</v>
      </c>
      <c r="S359" s="38">
        <v>63.0</v>
      </c>
      <c r="T359" s="38">
        <v>1.0</v>
      </c>
      <c r="U359" s="48">
        <f t="shared" si="23"/>
        <v>229</v>
      </c>
      <c r="V359" s="48">
        <f t="shared" si="24"/>
        <v>293</v>
      </c>
      <c r="W359" s="49">
        <f t="shared" si="25"/>
        <v>0.2620087336</v>
      </c>
      <c r="X359" s="49">
        <f t="shared" si="26"/>
        <v>0.4759825328</v>
      </c>
      <c r="Y359" s="49">
        <f t="shared" si="27"/>
        <v>0.2620087336</v>
      </c>
      <c r="Z359" s="32" t="str">
        <f t="shared" si="28"/>
        <v>Milton</v>
      </c>
      <c r="AA359" s="50"/>
    </row>
    <row r="360">
      <c r="A360" s="110" t="s">
        <v>97</v>
      </c>
      <c r="B360" s="46" t="s">
        <v>3042</v>
      </c>
      <c r="C360" s="47"/>
      <c r="D360" s="38">
        <v>181.0</v>
      </c>
      <c r="E360" s="38">
        <v>92.0</v>
      </c>
      <c r="F360" s="38">
        <v>89.0</v>
      </c>
      <c r="G360" s="38">
        <v>6.0</v>
      </c>
      <c r="H360" s="38">
        <v>7.0</v>
      </c>
      <c r="I360" s="48">
        <f t="shared" si="17"/>
        <v>362</v>
      </c>
      <c r="J360" s="48">
        <f t="shared" si="18"/>
        <v>375</v>
      </c>
      <c r="K360" s="49">
        <f t="shared" si="19"/>
        <v>0.5</v>
      </c>
      <c r="L360" s="49">
        <f t="shared" si="20"/>
        <v>0.2541436464</v>
      </c>
      <c r="M360" s="49">
        <f t="shared" si="21"/>
        <v>0.2458563536</v>
      </c>
      <c r="N360" s="32" t="str">
        <f t="shared" si="22"/>
        <v>Jânio</v>
      </c>
      <c r="O360" s="50"/>
      <c r="P360" s="38">
        <v>76.0</v>
      </c>
      <c r="Q360" s="38">
        <v>136.0</v>
      </c>
      <c r="R360" s="38">
        <v>87.0</v>
      </c>
      <c r="S360" s="38">
        <v>76.0</v>
      </c>
      <c r="T360" s="38">
        <v>7.0</v>
      </c>
      <c r="U360" s="48">
        <f t="shared" si="23"/>
        <v>299</v>
      </c>
      <c r="V360" s="48">
        <f t="shared" si="24"/>
        <v>382</v>
      </c>
      <c r="W360" s="49">
        <f t="shared" si="25"/>
        <v>0.254180602</v>
      </c>
      <c r="X360" s="49">
        <f t="shared" si="26"/>
        <v>0.4548494983</v>
      </c>
      <c r="Y360" s="49">
        <f t="shared" si="27"/>
        <v>0.2909698997</v>
      </c>
      <c r="Z360" s="32" t="str">
        <f t="shared" si="28"/>
        <v>Milton</v>
      </c>
      <c r="AA360" s="50"/>
    </row>
    <row r="361">
      <c r="A361" s="110" t="s">
        <v>97</v>
      </c>
      <c r="B361" s="46" t="s">
        <v>3036</v>
      </c>
      <c r="C361" s="47"/>
      <c r="D361" s="38">
        <v>115.0</v>
      </c>
      <c r="E361" s="38">
        <v>44.0</v>
      </c>
      <c r="F361" s="38">
        <v>52.0</v>
      </c>
      <c r="G361" s="38">
        <v>2.0</v>
      </c>
      <c r="H361" s="38">
        <v>2.0</v>
      </c>
      <c r="I361" s="48">
        <f t="shared" si="17"/>
        <v>211</v>
      </c>
      <c r="J361" s="48">
        <f t="shared" si="18"/>
        <v>215</v>
      </c>
      <c r="K361" s="49">
        <f t="shared" si="19"/>
        <v>0.5450236967</v>
      </c>
      <c r="L361" s="49">
        <f t="shared" si="20"/>
        <v>0.2085308057</v>
      </c>
      <c r="M361" s="49">
        <f t="shared" si="21"/>
        <v>0.2464454976</v>
      </c>
      <c r="N361" s="32" t="str">
        <f t="shared" si="22"/>
        <v>Jânio</v>
      </c>
      <c r="O361" s="50"/>
      <c r="P361" s="38">
        <v>44.0</v>
      </c>
      <c r="Q361" s="38">
        <v>84.0</v>
      </c>
      <c r="R361" s="38">
        <v>35.0</v>
      </c>
      <c r="S361" s="38">
        <v>51.0</v>
      </c>
      <c r="T361" s="38">
        <v>1.0</v>
      </c>
      <c r="U361" s="48">
        <f t="shared" si="23"/>
        <v>163</v>
      </c>
      <c r="V361" s="48">
        <f t="shared" si="24"/>
        <v>215</v>
      </c>
      <c r="W361" s="49">
        <f t="shared" si="25"/>
        <v>0.2699386503</v>
      </c>
      <c r="X361" s="49">
        <f t="shared" si="26"/>
        <v>0.5153374233</v>
      </c>
      <c r="Y361" s="49">
        <f t="shared" si="27"/>
        <v>0.2147239264</v>
      </c>
      <c r="Z361" s="32" t="str">
        <f t="shared" si="28"/>
        <v>Milton</v>
      </c>
      <c r="AA361" s="50"/>
    </row>
    <row r="362">
      <c r="A362" s="110" t="s">
        <v>97</v>
      </c>
      <c r="B362" s="46" t="s">
        <v>3022</v>
      </c>
      <c r="C362" s="47"/>
      <c r="D362" s="38">
        <v>137.0</v>
      </c>
      <c r="E362" s="38">
        <v>116.0</v>
      </c>
      <c r="F362" s="38">
        <v>85.0</v>
      </c>
      <c r="G362" s="38">
        <v>10.0</v>
      </c>
      <c r="H362" s="38">
        <v>10.0</v>
      </c>
      <c r="I362" s="48">
        <f t="shared" si="17"/>
        <v>338</v>
      </c>
      <c r="J362" s="48">
        <f t="shared" si="18"/>
        <v>358</v>
      </c>
      <c r="K362" s="49">
        <f t="shared" si="19"/>
        <v>0.4053254438</v>
      </c>
      <c r="L362" s="49">
        <f t="shared" si="20"/>
        <v>0.3431952663</v>
      </c>
      <c r="M362" s="49">
        <f t="shared" si="21"/>
        <v>0.2514792899</v>
      </c>
      <c r="N362" s="32" t="str">
        <f t="shared" si="22"/>
        <v>Jânio</v>
      </c>
      <c r="O362" s="50"/>
      <c r="P362" s="38">
        <v>93.0</v>
      </c>
      <c r="Q362" s="38">
        <v>101.0</v>
      </c>
      <c r="R362" s="38">
        <v>75.0</v>
      </c>
      <c r="S362" s="38">
        <v>87.0</v>
      </c>
      <c r="T362" s="38">
        <v>7.0</v>
      </c>
      <c r="U362" s="48">
        <f t="shared" si="23"/>
        <v>269</v>
      </c>
      <c r="V362" s="48">
        <f t="shared" si="24"/>
        <v>363</v>
      </c>
      <c r="W362" s="49">
        <f t="shared" si="25"/>
        <v>0.3457249071</v>
      </c>
      <c r="X362" s="49">
        <f t="shared" si="26"/>
        <v>0.375464684</v>
      </c>
      <c r="Y362" s="49">
        <f t="shared" si="27"/>
        <v>0.2788104089</v>
      </c>
      <c r="Z362" s="32" t="str">
        <f t="shared" si="28"/>
        <v>Milton</v>
      </c>
      <c r="AA362" s="50"/>
    </row>
    <row r="363">
      <c r="A363" s="110" t="s">
        <v>97</v>
      </c>
      <c r="B363" s="46" t="s">
        <v>2517</v>
      </c>
      <c r="C363" s="47"/>
      <c r="D363" s="38">
        <v>146.0</v>
      </c>
      <c r="E363" s="38">
        <v>82.0</v>
      </c>
      <c r="F363" s="38">
        <v>110.0</v>
      </c>
      <c r="G363" s="38">
        <v>18.0</v>
      </c>
      <c r="H363" s="38">
        <v>4.0</v>
      </c>
      <c r="I363" s="48">
        <f t="shared" si="17"/>
        <v>338</v>
      </c>
      <c r="J363" s="48">
        <f t="shared" si="18"/>
        <v>360</v>
      </c>
      <c r="K363" s="49">
        <f t="shared" si="19"/>
        <v>0.4319526627</v>
      </c>
      <c r="L363" s="49">
        <f t="shared" si="20"/>
        <v>0.2426035503</v>
      </c>
      <c r="M363" s="49">
        <f t="shared" si="21"/>
        <v>0.325443787</v>
      </c>
      <c r="N363" s="32" t="str">
        <f t="shared" si="22"/>
        <v>Jânio</v>
      </c>
      <c r="O363" s="50"/>
      <c r="P363" s="38">
        <v>89.0</v>
      </c>
      <c r="Q363" s="38">
        <v>102.0</v>
      </c>
      <c r="R363" s="38">
        <v>90.0</v>
      </c>
      <c r="S363" s="38">
        <v>77.0</v>
      </c>
      <c r="T363" s="38">
        <v>2.0</v>
      </c>
      <c r="U363" s="48">
        <f t="shared" si="23"/>
        <v>281</v>
      </c>
      <c r="V363" s="48">
        <f t="shared" si="24"/>
        <v>360</v>
      </c>
      <c r="W363" s="49">
        <f t="shared" si="25"/>
        <v>0.3167259786</v>
      </c>
      <c r="X363" s="49">
        <f t="shared" si="26"/>
        <v>0.3629893238</v>
      </c>
      <c r="Y363" s="49">
        <f t="shared" si="27"/>
        <v>0.3202846975</v>
      </c>
      <c r="Z363" s="32" t="str">
        <f t="shared" si="28"/>
        <v>Milton</v>
      </c>
      <c r="AA363" s="50"/>
    </row>
    <row r="364">
      <c r="A364" s="110" t="s">
        <v>97</v>
      </c>
      <c r="B364" s="46" t="s">
        <v>3014</v>
      </c>
      <c r="C364" s="47"/>
      <c r="D364" s="38">
        <v>124.0</v>
      </c>
      <c r="E364" s="38">
        <v>95.0</v>
      </c>
      <c r="F364" s="38">
        <v>108.0</v>
      </c>
      <c r="G364" s="38">
        <v>16.0</v>
      </c>
      <c r="H364" s="38">
        <v>7.0</v>
      </c>
      <c r="I364" s="48">
        <f t="shared" si="17"/>
        <v>327</v>
      </c>
      <c r="J364" s="48">
        <f t="shared" si="18"/>
        <v>350</v>
      </c>
      <c r="K364" s="49">
        <f t="shared" si="19"/>
        <v>0.379204893</v>
      </c>
      <c r="L364" s="49">
        <f t="shared" si="20"/>
        <v>0.2905198777</v>
      </c>
      <c r="M364" s="49">
        <f t="shared" si="21"/>
        <v>0.3302752294</v>
      </c>
      <c r="N364" s="32" t="str">
        <f t="shared" si="22"/>
        <v>Jânio</v>
      </c>
      <c r="O364" s="50"/>
      <c r="P364" s="38">
        <v>96.0</v>
      </c>
      <c r="Q364" s="38">
        <v>90.0</v>
      </c>
      <c r="R364" s="38">
        <v>90.0</v>
      </c>
      <c r="S364" s="38">
        <v>72.0</v>
      </c>
      <c r="T364" s="38">
        <v>2.0</v>
      </c>
      <c r="U364" s="48">
        <f t="shared" si="23"/>
        <v>276</v>
      </c>
      <c r="V364" s="48">
        <f t="shared" si="24"/>
        <v>350</v>
      </c>
      <c r="W364" s="49">
        <f t="shared" si="25"/>
        <v>0.347826087</v>
      </c>
      <c r="X364" s="49">
        <f t="shared" si="26"/>
        <v>0.3260869565</v>
      </c>
      <c r="Y364" s="49">
        <f t="shared" si="27"/>
        <v>0.3260869565</v>
      </c>
      <c r="Z364" s="32" t="str">
        <f t="shared" si="28"/>
        <v>Jango</v>
      </c>
      <c r="AA364" s="50"/>
    </row>
    <row r="365">
      <c r="A365" s="110" t="s">
        <v>97</v>
      </c>
      <c r="B365" s="46" t="s">
        <v>125</v>
      </c>
      <c r="C365" s="47"/>
      <c r="D365" s="38">
        <v>169.0</v>
      </c>
      <c r="E365" s="38">
        <v>98.0</v>
      </c>
      <c r="F365" s="38">
        <v>71.0</v>
      </c>
      <c r="G365" s="38">
        <v>6.0</v>
      </c>
      <c r="H365" s="38">
        <v>6.0</v>
      </c>
      <c r="I365" s="48">
        <f t="shared" si="17"/>
        <v>338</v>
      </c>
      <c r="J365" s="48">
        <f t="shared" si="18"/>
        <v>350</v>
      </c>
      <c r="K365" s="49">
        <f t="shared" si="19"/>
        <v>0.5</v>
      </c>
      <c r="L365" s="49">
        <f t="shared" si="20"/>
        <v>0.2899408284</v>
      </c>
      <c r="M365" s="49">
        <f t="shared" si="21"/>
        <v>0.2100591716</v>
      </c>
      <c r="N365" s="32" t="str">
        <f t="shared" si="22"/>
        <v>Jânio</v>
      </c>
      <c r="O365" s="50"/>
      <c r="P365" s="38">
        <v>71.0</v>
      </c>
      <c r="Q365" s="38">
        <v>114.0</v>
      </c>
      <c r="R365" s="38">
        <v>95.0</v>
      </c>
      <c r="S365" s="38">
        <v>65.0</v>
      </c>
      <c r="T365" s="38">
        <v>5.0</v>
      </c>
      <c r="U365" s="48">
        <f t="shared" si="23"/>
        <v>280</v>
      </c>
      <c r="V365" s="48">
        <f t="shared" si="24"/>
        <v>350</v>
      </c>
      <c r="W365" s="49">
        <f t="shared" si="25"/>
        <v>0.2535714286</v>
      </c>
      <c r="X365" s="49">
        <f t="shared" si="26"/>
        <v>0.4071428571</v>
      </c>
      <c r="Y365" s="49">
        <f t="shared" si="27"/>
        <v>0.3392857143</v>
      </c>
      <c r="Z365" s="32" t="str">
        <f t="shared" si="28"/>
        <v>Milton</v>
      </c>
      <c r="AA365" s="50"/>
    </row>
    <row r="366">
      <c r="A366" s="110" t="s">
        <v>97</v>
      </c>
      <c r="B366" s="46" t="s">
        <v>3040</v>
      </c>
      <c r="C366" s="47"/>
      <c r="D366" s="38">
        <v>219.0</v>
      </c>
      <c r="E366" s="38">
        <v>73.0</v>
      </c>
      <c r="F366" s="38">
        <v>73.0</v>
      </c>
      <c r="G366" s="38">
        <v>13.0</v>
      </c>
      <c r="H366" s="38">
        <v>4.0</v>
      </c>
      <c r="I366" s="48">
        <f t="shared" si="17"/>
        <v>365</v>
      </c>
      <c r="J366" s="48">
        <f t="shared" si="18"/>
        <v>382</v>
      </c>
      <c r="K366" s="49">
        <f t="shared" si="19"/>
        <v>0.6</v>
      </c>
      <c r="L366" s="49">
        <f t="shared" si="20"/>
        <v>0.2</v>
      </c>
      <c r="M366" s="49">
        <f t="shared" si="21"/>
        <v>0.2</v>
      </c>
      <c r="N366" s="32" t="str">
        <f t="shared" si="22"/>
        <v>Jânio</v>
      </c>
      <c r="O366" s="50"/>
      <c r="P366" s="38">
        <v>58.0</v>
      </c>
      <c r="Q366" s="38">
        <v>67.0</v>
      </c>
      <c r="R366" s="38">
        <v>73.0</v>
      </c>
      <c r="S366" s="38">
        <v>80.0</v>
      </c>
      <c r="T366" s="38">
        <v>4.0</v>
      </c>
      <c r="U366" s="48">
        <f t="shared" si="23"/>
        <v>198</v>
      </c>
      <c r="V366" s="48">
        <f t="shared" si="24"/>
        <v>282</v>
      </c>
      <c r="W366" s="49">
        <f t="shared" si="25"/>
        <v>0.2929292929</v>
      </c>
      <c r="X366" s="49">
        <f t="shared" si="26"/>
        <v>0.3383838384</v>
      </c>
      <c r="Y366" s="49">
        <f t="shared" si="27"/>
        <v>0.3686868687</v>
      </c>
      <c r="Z366" s="32" t="str">
        <f t="shared" si="28"/>
        <v>Ferrari</v>
      </c>
      <c r="AA366" s="50"/>
    </row>
    <row r="367">
      <c r="A367" s="110" t="s">
        <v>97</v>
      </c>
      <c r="B367" s="46" t="s">
        <v>2420</v>
      </c>
      <c r="C367" s="47"/>
      <c r="D367" s="38">
        <v>172.0</v>
      </c>
      <c r="E367" s="38">
        <v>91.0</v>
      </c>
      <c r="F367" s="38">
        <v>79.0</v>
      </c>
      <c r="G367" s="38">
        <v>13.0</v>
      </c>
      <c r="H367" s="38">
        <v>4.0</v>
      </c>
      <c r="I367" s="48">
        <f t="shared" si="17"/>
        <v>342</v>
      </c>
      <c r="J367" s="48">
        <f t="shared" si="18"/>
        <v>359</v>
      </c>
      <c r="K367" s="49">
        <f t="shared" si="19"/>
        <v>0.5029239766</v>
      </c>
      <c r="L367" s="49">
        <f t="shared" si="20"/>
        <v>0.2660818713</v>
      </c>
      <c r="M367" s="49">
        <f t="shared" si="21"/>
        <v>0.230994152</v>
      </c>
      <c r="N367" s="32" t="str">
        <f t="shared" si="22"/>
        <v>Jânio</v>
      </c>
      <c r="O367" s="50"/>
      <c r="P367" s="38">
        <v>67.0</v>
      </c>
      <c r="Q367" s="38">
        <v>103.0</v>
      </c>
      <c r="R367" s="38">
        <v>67.0</v>
      </c>
      <c r="S367" s="38">
        <v>120.0</v>
      </c>
      <c r="T367" s="38">
        <v>2.0</v>
      </c>
      <c r="U367" s="48">
        <f t="shared" si="23"/>
        <v>237</v>
      </c>
      <c r="V367" s="48">
        <f t="shared" si="24"/>
        <v>359</v>
      </c>
      <c r="W367" s="49">
        <f t="shared" si="25"/>
        <v>0.2827004219</v>
      </c>
      <c r="X367" s="49">
        <f t="shared" si="26"/>
        <v>0.4345991561</v>
      </c>
      <c r="Y367" s="49">
        <f t="shared" si="27"/>
        <v>0.2827004219</v>
      </c>
      <c r="Z367" s="32" t="str">
        <f t="shared" si="28"/>
        <v>Milton</v>
      </c>
      <c r="AA367" s="50"/>
    </row>
    <row r="368">
      <c r="A368" s="110" t="s">
        <v>97</v>
      </c>
      <c r="B368" s="46" t="s">
        <v>412</v>
      </c>
      <c r="C368" s="47"/>
      <c r="D368" s="38">
        <v>141.0</v>
      </c>
      <c r="E368" s="38">
        <v>107.0</v>
      </c>
      <c r="F368" s="38">
        <v>93.0</v>
      </c>
      <c r="G368" s="38">
        <v>21.0</v>
      </c>
      <c r="H368" s="38">
        <v>9.0</v>
      </c>
      <c r="I368" s="48">
        <f t="shared" si="17"/>
        <v>341</v>
      </c>
      <c r="J368" s="48">
        <f t="shared" si="18"/>
        <v>371</v>
      </c>
      <c r="K368" s="49">
        <f t="shared" si="19"/>
        <v>0.4134897361</v>
      </c>
      <c r="L368" s="49">
        <f t="shared" si="20"/>
        <v>0.3137829912</v>
      </c>
      <c r="M368" s="49">
        <f t="shared" si="21"/>
        <v>0.2727272727</v>
      </c>
      <c r="N368" s="32" t="str">
        <f t="shared" si="22"/>
        <v>Jânio</v>
      </c>
      <c r="O368" s="50"/>
      <c r="P368" s="38">
        <v>98.0</v>
      </c>
      <c r="Q368" s="38">
        <v>110.0</v>
      </c>
      <c r="R368" s="38">
        <v>88.0</v>
      </c>
      <c r="S368" s="38">
        <v>66.0</v>
      </c>
      <c r="T368" s="38">
        <v>9.0</v>
      </c>
      <c r="U368" s="48">
        <f t="shared" si="23"/>
        <v>296</v>
      </c>
      <c r="V368" s="48">
        <f t="shared" si="24"/>
        <v>371</v>
      </c>
      <c r="W368" s="49">
        <f t="shared" si="25"/>
        <v>0.3310810811</v>
      </c>
      <c r="X368" s="49">
        <f t="shared" si="26"/>
        <v>0.3716216216</v>
      </c>
      <c r="Y368" s="49">
        <f t="shared" si="27"/>
        <v>0.2972972973</v>
      </c>
      <c r="Z368" s="32" t="str">
        <f t="shared" si="28"/>
        <v>Milton</v>
      </c>
      <c r="AA368" s="50"/>
    </row>
    <row r="369">
      <c r="A369" s="110" t="s">
        <v>97</v>
      </c>
      <c r="B369" s="46" t="s">
        <v>2900</v>
      </c>
      <c r="C369" s="47"/>
      <c r="D369" s="38">
        <v>137.0</v>
      </c>
      <c r="E369" s="38">
        <v>103.0</v>
      </c>
      <c r="F369" s="38">
        <v>83.0</v>
      </c>
      <c r="G369" s="38">
        <v>11.0</v>
      </c>
      <c r="H369" s="38">
        <v>7.0</v>
      </c>
      <c r="I369" s="48">
        <f t="shared" si="17"/>
        <v>323</v>
      </c>
      <c r="J369" s="48">
        <f t="shared" si="18"/>
        <v>341</v>
      </c>
      <c r="K369" s="49">
        <f t="shared" si="19"/>
        <v>0.4241486068</v>
      </c>
      <c r="L369" s="49">
        <f t="shared" si="20"/>
        <v>0.3188854489</v>
      </c>
      <c r="M369" s="49">
        <f t="shared" si="21"/>
        <v>0.2569659443</v>
      </c>
      <c r="N369" s="32" t="str">
        <f t="shared" si="22"/>
        <v>Jânio</v>
      </c>
      <c r="O369" s="50"/>
      <c r="P369" s="38">
        <v>76.0</v>
      </c>
      <c r="Q369" s="38">
        <v>87.0</v>
      </c>
      <c r="R369" s="38">
        <v>67.0</v>
      </c>
      <c r="S369" s="38">
        <v>103.0</v>
      </c>
      <c r="T369" s="38">
        <v>8.0</v>
      </c>
      <c r="U369" s="48">
        <f t="shared" si="23"/>
        <v>230</v>
      </c>
      <c r="V369" s="48">
        <f t="shared" si="24"/>
        <v>341</v>
      </c>
      <c r="W369" s="49">
        <f t="shared" si="25"/>
        <v>0.3304347826</v>
      </c>
      <c r="X369" s="49">
        <f t="shared" si="26"/>
        <v>0.3782608696</v>
      </c>
      <c r="Y369" s="49">
        <f t="shared" si="27"/>
        <v>0.2913043478</v>
      </c>
      <c r="Z369" s="32" t="str">
        <f t="shared" si="28"/>
        <v>Milton</v>
      </c>
      <c r="AA369" s="50"/>
    </row>
    <row r="370">
      <c r="A370" s="110" t="s">
        <v>97</v>
      </c>
      <c r="B370" s="46" t="s">
        <v>2464</v>
      </c>
      <c r="C370" s="47"/>
      <c r="D370" s="38">
        <v>152.0</v>
      </c>
      <c r="E370" s="38">
        <v>97.0</v>
      </c>
      <c r="F370" s="38">
        <v>100.0</v>
      </c>
      <c r="G370" s="38">
        <v>10.0</v>
      </c>
      <c r="H370" s="38">
        <v>3.0</v>
      </c>
      <c r="I370" s="48">
        <f t="shared" si="17"/>
        <v>349</v>
      </c>
      <c r="J370" s="48">
        <f t="shared" si="18"/>
        <v>362</v>
      </c>
      <c r="K370" s="49">
        <f t="shared" si="19"/>
        <v>0.435530086</v>
      </c>
      <c r="L370" s="49">
        <f t="shared" si="20"/>
        <v>0.2779369628</v>
      </c>
      <c r="M370" s="49">
        <f t="shared" si="21"/>
        <v>0.2865329513</v>
      </c>
      <c r="N370" s="32" t="str">
        <f t="shared" si="22"/>
        <v>Jânio</v>
      </c>
      <c r="O370" s="50"/>
      <c r="P370" s="38">
        <v>77.0</v>
      </c>
      <c r="Q370" s="38">
        <v>101.0</v>
      </c>
      <c r="R370" s="38">
        <v>71.0</v>
      </c>
      <c r="S370" s="38">
        <v>108.0</v>
      </c>
      <c r="T370" s="38">
        <v>5.0</v>
      </c>
      <c r="U370" s="48">
        <f t="shared" si="23"/>
        <v>249</v>
      </c>
      <c r="V370" s="48">
        <f t="shared" si="24"/>
        <v>362</v>
      </c>
      <c r="W370" s="49">
        <f t="shared" si="25"/>
        <v>0.3092369478</v>
      </c>
      <c r="X370" s="49">
        <f t="shared" si="26"/>
        <v>0.40562249</v>
      </c>
      <c r="Y370" s="49">
        <f t="shared" si="27"/>
        <v>0.2851405622</v>
      </c>
      <c r="Z370" s="32" t="str">
        <f t="shared" si="28"/>
        <v>Milton</v>
      </c>
      <c r="AA370" s="50"/>
    </row>
    <row r="371">
      <c r="A371" s="110" t="s">
        <v>97</v>
      </c>
      <c r="B371" s="46" t="s">
        <v>2956</v>
      </c>
      <c r="C371" s="47"/>
      <c r="D371" s="38">
        <v>110.0</v>
      </c>
      <c r="E371" s="38">
        <v>73.0</v>
      </c>
      <c r="F371" s="38">
        <v>131.0</v>
      </c>
      <c r="G371" s="38">
        <v>13.0</v>
      </c>
      <c r="H371" s="38">
        <v>5.0</v>
      </c>
      <c r="I371" s="48">
        <f t="shared" si="17"/>
        <v>314</v>
      </c>
      <c r="J371" s="48">
        <f t="shared" si="18"/>
        <v>332</v>
      </c>
      <c r="K371" s="49">
        <f t="shared" si="19"/>
        <v>0.3503184713</v>
      </c>
      <c r="L371" s="49">
        <f t="shared" si="20"/>
        <v>0.2324840764</v>
      </c>
      <c r="M371" s="49">
        <f t="shared" si="21"/>
        <v>0.4171974522</v>
      </c>
      <c r="N371" s="32" t="str">
        <f t="shared" si="22"/>
        <v>Adhemar</v>
      </c>
      <c r="O371" s="50"/>
      <c r="P371" s="38">
        <v>76.0</v>
      </c>
      <c r="Q371" s="38">
        <v>76.0</v>
      </c>
      <c r="R371" s="38">
        <v>77.0</v>
      </c>
      <c r="S371" s="38">
        <v>97.0</v>
      </c>
      <c r="T371" s="38">
        <v>6.0</v>
      </c>
      <c r="U371" s="48">
        <f t="shared" si="23"/>
        <v>229</v>
      </c>
      <c r="V371" s="48">
        <f t="shared" si="24"/>
        <v>332</v>
      </c>
      <c r="W371" s="49">
        <f t="shared" si="25"/>
        <v>0.3318777293</v>
      </c>
      <c r="X371" s="49">
        <f t="shared" si="26"/>
        <v>0.3318777293</v>
      </c>
      <c r="Y371" s="49">
        <f t="shared" si="27"/>
        <v>0.3362445415</v>
      </c>
      <c r="Z371" s="32" t="str">
        <f t="shared" si="28"/>
        <v>Ferrari</v>
      </c>
      <c r="AA371" s="50"/>
    </row>
    <row r="372">
      <c r="A372" s="110" t="s">
        <v>99</v>
      </c>
      <c r="B372" s="46" t="s">
        <v>540</v>
      </c>
      <c r="C372" s="47"/>
      <c r="D372" s="38">
        <v>94.0</v>
      </c>
      <c r="E372" s="38">
        <v>126.0</v>
      </c>
      <c r="F372" s="38">
        <v>101.0</v>
      </c>
      <c r="G372" s="38">
        <v>18.0</v>
      </c>
      <c r="H372" s="38">
        <v>11.0</v>
      </c>
      <c r="I372" s="48">
        <f t="shared" si="17"/>
        <v>321</v>
      </c>
      <c r="J372" s="48">
        <f t="shared" si="18"/>
        <v>350</v>
      </c>
      <c r="K372" s="49">
        <f t="shared" si="19"/>
        <v>0.292834891</v>
      </c>
      <c r="L372" s="49">
        <f t="shared" si="20"/>
        <v>0.3925233645</v>
      </c>
      <c r="M372" s="49">
        <f t="shared" si="21"/>
        <v>0.3146417445</v>
      </c>
      <c r="N372" s="32" t="str">
        <f t="shared" si="22"/>
        <v>Mal. Lott</v>
      </c>
      <c r="O372" s="50"/>
      <c r="P372" s="38">
        <v>113.0</v>
      </c>
      <c r="Q372" s="38">
        <v>56.0</v>
      </c>
      <c r="R372" s="38">
        <v>74.0</v>
      </c>
      <c r="S372" s="38">
        <v>17.0</v>
      </c>
      <c r="T372" s="38">
        <v>10.0</v>
      </c>
      <c r="U372" s="48">
        <f t="shared" si="23"/>
        <v>243</v>
      </c>
      <c r="V372" s="48">
        <f t="shared" si="24"/>
        <v>270</v>
      </c>
      <c r="W372" s="49">
        <f t="shared" si="25"/>
        <v>0.4650205761</v>
      </c>
      <c r="X372" s="49">
        <f t="shared" si="26"/>
        <v>0.2304526749</v>
      </c>
      <c r="Y372" s="49">
        <f t="shared" si="27"/>
        <v>0.304526749</v>
      </c>
      <c r="Z372" s="32" t="str">
        <f t="shared" si="28"/>
        <v>Jango</v>
      </c>
      <c r="AA372" s="50"/>
    </row>
    <row r="373">
      <c r="A373" s="110" t="s">
        <v>99</v>
      </c>
      <c r="B373" s="46" t="s">
        <v>141</v>
      </c>
      <c r="C373" s="47"/>
      <c r="D373" s="38">
        <v>140.0</v>
      </c>
      <c r="E373" s="38">
        <v>108.0</v>
      </c>
      <c r="F373" s="38">
        <v>77.0</v>
      </c>
      <c r="G373" s="38">
        <v>8.0</v>
      </c>
      <c r="H373" s="38">
        <v>8.0</v>
      </c>
      <c r="I373" s="48">
        <f t="shared" si="17"/>
        <v>325</v>
      </c>
      <c r="J373" s="48">
        <f t="shared" si="18"/>
        <v>341</v>
      </c>
      <c r="K373" s="49">
        <f t="shared" si="19"/>
        <v>0.4307692308</v>
      </c>
      <c r="L373" s="49">
        <f t="shared" si="20"/>
        <v>0.3323076923</v>
      </c>
      <c r="M373" s="49">
        <f t="shared" si="21"/>
        <v>0.2369230769</v>
      </c>
      <c r="N373" s="32" t="str">
        <f t="shared" si="22"/>
        <v>Jânio</v>
      </c>
      <c r="O373" s="50"/>
      <c r="P373" s="38">
        <v>97.0</v>
      </c>
      <c r="Q373" s="38">
        <v>95.0</v>
      </c>
      <c r="R373" s="38">
        <v>30.0</v>
      </c>
      <c r="S373" s="38">
        <v>55.0</v>
      </c>
      <c r="T373" s="38">
        <v>8.0</v>
      </c>
      <c r="U373" s="48">
        <f t="shared" si="23"/>
        <v>222</v>
      </c>
      <c r="V373" s="48">
        <f t="shared" si="24"/>
        <v>285</v>
      </c>
      <c r="W373" s="49">
        <f t="shared" si="25"/>
        <v>0.4369369369</v>
      </c>
      <c r="X373" s="49">
        <f t="shared" si="26"/>
        <v>0.4279279279</v>
      </c>
      <c r="Y373" s="49">
        <f t="shared" si="27"/>
        <v>0.1351351351</v>
      </c>
      <c r="Z373" s="32" t="str">
        <f t="shared" si="28"/>
        <v>Jango</v>
      </c>
      <c r="AA373" s="50"/>
    </row>
    <row r="374">
      <c r="A374" s="110" t="s">
        <v>99</v>
      </c>
      <c r="B374" s="46" t="s">
        <v>547</v>
      </c>
      <c r="C374" s="47"/>
      <c r="D374" s="38">
        <v>142.0</v>
      </c>
      <c r="E374" s="38">
        <v>91.0</v>
      </c>
      <c r="F374" s="38">
        <v>99.0</v>
      </c>
      <c r="G374" s="38">
        <v>10.0</v>
      </c>
      <c r="H374" s="38">
        <v>7.0</v>
      </c>
      <c r="I374" s="48">
        <f t="shared" si="17"/>
        <v>332</v>
      </c>
      <c r="J374" s="48">
        <f t="shared" si="18"/>
        <v>349</v>
      </c>
      <c r="K374" s="49">
        <f t="shared" si="19"/>
        <v>0.4277108434</v>
      </c>
      <c r="L374" s="49">
        <f t="shared" si="20"/>
        <v>0.2740963855</v>
      </c>
      <c r="M374" s="49">
        <f t="shared" si="21"/>
        <v>0.2981927711</v>
      </c>
      <c r="N374" s="32" t="str">
        <f t="shared" si="22"/>
        <v>Jânio</v>
      </c>
      <c r="O374" s="50"/>
      <c r="P374" s="38">
        <v>84.0</v>
      </c>
      <c r="Q374" s="38">
        <v>105.0</v>
      </c>
      <c r="R374" s="38">
        <v>86.0</v>
      </c>
      <c r="S374" s="38">
        <v>71.0</v>
      </c>
      <c r="T374" s="38">
        <v>3.0</v>
      </c>
      <c r="U374" s="48">
        <f t="shared" si="23"/>
        <v>275</v>
      </c>
      <c r="V374" s="48">
        <f t="shared" si="24"/>
        <v>349</v>
      </c>
      <c r="W374" s="49">
        <f t="shared" si="25"/>
        <v>0.3054545455</v>
      </c>
      <c r="X374" s="49">
        <f t="shared" si="26"/>
        <v>0.3818181818</v>
      </c>
      <c r="Y374" s="49">
        <f t="shared" si="27"/>
        <v>0.3127272727</v>
      </c>
      <c r="Z374" s="32" t="str">
        <f t="shared" si="28"/>
        <v>Milton</v>
      </c>
      <c r="AA374" s="50"/>
    </row>
    <row r="375">
      <c r="A375" s="110" t="s">
        <v>99</v>
      </c>
      <c r="B375" s="46" t="s">
        <v>537</v>
      </c>
      <c r="C375" s="47"/>
      <c r="D375" s="38">
        <v>156.0</v>
      </c>
      <c r="E375" s="38">
        <v>107.0</v>
      </c>
      <c r="F375" s="38">
        <v>83.0</v>
      </c>
      <c r="G375" s="38">
        <v>9.0</v>
      </c>
      <c r="H375" s="38">
        <v>4.0</v>
      </c>
      <c r="I375" s="48">
        <f t="shared" si="17"/>
        <v>346</v>
      </c>
      <c r="J375" s="48">
        <f t="shared" si="18"/>
        <v>359</v>
      </c>
      <c r="K375" s="49">
        <f t="shared" si="19"/>
        <v>0.450867052</v>
      </c>
      <c r="L375" s="49">
        <f t="shared" si="20"/>
        <v>0.3092485549</v>
      </c>
      <c r="M375" s="49">
        <f t="shared" si="21"/>
        <v>0.2398843931</v>
      </c>
      <c r="N375" s="32" t="str">
        <f t="shared" si="22"/>
        <v>Jânio</v>
      </c>
      <c r="O375" s="50"/>
      <c r="P375" s="38">
        <v>80.0</v>
      </c>
      <c r="Q375" s="38">
        <v>100.0</v>
      </c>
      <c r="R375" s="38">
        <v>79.0</v>
      </c>
      <c r="S375" s="38">
        <v>99.0</v>
      </c>
      <c r="T375" s="38">
        <v>1.0</v>
      </c>
      <c r="U375" s="48">
        <f t="shared" si="23"/>
        <v>259</v>
      </c>
      <c r="V375" s="48">
        <f t="shared" si="24"/>
        <v>359</v>
      </c>
      <c r="W375" s="49">
        <f t="shared" si="25"/>
        <v>0.3088803089</v>
      </c>
      <c r="X375" s="49">
        <f t="shared" si="26"/>
        <v>0.3861003861</v>
      </c>
      <c r="Y375" s="49">
        <f t="shared" si="27"/>
        <v>0.305019305</v>
      </c>
      <c r="Z375" s="32" t="str">
        <f t="shared" si="28"/>
        <v>Milton</v>
      </c>
      <c r="AA375" s="50"/>
    </row>
    <row r="376">
      <c r="A376" s="110" t="s">
        <v>99</v>
      </c>
      <c r="B376" s="46" t="s">
        <v>544</v>
      </c>
      <c r="C376" s="47"/>
      <c r="D376" s="38">
        <v>149.0</v>
      </c>
      <c r="E376" s="38">
        <v>91.0</v>
      </c>
      <c r="F376" s="38">
        <v>96.0</v>
      </c>
      <c r="G376" s="38">
        <v>6.0</v>
      </c>
      <c r="H376" s="38">
        <v>9.0</v>
      </c>
      <c r="I376" s="48">
        <f t="shared" si="17"/>
        <v>336</v>
      </c>
      <c r="J376" s="48">
        <f t="shared" si="18"/>
        <v>351</v>
      </c>
      <c r="K376" s="49">
        <f t="shared" si="19"/>
        <v>0.443452381</v>
      </c>
      <c r="L376" s="49">
        <f t="shared" si="20"/>
        <v>0.2708333333</v>
      </c>
      <c r="M376" s="49">
        <f t="shared" si="21"/>
        <v>0.2857142857</v>
      </c>
      <c r="N376" s="32" t="str">
        <f t="shared" si="22"/>
        <v>Jânio</v>
      </c>
      <c r="O376" s="50"/>
      <c r="P376" s="38">
        <v>77.0</v>
      </c>
      <c r="Q376" s="38">
        <v>103.0</v>
      </c>
      <c r="R376" s="38">
        <v>87.0</v>
      </c>
      <c r="S376" s="38">
        <v>76.0</v>
      </c>
      <c r="T376" s="38">
        <v>8.0</v>
      </c>
      <c r="U376" s="48">
        <f t="shared" si="23"/>
        <v>267</v>
      </c>
      <c r="V376" s="48">
        <f t="shared" si="24"/>
        <v>351</v>
      </c>
      <c r="W376" s="49">
        <f t="shared" si="25"/>
        <v>0.2883895131</v>
      </c>
      <c r="X376" s="49">
        <f t="shared" si="26"/>
        <v>0.3857677903</v>
      </c>
      <c r="Y376" s="49">
        <f t="shared" si="27"/>
        <v>0.3258426966</v>
      </c>
      <c r="Z376" s="32" t="str">
        <f t="shared" si="28"/>
        <v>Milton</v>
      </c>
      <c r="AA376" s="50"/>
    </row>
    <row r="377">
      <c r="A377" s="110" t="s">
        <v>99</v>
      </c>
      <c r="B377" s="46" t="s">
        <v>324</v>
      </c>
      <c r="C377" s="47"/>
      <c r="D377" s="38">
        <v>170.0</v>
      </c>
      <c r="E377" s="38">
        <v>93.0</v>
      </c>
      <c r="F377" s="38">
        <v>77.0</v>
      </c>
      <c r="G377" s="38">
        <v>2.0</v>
      </c>
      <c r="H377" s="38">
        <v>8.0</v>
      </c>
      <c r="I377" s="48">
        <f t="shared" si="17"/>
        <v>340</v>
      </c>
      <c r="J377" s="48">
        <f t="shared" si="18"/>
        <v>350</v>
      </c>
      <c r="K377" s="49">
        <f t="shared" si="19"/>
        <v>0.5</v>
      </c>
      <c r="L377" s="49">
        <f t="shared" si="20"/>
        <v>0.2735294118</v>
      </c>
      <c r="M377" s="49">
        <f t="shared" si="21"/>
        <v>0.2264705882</v>
      </c>
      <c r="N377" s="32" t="str">
        <f t="shared" si="22"/>
        <v>Jânio</v>
      </c>
      <c r="O377" s="50"/>
      <c r="P377" s="38">
        <v>73.0</v>
      </c>
      <c r="Q377" s="38">
        <v>129.0</v>
      </c>
      <c r="R377" s="38">
        <v>59.0</v>
      </c>
      <c r="S377" s="38">
        <v>82.0</v>
      </c>
      <c r="T377" s="38">
        <v>7.0</v>
      </c>
      <c r="U377" s="48">
        <f t="shared" si="23"/>
        <v>261</v>
      </c>
      <c r="V377" s="48">
        <f t="shared" si="24"/>
        <v>350</v>
      </c>
      <c r="W377" s="49">
        <f t="shared" si="25"/>
        <v>0.2796934866</v>
      </c>
      <c r="X377" s="49">
        <f t="shared" si="26"/>
        <v>0.4942528736</v>
      </c>
      <c r="Y377" s="49">
        <f t="shared" si="27"/>
        <v>0.2260536398</v>
      </c>
      <c r="Z377" s="32" t="str">
        <f t="shared" si="28"/>
        <v>Milton</v>
      </c>
      <c r="AA377" s="50"/>
    </row>
    <row r="378">
      <c r="A378" s="110" t="s">
        <v>99</v>
      </c>
      <c r="B378" s="46" t="s">
        <v>145</v>
      </c>
      <c r="C378" s="47"/>
      <c r="D378" s="38">
        <v>181.0</v>
      </c>
      <c r="E378" s="38">
        <v>84.0</v>
      </c>
      <c r="F378" s="38">
        <v>61.0</v>
      </c>
      <c r="G378" s="38">
        <v>6.0</v>
      </c>
      <c r="H378" s="38">
        <v>12.0</v>
      </c>
      <c r="I378" s="48">
        <f t="shared" si="17"/>
        <v>326</v>
      </c>
      <c r="J378" s="48">
        <f t="shared" si="18"/>
        <v>344</v>
      </c>
      <c r="K378" s="49">
        <f t="shared" si="19"/>
        <v>0.5552147239</v>
      </c>
      <c r="L378" s="49">
        <f t="shared" si="20"/>
        <v>0.2576687117</v>
      </c>
      <c r="M378" s="49">
        <f t="shared" si="21"/>
        <v>0.1871165644</v>
      </c>
      <c r="N378" s="32" t="str">
        <f t="shared" si="22"/>
        <v>Jânio</v>
      </c>
      <c r="O378" s="50"/>
      <c r="P378" s="38">
        <v>78.0</v>
      </c>
      <c r="Q378" s="38">
        <v>147.0</v>
      </c>
      <c r="R378" s="38">
        <v>61.0</v>
      </c>
      <c r="S378" s="38">
        <v>55.0</v>
      </c>
      <c r="T378" s="38">
        <v>3.0</v>
      </c>
      <c r="U378" s="48">
        <f t="shared" si="23"/>
        <v>286</v>
      </c>
      <c r="V378" s="48">
        <f t="shared" si="24"/>
        <v>344</v>
      </c>
      <c r="W378" s="49">
        <f t="shared" si="25"/>
        <v>0.2727272727</v>
      </c>
      <c r="X378" s="49">
        <f t="shared" si="26"/>
        <v>0.513986014</v>
      </c>
      <c r="Y378" s="49">
        <f t="shared" si="27"/>
        <v>0.2132867133</v>
      </c>
      <c r="Z378" s="32" t="str">
        <f t="shared" si="28"/>
        <v>Milton</v>
      </c>
      <c r="AA378" s="50"/>
    </row>
    <row r="379">
      <c r="A379" s="110" t="s">
        <v>99</v>
      </c>
      <c r="B379" s="46" t="s">
        <v>304</v>
      </c>
      <c r="C379" s="47"/>
      <c r="D379" s="38">
        <v>132.0</v>
      </c>
      <c r="E379" s="38">
        <v>119.0</v>
      </c>
      <c r="F379" s="38">
        <v>101.0</v>
      </c>
      <c r="G379" s="38">
        <v>12.0</v>
      </c>
      <c r="H379" s="38">
        <v>5.0</v>
      </c>
      <c r="I379" s="48">
        <f t="shared" si="17"/>
        <v>352</v>
      </c>
      <c r="J379" s="48">
        <f t="shared" si="18"/>
        <v>369</v>
      </c>
      <c r="K379" s="49">
        <f t="shared" si="19"/>
        <v>0.375</v>
      </c>
      <c r="L379" s="49">
        <f t="shared" si="20"/>
        <v>0.3380681818</v>
      </c>
      <c r="M379" s="49">
        <f t="shared" si="21"/>
        <v>0.2869318182</v>
      </c>
      <c r="N379" s="32" t="str">
        <f t="shared" si="22"/>
        <v>Jânio</v>
      </c>
      <c r="O379" s="50"/>
      <c r="P379" s="38">
        <v>101.0</v>
      </c>
      <c r="Q379" s="38">
        <v>94.0</v>
      </c>
      <c r="R379" s="38">
        <v>69.0</v>
      </c>
      <c r="S379" s="38">
        <v>103.0</v>
      </c>
      <c r="T379" s="38">
        <v>2.0</v>
      </c>
      <c r="U379" s="48">
        <f t="shared" si="23"/>
        <v>264</v>
      </c>
      <c r="V379" s="48">
        <f t="shared" si="24"/>
        <v>369</v>
      </c>
      <c r="W379" s="49">
        <f t="shared" si="25"/>
        <v>0.3825757576</v>
      </c>
      <c r="X379" s="49">
        <f t="shared" si="26"/>
        <v>0.3560606061</v>
      </c>
      <c r="Y379" s="49">
        <f t="shared" si="27"/>
        <v>0.2613636364</v>
      </c>
      <c r="Z379" s="32" t="str">
        <f t="shared" si="28"/>
        <v>Jango</v>
      </c>
      <c r="AA379" s="50"/>
    </row>
    <row r="380">
      <c r="A380" s="110" t="s">
        <v>104</v>
      </c>
      <c r="B380" s="46" t="s">
        <v>218</v>
      </c>
      <c r="C380" s="47"/>
      <c r="D380" s="38">
        <v>142.0</v>
      </c>
      <c r="E380" s="38">
        <v>111.0</v>
      </c>
      <c r="F380" s="38">
        <v>94.0</v>
      </c>
      <c r="G380" s="38">
        <v>9.0</v>
      </c>
      <c r="H380" s="38">
        <v>2.0</v>
      </c>
      <c r="I380" s="48">
        <f t="shared" si="17"/>
        <v>347</v>
      </c>
      <c r="J380" s="48">
        <f t="shared" si="18"/>
        <v>358</v>
      </c>
      <c r="K380" s="49">
        <f t="shared" si="19"/>
        <v>0.409221902</v>
      </c>
      <c r="L380" s="49">
        <f t="shared" si="20"/>
        <v>0.3198847262</v>
      </c>
      <c r="M380" s="49">
        <f t="shared" si="21"/>
        <v>0.2708933718</v>
      </c>
      <c r="N380" s="32" t="str">
        <f t="shared" si="22"/>
        <v>Jânio</v>
      </c>
      <c r="O380" s="50"/>
      <c r="P380" s="38">
        <v>102.0</v>
      </c>
      <c r="Q380" s="38">
        <v>93.0</v>
      </c>
      <c r="R380" s="38">
        <v>84.0</v>
      </c>
      <c r="S380" s="38">
        <v>76.0</v>
      </c>
      <c r="T380" s="38">
        <v>3.0</v>
      </c>
      <c r="U380" s="48">
        <f t="shared" si="23"/>
        <v>279</v>
      </c>
      <c r="V380" s="48">
        <f t="shared" si="24"/>
        <v>358</v>
      </c>
      <c r="W380" s="49">
        <f t="shared" si="25"/>
        <v>0.3655913978</v>
      </c>
      <c r="X380" s="49">
        <f t="shared" si="26"/>
        <v>0.3333333333</v>
      </c>
      <c r="Y380" s="49">
        <f t="shared" si="27"/>
        <v>0.3010752688</v>
      </c>
      <c r="Z380" s="32" t="str">
        <f t="shared" si="28"/>
        <v>Jango</v>
      </c>
      <c r="AA380" s="50"/>
    </row>
    <row r="381">
      <c r="A381" s="110" t="s">
        <v>104</v>
      </c>
      <c r="B381" s="46" t="s">
        <v>518</v>
      </c>
      <c r="C381" s="47"/>
      <c r="D381" s="38">
        <v>158.0</v>
      </c>
      <c r="E381" s="38">
        <v>111.0</v>
      </c>
      <c r="F381" s="38">
        <v>89.0</v>
      </c>
      <c r="G381" s="38">
        <v>15.0</v>
      </c>
      <c r="H381" s="38">
        <v>5.0</v>
      </c>
      <c r="I381" s="48">
        <f t="shared" si="17"/>
        <v>358</v>
      </c>
      <c r="J381" s="48">
        <f t="shared" si="18"/>
        <v>378</v>
      </c>
      <c r="K381" s="49">
        <f t="shared" si="19"/>
        <v>0.4413407821</v>
      </c>
      <c r="L381" s="49">
        <f t="shared" si="20"/>
        <v>0.3100558659</v>
      </c>
      <c r="M381" s="49">
        <f t="shared" si="21"/>
        <v>0.248603352</v>
      </c>
      <c r="N381" s="32" t="str">
        <f t="shared" si="22"/>
        <v>Jânio</v>
      </c>
      <c r="O381" s="50"/>
      <c r="P381" s="38">
        <v>86.0</v>
      </c>
      <c r="Q381" s="38">
        <v>102.0</v>
      </c>
      <c r="R381" s="38">
        <v>98.0</v>
      </c>
      <c r="S381" s="38">
        <v>85.0</v>
      </c>
      <c r="T381" s="38">
        <v>7.0</v>
      </c>
      <c r="U381" s="48">
        <f t="shared" si="23"/>
        <v>286</v>
      </c>
      <c r="V381" s="48">
        <f t="shared" si="24"/>
        <v>378</v>
      </c>
      <c r="W381" s="49">
        <f t="shared" si="25"/>
        <v>0.3006993007</v>
      </c>
      <c r="X381" s="49">
        <f t="shared" si="26"/>
        <v>0.3566433566</v>
      </c>
      <c r="Y381" s="49">
        <f t="shared" si="27"/>
        <v>0.3426573427</v>
      </c>
      <c r="Z381" s="32" t="str">
        <f t="shared" si="28"/>
        <v>Milton</v>
      </c>
      <c r="AA381" s="50"/>
    </row>
    <row r="382">
      <c r="A382" s="110" t="s">
        <v>104</v>
      </c>
      <c r="B382" s="46" t="s">
        <v>522</v>
      </c>
      <c r="C382" s="47"/>
      <c r="D382" s="38">
        <v>144.0</v>
      </c>
      <c r="E382" s="38">
        <v>94.0</v>
      </c>
      <c r="F382" s="38">
        <v>114.0</v>
      </c>
      <c r="G382" s="38">
        <v>5.0</v>
      </c>
      <c r="H382" s="38">
        <v>7.0</v>
      </c>
      <c r="I382" s="48">
        <f t="shared" si="17"/>
        <v>352</v>
      </c>
      <c r="J382" s="48">
        <f t="shared" si="18"/>
        <v>364</v>
      </c>
      <c r="K382" s="49">
        <f t="shared" si="19"/>
        <v>0.4090909091</v>
      </c>
      <c r="L382" s="49">
        <f t="shared" si="20"/>
        <v>0.2670454545</v>
      </c>
      <c r="M382" s="49">
        <f t="shared" si="21"/>
        <v>0.3238636364</v>
      </c>
      <c r="N382" s="32" t="str">
        <f t="shared" si="22"/>
        <v>Jânio</v>
      </c>
      <c r="O382" s="50"/>
      <c r="P382" s="38">
        <v>82.0</v>
      </c>
      <c r="Q382" s="38">
        <v>99.0</v>
      </c>
      <c r="R382" s="38">
        <v>91.0</v>
      </c>
      <c r="S382" s="38">
        <v>85.0</v>
      </c>
      <c r="T382" s="38">
        <v>7.0</v>
      </c>
      <c r="U382" s="48">
        <f t="shared" si="23"/>
        <v>272</v>
      </c>
      <c r="V382" s="48">
        <f t="shared" si="24"/>
        <v>364</v>
      </c>
      <c r="W382" s="49">
        <f t="shared" si="25"/>
        <v>0.3014705882</v>
      </c>
      <c r="X382" s="49">
        <f t="shared" si="26"/>
        <v>0.3639705882</v>
      </c>
      <c r="Y382" s="49">
        <f t="shared" si="27"/>
        <v>0.3345588235</v>
      </c>
      <c r="Z382" s="32" t="str">
        <f t="shared" si="28"/>
        <v>Milton</v>
      </c>
      <c r="AA382" s="50"/>
    </row>
    <row r="383">
      <c r="A383" s="110" t="s">
        <v>104</v>
      </c>
      <c r="B383" s="46" t="s">
        <v>542</v>
      </c>
      <c r="C383" s="47"/>
      <c r="D383" s="38">
        <v>99.0</v>
      </c>
      <c r="E383" s="38">
        <v>129.0</v>
      </c>
      <c r="F383" s="38">
        <v>123.0</v>
      </c>
      <c r="G383" s="38">
        <v>12.0</v>
      </c>
      <c r="H383" s="38">
        <v>7.0</v>
      </c>
      <c r="I383" s="48">
        <f t="shared" si="17"/>
        <v>351</v>
      </c>
      <c r="J383" s="48">
        <f t="shared" si="18"/>
        <v>370</v>
      </c>
      <c r="K383" s="49">
        <f t="shared" si="19"/>
        <v>0.2820512821</v>
      </c>
      <c r="L383" s="49">
        <f t="shared" si="20"/>
        <v>0.3675213675</v>
      </c>
      <c r="M383" s="49">
        <f t="shared" si="21"/>
        <v>0.3504273504</v>
      </c>
      <c r="N383" s="32" t="str">
        <f t="shared" si="22"/>
        <v>Mal. Lott</v>
      </c>
      <c r="O383" s="50"/>
      <c r="P383" s="38">
        <v>104.0</v>
      </c>
      <c r="Q383" s="38">
        <v>69.0</v>
      </c>
      <c r="R383" s="38">
        <v>102.0</v>
      </c>
      <c r="S383" s="38">
        <v>87.0</v>
      </c>
      <c r="T383" s="38">
        <v>8.0</v>
      </c>
      <c r="U383" s="48">
        <f t="shared" si="23"/>
        <v>275</v>
      </c>
      <c r="V383" s="48">
        <f t="shared" si="24"/>
        <v>370</v>
      </c>
      <c r="W383" s="49">
        <f t="shared" si="25"/>
        <v>0.3781818182</v>
      </c>
      <c r="X383" s="49">
        <f t="shared" si="26"/>
        <v>0.2509090909</v>
      </c>
      <c r="Y383" s="49">
        <f t="shared" si="27"/>
        <v>0.3709090909</v>
      </c>
      <c r="Z383" s="32" t="str">
        <f t="shared" si="28"/>
        <v>Jango</v>
      </c>
      <c r="AA383" s="50"/>
    </row>
    <row r="384">
      <c r="A384" s="110" t="s">
        <v>104</v>
      </c>
      <c r="B384" s="46" t="s">
        <v>324</v>
      </c>
      <c r="C384" s="47"/>
      <c r="D384" s="38">
        <v>151.0</v>
      </c>
      <c r="E384" s="38">
        <v>107.0</v>
      </c>
      <c r="F384" s="38">
        <v>25.0</v>
      </c>
      <c r="G384" s="38">
        <v>9.0</v>
      </c>
      <c r="H384" s="38">
        <v>3.0</v>
      </c>
      <c r="I384" s="48">
        <f t="shared" si="17"/>
        <v>283</v>
      </c>
      <c r="J384" s="48">
        <f t="shared" si="18"/>
        <v>295</v>
      </c>
      <c r="K384" s="49">
        <f t="shared" si="19"/>
        <v>0.5335689046</v>
      </c>
      <c r="L384" s="49">
        <f t="shared" si="20"/>
        <v>0.3780918728</v>
      </c>
      <c r="M384" s="49">
        <f t="shared" si="21"/>
        <v>0.08833922261</v>
      </c>
      <c r="N384" s="32" t="str">
        <f t="shared" si="22"/>
        <v>Jânio</v>
      </c>
      <c r="O384" s="50"/>
      <c r="P384" s="38">
        <v>98.0</v>
      </c>
      <c r="Q384" s="38">
        <v>87.0</v>
      </c>
      <c r="R384" s="38">
        <v>82.0</v>
      </c>
      <c r="S384" s="38">
        <v>96.0</v>
      </c>
      <c r="T384" s="38">
        <v>2.0</v>
      </c>
      <c r="U384" s="48">
        <f t="shared" si="23"/>
        <v>267</v>
      </c>
      <c r="V384" s="48">
        <f t="shared" si="24"/>
        <v>365</v>
      </c>
      <c r="W384" s="49">
        <f t="shared" si="25"/>
        <v>0.3670411985</v>
      </c>
      <c r="X384" s="49">
        <f t="shared" si="26"/>
        <v>0.3258426966</v>
      </c>
      <c r="Y384" s="49">
        <f t="shared" si="27"/>
        <v>0.3071161049</v>
      </c>
      <c r="Z384" s="32" t="str">
        <f t="shared" si="28"/>
        <v>Jango</v>
      </c>
      <c r="AA384" s="50"/>
    </row>
    <row r="385">
      <c r="A385" s="110" t="s">
        <v>104</v>
      </c>
      <c r="B385" s="46" t="s">
        <v>554</v>
      </c>
      <c r="C385" s="47"/>
      <c r="D385" s="38">
        <v>105.0</v>
      </c>
      <c r="E385" s="38">
        <v>116.0</v>
      </c>
      <c r="F385" s="38">
        <v>135.0</v>
      </c>
      <c r="G385" s="38">
        <v>15.0</v>
      </c>
      <c r="H385" s="38">
        <v>1.0</v>
      </c>
      <c r="I385" s="48">
        <f t="shared" si="17"/>
        <v>356</v>
      </c>
      <c r="J385" s="48">
        <f t="shared" si="18"/>
        <v>372</v>
      </c>
      <c r="K385" s="49">
        <f t="shared" si="19"/>
        <v>0.2949438202</v>
      </c>
      <c r="L385" s="49">
        <f t="shared" si="20"/>
        <v>0.3258426966</v>
      </c>
      <c r="M385" s="49">
        <f t="shared" si="21"/>
        <v>0.3792134831</v>
      </c>
      <c r="N385" s="32" t="str">
        <f t="shared" si="22"/>
        <v>Adhemar</v>
      </c>
      <c r="O385" s="50"/>
      <c r="P385" s="38">
        <v>111.0</v>
      </c>
      <c r="Q385" s="38">
        <v>57.0</v>
      </c>
      <c r="R385" s="38">
        <v>98.0</v>
      </c>
      <c r="S385" s="38">
        <v>105.0</v>
      </c>
      <c r="T385" s="38">
        <v>1.0</v>
      </c>
      <c r="U385" s="48">
        <f t="shared" si="23"/>
        <v>266</v>
      </c>
      <c r="V385" s="48">
        <f t="shared" si="24"/>
        <v>372</v>
      </c>
      <c r="W385" s="49">
        <f t="shared" si="25"/>
        <v>0.4172932331</v>
      </c>
      <c r="X385" s="49">
        <f t="shared" si="26"/>
        <v>0.2142857143</v>
      </c>
      <c r="Y385" s="49">
        <f t="shared" si="27"/>
        <v>0.3684210526</v>
      </c>
      <c r="Z385" s="32" t="str">
        <f t="shared" si="28"/>
        <v>Jango</v>
      </c>
      <c r="AA385" s="50"/>
    </row>
    <row r="386">
      <c r="A386" s="110" t="s">
        <v>104</v>
      </c>
      <c r="B386" s="46" t="s">
        <v>327</v>
      </c>
      <c r="C386" s="47"/>
      <c r="D386" s="38">
        <v>138.0</v>
      </c>
      <c r="E386" s="38">
        <v>114.0</v>
      </c>
      <c r="F386" s="38">
        <v>96.0</v>
      </c>
      <c r="G386" s="38">
        <v>9.0</v>
      </c>
      <c r="H386" s="38">
        <v>7.0</v>
      </c>
      <c r="I386" s="48">
        <f t="shared" si="17"/>
        <v>348</v>
      </c>
      <c r="J386" s="48">
        <f t="shared" si="18"/>
        <v>364</v>
      </c>
      <c r="K386" s="49">
        <f t="shared" si="19"/>
        <v>0.3965517241</v>
      </c>
      <c r="L386" s="49">
        <f t="shared" si="20"/>
        <v>0.3275862069</v>
      </c>
      <c r="M386" s="49">
        <f t="shared" si="21"/>
        <v>0.275862069</v>
      </c>
      <c r="N386" s="32" t="str">
        <f t="shared" si="22"/>
        <v>Jânio</v>
      </c>
      <c r="O386" s="50"/>
      <c r="P386" s="38">
        <v>95.0</v>
      </c>
      <c r="Q386" s="38">
        <v>113.0</v>
      </c>
      <c r="R386" s="38">
        <v>85.0</v>
      </c>
      <c r="S386" s="38">
        <v>67.0</v>
      </c>
      <c r="T386" s="38">
        <v>4.0</v>
      </c>
      <c r="U386" s="48">
        <f t="shared" si="23"/>
        <v>293</v>
      </c>
      <c r="V386" s="48">
        <f t="shared" si="24"/>
        <v>364</v>
      </c>
      <c r="W386" s="49">
        <f t="shared" si="25"/>
        <v>0.3242320819</v>
      </c>
      <c r="X386" s="49">
        <f t="shared" si="26"/>
        <v>0.385665529</v>
      </c>
      <c r="Y386" s="49">
        <f t="shared" si="27"/>
        <v>0.2901023891</v>
      </c>
      <c r="Z386" s="32" t="str">
        <f t="shared" si="28"/>
        <v>Milton</v>
      </c>
      <c r="AA386" s="50"/>
    </row>
    <row r="387">
      <c r="A387" s="110" t="s">
        <v>107</v>
      </c>
      <c r="B387" s="46" t="s">
        <v>3243</v>
      </c>
      <c r="C387" s="47"/>
      <c r="D387" s="38">
        <v>128.0</v>
      </c>
      <c r="E387" s="38">
        <v>110.0</v>
      </c>
      <c r="F387" s="38">
        <v>112.0</v>
      </c>
      <c r="G387" s="38">
        <v>14.0</v>
      </c>
      <c r="H387" s="38">
        <v>3.0</v>
      </c>
      <c r="I387" s="48">
        <f t="shared" si="17"/>
        <v>350</v>
      </c>
      <c r="J387" s="48">
        <f t="shared" si="18"/>
        <v>367</v>
      </c>
      <c r="K387" s="49">
        <f t="shared" si="19"/>
        <v>0.3657142857</v>
      </c>
      <c r="L387" s="49">
        <f t="shared" si="20"/>
        <v>0.3142857143</v>
      </c>
      <c r="M387" s="49">
        <f t="shared" si="21"/>
        <v>0.32</v>
      </c>
      <c r="N387" s="32" t="str">
        <f t="shared" si="22"/>
        <v>Jânio</v>
      </c>
      <c r="O387" s="50"/>
      <c r="P387" s="38">
        <v>108.0</v>
      </c>
      <c r="Q387" s="38">
        <v>80.0</v>
      </c>
      <c r="R387" s="38">
        <v>95.0</v>
      </c>
      <c r="S387" s="38">
        <v>81.0</v>
      </c>
      <c r="T387" s="38">
        <v>3.0</v>
      </c>
      <c r="U387" s="48">
        <f t="shared" si="23"/>
        <v>283</v>
      </c>
      <c r="V387" s="48">
        <f t="shared" si="24"/>
        <v>367</v>
      </c>
      <c r="W387" s="49">
        <f t="shared" si="25"/>
        <v>0.3816254417</v>
      </c>
      <c r="X387" s="49">
        <f t="shared" si="26"/>
        <v>0.2826855124</v>
      </c>
      <c r="Y387" s="49">
        <f t="shared" si="27"/>
        <v>0.3356890459</v>
      </c>
      <c r="Z387" s="32" t="str">
        <f t="shared" si="28"/>
        <v>Jango</v>
      </c>
      <c r="AA387" s="50"/>
    </row>
    <row r="388">
      <c r="A388" s="110" t="s">
        <v>107</v>
      </c>
      <c r="B388" s="46" t="s">
        <v>2964</v>
      </c>
      <c r="C388" s="47"/>
      <c r="D388" s="38">
        <v>125.0</v>
      </c>
      <c r="E388" s="38">
        <v>96.0</v>
      </c>
      <c r="F388" s="38">
        <v>124.0</v>
      </c>
      <c r="G388" s="38">
        <v>20.0</v>
      </c>
      <c r="H388" s="38">
        <v>4.0</v>
      </c>
      <c r="I388" s="48">
        <f t="shared" si="17"/>
        <v>345</v>
      </c>
      <c r="J388" s="48">
        <f t="shared" si="18"/>
        <v>369</v>
      </c>
      <c r="K388" s="49">
        <f t="shared" si="19"/>
        <v>0.3623188406</v>
      </c>
      <c r="L388" s="49">
        <f t="shared" si="20"/>
        <v>0.2782608696</v>
      </c>
      <c r="M388" s="49">
        <f t="shared" si="21"/>
        <v>0.3594202899</v>
      </c>
      <c r="N388" s="32" t="str">
        <f t="shared" si="22"/>
        <v>Jânio</v>
      </c>
      <c r="O388" s="50"/>
      <c r="P388" s="38">
        <v>102.0</v>
      </c>
      <c r="Q388" s="38">
        <v>84.0</v>
      </c>
      <c r="R388" s="38">
        <v>75.0</v>
      </c>
      <c r="S388" s="38">
        <v>95.0</v>
      </c>
      <c r="T388" s="38">
        <v>3.0</v>
      </c>
      <c r="U388" s="48">
        <f t="shared" si="23"/>
        <v>261</v>
      </c>
      <c r="V388" s="48">
        <f t="shared" si="24"/>
        <v>359</v>
      </c>
      <c r="W388" s="49">
        <f t="shared" si="25"/>
        <v>0.3908045977</v>
      </c>
      <c r="X388" s="49">
        <f t="shared" si="26"/>
        <v>0.3218390805</v>
      </c>
      <c r="Y388" s="49">
        <f t="shared" si="27"/>
        <v>0.2873563218</v>
      </c>
      <c r="Z388" s="32" t="str">
        <f t="shared" si="28"/>
        <v>Jango</v>
      </c>
      <c r="AA388" s="50"/>
    </row>
    <row r="389">
      <c r="A389" s="110" t="s">
        <v>107</v>
      </c>
      <c r="B389" s="46" t="s">
        <v>3076</v>
      </c>
      <c r="C389" s="47"/>
      <c r="D389" s="38">
        <v>104.0</v>
      </c>
      <c r="E389" s="38">
        <v>86.0</v>
      </c>
      <c r="F389" s="38">
        <v>115.0</v>
      </c>
      <c r="G389" s="38">
        <v>8.0</v>
      </c>
      <c r="H389" s="38">
        <v>6.0</v>
      </c>
      <c r="I389" s="48">
        <f t="shared" si="17"/>
        <v>305</v>
      </c>
      <c r="J389" s="48">
        <f t="shared" si="18"/>
        <v>319</v>
      </c>
      <c r="K389" s="49">
        <f t="shared" si="19"/>
        <v>0.3409836066</v>
      </c>
      <c r="L389" s="49">
        <f t="shared" si="20"/>
        <v>0.2819672131</v>
      </c>
      <c r="M389" s="49">
        <f t="shared" si="21"/>
        <v>0.3770491803</v>
      </c>
      <c r="N389" s="32" t="str">
        <f t="shared" si="22"/>
        <v>Adhemar</v>
      </c>
      <c r="O389" s="50"/>
      <c r="P389" s="38">
        <v>73.0</v>
      </c>
      <c r="Q389" s="38">
        <v>67.0</v>
      </c>
      <c r="R389" s="38">
        <v>93.0</v>
      </c>
      <c r="S389" s="38">
        <v>60.0</v>
      </c>
      <c r="T389" s="38">
        <v>6.0</v>
      </c>
      <c r="U389" s="48">
        <f t="shared" si="23"/>
        <v>233</v>
      </c>
      <c r="V389" s="48">
        <f t="shared" si="24"/>
        <v>299</v>
      </c>
      <c r="W389" s="49">
        <f t="shared" si="25"/>
        <v>0.313304721</v>
      </c>
      <c r="X389" s="49">
        <f t="shared" si="26"/>
        <v>0.2875536481</v>
      </c>
      <c r="Y389" s="49">
        <f t="shared" si="27"/>
        <v>0.3991416309</v>
      </c>
      <c r="Z389" s="32" t="str">
        <f t="shared" si="28"/>
        <v>Ferrari</v>
      </c>
      <c r="AA389" s="50"/>
    </row>
    <row r="390">
      <c r="A390" s="110" t="s">
        <v>107</v>
      </c>
      <c r="B390" s="46" t="s">
        <v>3244</v>
      </c>
      <c r="C390" s="47"/>
      <c r="D390" s="38">
        <v>145.0</v>
      </c>
      <c r="E390" s="38">
        <v>106.0</v>
      </c>
      <c r="F390" s="38">
        <v>99.0</v>
      </c>
      <c r="G390" s="38">
        <v>18.0</v>
      </c>
      <c r="H390" s="38">
        <v>8.0</v>
      </c>
      <c r="I390" s="48">
        <f t="shared" si="17"/>
        <v>350</v>
      </c>
      <c r="J390" s="48">
        <f t="shared" si="18"/>
        <v>376</v>
      </c>
      <c r="K390" s="49">
        <f t="shared" si="19"/>
        <v>0.4142857143</v>
      </c>
      <c r="L390" s="49">
        <f t="shared" si="20"/>
        <v>0.3028571429</v>
      </c>
      <c r="M390" s="49">
        <f t="shared" si="21"/>
        <v>0.2828571429</v>
      </c>
      <c r="N390" s="32" t="str">
        <f t="shared" si="22"/>
        <v>Jânio</v>
      </c>
      <c r="O390" s="50"/>
      <c r="P390" s="38">
        <v>89.0</v>
      </c>
      <c r="Q390" s="38">
        <v>96.0</v>
      </c>
      <c r="R390" s="38">
        <v>81.0</v>
      </c>
      <c r="S390" s="38">
        <v>105.0</v>
      </c>
      <c r="T390" s="38">
        <v>5.0</v>
      </c>
      <c r="U390" s="48">
        <f t="shared" si="23"/>
        <v>266</v>
      </c>
      <c r="V390" s="48">
        <f t="shared" si="24"/>
        <v>376</v>
      </c>
      <c r="W390" s="49">
        <f t="shared" si="25"/>
        <v>0.3345864662</v>
      </c>
      <c r="X390" s="49">
        <f t="shared" si="26"/>
        <v>0.3609022556</v>
      </c>
      <c r="Y390" s="49">
        <f t="shared" si="27"/>
        <v>0.3045112782</v>
      </c>
      <c r="Z390" s="32" t="str">
        <f t="shared" si="28"/>
        <v>Milton</v>
      </c>
      <c r="AA390" s="50"/>
    </row>
    <row r="391">
      <c r="A391" s="110" t="s">
        <v>107</v>
      </c>
      <c r="B391" s="46" t="s">
        <v>3245</v>
      </c>
      <c r="C391" s="47"/>
      <c r="D391" s="38">
        <v>124.0</v>
      </c>
      <c r="E391" s="38">
        <v>93.0</v>
      </c>
      <c r="F391" s="38">
        <v>121.0</v>
      </c>
      <c r="G391" s="38">
        <v>16.0</v>
      </c>
      <c r="H391" s="38">
        <v>8.0</v>
      </c>
      <c r="I391" s="48">
        <f t="shared" si="17"/>
        <v>338</v>
      </c>
      <c r="J391" s="48">
        <f t="shared" si="18"/>
        <v>362</v>
      </c>
      <c r="K391" s="49">
        <f t="shared" si="19"/>
        <v>0.3668639053</v>
      </c>
      <c r="L391" s="49">
        <f t="shared" si="20"/>
        <v>0.275147929</v>
      </c>
      <c r="M391" s="49">
        <f t="shared" si="21"/>
        <v>0.3579881657</v>
      </c>
      <c r="N391" s="32" t="str">
        <f t="shared" si="22"/>
        <v>Jânio</v>
      </c>
      <c r="O391" s="50"/>
      <c r="P391" s="38">
        <v>75.0</v>
      </c>
      <c r="Q391" s="38">
        <v>82.0</v>
      </c>
      <c r="R391" s="38">
        <v>77.0</v>
      </c>
      <c r="S391" s="38">
        <v>120.0</v>
      </c>
      <c r="T391" s="38">
        <v>8.0</v>
      </c>
      <c r="U391" s="48">
        <f t="shared" si="23"/>
        <v>234</v>
      </c>
      <c r="V391" s="48">
        <f t="shared" si="24"/>
        <v>362</v>
      </c>
      <c r="W391" s="49">
        <f t="shared" si="25"/>
        <v>0.3205128205</v>
      </c>
      <c r="X391" s="49">
        <f t="shared" si="26"/>
        <v>0.3504273504</v>
      </c>
      <c r="Y391" s="49">
        <f t="shared" si="27"/>
        <v>0.3290598291</v>
      </c>
      <c r="Z391" s="32" t="str">
        <f t="shared" si="28"/>
        <v>Milton</v>
      </c>
      <c r="AA391" s="50"/>
    </row>
    <row r="392">
      <c r="A392" s="110" t="s">
        <v>107</v>
      </c>
      <c r="B392" s="46" t="s">
        <v>3246</v>
      </c>
      <c r="C392" s="47"/>
      <c r="D392" s="38">
        <v>132.0</v>
      </c>
      <c r="E392" s="38">
        <v>87.0</v>
      </c>
      <c r="F392" s="38">
        <v>119.0</v>
      </c>
      <c r="G392" s="38">
        <v>6.0</v>
      </c>
      <c r="H392" s="38">
        <v>8.0</v>
      </c>
      <c r="I392" s="48">
        <f t="shared" si="17"/>
        <v>338</v>
      </c>
      <c r="J392" s="48">
        <f t="shared" si="18"/>
        <v>352</v>
      </c>
      <c r="K392" s="49">
        <f t="shared" si="19"/>
        <v>0.3905325444</v>
      </c>
      <c r="L392" s="49">
        <f t="shared" si="20"/>
        <v>0.2573964497</v>
      </c>
      <c r="M392" s="49">
        <f t="shared" si="21"/>
        <v>0.3520710059</v>
      </c>
      <c r="N392" s="32" t="str">
        <f t="shared" si="22"/>
        <v>Jânio</v>
      </c>
      <c r="O392" s="50"/>
      <c r="P392" s="38">
        <v>80.0</v>
      </c>
      <c r="Q392" s="38">
        <v>92.0</v>
      </c>
      <c r="R392" s="38">
        <v>90.0</v>
      </c>
      <c r="S392" s="38">
        <v>79.0</v>
      </c>
      <c r="T392" s="38">
        <v>11.0</v>
      </c>
      <c r="U392" s="48">
        <f t="shared" si="23"/>
        <v>262</v>
      </c>
      <c r="V392" s="48">
        <f t="shared" si="24"/>
        <v>352</v>
      </c>
      <c r="W392" s="49">
        <f t="shared" si="25"/>
        <v>0.3053435115</v>
      </c>
      <c r="X392" s="49">
        <f t="shared" si="26"/>
        <v>0.3511450382</v>
      </c>
      <c r="Y392" s="49">
        <f t="shared" si="27"/>
        <v>0.3435114504</v>
      </c>
      <c r="Z392" s="32" t="str">
        <f t="shared" si="28"/>
        <v>Milton</v>
      </c>
      <c r="AA392" s="50"/>
    </row>
    <row r="393">
      <c r="A393" s="110" t="s">
        <v>107</v>
      </c>
      <c r="B393" s="46" t="s">
        <v>3247</v>
      </c>
      <c r="C393" s="47"/>
      <c r="D393" s="38">
        <v>112.0</v>
      </c>
      <c r="E393" s="38">
        <v>100.0</v>
      </c>
      <c r="F393" s="38">
        <v>112.0</v>
      </c>
      <c r="G393" s="38">
        <v>18.0</v>
      </c>
      <c r="H393" s="38">
        <v>13.0</v>
      </c>
      <c r="I393" s="48">
        <f t="shared" si="17"/>
        <v>324</v>
      </c>
      <c r="J393" s="48">
        <f t="shared" si="18"/>
        <v>355</v>
      </c>
      <c r="K393" s="49">
        <f t="shared" si="19"/>
        <v>0.3456790123</v>
      </c>
      <c r="L393" s="49">
        <f t="shared" si="20"/>
        <v>0.3086419753</v>
      </c>
      <c r="M393" s="49">
        <f t="shared" si="21"/>
        <v>0.3456790123</v>
      </c>
      <c r="N393" s="32" t="str">
        <f t="shared" si="22"/>
        <v>Empate</v>
      </c>
      <c r="O393" s="50"/>
      <c r="P393" s="38">
        <v>95.0</v>
      </c>
      <c r="Q393" s="38">
        <v>76.0</v>
      </c>
      <c r="R393" s="38">
        <v>78.0</v>
      </c>
      <c r="S393" s="38">
        <v>101.0</v>
      </c>
      <c r="T393" s="38">
        <v>5.0</v>
      </c>
      <c r="U393" s="48">
        <f t="shared" si="23"/>
        <v>249</v>
      </c>
      <c r="V393" s="48">
        <f t="shared" si="24"/>
        <v>355</v>
      </c>
      <c r="W393" s="49">
        <f t="shared" si="25"/>
        <v>0.3815261044</v>
      </c>
      <c r="X393" s="49">
        <f t="shared" si="26"/>
        <v>0.3052208835</v>
      </c>
      <c r="Y393" s="49">
        <f t="shared" si="27"/>
        <v>0.313253012</v>
      </c>
      <c r="Z393" s="32" t="str">
        <f t="shared" si="28"/>
        <v>Jango</v>
      </c>
      <c r="AA393" s="50"/>
    </row>
    <row r="394">
      <c r="A394" s="110" t="s">
        <v>107</v>
      </c>
      <c r="B394" s="46" t="s">
        <v>3248</v>
      </c>
      <c r="C394" s="47"/>
      <c r="D394" s="38">
        <v>112.0</v>
      </c>
      <c r="E394" s="38">
        <v>108.0</v>
      </c>
      <c r="F394" s="38">
        <v>138.0</v>
      </c>
      <c r="G394" s="38">
        <v>11.0</v>
      </c>
      <c r="H394" s="38">
        <v>7.0</v>
      </c>
      <c r="I394" s="48">
        <f t="shared" si="17"/>
        <v>358</v>
      </c>
      <c r="J394" s="48">
        <f t="shared" si="18"/>
        <v>376</v>
      </c>
      <c r="K394" s="49">
        <f t="shared" si="19"/>
        <v>0.312849162</v>
      </c>
      <c r="L394" s="49">
        <f t="shared" si="20"/>
        <v>0.3016759777</v>
      </c>
      <c r="M394" s="49">
        <f t="shared" si="21"/>
        <v>0.3854748603</v>
      </c>
      <c r="N394" s="32" t="str">
        <f t="shared" si="22"/>
        <v>Adhemar</v>
      </c>
      <c r="O394" s="50"/>
      <c r="P394" s="38">
        <v>91.0</v>
      </c>
      <c r="Q394" s="38">
        <v>83.0</v>
      </c>
      <c r="R394" s="38">
        <v>99.0</v>
      </c>
      <c r="S394" s="38">
        <v>97.0</v>
      </c>
      <c r="T394" s="38">
        <v>6.0</v>
      </c>
      <c r="U394" s="48">
        <f t="shared" si="23"/>
        <v>273</v>
      </c>
      <c r="V394" s="48">
        <f t="shared" si="24"/>
        <v>376</v>
      </c>
      <c r="W394" s="49">
        <f t="shared" si="25"/>
        <v>0.3333333333</v>
      </c>
      <c r="X394" s="49">
        <f t="shared" si="26"/>
        <v>0.304029304</v>
      </c>
      <c r="Y394" s="49">
        <f t="shared" si="27"/>
        <v>0.3626373626</v>
      </c>
      <c r="Z394" s="32" t="str">
        <f t="shared" si="28"/>
        <v>Ferrari</v>
      </c>
      <c r="AA394" s="50"/>
    </row>
    <row r="395">
      <c r="A395" s="110" t="s">
        <v>107</v>
      </c>
      <c r="B395" s="46" t="s">
        <v>2991</v>
      </c>
      <c r="C395" s="47"/>
      <c r="D395" s="38">
        <v>132.0</v>
      </c>
      <c r="E395" s="38">
        <v>88.0</v>
      </c>
      <c r="F395" s="38">
        <v>111.0</v>
      </c>
      <c r="G395" s="38">
        <v>24.0</v>
      </c>
      <c r="H395" s="38">
        <v>7.0</v>
      </c>
      <c r="I395" s="48">
        <f t="shared" si="17"/>
        <v>331</v>
      </c>
      <c r="J395" s="48">
        <f t="shared" si="18"/>
        <v>362</v>
      </c>
      <c r="K395" s="49">
        <f t="shared" si="19"/>
        <v>0.3987915408</v>
      </c>
      <c r="L395" s="49">
        <f t="shared" si="20"/>
        <v>0.2658610272</v>
      </c>
      <c r="M395" s="49">
        <f t="shared" si="21"/>
        <v>0.335347432</v>
      </c>
      <c r="N395" s="32" t="str">
        <f t="shared" si="22"/>
        <v>Jânio</v>
      </c>
      <c r="O395" s="50"/>
      <c r="P395" s="38">
        <v>92.0</v>
      </c>
      <c r="Q395" s="38">
        <v>81.0</v>
      </c>
      <c r="R395" s="38">
        <v>83.0</v>
      </c>
      <c r="S395" s="38">
        <v>102.0</v>
      </c>
      <c r="T395" s="38">
        <v>4.0</v>
      </c>
      <c r="U395" s="48">
        <f t="shared" si="23"/>
        <v>256</v>
      </c>
      <c r="V395" s="48">
        <f t="shared" si="24"/>
        <v>362</v>
      </c>
      <c r="W395" s="49">
        <f t="shared" si="25"/>
        <v>0.359375</v>
      </c>
      <c r="X395" s="49">
        <f t="shared" si="26"/>
        <v>0.31640625</v>
      </c>
      <c r="Y395" s="49">
        <f t="shared" si="27"/>
        <v>0.32421875</v>
      </c>
      <c r="Z395" s="32" t="str">
        <f t="shared" si="28"/>
        <v>Jango</v>
      </c>
      <c r="AA395" s="50"/>
    </row>
    <row r="396">
      <c r="A396" s="110" t="s">
        <v>107</v>
      </c>
      <c r="B396" s="46" t="s">
        <v>3249</v>
      </c>
      <c r="C396" s="47"/>
      <c r="D396" s="38">
        <v>112.0</v>
      </c>
      <c r="E396" s="38">
        <v>107.0</v>
      </c>
      <c r="F396" s="38">
        <v>132.0</v>
      </c>
      <c r="G396" s="38">
        <v>13.0</v>
      </c>
      <c r="H396" s="38">
        <v>10.0</v>
      </c>
      <c r="I396" s="48">
        <f t="shared" si="17"/>
        <v>351</v>
      </c>
      <c r="J396" s="48">
        <f t="shared" si="18"/>
        <v>374</v>
      </c>
      <c r="K396" s="49">
        <f t="shared" si="19"/>
        <v>0.3190883191</v>
      </c>
      <c r="L396" s="49">
        <f t="shared" si="20"/>
        <v>0.3048433048</v>
      </c>
      <c r="M396" s="49">
        <f t="shared" si="21"/>
        <v>0.3760683761</v>
      </c>
      <c r="N396" s="32" t="str">
        <f t="shared" si="22"/>
        <v>Adhemar</v>
      </c>
      <c r="O396" s="50"/>
      <c r="P396" s="38">
        <v>84.0</v>
      </c>
      <c r="Q396" s="38">
        <v>76.0</v>
      </c>
      <c r="R396" s="38">
        <v>97.0</v>
      </c>
      <c r="S396" s="38">
        <v>111.0</v>
      </c>
      <c r="T396" s="38">
        <v>6.0</v>
      </c>
      <c r="U396" s="48">
        <f t="shared" si="23"/>
        <v>257</v>
      </c>
      <c r="V396" s="48">
        <f t="shared" si="24"/>
        <v>374</v>
      </c>
      <c r="W396" s="49">
        <f t="shared" si="25"/>
        <v>0.326848249</v>
      </c>
      <c r="X396" s="49">
        <f t="shared" si="26"/>
        <v>0.2957198444</v>
      </c>
      <c r="Y396" s="49">
        <f t="shared" si="27"/>
        <v>0.3774319066</v>
      </c>
      <c r="Z396" s="32" t="str">
        <f t="shared" si="28"/>
        <v>Ferrari</v>
      </c>
      <c r="AA396" s="50"/>
    </row>
    <row r="397">
      <c r="A397" s="110" t="s">
        <v>107</v>
      </c>
      <c r="B397" s="46" t="s">
        <v>542</v>
      </c>
      <c r="C397" s="47"/>
      <c r="D397" s="38">
        <v>115.0</v>
      </c>
      <c r="E397" s="38">
        <v>118.0</v>
      </c>
      <c r="F397" s="38">
        <v>96.0</v>
      </c>
      <c r="G397" s="38">
        <v>20.0</v>
      </c>
      <c r="H397" s="38">
        <v>10.0</v>
      </c>
      <c r="I397" s="48">
        <f t="shared" si="17"/>
        <v>329</v>
      </c>
      <c r="J397" s="48">
        <f t="shared" si="18"/>
        <v>359</v>
      </c>
      <c r="K397" s="49">
        <f t="shared" si="19"/>
        <v>0.3495440729</v>
      </c>
      <c r="L397" s="49">
        <f t="shared" si="20"/>
        <v>0.358662614</v>
      </c>
      <c r="M397" s="49">
        <f t="shared" si="21"/>
        <v>0.2917933131</v>
      </c>
      <c r="N397" s="32" t="str">
        <f t="shared" si="22"/>
        <v>Mal. Lott</v>
      </c>
      <c r="O397" s="50"/>
      <c r="P397" s="38">
        <v>99.0</v>
      </c>
      <c r="Q397" s="38">
        <v>74.0</v>
      </c>
      <c r="R397" s="38">
        <v>80.0</v>
      </c>
      <c r="S397" s="38">
        <v>94.0</v>
      </c>
      <c r="T397" s="38">
        <v>12.0</v>
      </c>
      <c r="U397" s="48">
        <f t="shared" si="23"/>
        <v>253</v>
      </c>
      <c r="V397" s="48">
        <f t="shared" si="24"/>
        <v>359</v>
      </c>
      <c r="W397" s="49">
        <f t="shared" si="25"/>
        <v>0.3913043478</v>
      </c>
      <c r="X397" s="49">
        <f t="shared" si="26"/>
        <v>0.2924901186</v>
      </c>
      <c r="Y397" s="49">
        <f t="shared" si="27"/>
        <v>0.3162055336</v>
      </c>
      <c r="Z397" s="32" t="str">
        <f t="shared" si="28"/>
        <v>Jango</v>
      </c>
      <c r="AA397" s="50"/>
    </row>
    <row r="398">
      <c r="A398" s="110" t="s">
        <v>107</v>
      </c>
      <c r="B398" s="46" t="s">
        <v>3003</v>
      </c>
      <c r="C398" s="47"/>
      <c r="D398" s="38">
        <v>112.0</v>
      </c>
      <c r="E398" s="38">
        <v>100.0</v>
      </c>
      <c r="F398" s="38">
        <v>112.0</v>
      </c>
      <c r="G398" s="38">
        <v>18.0</v>
      </c>
      <c r="H398" s="38">
        <v>13.0</v>
      </c>
      <c r="I398" s="48">
        <f t="shared" si="17"/>
        <v>324</v>
      </c>
      <c r="J398" s="48">
        <f t="shared" si="18"/>
        <v>355</v>
      </c>
      <c r="K398" s="49">
        <f t="shared" si="19"/>
        <v>0.3456790123</v>
      </c>
      <c r="L398" s="49">
        <f t="shared" si="20"/>
        <v>0.3086419753</v>
      </c>
      <c r="M398" s="49">
        <f t="shared" si="21"/>
        <v>0.3456790123</v>
      </c>
      <c r="N398" s="32" t="str">
        <f t="shared" si="22"/>
        <v>Empate</v>
      </c>
      <c r="O398" s="50"/>
      <c r="P398" s="38">
        <v>95.0</v>
      </c>
      <c r="Q398" s="38">
        <v>76.0</v>
      </c>
      <c r="R398" s="38">
        <v>78.0</v>
      </c>
      <c r="S398" s="38">
        <v>111.0</v>
      </c>
      <c r="T398" s="38">
        <v>5.0</v>
      </c>
      <c r="U398" s="48">
        <f t="shared" si="23"/>
        <v>249</v>
      </c>
      <c r="V398" s="48">
        <f t="shared" si="24"/>
        <v>365</v>
      </c>
      <c r="W398" s="49">
        <f t="shared" si="25"/>
        <v>0.3815261044</v>
      </c>
      <c r="X398" s="49">
        <f t="shared" si="26"/>
        <v>0.3052208835</v>
      </c>
      <c r="Y398" s="49">
        <f t="shared" si="27"/>
        <v>0.313253012</v>
      </c>
      <c r="Z398" s="32" t="str">
        <f t="shared" si="28"/>
        <v>Jango</v>
      </c>
      <c r="AA398" s="50"/>
    </row>
    <row r="399">
      <c r="A399" s="110" t="s">
        <v>107</v>
      </c>
      <c r="B399" s="46" t="s">
        <v>3250</v>
      </c>
      <c r="C399" s="47"/>
      <c r="D399" s="38">
        <v>130.0</v>
      </c>
      <c r="E399" s="38">
        <v>69.0</v>
      </c>
      <c r="F399" s="38">
        <v>139.0</v>
      </c>
      <c r="G399" s="38">
        <v>15.0</v>
      </c>
      <c r="H399" s="38">
        <v>5.0</v>
      </c>
      <c r="I399" s="48">
        <f t="shared" si="17"/>
        <v>338</v>
      </c>
      <c r="J399" s="48">
        <f t="shared" si="18"/>
        <v>358</v>
      </c>
      <c r="K399" s="49">
        <f t="shared" si="19"/>
        <v>0.3846153846</v>
      </c>
      <c r="L399" s="49">
        <f t="shared" si="20"/>
        <v>0.2041420118</v>
      </c>
      <c r="M399" s="49">
        <f t="shared" si="21"/>
        <v>0.4112426036</v>
      </c>
      <c r="N399" s="32" t="str">
        <f t="shared" si="22"/>
        <v>Adhemar</v>
      </c>
      <c r="O399" s="50"/>
      <c r="P399" s="38">
        <v>52.0</v>
      </c>
      <c r="Q399" s="38">
        <v>83.0</v>
      </c>
      <c r="R399" s="38">
        <v>101.0</v>
      </c>
      <c r="S399" s="38">
        <v>96.0</v>
      </c>
      <c r="T399" s="38">
        <v>6.0</v>
      </c>
      <c r="U399" s="48">
        <f t="shared" si="23"/>
        <v>236</v>
      </c>
      <c r="V399" s="48">
        <f t="shared" si="24"/>
        <v>338</v>
      </c>
      <c r="W399" s="49">
        <f t="shared" si="25"/>
        <v>0.2203389831</v>
      </c>
      <c r="X399" s="49">
        <f t="shared" si="26"/>
        <v>0.3516949153</v>
      </c>
      <c r="Y399" s="49">
        <f t="shared" si="27"/>
        <v>0.4279661017</v>
      </c>
      <c r="Z399" s="32" t="str">
        <f t="shared" si="28"/>
        <v>Ferrari</v>
      </c>
      <c r="AA399" s="50"/>
    </row>
    <row r="400">
      <c r="A400" s="110" t="s">
        <v>107</v>
      </c>
      <c r="B400" s="46" t="s">
        <v>3251</v>
      </c>
      <c r="C400" s="47"/>
      <c r="D400" s="38">
        <v>129.0</v>
      </c>
      <c r="E400" s="38">
        <v>89.0</v>
      </c>
      <c r="F400" s="38">
        <v>106.0</v>
      </c>
      <c r="G400" s="38">
        <v>3.0</v>
      </c>
      <c r="H400" s="38">
        <v>7.0</v>
      </c>
      <c r="I400" s="48">
        <f t="shared" si="17"/>
        <v>324</v>
      </c>
      <c r="J400" s="48">
        <f t="shared" si="18"/>
        <v>334</v>
      </c>
      <c r="K400" s="49">
        <f t="shared" si="19"/>
        <v>0.3981481481</v>
      </c>
      <c r="L400" s="49">
        <f t="shared" si="20"/>
        <v>0.274691358</v>
      </c>
      <c r="M400" s="49">
        <f t="shared" si="21"/>
        <v>0.3271604938</v>
      </c>
      <c r="N400" s="32" t="str">
        <f t="shared" si="22"/>
        <v>Jânio</v>
      </c>
      <c r="O400" s="50"/>
      <c r="P400" s="38">
        <v>74.0</v>
      </c>
      <c r="Q400" s="38">
        <v>88.0</v>
      </c>
      <c r="R400" s="38">
        <v>84.0</v>
      </c>
      <c r="S400" s="38">
        <v>81.0</v>
      </c>
      <c r="T400" s="38">
        <v>7.0</v>
      </c>
      <c r="U400" s="48">
        <f t="shared" si="23"/>
        <v>246</v>
      </c>
      <c r="V400" s="48">
        <f t="shared" si="24"/>
        <v>334</v>
      </c>
      <c r="W400" s="49">
        <f t="shared" si="25"/>
        <v>0.3008130081</v>
      </c>
      <c r="X400" s="49">
        <f t="shared" si="26"/>
        <v>0.3577235772</v>
      </c>
      <c r="Y400" s="49">
        <f t="shared" si="27"/>
        <v>0.3414634146</v>
      </c>
      <c r="Z400" s="32" t="str">
        <f t="shared" si="28"/>
        <v>Milton</v>
      </c>
      <c r="AA400" s="50"/>
    </row>
    <row r="401">
      <c r="A401" s="110" t="s">
        <v>107</v>
      </c>
      <c r="B401" s="46" t="s">
        <v>3252</v>
      </c>
      <c r="C401" s="47"/>
      <c r="D401" s="38">
        <v>111.0</v>
      </c>
      <c r="E401" s="38">
        <v>103.0</v>
      </c>
      <c r="F401" s="38">
        <v>128.0</v>
      </c>
      <c r="G401" s="38">
        <v>10.0</v>
      </c>
      <c r="H401" s="38">
        <v>6.0</v>
      </c>
      <c r="I401" s="48">
        <f t="shared" si="17"/>
        <v>342</v>
      </c>
      <c r="J401" s="48">
        <f t="shared" si="18"/>
        <v>358</v>
      </c>
      <c r="K401" s="49">
        <f t="shared" si="19"/>
        <v>0.3245614035</v>
      </c>
      <c r="L401" s="49">
        <f t="shared" si="20"/>
        <v>0.3011695906</v>
      </c>
      <c r="M401" s="49">
        <f t="shared" si="21"/>
        <v>0.3742690058</v>
      </c>
      <c r="N401" s="32" t="str">
        <f t="shared" si="22"/>
        <v>Adhemar</v>
      </c>
      <c r="O401" s="50"/>
      <c r="P401" s="38">
        <v>77.0</v>
      </c>
      <c r="Q401" s="38">
        <v>82.0</v>
      </c>
      <c r="R401" s="38">
        <v>103.0</v>
      </c>
      <c r="S401" s="38">
        <v>91.0</v>
      </c>
      <c r="T401" s="38">
        <v>5.0</v>
      </c>
      <c r="U401" s="48">
        <f t="shared" si="23"/>
        <v>262</v>
      </c>
      <c r="V401" s="48">
        <f t="shared" si="24"/>
        <v>358</v>
      </c>
      <c r="W401" s="49">
        <f t="shared" si="25"/>
        <v>0.2938931298</v>
      </c>
      <c r="X401" s="49">
        <f t="shared" si="26"/>
        <v>0.3129770992</v>
      </c>
      <c r="Y401" s="49">
        <f t="shared" si="27"/>
        <v>0.393129771</v>
      </c>
      <c r="Z401" s="32" t="str">
        <f t="shared" si="28"/>
        <v>Ferrari</v>
      </c>
      <c r="AA401" s="50"/>
    </row>
    <row r="402">
      <c r="A402" s="110" t="s">
        <v>107</v>
      </c>
      <c r="B402" s="46" t="s">
        <v>3253</v>
      </c>
      <c r="C402" s="47"/>
      <c r="D402" s="38">
        <v>165.0</v>
      </c>
      <c r="E402" s="38">
        <v>97.0</v>
      </c>
      <c r="F402" s="38">
        <v>97.0</v>
      </c>
      <c r="G402" s="38">
        <v>3.0</v>
      </c>
      <c r="H402" s="38">
        <v>5.0</v>
      </c>
      <c r="I402" s="48">
        <f t="shared" si="17"/>
        <v>359</v>
      </c>
      <c r="J402" s="48">
        <f t="shared" si="18"/>
        <v>367</v>
      </c>
      <c r="K402" s="49">
        <f t="shared" si="19"/>
        <v>0.4596100279</v>
      </c>
      <c r="L402" s="49">
        <f t="shared" si="20"/>
        <v>0.2701949861</v>
      </c>
      <c r="M402" s="49">
        <f t="shared" si="21"/>
        <v>0.2701949861</v>
      </c>
      <c r="N402" s="32" t="str">
        <f t="shared" si="22"/>
        <v>Jânio</v>
      </c>
      <c r="O402" s="50"/>
      <c r="P402" s="38">
        <v>79.0</v>
      </c>
      <c r="Q402" s="38">
        <v>103.0</v>
      </c>
      <c r="R402" s="38">
        <v>108.0</v>
      </c>
      <c r="S402" s="38">
        <v>62.0</v>
      </c>
      <c r="T402" s="38">
        <v>5.0</v>
      </c>
      <c r="U402" s="48">
        <f t="shared" si="23"/>
        <v>290</v>
      </c>
      <c r="V402" s="48">
        <f t="shared" si="24"/>
        <v>357</v>
      </c>
      <c r="W402" s="49">
        <f t="shared" si="25"/>
        <v>0.2724137931</v>
      </c>
      <c r="X402" s="49">
        <f t="shared" si="26"/>
        <v>0.3551724138</v>
      </c>
      <c r="Y402" s="49">
        <f t="shared" si="27"/>
        <v>0.3724137931</v>
      </c>
      <c r="Z402" s="32" t="str">
        <f t="shared" si="28"/>
        <v>Ferrari</v>
      </c>
      <c r="AA402" s="50"/>
    </row>
    <row r="403">
      <c r="A403" s="110" t="s">
        <v>107</v>
      </c>
      <c r="B403" s="46" t="s">
        <v>3254</v>
      </c>
      <c r="C403" s="47"/>
      <c r="D403" s="38">
        <v>106.0</v>
      </c>
      <c r="E403" s="38">
        <v>87.0</v>
      </c>
      <c r="F403" s="38">
        <v>157.0</v>
      </c>
      <c r="G403" s="38">
        <v>4.0</v>
      </c>
      <c r="H403" s="38">
        <v>6.0</v>
      </c>
      <c r="I403" s="48">
        <f t="shared" si="17"/>
        <v>350</v>
      </c>
      <c r="J403" s="48">
        <f t="shared" si="18"/>
        <v>360</v>
      </c>
      <c r="K403" s="49">
        <f t="shared" si="19"/>
        <v>0.3028571429</v>
      </c>
      <c r="L403" s="49">
        <f t="shared" si="20"/>
        <v>0.2485714286</v>
      </c>
      <c r="M403" s="49">
        <f t="shared" si="21"/>
        <v>0.4485714286</v>
      </c>
      <c r="N403" s="32" t="str">
        <f t="shared" si="22"/>
        <v>Adhemar</v>
      </c>
      <c r="O403" s="50"/>
      <c r="P403" s="38">
        <v>96.0</v>
      </c>
      <c r="Q403" s="38">
        <v>85.0</v>
      </c>
      <c r="R403" s="38">
        <v>84.0</v>
      </c>
      <c r="S403" s="38">
        <v>89.0</v>
      </c>
      <c r="T403" s="38">
        <v>6.0</v>
      </c>
      <c r="U403" s="48">
        <f t="shared" si="23"/>
        <v>265</v>
      </c>
      <c r="V403" s="48">
        <f t="shared" si="24"/>
        <v>360</v>
      </c>
      <c r="W403" s="49">
        <f t="shared" si="25"/>
        <v>0.3622641509</v>
      </c>
      <c r="X403" s="49">
        <f t="shared" si="26"/>
        <v>0.320754717</v>
      </c>
      <c r="Y403" s="49">
        <f t="shared" si="27"/>
        <v>0.3169811321</v>
      </c>
      <c r="Z403" s="32" t="str">
        <f t="shared" si="28"/>
        <v>Jango</v>
      </c>
      <c r="AA403" s="50"/>
    </row>
    <row r="404">
      <c r="A404" s="110" t="s">
        <v>107</v>
      </c>
      <c r="B404" s="46" t="s">
        <v>3255</v>
      </c>
      <c r="C404" s="47"/>
      <c r="D404" s="38">
        <v>133.0</v>
      </c>
      <c r="E404" s="38">
        <v>102.0</v>
      </c>
      <c r="F404" s="38">
        <v>113.0</v>
      </c>
      <c r="G404" s="38">
        <v>2.0</v>
      </c>
      <c r="H404" s="38">
        <v>2.0</v>
      </c>
      <c r="I404" s="48">
        <f t="shared" si="17"/>
        <v>348</v>
      </c>
      <c r="J404" s="48">
        <f t="shared" si="18"/>
        <v>352</v>
      </c>
      <c r="K404" s="49">
        <f t="shared" si="19"/>
        <v>0.382183908</v>
      </c>
      <c r="L404" s="49">
        <f t="shared" si="20"/>
        <v>0.2931034483</v>
      </c>
      <c r="M404" s="49">
        <f t="shared" si="21"/>
        <v>0.3247126437</v>
      </c>
      <c r="N404" s="32" t="str">
        <f t="shared" si="22"/>
        <v>Jânio</v>
      </c>
      <c r="O404" s="50"/>
      <c r="P404" s="38">
        <v>82.0</v>
      </c>
      <c r="Q404" s="38">
        <v>103.0</v>
      </c>
      <c r="R404" s="38">
        <v>109.0</v>
      </c>
      <c r="S404" s="38">
        <v>56.0</v>
      </c>
      <c r="T404" s="38">
        <v>2.0</v>
      </c>
      <c r="U404" s="48">
        <f t="shared" si="23"/>
        <v>294</v>
      </c>
      <c r="V404" s="48">
        <f t="shared" si="24"/>
        <v>352</v>
      </c>
      <c r="W404" s="49">
        <f t="shared" si="25"/>
        <v>0.2789115646</v>
      </c>
      <c r="X404" s="49">
        <f t="shared" si="26"/>
        <v>0.3503401361</v>
      </c>
      <c r="Y404" s="49">
        <f t="shared" si="27"/>
        <v>0.3707482993</v>
      </c>
      <c r="Z404" s="32" t="str">
        <f t="shared" si="28"/>
        <v>Ferrari</v>
      </c>
      <c r="AA404" s="50"/>
    </row>
    <row r="405">
      <c r="A405" s="110" t="s">
        <v>107</v>
      </c>
      <c r="B405" s="46" t="s">
        <v>3256</v>
      </c>
      <c r="C405" s="47"/>
      <c r="D405" s="38">
        <v>111.0</v>
      </c>
      <c r="E405" s="38">
        <v>117.0</v>
      </c>
      <c r="F405" s="38">
        <v>98.0</v>
      </c>
      <c r="G405" s="38">
        <v>8.0</v>
      </c>
      <c r="H405" s="38">
        <v>14.0</v>
      </c>
      <c r="I405" s="48">
        <f t="shared" si="17"/>
        <v>326</v>
      </c>
      <c r="J405" s="48">
        <f t="shared" si="18"/>
        <v>348</v>
      </c>
      <c r="K405" s="49">
        <f t="shared" si="19"/>
        <v>0.3404907975</v>
      </c>
      <c r="L405" s="49">
        <f t="shared" si="20"/>
        <v>0.3588957055</v>
      </c>
      <c r="M405" s="49">
        <f t="shared" si="21"/>
        <v>0.3006134969</v>
      </c>
      <c r="N405" s="32" t="str">
        <f t="shared" si="22"/>
        <v>Mal. Lott</v>
      </c>
      <c r="O405" s="50"/>
      <c r="P405" s="38">
        <v>89.0</v>
      </c>
      <c r="Q405" s="38">
        <v>75.0</v>
      </c>
      <c r="R405" s="38">
        <v>75.0</v>
      </c>
      <c r="S405" s="38">
        <v>93.0</v>
      </c>
      <c r="T405" s="38">
        <v>16.0</v>
      </c>
      <c r="U405" s="48">
        <f t="shared" si="23"/>
        <v>239</v>
      </c>
      <c r="V405" s="48">
        <f t="shared" si="24"/>
        <v>348</v>
      </c>
      <c r="W405" s="49">
        <f t="shared" si="25"/>
        <v>0.3723849372</v>
      </c>
      <c r="X405" s="49">
        <f t="shared" si="26"/>
        <v>0.3138075314</v>
      </c>
      <c r="Y405" s="49">
        <f t="shared" si="27"/>
        <v>0.3138075314</v>
      </c>
      <c r="Z405" s="32" t="str">
        <f t="shared" si="28"/>
        <v>Jango</v>
      </c>
      <c r="AA405" s="50"/>
    </row>
    <row r="406">
      <c r="A406" s="110" t="s">
        <v>111</v>
      </c>
      <c r="B406" s="46" t="s">
        <v>3257</v>
      </c>
      <c r="C406" s="47"/>
      <c r="D406" s="38">
        <v>89.0</v>
      </c>
      <c r="E406" s="38">
        <v>86.0</v>
      </c>
      <c r="F406" s="38">
        <v>114.0</v>
      </c>
      <c r="G406" s="38">
        <v>8.0</v>
      </c>
      <c r="H406" s="38">
        <v>3.0</v>
      </c>
      <c r="I406" s="48">
        <f t="shared" si="17"/>
        <v>289</v>
      </c>
      <c r="J406" s="48">
        <f t="shared" si="18"/>
        <v>300</v>
      </c>
      <c r="K406" s="49">
        <f t="shared" si="19"/>
        <v>0.3079584775</v>
      </c>
      <c r="L406" s="49">
        <f t="shared" si="20"/>
        <v>0.2975778547</v>
      </c>
      <c r="M406" s="49">
        <f t="shared" si="21"/>
        <v>0.3944636678</v>
      </c>
      <c r="N406" s="32" t="str">
        <f t="shared" si="22"/>
        <v>Adhemar</v>
      </c>
      <c r="O406" s="50"/>
      <c r="P406" s="38">
        <v>87.0</v>
      </c>
      <c r="Q406" s="38">
        <v>48.0</v>
      </c>
      <c r="R406" s="38">
        <v>72.0</v>
      </c>
      <c r="S406" s="38">
        <v>89.0</v>
      </c>
      <c r="T406" s="38">
        <v>0.0</v>
      </c>
      <c r="U406" s="48">
        <f t="shared" si="23"/>
        <v>207</v>
      </c>
      <c r="V406" s="48">
        <f t="shared" si="24"/>
        <v>296</v>
      </c>
      <c r="W406" s="49">
        <f t="shared" si="25"/>
        <v>0.4202898551</v>
      </c>
      <c r="X406" s="49">
        <f t="shared" si="26"/>
        <v>0.231884058</v>
      </c>
      <c r="Y406" s="49">
        <f t="shared" si="27"/>
        <v>0.347826087</v>
      </c>
      <c r="Z406" s="32" t="str">
        <f t="shared" si="28"/>
        <v>Jango</v>
      </c>
      <c r="AA406" s="50"/>
    </row>
    <row r="407">
      <c r="A407" s="110" t="s">
        <v>111</v>
      </c>
      <c r="B407" s="46" t="s">
        <v>2958</v>
      </c>
      <c r="C407" s="47"/>
      <c r="D407" s="38">
        <v>106.0</v>
      </c>
      <c r="E407" s="38">
        <v>81.0</v>
      </c>
      <c r="F407" s="38">
        <v>113.0</v>
      </c>
      <c r="G407" s="38">
        <v>11.0</v>
      </c>
      <c r="H407" s="38">
        <v>10.0</v>
      </c>
      <c r="I407" s="48">
        <f t="shared" si="17"/>
        <v>300</v>
      </c>
      <c r="J407" s="48">
        <f t="shared" si="18"/>
        <v>321</v>
      </c>
      <c r="K407" s="49">
        <f t="shared" si="19"/>
        <v>0.3533333333</v>
      </c>
      <c r="L407" s="49">
        <f t="shared" si="20"/>
        <v>0.27</v>
      </c>
      <c r="M407" s="49">
        <f t="shared" si="21"/>
        <v>0.3766666667</v>
      </c>
      <c r="N407" s="32" t="str">
        <f t="shared" si="22"/>
        <v>Adhemar</v>
      </c>
      <c r="O407" s="50"/>
      <c r="P407" s="38">
        <v>60.0</v>
      </c>
      <c r="Q407" s="38">
        <v>70.0</v>
      </c>
      <c r="R407" s="38">
        <v>89.0</v>
      </c>
      <c r="S407" s="38">
        <v>98.0</v>
      </c>
      <c r="T407" s="38">
        <v>8.0</v>
      </c>
      <c r="U407" s="48">
        <f t="shared" si="23"/>
        <v>219</v>
      </c>
      <c r="V407" s="48">
        <f t="shared" si="24"/>
        <v>325</v>
      </c>
      <c r="W407" s="49">
        <f t="shared" si="25"/>
        <v>0.2739726027</v>
      </c>
      <c r="X407" s="49">
        <f t="shared" si="26"/>
        <v>0.3196347032</v>
      </c>
      <c r="Y407" s="49">
        <f t="shared" si="27"/>
        <v>0.4063926941</v>
      </c>
      <c r="Z407" s="32" t="str">
        <f t="shared" si="28"/>
        <v>Ferrari</v>
      </c>
      <c r="AA407" s="50"/>
    </row>
    <row r="408">
      <c r="A408" s="110" t="s">
        <v>111</v>
      </c>
      <c r="B408" s="46" t="s">
        <v>554</v>
      </c>
      <c r="C408" s="47"/>
      <c r="D408" s="38">
        <v>65.0</v>
      </c>
      <c r="E408" s="38">
        <v>99.0</v>
      </c>
      <c r="F408" s="38">
        <v>103.0</v>
      </c>
      <c r="G408" s="38">
        <v>13.0</v>
      </c>
      <c r="H408" s="38">
        <v>12.0</v>
      </c>
      <c r="I408" s="48">
        <f t="shared" si="17"/>
        <v>267</v>
      </c>
      <c r="J408" s="48">
        <f t="shared" si="18"/>
        <v>292</v>
      </c>
      <c r="K408" s="49">
        <f t="shared" si="19"/>
        <v>0.2434456929</v>
      </c>
      <c r="L408" s="49">
        <f t="shared" si="20"/>
        <v>0.3707865169</v>
      </c>
      <c r="M408" s="49">
        <f t="shared" si="21"/>
        <v>0.3857677903</v>
      </c>
      <c r="N408" s="32" t="str">
        <f t="shared" si="22"/>
        <v>Adhemar</v>
      </c>
      <c r="O408" s="50"/>
      <c r="P408" s="38">
        <v>90.0</v>
      </c>
      <c r="Q408" s="38">
        <v>52.0</v>
      </c>
      <c r="R408" s="38">
        <v>77.0</v>
      </c>
      <c r="S408" s="38">
        <v>72.0</v>
      </c>
      <c r="T408" s="38">
        <v>8.0</v>
      </c>
      <c r="U408" s="48">
        <f t="shared" si="23"/>
        <v>219</v>
      </c>
      <c r="V408" s="48">
        <f t="shared" si="24"/>
        <v>299</v>
      </c>
      <c r="W408" s="49">
        <f t="shared" si="25"/>
        <v>0.4109589041</v>
      </c>
      <c r="X408" s="49">
        <f t="shared" si="26"/>
        <v>0.2374429224</v>
      </c>
      <c r="Y408" s="49">
        <f t="shared" si="27"/>
        <v>0.3515981735</v>
      </c>
      <c r="Z408" s="32" t="str">
        <f t="shared" si="28"/>
        <v>Jango</v>
      </c>
      <c r="AA408" s="50"/>
    </row>
    <row r="409">
      <c r="A409" s="110" t="s">
        <v>111</v>
      </c>
      <c r="B409" s="46" t="s">
        <v>107</v>
      </c>
      <c r="C409" s="47"/>
      <c r="D409" s="38">
        <v>60.0</v>
      </c>
      <c r="E409" s="38">
        <v>125.0</v>
      </c>
      <c r="F409" s="38">
        <v>107.0</v>
      </c>
      <c r="G409" s="38">
        <v>17.0</v>
      </c>
      <c r="H409" s="38">
        <v>7.0</v>
      </c>
      <c r="I409" s="48">
        <f t="shared" si="17"/>
        <v>292</v>
      </c>
      <c r="J409" s="48">
        <f t="shared" si="18"/>
        <v>316</v>
      </c>
      <c r="K409" s="49">
        <f t="shared" si="19"/>
        <v>0.2054794521</v>
      </c>
      <c r="L409" s="49">
        <f t="shared" si="20"/>
        <v>0.4280821918</v>
      </c>
      <c r="M409" s="49">
        <f t="shared" si="21"/>
        <v>0.3664383562</v>
      </c>
      <c r="N409" s="32" t="str">
        <f t="shared" si="22"/>
        <v>Mal. Lott</v>
      </c>
      <c r="O409" s="50"/>
      <c r="P409" s="38">
        <v>108.0</v>
      </c>
      <c r="Q409" s="38">
        <v>47.0</v>
      </c>
      <c r="R409" s="38">
        <v>82.0</v>
      </c>
      <c r="S409" s="38">
        <v>74.0</v>
      </c>
      <c r="T409" s="38">
        <v>4.0</v>
      </c>
      <c r="U409" s="48">
        <f t="shared" si="23"/>
        <v>237</v>
      </c>
      <c r="V409" s="48">
        <f t="shared" si="24"/>
        <v>315</v>
      </c>
      <c r="W409" s="49">
        <f t="shared" si="25"/>
        <v>0.4556962025</v>
      </c>
      <c r="X409" s="49">
        <f t="shared" si="26"/>
        <v>0.1983122363</v>
      </c>
      <c r="Y409" s="49">
        <f t="shared" si="27"/>
        <v>0.3459915612</v>
      </c>
      <c r="Z409" s="32" t="str">
        <f t="shared" si="28"/>
        <v>Jango</v>
      </c>
      <c r="AA409" s="50"/>
    </row>
    <row r="410">
      <c r="A410" s="110" t="s">
        <v>111</v>
      </c>
      <c r="B410" s="46" t="s">
        <v>2879</v>
      </c>
      <c r="C410" s="47"/>
      <c r="D410" s="38">
        <v>93.0</v>
      </c>
      <c r="E410" s="38">
        <v>99.0</v>
      </c>
      <c r="F410" s="38">
        <v>129.0</v>
      </c>
      <c r="G410" s="38">
        <v>17.0</v>
      </c>
      <c r="H410" s="38">
        <v>8.0</v>
      </c>
      <c r="I410" s="48">
        <f t="shared" si="17"/>
        <v>321</v>
      </c>
      <c r="J410" s="48">
        <f t="shared" si="18"/>
        <v>346</v>
      </c>
      <c r="K410" s="49">
        <f t="shared" si="19"/>
        <v>0.2897196262</v>
      </c>
      <c r="L410" s="49">
        <f t="shared" si="20"/>
        <v>0.308411215</v>
      </c>
      <c r="M410" s="49">
        <f t="shared" si="21"/>
        <v>0.4018691589</v>
      </c>
      <c r="N410" s="32" t="str">
        <f t="shared" si="22"/>
        <v>Adhemar</v>
      </c>
      <c r="O410" s="50"/>
      <c r="P410" s="38">
        <v>88.0</v>
      </c>
      <c r="Q410" s="38">
        <v>58.0</v>
      </c>
      <c r="R410" s="38">
        <v>85.0</v>
      </c>
      <c r="S410" s="38">
        <v>99.0</v>
      </c>
      <c r="T410" s="38">
        <v>16.0</v>
      </c>
      <c r="U410" s="48">
        <f t="shared" si="23"/>
        <v>231</v>
      </c>
      <c r="V410" s="48">
        <f t="shared" si="24"/>
        <v>346</v>
      </c>
      <c r="W410" s="49">
        <f t="shared" si="25"/>
        <v>0.380952381</v>
      </c>
      <c r="X410" s="49">
        <f t="shared" si="26"/>
        <v>0.2510822511</v>
      </c>
      <c r="Y410" s="49">
        <f t="shared" si="27"/>
        <v>0.367965368</v>
      </c>
      <c r="Z410" s="32" t="str">
        <f t="shared" si="28"/>
        <v>Jango</v>
      </c>
      <c r="AA410" s="50"/>
    </row>
    <row r="411">
      <c r="A411" s="110" t="s">
        <v>111</v>
      </c>
      <c r="B411" s="46" t="s">
        <v>2410</v>
      </c>
      <c r="C411" s="47"/>
      <c r="D411" s="38">
        <v>106.0</v>
      </c>
      <c r="E411" s="38">
        <v>104.0</v>
      </c>
      <c r="F411" s="38">
        <v>124.0</v>
      </c>
      <c r="G411" s="38">
        <v>4.0</v>
      </c>
      <c r="H411" s="38">
        <v>6.0</v>
      </c>
      <c r="I411" s="48">
        <f t="shared" si="17"/>
        <v>334</v>
      </c>
      <c r="J411" s="48">
        <f t="shared" si="18"/>
        <v>344</v>
      </c>
      <c r="K411" s="49">
        <f t="shared" si="19"/>
        <v>0.3173652695</v>
      </c>
      <c r="L411" s="49">
        <f t="shared" si="20"/>
        <v>0.3113772455</v>
      </c>
      <c r="M411" s="49">
        <f t="shared" si="21"/>
        <v>0.371257485</v>
      </c>
      <c r="N411" s="32" t="str">
        <f t="shared" si="22"/>
        <v>Adhemar</v>
      </c>
      <c r="O411" s="50"/>
      <c r="P411" s="38">
        <v>103.0</v>
      </c>
      <c r="Q411" s="38">
        <v>74.0</v>
      </c>
      <c r="R411" s="38">
        <v>77.0</v>
      </c>
      <c r="S411" s="38">
        <v>92.0</v>
      </c>
      <c r="T411" s="38">
        <v>5.0</v>
      </c>
      <c r="U411" s="48">
        <f t="shared" si="23"/>
        <v>254</v>
      </c>
      <c r="V411" s="48">
        <f t="shared" si="24"/>
        <v>351</v>
      </c>
      <c r="W411" s="49">
        <f t="shared" si="25"/>
        <v>0.405511811</v>
      </c>
      <c r="X411" s="49">
        <f t="shared" si="26"/>
        <v>0.2913385827</v>
      </c>
      <c r="Y411" s="49">
        <f t="shared" si="27"/>
        <v>0.3031496063</v>
      </c>
      <c r="Z411" s="32" t="str">
        <f t="shared" si="28"/>
        <v>Jango</v>
      </c>
      <c r="AA411" s="50"/>
    </row>
    <row r="412">
      <c r="A412" s="110" t="s">
        <v>111</v>
      </c>
      <c r="B412" s="46" t="s">
        <v>2494</v>
      </c>
      <c r="C412" s="47"/>
      <c r="D412" s="38">
        <v>95.0</v>
      </c>
      <c r="E412" s="38">
        <v>80.0</v>
      </c>
      <c r="F412" s="38">
        <v>99.0</v>
      </c>
      <c r="G412" s="38">
        <v>6.0</v>
      </c>
      <c r="H412" s="38">
        <v>17.0</v>
      </c>
      <c r="I412" s="48">
        <f t="shared" si="17"/>
        <v>274</v>
      </c>
      <c r="J412" s="48">
        <f t="shared" si="18"/>
        <v>297</v>
      </c>
      <c r="K412" s="49">
        <f t="shared" si="19"/>
        <v>0.3467153285</v>
      </c>
      <c r="L412" s="49">
        <f t="shared" si="20"/>
        <v>0.2919708029</v>
      </c>
      <c r="M412" s="49">
        <f t="shared" si="21"/>
        <v>0.3613138686</v>
      </c>
      <c r="N412" s="32" t="str">
        <f t="shared" si="22"/>
        <v>Adhemar</v>
      </c>
      <c r="O412" s="50"/>
      <c r="P412" s="38">
        <v>72.0</v>
      </c>
      <c r="Q412" s="38">
        <v>68.0</v>
      </c>
      <c r="R412" s="38">
        <v>67.0</v>
      </c>
      <c r="S412" s="38">
        <v>67.0</v>
      </c>
      <c r="T412" s="38">
        <v>23.0</v>
      </c>
      <c r="U412" s="48">
        <f t="shared" si="23"/>
        <v>207</v>
      </c>
      <c r="V412" s="48">
        <f t="shared" si="24"/>
        <v>297</v>
      </c>
      <c r="W412" s="49">
        <f t="shared" si="25"/>
        <v>0.347826087</v>
      </c>
      <c r="X412" s="49">
        <f t="shared" si="26"/>
        <v>0.3285024155</v>
      </c>
      <c r="Y412" s="49">
        <f t="shared" si="27"/>
        <v>0.3236714976</v>
      </c>
      <c r="Z412" s="32" t="str">
        <f t="shared" si="28"/>
        <v>Jango</v>
      </c>
      <c r="AA412" s="50"/>
    </row>
    <row r="413">
      <c r="A413" s="110" t="s">
        <v>111</v>
      </c>
      <c r="B413" s="46" t="s">
        <v>856</v>
      </c>
      <c r="C413" s="47"/>
      <c r="D413" s="38">
        <v>53.0</v>
      </c>
      <c r="E413" s="38">
        <v>76.0</v>
      </c>
      <c r="F413" s="38">
        <v>163.0</v>
      </c>
      <c r="G413" s="38">
        <v>20.0</v>
      </c>
      <c r="H413" s="38">
        <v>8.0</v>
      </c>
      <c r="I413" s="48">
        <f t="shared" si="17"/>
        <v>292</v>
      </c>
      <c r="J413" s="48">
        <f t="shared" si="18"/>
        <v>320</v>
      </c>
      <c r="K413" s="49">
        <f t="shared" si="19"/>
        <v>0.1815068493</v>
      </c>
      <c r="L413" s="49">
        <f t="shared" si="20"/>
        <v>0.2602739726</v>
      </c>
      <c r="M413" s="49">
        <f t="shared" si="21"/>
        <v>0.5582191781</v>
      </c>
      <c r="N413" s="32" t="str">
        <f t="shared" si="22"/>
        <v>Adhemar</v>
      </c>
      <c r="O413" s="50"/>
      <c r="P413" s="38">
        <v>87.0</v>
      </c>
      <c r="Q413" s="38">
        <v>41.0</v>
      </c>
      <c r="R413" s="38">
        <v>100.0</v>
      </c>
      <c r="S413" s="38">
        <v>87.0</v>
      </c>
      <c r="T413" s="38">
        <v>5.0</v>
      </c>
      <c r="U413" s="48">
        <f t="shared" si="23"/>
        <v>228</v>
      </c>
      <c r="V413" s="48">
        <f t="shared" si="24"/>
        <v>320</v>
      </c>
      <c r="W413" s="49">
        <f t="shared" si="25"/>
        <v>0.3815789474</v>
      </c>
      <c r="X413" s="49">
        <f t="shared" si="26"/>
        <v>0.1798245614</v>
      </c>
      <c r="Y413" s="49">
        <f t="shared" si="27"/>
        <v>0.4385964912</v>
      </c>
      <c r="Z413" s="32" t="str">
        <f t="shared" si="28"/>
        <v>Ferrari</v>
      </c>
      <c r="AA413" s="50"/>
    </row>
    <row r="414">
      <c r="A414" s="110" t="s">
        <v>111</v>
      </c>
      <c r="B414" s="46" t="s">
        <v>2873</v>
      </c>
      <c r="C414" s="47"/>
      <c r="D414" s="38">
        <v>85.0</v>
      </c>
      <c r="E414" s="38">
        <v>73.0</v>
      </c>
      <c r="F414" s="38">
        <v>142.0</v>
      </c>
      <c r="G414" s="38">
        <v>12.0</v>
      </c>
      <c r="H414" s="38">
        <v>4.0</v>
      </c>
      <c r="I414" s="48">
        <f t="shared" si="17"/>
        <v>300</v>
      </c>
      <c r="J414" s="48">
        <f t="shared" si="18"/>
        <v>316</v>
      </c>
      <c r="K414" s="49">
        <f t="shared" si="19"/>
        <v>0.2833333333</v>
      </c>
      <c r="L414" s="49">
        <f t="shared" si="20"/>
        <v>0.2433333333</v>
      </c>
      <c r="M414" s="49">
        <f t="shared" si="21"/>
        <v>0.4733333333</v>
      </c>
      <c r="N414" s="32" t="str">
        <f t="shared" si="22"/>
        <v>Adhemar</v>
      </c>
      <c r="O414" s="50"/>
      <c r="P414" s="38">
        <v>80.0</v>
      </c>
      <c r="Q414" s="38">
        <v>56.0</v>
      </c>
      <c r="R414" s="38">
        <v>98.0</v>
      </c>
      <c r="S414" s="38">
        <v>80.0</v>
      </c>
      <c r="T414" s="38">
        <v>2.0</v>
      </c>
      <c r="U414" s="48">
        <f t="shared" si="23"/>
        <v>234</v>
      </c>
      <c r="V414" s="48">
        <f t="shared" si="24"/>
        <v>316</v>
      </c>
      <c r="W414" s="49">
        <f t="shared" si="25"/>
        <v>0.3418803419</v>
      </c>
      <c r="X414" s="49">
        <f t="shared" si="26"/>
        <v>0.2393162393</v>
      </c>
      <c r="Y414" s="49">
        <f t="shared" si="27"/>
        <v>0.4188034188</v>
      </c>
      <c r="Z414" s="32" t="str">
        <f t="shared" si="28"/>
        <v>Ferrari</v>
      </c>
      <c r="AA414" s="50"/>
    </row>
    <row r="415">
      <c r="A415" s="110" t="s">
        <v>111</v>
      </c>
      <c r="B415" s="46" t="s">
        <v>2504</v>
      </c>
      <c r="C415" s="47"/>
      <c r="D415" s="38">
        <v>93.0</v>
      </c>
      <c r="E415" s="38">
        <v>110.0</v>
      </c>
      <c r="F415" s="38">
        <v>138.0</v>
      </c>
      <c r="G415" s="38">
        <v>10.0</v>
      </c>
      <c r="H415" s="38">
        <v>4.0</v>
      </c>
      <c r="I415" s="48">
        <f t="shared" si="17"/>
        <v>341</v>
      </c>
      <c r="J415" s="48">
        <f t="shared" si="18"/>
        <v>355</v>
      </c>
      <c r="K415" s="49">
        <f t="shared" si="19"/>
        <v>0.2727272727</v>
      </c>
      <c r="L415" s="49">
        <f t="shared" si="20"/>
        <v>0.3225806452</v>
      </c>
      <c r="M415" s="49">
        <f t="shared" si="21"/>
        <v>0.4046920821</v>
      </c>
      <c r="N415" s="32" t="str">
        <f t="shared" si="22"/>
        <v>Adhemar</v>
      </c>
      <c r="O415" s="50"/>
      <c r="P415" s="38">
        <v>83.0</v>
      </c>
      <c r="Q415" s="38">
        <v>73.0</v>
      </c>
      <c r="R415" s="38">
        <v>99.0</v>
      </c>
      <c r="S415" s="38">
        <v>96.0</v>
      </c>
      <c r="T415" s="38">
        <v>4.0</v>
      </c>
      <c r="U415" s="48">
        <f t="shared" si="23"/>
        <v>255</v>
      </c>
      <c r="V415" s="48">
        <f t="shared" si="24"/>
        <v>355</v>
      </c>
      <c r="W415" s="49">
        <f t="shared" si="25"/>
        <v>0.3254901961</v>
      </c>
      <c r="X415" s="49">
        <f t="shared" si="26"/>
        <v>0.2862745098</v>
      </c>
      <c r="Y415" s="49">
        <f t="shared" si="27"/>
        <v>0.3882352941</v>
      </c>
      <c r="Z415" s="32" t="str">
        <f t="shared" si="28"/>
        <v>Ferrari</v>
      </c>
      <c r="AA415" s="50"/>
    </row>
    <row r="416">
      <c r="A416" s="110" t="s">
        <v>111</v>
      </c>
      <c r="B416" s="46" t="s">
        <v>3093</v>
      </c>
      <c r="C416" s="47"/>
      <c r="D416" s="38">
        <v>101.0</v>
      </c>
      <c r="E416" s="38">
        <v>84.0</v>
      </c>
      <c r="F416" s="38">
        <v>134.0</v>
      </c>
      <c r="G416" s="38">
        <v>15.0</v>
      </c>
      <c r="H416" s="38">
        <v>10.0</v>
      </c>
      <c r="I416" s="48">
        <f t="shared" si="17"/>
        <v>319</v>
      </c>
      <c r="J416" s="48">
        <f t="shared" si="18"/>
        <v>344</v>
      </c>
      <c r="K416" s="49">
        <f t="shared" si="19"/>
        <v>0.3166144201</v>
      </c>
      <c r="L416" s="49">
        <f t="shared" si="20"/>
        <v>0.263322884</v>
      </c>
      <c r="M416" s="49">
        <f t="shared" si="21"/>
        <v>0.4200626959</v>
      </c>
      <c r="N416" s="32" t="str">
        <f t="shared" si="22"/>
        <v>Adhemar</v>
      </c>
      <c r="O416" s="50"/>
      <c r="P416" s="38">
        <v>91.0</v>
      </c>
      <c r="Q416" s="38">
        <v>63.0</v>
      </c>
      <c r="R416" s="38">
        <v>101.0</v>
      </c>
      <c r="S416" s="38">
        <v>79.0</v>
      </c>
      <c r="T416" s="38">
        <v>10.0</v>
      </c>
      <c r="U416" s="48">
        <f t="shared" si="23"/>
        <v>255</v>
      </c>
      <c r="V416" s="48">
        <f t="shared" si="24"/>
        <v>344</v>
      </c>
      <c r="W416" s="49">
        <f t="shared" si="25"/>
        <v>0.3568627451</v>
      </c>
      <c r="X416" s="49">
        <f t="shared" si="26"/>
        <v>0.2470588235</v>
      </c>
      <c r="Y416" s="49">
        <f t="shared" si="27"/>
        <v>0.3960784314</v>
      </c>
      <c r="Z416" s="32" t="str">
        <f t="shared" si="28"/>
        <v>Ferrari</v>
      </c>
      <c r="AA416" s="50"/>
    </row>
    <row r="417">
      <c r="A417" s="110" t="s">
        <v>111</v>
      </c>
      <c r="B417" s="46" t="s">
        <v>2379</v>
      </c>
      <c r="C417" s="47"/>
      <c r="D417" s="38">
        <v>96.0</v>
      </c>
      <c r="E417" s="38">
        <v>119.0</v>
      </c>
      <c r="F417" s="38">
        <v>110.0</v>
      </c>
      <c r="G417" s="38">
        <v>8.0</v>
      </c>
      <c r="H417" s="38">
        <v>1.0</v>
      </c>
      <c r="I417" s="48">
        <f t="shared" si="17"/>
        <v>325</v>
      </c>
      <c r="J417" s="48">
        <f t="shared" si="18"/>
        <v>334</v>
      </c>
      <c r="K417" s="49">
        <f t="shared" si="19"/>
        <v>0.2953846154</v>
      </c>
      <c r="L417" s="49">
        <f t="shared" si="20"/>
        <v>0.3661538462</v>
      </c>
      <c r="M417" s="49">
        <f t="shared" si="21"/>
        <v>0.3384615385</v>
      </c>
      <c r="N417" s="32" t="str">
        <f t="shared" si="22"/>
        <v>Mal. Lott</v>
      </c>
      <c r="O417" s="50"/>
      <c r="P417" s="38">
        <v>87.0</v>
      </c>
      <c r="Q417" s="38">
        <v>67.0</v>
      </c>
      <c r="R417" s="38">
        <v>85.0</v>
      </c>
      <c r="S417" s="38">
        <v>94.0</v>
      </c>
      <c r="T417" s="38">
        <v>1.0</v>
      </c>
      <c r="U417" s="48">
        <f t="shared" si="23"/>
        <v>239</v>
      </c>
      <c r="V417" s="48">
        <f t="shared" si="24"/>
        <v>334</v>
      </c>
      <c r="W417" s="49">
        <f t="shared" si="25"/>
        <v>0.3640167364</v>
      </c>
      <c r="X417" s="49">
        <f t="shared" si="26"/>
        <v>0.280334728</v>
      </c>
      <c r="Y417" s="49">
        <f t="shared" si="27"/>
        <v>0.3556485356</v>
      </c>
      <c r="Z417" s="32" t="str">
        <f t="shared" si="28"/>
        <v>Jango</v>
      </c>
      <c r="AA417" s="50"/>
    </row>
    <row r="418">
      <c r="A418" s="110" t="s">
        <v>111</v>
      </c>
      <c r="B418" s="46" t="s">
        <v>3098</v>
      </c>
      <c r="C418" s="47"/>
      <c r="D418" s="38">
        <v>116.0</v>
      </c>
      <c r="E418" s="38">
        <v>81.0</v>
      </c>
      <c r="F418" s="38">
        <v>109.0</v>
      </c>
      <c r="G418" s="38">
        <v>9.0</v>
      </c>
      <c r="H418" s="38">
        <v>8.0</v>
      </c>
      <c r="I418" s="48">
        <f t="shared" si="17"/>
        <v>306</v>
      </c>
      <c r="J418" s="48">
        <f t="shared" si="18"/>
        <v>323</v>
      </c>
      <c r="K418" s="49">
        <f t="shared" si="19"/>
        <v>0.3790849673</v>
      </c>
      <c r="L418" s="49">
        <f t="shared" si="20"/>
        <v>0.2647058824</v>
      </c>
      <c r="M418" s="49">
        <f t="shared" si="21"/>
        <v>0.3562091503</v>
      </c>
      <c r="N418" s="32" t="str">
        <f t="shared" si="22"/>
        <v>Jânio</v>
      </c>
      <c r="O418" s="50"/>
      <c r="P418" s="38">
        <v>76.0</v>
      </c>
      <c r="Q418" s="38">
        <v>70.0</v>
      </c>
      <c r="R418" s="38">
        <v>101.0</v>
      </c>
      <c r="S418" s="38">
        <v>70.0</v>
      </c>
      <c r="T418" s="38">
        <v>6.0</v>
      </c>
      <c r="U418" s="48">
        <f t="shared" si="23"/>
        <v>247</v>
      </c>
      <c r="V418" s="48">
        <f t="shared" si="24"/>
        <v>323</v>
      </c>
      <c r="W418" s="49">
        <f t="shared" si="25"/>
        <v>0.3076923077</v>
      </c>
      <c r="X418" s="49">
        <f t="shared" si="26"/>
        <v>0.2834008097</v>
      </c>
      <c r="Y418" s="49">
        <f t="shared" si="27"/>
        <v>0.4089068826</v>
      </c>
      <c r="Z418" s="32" t="str">
        <f t="shared" si="28"/>
        <v>Ferrari</v>
      </c>
      <c r="AA418" s="50"/>
    </row>
    <row r="419">
      <c r="A419" s="110" t="s">
        <v>111</v>
      </c>
      <c r="B419" s="46" t="s">
        <v>854</v>
      </c>
      <c r="C419" s="47"/>
      <c r="D419" s="38">
        <v>99.0</v>
      </c>
      <c r="E419" s="38">
        <v>144.0</v>
      </c>
      <c r="F419" s="38">
        <v>127.0</v>
      </c>
      <c r="G419" s="38">
        <v>8.0</v>
      </c>
      <c r="H419" s="38">
        <v>6.0</v>
      </c>
      <c r="I419" s="48">
        <f t="shared" si="17"/>
        <v>370</v>
      </c>
      <c r="J419" s="48">
        <f t="shared" si="18"/>
        <v>384</v>
      </c>
      <c r="K419" s="49">
        <f t="shared" si="19"/>
        <v>0.2675675676</v>
      </c>
      <c r="L419" s="49">
        <f t="shared" si="20"/>
        <v>0.3891891892</v>
      </c>
      <c r="M419" s="49">
        <f t="shared" si="21"/>
        <v>0.3432432432</v>
      </c>
      <c r="N419" s="32" t="str">
        <f t="shared" si="22"/>
        <v>Mal. Lott</v>
      </c>
      <c r="O419" s="50"/>
      <c r="P419" s="38">
        <v>102.0</v>
      </c>
      <c r="Q419" s="38">
        <v>66.0</v>
      </c>
      <c r="R419" s="38">
        <v>97.0</v>
      </c>
      <c r="S419" s="38">
        <v>84.0</v>
      </c>
      <c r="T419" s="38">
        <v>5.0</v>
      </c>
      <c r="U419" s="48">
        <f t="shared" si="23"/>
        <v>265</v>
      </c>
      <c r="V419" s="48">
        <f t="shared" si="24"/>
        <v>354</v>
      </c>
      <c r="W419" s="49">
        <f t="shared" si="25"/>
        <v>0.3849056604</v>
      </c>
      <c r="X419" s="49">
        <f t="shared" si="26"/>
        <v>0.2490566038</v>
      </c>
      <c r="Y419" s="49">
        <f t="shared" si="27"/>
        <v>0.3660377358</v>
      </c>
      <c r="Z419" s="32" t="str">
        <f t="shared" si="28"/>
        <v>Jango</v>
      </c>
      <c r="AA419" s="50"/>
    </row>
    <row r="420">
      <c r="A420" s="110" t="s">
        <v>111</v>
      </c>
      <c r="B420" s="46" t="s">
        <v>518</v>
      </c>
      <c r="C420" s="47"/>
      <c r="D420" s="38">
        <v>63.0</v>
      </c>
      <c r="E420" s="38">
        <v>84.0</v>
      </c>
      <c r="F420" s="38">
        <v>133.0</v>
      </c>
      <c r="G420" s="38">
        <v>15.0</v>
      </c>
      <c r="H420" s="38">
        <v>12.0</v>
      </c>
      <c r="I420" s="48">
        <f t="shared" si="17"/>
        <v>280</v>
      </c>
      <c r="J420" s="48">
        <f t="shared" si="18"/>
        <v>307</v>
      </c>
      <c r="K420" s="49">
        <f t="shared" si="19"/>
        <v>0.225</v>
      </c>
      <c r="L420" s="49">
        <f t="shared" si="20"/>
        <v>0.3</v>
      </c>
      <c r="M420" s="49">
        <f t="shared" si="21"/>
        <v>0.475</v>
      </c>
      <c r="N420" s="32" t="str">
        <f t="shared" si="22"/>
        <v>Adhemar</v>
      </c>
      <c r="O420" s="50"/>
      <c r="P420" s="38">
        <v>83.0</v>
      </c>
      <c r="Q420" s="38">
        <v>35.0</v>
      </c>
      <c r="R420" s="38">
        <v>91.0</v>
      </c>
      <c r="S420" s="38">
        <v>90.0</v>
      </c>
      <c r="T420" s="38">
        <v>8.0</v>
      </c>
      <c r="U420" s="48">
        <f t="shared" si="23"/>
        <v>209</v>
      </c>
      <c r="V420" s="48">
        <f t="shared" si="24"/>
        <v>307</v>
      </c>
      <c r="W420" s="49">
        <f t="shared" si="25"/>
        <v>0.3971291866</v>
      </c>
      <c r="X420" s="49">
        <f t="shared" si="26"/>
        <v>0.1674641148</v>
      </c>
      <c r="Y420" s="49">
        <f t="shared" si="27"/>
        <v>0.4354066986</v>
      </c>
      <c r="Z420" s="32" t="str">
        <f t="shared" si="28"/>
        <v>Ferrari</v>
      </c>
      <c r="AA420" s="50"/>
    </row>
    <row r="421">
      <c r="A421" s="110" t="s">
        <v>111</v>
      </c>
      <c r="B421" s="46" t="s">
        <v>3093</v>
      </c>
      <c r="C421" s="47"/>
      <c r="D421" s="38">
        <v>101.0</v>
      </c>
      <c r="E421" s="38">
        <v>84.0</v>
      </c>
      <c r="F421" s="38">
        <v>134.0</v>
      </c>
      <c r="G421" s="38">
        <v>15.0</v>
      </c>
      <c r="H421" s="38">
        <v>10.0</v>
      </c>
      <c r="I421" s="48">
        <f t="shared" si="17"/>
        <v>319</v>
      </c>
      <c r="J421" s="48">
        <f t="shared" si="18"/>
        <v>344</v>
      </c>
      <c r="K421" s="49">
        <f t="shared" si="19"/>
        <v>0.3166144201</v>
      </c>
      <c r="L421" s="49">
        <f t="shared" si="20"/>
        <v>0.263322884</v>
      </c>
      <c r="M421" s="49">
        <f t="shared" si="21"/>
        <v>0.4200626959</v>
      </c>
      <c r="N421" s="32" t="str">
        <f t="shared" si="22"/>
        <v>Adhemar</v>
      </c>
      <c r="O421" s="50"/>
      <c r="P421" s="38">
        <v>91.0</v>
      </c>
      <c r="Q421" s="38">
        <v>65.0</v>
      </c>
      <c r="R421" s="38">
        <v>101.0</v>
      </c>
      <c r="S421" s="38">
        <v>79.0</v>
      </c>
      <c r="T421" s="38">
        <v>10.0</v>
      </c>
      <c r="U421" s="48">
        <f t="shared" si="23"/>
        <v>257</v>
      </c>
      <c r="V421" s="48">
        <f t="shared" si="24"/>
        <v>346</v>
      </c>
      <c r="W421" s="49">
        <f t="shared" si="25"/>
        <v>0.3540856031</v>
      </c>
      <c r="X421" s="49">
        <f t="shared" si="26"/>
        <v>0.2529182879</v>
      </c>
      <c r="Y421" s="49">
        <f t="shared" si="27"/>
        <v>0.3929961089</v>
      </c>
      <c r="Z421" s="32" t="str">
        <f t="shared" si="28"/>
        <v>Ferrari</v>
      </c>
      <c r="AA421" s="50"/>
    </row>
    <row r="422">
      <c r="A422" s="110" t="s">
        <v>111</v>
      </c>
      <c r="B422" s="46" t="s">
        <v>2524</v>
      </c>
      <c r="C422" s="47"/>
      <c r="D422" s="38">
        <v>93.0</v>
      </c>
      <c r="E422" s="38">
        <v>109.0</v>
      </c>
      <c r="F422" s="38">
        <v>130.0</v>
      </c>
      <c r="G422" s="38">
        <v>12.0</v>
      </c>
      <c r="H422" s="38">
        <v>6.0</v>
      </c>
      <c r="I422" s="48">
        <f t="shared" si="17"/>
        <v>332</v>
      </c>
      <c r="J422" s="48">
        <f t="shared" si="18"/>
        <v>350</v>
      </c>
      <c r="K422" s="49">
        <f t="shared" si="19"/>
        <v>0.2801204819</v>
      </c>
      <c r="L422" s="49">
        <f t="shared" si="20"/>
        <v>0.328313253</v>
      </c>
      <c r="M422" s="49">
        <f t="shared" si="21"/>
        <v>0.3915662651</v>
      </c>
      <c r="N422" s="32" t="str">
        <f t="shared" si="22"/>
        <v>Adhemar</v>
      </c>
      <c r="O422" s="50"/>
      <c r="P422" s="38">
        <v>116.0</v>
      </c>
      <c r="Q422" s="38">
        <v>56.0</v>
      </c>
      <c r="R422" s="38">
        <v>81.0</v>
      </c>
      <c r="S422" s="38">
        <v>92.0</v>
      </c>
      <c r="T422" s="38">
        <v>5.0</v>
      </c>
      <c r="U422" s="48">
        <f t="shared" si="23"/>
        <v>253</v>
      </c>
      <c r="V422" s="48">
        <f t="shared" si="24"/>
        <v>350</v>
      </c>
      <c r="W422" s="49">
        <f t="shared" si="25"/>
        <v>0.4584980237</v>
      </c>
      <c r="X422" s="49">
        <f t="shared" si="26"/>
        <v>0.2213438735</v>
      </c>
      <c r="Y422" s="49">
        <f t="shared" si="27"/>
        <v>0.3201581028</v>
      </c>
      <c r="Z422" s="32" t="str">
        <f t="shared" si="28"/>
        <v>Jango</v>
      </c>
      <c r="AA422" s="50"/>
    </row>
    <row r="423">
      <c r="A423" s="110" t="s">
        <v>111</v>
      </c>
      <c r="B423" s="46" t="s">
        <v>209</v>
      </c>
      <c r="C423" s="47"/>
      <c r="D423" s="38">
        <v>117.0</v>
      </c>
      <c r="E423" s="38">
        <v>95.0</v>
      </c>
      <c r="F423" s="38">
        <v>138.0</v>
      </c>
      <c r="G423" s="38">
        <v>9.0</v>
      </c>
      <c r="H423" s="38">
        <v>8.0</v>
      </c>
      <c r="I423" s="48">
        <f t="shared" si="17"/>
        <v>350</v>
      </c>
      <c r="J423" s="48">
        <f t="shared" si="18"/>
        <v>367</v>
      </c>
      <c r="K423" s="49">
        <f t="shared" si="19"/>
        <v>0.3342857143</v>
      </c>
      <c r="L423" s="49">
        <f t="shared" si="20"/>
        <v>0.2714285714</v>
      </c>
      <c r="M423" s="49">
        <f t="shared" si="21"/>
        <v>0.3942857143</v>
      </c>
      <c r="N423" s="32" t="str">
        <f t="shared" si="22"/>
        <v>Adhemar</v>
      </c>
      <c r="O423" s="50"/>
      <c r="P423" s="38">
        <v>91.0</v>
      </c>
      <c r="Q423" s="38">
        <v>90.0</v>
      </c>
      <c r="R423" s="38">
        <v>93.0</v>
      </c>
      <c r="S423" s="38">
        <v>4.0</v>
      </c>
      <c r="T423" s="38">
        <v>88.0</v>
      </c>
      <c r="U423" s="48">
        <f t="shared" si="23"/>
        <v>274</v>
      </c>
      <c r="V423" s="48">
        <f t="shared" si="24"/>
        <v>366</v>
      </c>
      <c r="W423" s="49">
        <f t="shared" si="25"/>
        <v>0.3321167883</v>
      </c>
      <c r="X423" s="49">
        <f t="shared" si="26"/>
        <v>0.3284671533</v>
      </c>
      <c r="Y423" s="49">
        <f t="shared" si="27"/>
        <v>0.3394160584</v>
      </c>
      <c r="Z423" s="32" t="str">
        <f t="shared" si="28"/>
        <v>Ferrari</v>
      </c>
      <c r="AA423" s="50"/>
    </row>
    <row r="424">
      <c r="A424" s="110" t="s">
        <v>111</v>
      </c>
      <c r="B424" s="46" t="s">
        <v>585</v>
      </c>
      <c r="C424" s="47"/>
      <c r="D424" s="38">
        <v>92.0</v>
      </c>
      <c r="E424" s="38">
        <v>116.0</v>
      </c>
      <c r="F424" s="38">
        <v>131.0</v>
      </c>
      <c r="G424" s="38">
        <v>14.0</v>
      </c>
      <c r="H424" s="38">
        <v>5.0</v>
      </c>
      <c r="I424" s="48">
        <f t="shared" si="17"/>
        <v>339</v>
      </c>
      <c r="J424" s="48">
        <f t="shared" si="18"/>
        <v>358</v>
      </c>
      <c r="K424" s="49">
        <f t="shared" si="19"/>
        <v>0.2713864307</v>
      </c>
      <c r="L424" s="49">
        <f t="shared" si="20"/>
        <v>0.3421828909</v>
      </c>
      <c r="M424" s="49">
        <f t="shared" si="21"/>
        <v>0.3864306785</v>
      </c>
      <c r="N424" s="32" t="str">
        <f t="shared" si="22"/>
        <v>Adhemar</v>
      </c>
      <c r="O424" s="50"/>
      <c r="P424" s="38">
        <v>101.0</v>
      </c>
      <c r="Q424" s="38">
        <v>71.0</v>
      </c>
      <c r="R424" s="38">
        <v>107.0</v>
      </c>
      <c r="S424" s="38">
        <v>74.0</v>
      </c>
      <c r="T424" s="38">
        <v>5.0</v>
      </c>
      <c r="U424" s="48">
        <f t="shared" si="23"/>
        <v>279</v>
      </c>
      <c r="V424" s="48">
        <f t="shared" si="24"/>
        <v>358</v>
      </c>
      <c r="W424" s="49">
        <f t="shared" si="25"/>
        <v>0.3620071685</v>
      </c>
      <c r="X424" s="49">
        <f t="shared" si="26"/>
        <v>0.2544802867</v>
      </c>
      <c r="Y424" s="49">
        <f t="shared" si="27"/>
        <v>0.3835125448</v>
      </c>
      <c r="Z424" s="32" t="str">
        <f t="shared" si="28"/>
        <v>Ferrari</v>
      </c>
      <c r="AA424" s="50"/>
    </row>
    <row r="425">
      <c r="A425" s="110" t="s">
        <v>111</v>
      </c>
      <c r="B425" s="46" t="s">
        <v>2396</v>
      </c>
      <c r="C425" s="47"/>
      <c r="D425" s="38">
        <v>97.0</v>
      </c>
      <c r="E425" s="38">
        <v>107.0</v>
      </c>
      <c r="F425" s="38">
        <v>96.0</v>
      </c>
      <c r="G425" s="38">
        <v>9.0</v>
      </c>
      <c r="H425" s="38">
        <v>3.0</v>
      </c>
      <c r="I425" s="48">
        <f t="shared" si="17"/>
        <v>300</v>
      </c>
      <c r="J425" s="48">
        <f t="shared" si="18"/>
        <v>312</v>
      </c>
      <c r="K425" s="49">
        <f t="shared" si="19"/>
        <v>0.3233333333</v>
      </c>
      <c r="L425" s="49">
        <f t="shared" si="20"/>
        <v>0.3566666667</v>
      </c>
      <c r="M425" s="49">
        <f t="shared" si="21"/>
        <v>0.32</v>
      </c>
      <c r="N425" s="32" t="str">
        <f t="shared" si="22"/>
        <v>Mal. Lott</v>
      </c>
      <c r="O425" s="50"/>
      <c r="P425" s="38">
        <v>88.0</v>
      </c>
      <c r="Q425" s="38">
        <v>67.0</v>
      </c>
      <c r="R425" s="38">
        <v>71.0</v>
      </c>
      <c r="S425" s="38">
        <v>82.0</v>
      </c>
      <c r="T425" s="38">
        <v>4.0</v>
      </c>
      <c r="U425" s="48">
        <f t="shared" si="23"/>
        <v>226</v>
      </c>
      <c r="V425" s="48">
        <f t="shared" si="24"/>
        <v>312</v>
      </c>
      <c r="W425" s="49">
        <f t="shared" si="25"/>
        <v>0.389380531</v>
      </c>
      <c r="X425" s="49">
        <f t="shared" si="26"/>
        <v>0.296460177</v>
      </c>
      <c r="Y425" s="49">
        <f t="shared" si="27"/>
        <v>0.314159292</v>
      </c>
      <c r="Z425" s="32" t="str">
        <f t="shared" si="28"/>
        <v>Jango</v>
      </c>
      <c r="AA425" s="50"/>
    </row>
    <row r="426">
      <c r="A426" s="110" t="s">
        <v>111</v>
      </c>
      <c r="B426" s="46" t="s">
        <v>504</v>
      </c>
      <c r="C426" s="47"/>
      <c r="D426" s="38">
        <v>70.0</v>
      </c>
      <c r="E426" s="38">
        <v>109.0</v>
      </c>
      <c r="F426" s="38">
        <v>124.0</v>
      </c>
      <c r="G426" s="38">
        <v>9.0</v>
      </c>
      <c r="H426" s="38">
        <v>7.0</v>
      </c>
      <c r="I426" s="48">
        <f t="shared" si="17"/>
        <v>303</v>
      </c>
      <c r="J426" s="48">
        <f t="shared" si="18"/>
        <v>319</v>
      </c>
      <c r="K426" s="49">
        <f t="shared" si="19"/>
        <v>0.2310231023</v>
      </c>
      <c r="L426" s="49">
        <f t="shared" si="20"/>
        <v>0.3597359736</v>
      </c>
      <c r="M426" s="49">
        <f t="shared" si="21"/>
        <v>0.4092409241</v>
      </c>
      <c r="N426" s="32" t="str">
        <f t="shared" si="22"/>
        <v>Adhemar</v>
      </c>
      <c r="O426" s="50"/>
      <c r="P426" s="38">
        <v>99.0</v>
      </c>
      <c r="Q426" s="38">
        <v>54.0</v>
      </c>
      <c r="R426" s="38">
        <v>73.0</v>
      </c>
      <c r="S426" s="38">
        <v>90.0</v>
      </c>
      <c r="T426" s="38">
        <v>3.0</v>
      </c>
      <c r="U426" s="48">
        <f t="shared" si="23"/>
        <v>226</v>
      </c>
      <c r="V426" s="48">
        <f t="shared" si="24"/>
        <v>319</v>
      </c>
      <c r="W426" s="49">
        <f t="shared" si="25"/>
        <v>0.4380530973</v>
      </c>
      <c r="X426" s="49">
        <f t="shared" si="26"/>
        <v>0.2389380531</v>
      </c>
      <c r="Y426" s="49">
        <f t="shared" si="27"/>
        <v>0.3230088496</v>
      </c>
      <c r="Z426" s="32" t="str">
        <f t="shared" si="28"/>
        <v>Jango</v>
      </c>
      <c r="AA426" s="50"/>
    </row>
    <row r="427">
      <c r="A427" s="110" t="s">
        <v>111</v>
      </c>
      <c r="B427" s="46" t="s">
        <v>3040</v>
      </c>
      <c r="C427" s="47"/>
      <c r="D427" s="38">
        <v>75.0</v>
      </c>
      <c r="E427" s="38">
        <v>65.0</v>
      </c>
      <c r="F427" s="38">
        <v>147.0</v>
      </c>
      <c r="G427" s="38">
        <v>17.0</v>
      </c>
      <c r="H427" s="38">
        <v>7.0</v>
      </c>
      <c r="I427" s="48">
        <f t="shared" si="17"/>
        <v>287</v>
      </c>
      <c r="J427" s="48">
        <f t="shared" si="18"/>
        <v>311</v>
      </c>
      <c r="K427" s="49">
        <f t="shared" si="19"/>
        <v>0.2613240418</v>
      </c>
      <c r="L427" s="49">
        <f t="shared" si="20"/>
        <v>0.2264808362</v>
      </c>
      <c r="M427" s="49">
        <f t="shared" si="21"/>
        <v>0.512195122</v>
      </c>
      <c r="N427" s="32" t="str">
        <f t="shared" si="22"/>
        <v>Adhemar</v>
      </c>
      <c r="O427" s="50"/>
      <c r="P427" s="38">
        <v>75.0</v>
      </c>
      <c r="Q427" s="38">
        <v>48.0</v>
      </c>
      <c r="R427" s="38">
        <v>95.0</v>
      </c>
      <c r="S427" s="38">
        <v>88.0</v>
      </c>
      <c r="T427" s="38">
        <v>5.0</v>
      </c>
      <c r="U427" s="48">
        <f t="shared" si="23"/>
        <v>218</v>
      </c>
      <c r="V427" s="48">
        <f t="shared" si="24"/>
        <v>311</v>
      </c>
      <c r="W427" s="49">
        <f t="shared" si="25"/>
        <v>0.3440366972</v>
      </c>
      <c r="X427" s="49">
        <f t="shared" si="26"/>
        <v>0.2201834862</v>
      </c>
      <c r="Y427" s="49">
        <f t="shared" si="27"/>
        <v>0.4357798165</v>
      </c>
      <c r="Z427" s="32" t="str">
        <f t="shared" si="28"/>
        <v>Ferrari</v>
      </c>
      <c r="AA427" s="50"/>
    </row>
    <row r="428">
      <c r="A428" s="110" t="s">
        <v>111</v>
      </c>
      <c r="B428" s="46" t="s">
        <v>3010</v>
      </c>
      <c r="C428" s="47"/>
      <c r="D428" s="38">
        <v>105.0</v>
      </c>
      <c r="E428" s="38">
        <v>95.0</v>
      </c>
      <c r="F428" s="38">
        <v>126.0</v>
      </c>
      <c r="G428" s="38">
        <v>6.0</v>
      </c>
      <c r="H428" s="38">
        <v>11.0</v>
      </c>
      <c r="I428" s="48">
        <f t="shared" si="17"/>
        <v>326</v>
      </c>
      <c r="J428" s="48">
        <f t="shared" si="18"/>
        <v>343</v>
      </c>
      <c r="K428" s="49">
        <f t="shared" si="19"/>
        <v>0.3220858896</v>
      </c>
      <c r="L428" s="49">
        <f t="shared" si="20"/>
        <v>0.2914110429</v>
      </c>
      <c r="M428" s="49">
        <f t="shared" si="21"/>
        <v>0.3865030675</v>
      </c>
      <c r="N428" s="32" t="str">
        <f t="shared" si="22"/>
        <v>Adhemar</v>
      </c>
      <c r="O428" s="50"/>
      <c r="P428" s="38">
        <v>80.0</v>
      </c>
      <c r="Q428" s="38">
        <v>65.0</v>
      </c>
      <c r="R428" s="38">
        <v>98.0</v>
      </c>
      <c r="S428" s="38">
        <v>96.0</v>
      </c>
      <c r="T428" s="38">
        <v>4.0</v>
      </c>
      <c r="U428" s="48">
        <f t="shared" si="23"/>
        <v>243</v>
      </c>
      <c r="V428" s="48">
        <f t="shared" si="24"/>
        <v>343</v>
      </c>
      <c r="W428" s="49">
        <f t="shared" si="25"/>
        <v>0.329218107</v>
      </c>
      <c r="X428" s="49">
        <f t="shared" si="26"/>
        <v>0.2674897119</v>
      </c>
      <c r="Y428" s="49">
        <f t="shared" si="27"/>
        <v>0.4032921811</v>
      </c>
      <c r="Z428" s="32" t="str">
        <f t="shared" si="28"/>
        <v>Ferrari</v>
      </c>
      <c r="AA428" s="50"/>
    </row>
    <row r="429">
      <c r="A429" s="110" t="s">
        <v>111</v>
      </c>
      <c r="B429" s="46" t="s">
        <v>2977</v>
      </c>
      <c r="C429" s="47"/>
      <c r="D429" s="38">
        <v>86.0</v>
      </c>
      <c r="E429" s="38">
        <v>95.0</v>
      </c>
      <c r="F429" s="38">
        <v>132.0</v>
      </c>
      <c r="G429" s="38">
        <v>15.0</v>
      </c>
      <c r="H429" s="38">
        <v>7.0</v>
      </c>
      <c r="I429" s="48">
        <f t="shared" si="17"/>
        <v>313</v>
      </c>
      <c r="J429" s="48">
        <f t="shared" si="18"/>
        <v>335</v>
      </c>
      <c r="K429" s="49">
        <f t="shared" si="19"/>
        <v>0.2747603834</v>
      </c>
      <c r="L429" s="49">
        <f t="shared" si="20"/>
        <v>0.303514377</v>
      </c>
      <c r="M429" s="49">
        <f t="shared" si="21"/>
        <v>0.4217252396</v>
      </c>
      <c r="N429" s="32" t="str">
        <f t="shared" si="22"/>
        <v>Adhemar</v>
      </c>
      <c r="O429" s="50"/>
      <c r="P429" s="38">
        <v>95.0</v>
      </c>
      <c r="Q429" s="38">
        <v>65.0</v>
      </c>
      <c r="R429" s="38">
        <v>80.0</v>
      </c>
      <c r="S429" s="38">
        <v>99.0</v>
      </c>
      <c r="T429" s="38">
        <v>6.0</v>
      </c>
      <c r="U429" s="48">
        <f t="shared" si="23"/>
        <v>240</v>
      </c>
      <c r="V429" s="48">
        <f t="shared" si="24"/>
        <v>345</v>
      </c>
      <c r="W429" s="49">
        <f t="shared" si="25"/>
        <v>0.3958333333</v>
      </c>
      <c r="X429" s="49">
        <f t="shared" si="26"/>
        <v>0.2708333333</v>
      </c>
      <c r="Y429" s="49">
        <f t="shared" si="27"/>
        <v>0.3333333333</v>
      </c>
      <c r="Z429" s="32" t="str">
        <f t="shared" si="28"/>
        <v>Jango</v>
      </c>
      <c r="AA429" s="50"/>
    </row>
    <row r="430">
      <c r="A430" s="110" t="s">
        <v>111</v>
      </c>
      <c r="B430" s="46" t="s">
        <v>215</v>
      </c>
      <c r="C430" s="47"/>
      <c r="D430" s="38">
        <v>89.0</v>
      </c>
      <c r="E430" s="38">
        <v>125.0</v>
      </c>
      <c r="F430" s="38">
        <v>116.0</v>
      </c>
      <c r="G430" s="38">
        <v>4.0</v>
      </c>
      <c r="H430" s="38">
        <v>5.0</v>
      </c>
      <c r="I430" s="48">
        <f t="shared" si="17"/>
        <v>330</v>
      </c>
      <c r="J430" s="48">
        <f t="shared" si="18"/>
        <v>339</v>
      </c>
      <c r="K430" s="49">
        <f t="shared" si="19"/>
        <v>0.2696969697</v>
      </c>
      <c r="L430" s="49">
        <f t="shared" si="20"/>
        <v>0.3787878788</v>
      </c>
      <c r="M430" s="49">
        <f t="shared" si="21"/>
        <v>0.3515151515</v>
      </c>
      <c r="N430" s="32" t="str">
        <f t="shared" si="22"/>
        <v>Mal. Lott</v>
      </c>
      <c r="O430" s="50"/>
      <c r="P430" s="38">
        <v>93.0</v>
      </c>
      <c r="Q430" s="38">
        <v>54.0</v>
      </c>
      <c r="R430" s="38">
        <v>104.0</v>
      </c>
      <c r="S430" s="38">
        <v>85.0</v>
      </c>
      <c r="T430" s="38">
        <v>3.0</v>
      </c>
      <c r="U430" s="48">
        <f t="shared" si="23"/>
        <v>251</v>
      </c>
      <c r="V430" s="48">
        <f t="shared" si="24"/>
        <v>339</v>
      </c>
      <c r="W430" s="49">
        <f t="shared" si="25"/>
        <v>0.3705179283</v>
      </c>
      <c r="X430" s="49">
        <f t="shared" si="26"/>
        <v>0.2151394422</v>
      </c>
      <c r="Y430" s="49">
        <f t="shared" si="27"/>
        <v>0.4143426295</v>
      </c>
      <c r="Z430" s="32" t="str">
        <f t="shared" si="28"/>
        <v>Ferrari</v>
      </c>
      <c r="AA430" s="50"/>
    </row>
    <row r="431">
      <c r="A431" s="110" t="s">
        <v>111</v>
      </c>
      <c r="B431" s="46" t="s">
        <v>514</v>
      </c>
      <c r="C431" s="47"/>
      <c r="D431" s="38">
        <v>119.0</v>
      </c>
      <c r="E431" s="38">
        <v>108.0</v>
      </c>
      <c r="F431" s="38">
        <v>106.0</v>
      </c>
      <c r="G431" s="38">
        <v>0.0</v>
      </c>
      <c r="H431" s="38">
        <v>0.0</v>
      </c>
      <c r="I431" s="48">
        <f t="shared" si="17"/>
        <v>333</v>
      </c>
      <c r="J431" s="48">
        <f t="shared" si="18"/>
        <v>333</v>
      </c>
      <c r="K431" s="49">
        <f t="shared" si="19"/>
        <v>0.3573573574</v>
      </c>
      <c r="L431" s="49">
        <f t="shared" si="20"/>
        <v>0.3243243243</v>
      </c>
      <c r="M431" s="49">
        <f t="shared" si="21"/>
        <v>0.3183183183</v>
      </c>
      <c r="N431" s="32" t="str">
        <f t="shared" si="22"/>
        <v>Jânio</v>
      </c>
      <c r="O431" s="50"/>
      <c r="P431" s="38">
        <v>96.0</v>
      </c>
      <c r="Q431" s="38">
        <v>91.0</v>
      </c>
      <c r="R431" s="38">
        <v>94.0</v>
      </c>
      <c r="S431" s="38">
        <v>62.0</v>
      </c>
      <c r="T431" s="38">
        <v>4.0</v>
      </c>
      <c r="U431" s="48">
        <f t="shared" si="23"/>
        <v>281</v>
      </c>
      <c r="V431" s="48">
        <f t="shared" si="24"/>
        <v>347</v>
      </c>
      <c r="W431" s="49">
        <f t="shared" si="25"/>
        <v>0.3416370107</v>
      </c>
      <c r="X431" s="49">
        <f t="shared" si="26"/>
        <v>0.3238434164</v>
      </c>
      <c r="Y431" s="49">
        <f t="shared" si="27"/>
        <v>0.334519573</v>
      </c>
      <c r="Z431" s="32" t="str">
        <f t="shared" si="28"/>
        <v>Jango</v>
      </c>
      <c r="AA431" s="50"/>
    </row>
    <row r="432">
      <c r="A432" s="110" t="s">
        <v>111</v>
      </c>
      <c r="B432" s="46" t="s">
        <v>578</v>
      </c>
      <c r="C432" s="47"/>
      <c r="D432" s="38">
        <v>69.0</v>
      </c>
      <c r="E432" s="38">
        <v>100.0</v>
      </c>
      <c r="F432" s="38">
        <v>135.0</v>
      </c>
      <c r="G432" s="38">
        <v>14.0</v>
      </c>
      <c r="H432" s="38">
        <v>7.0</v>
      </c>
      <c r="I432" s="48">
        <f t="shared" si="17"/>
        <v>304</v>
      </c>
      <c r="J432" s="48">
        <f t="shared" si="18"/>
        <v>325</v>
      </c>
      <c r="K432" s="49">
        <f t="shared" si="19"/>
        <v>0.2269736842</v>
      </c>
      <c r="L432" s="49">
        <f t="shared" si="20"/>
        <v>0.3289473684</v>
      </c>
      <c r="M432" s="49">
        <f t="shared" si="21"/>
        <v>0.4440789474</v>
      </c>
      <c r="N432" s="32" t="str">
        <f t="shared" si="22"/>
        <v>Adhemar</v>
      </c>
      <c r="O432" s="50"/>
      <c r="P432" s="38">
        <v>88.0</v>
      </c>
      <c r="Q432" s="38">
        <v>50.0</v>
      </c>
      <c r="R432" s="38">
        <v>96.0</v>
      </c>
      <c r="S432" s="38">
        <v>91.0</v>
      </c>
      <c r="T432" s="38">
        <v>3.0</v>
      </c>
      <c r="U432" s="48">
        <f t="shared" si="23"/>
        <v>234</v>
      </c>
      <c r="V432" s="48">
        <f t="shared" si="24"/>
        <v>328</v>
      </c>
      <c r="W432" s="49">
        <f t="shared" si="25"/>
        <v>0.3760683761</v>
      </c>
      <c r="X432" s="49">
        <f t="shared" si="26"/>
        <v>0.2136752137</v>
      </c>
      <c r="Y432" s="49">
        <f t="shared" si="27"/>
        <v>0.4102564103</v>
      </c>
      <c r="Z432" s="32" t="str">
        <f t="shared" si="28"/>
        <v>Ferrari</v>
      </c>
      <c r="AA432" s="50"/>
    </row>
    <row r="433">
      <c r="A433" s="110" t="s">
        <v>111</v>
      </c>
      <c r="B433" s="46" t="s">
        <v>3258</v>
      </c>
      <c r="C433" s="47"/>
      <c r="D433" s="38">
        <v>52.0</v>
      </c>
      <c r="E433" s="38">
        <v>44.0</v>
      </c>
      <c r="F433" s="38">
        <v>53.0</v>
      </c>
      <c r="G433" s="38">
        <v>5.0</v>
      </c>
      <c r="H433" s="38">
        <v>1.0</v>
      </c>
      <c r="I433" s="48">
        <f t="shared" si="17"/>
        <v>149</v>
      </c>
      <c r="J433" s="48">
        <f t="shared" si="18"/>
        <v>155</v>
      </c>
      <c r="K433" s="49">
        <f t="shared" si="19"/>
        <v>0.3489932886</v>
      </c>
      <c r="L433" s="49">
        <f t="shared" si="20"/>
        <v>0.2953020134</v>
      </c>
      <c r="M433" s="49">
        <f t="shared" si="21"/>
        <v>0.355704698</v>
      </c>
      <c r="N433" s="32" t="str">
        <f t="shared" si="22"/>
        <v>Adhemar</v>
      </c>
      <c r="O433" s="50"/>
      <c r="P433" s="38">
        <v>49.0</v>
      </c>
      <c r="Q433" s="38">
        <v>40.0</v>
      </c>
      <c r="R433" s="38">
        <v>33.0</v>
      </c>
      <c r="S433" s="38">
        <v>31.0</v>
      </c>
      <c r="T433" s="38">
        <v>2.0</v>
      </c>
      <c r="U433" s="48">
        <f t="shared" si="23"/>
        <v>122</v>
      </c>
      <c r="V433" s="48">
        <f t="shared" si="24"/>
        <v>155</v>
      </c>
      <c r="W433" s="49">
        <f t="shared" si="25"/>
        <v>0.4016393443</v>
      </c>
      <c r="X433" s="49">
        <f t="shared" si="26"/>
        <v>0.3278688525</v>
      </c>
      <c r="Y433" s="49">
        <f t="shared" si="27"/>
        <v>0.2704918033</v>
      </c>
      <c r="Z433" s="32" t="str">
        <f t="shared" si="28"/>
        <v>Jango</v>
      </c>
      <c r="AA433" s="50"/>
    </row>
    <row r="434">
      <c r="A434" s="110" t="s">
        <v>111</v>
      </c>
      <c r="B434" s="46" t="s">
        <v>218</v>
      </c>
      <c r="C434" s="47"/>
      <c r="D434" s="38">
        <v>124.0</v>
      </c>
      <c r="E434" s="38">
        <v>124.0</v>
      </c>
      <c r="F434" s="38">
        <v>76.0</v>
      </c>
      <c r="G434" s="38">
        <v>11.0</v>
      </c>
      <c r="H434" s="38">
        <v>6.0</v>
      </c>
      <c r="I434" s="48">
        <f t="shared" si="17"/>
        <v>324</v>
      </c>
      <c r="J434" s="48">
        <f t="shared" si="18"/>
        <v>341</v>
      </c>
      <c r="K434" s="49">
        <f t="shared" si="19"/>
        <v>0.3827160494</v>
      </c>
      <c r="L434" s="49">
        <f t="shared" si="20"/>
        <v>0.3827160494</v>
      </c>
      <c r="M434" s="49">
        <f t="shared" si="21"/>
        <v>0.2345679012</v>
      </c>
      <c r="N434" s="32" t="str">
        <f t="shared" si="22"/>
        <v>Empate</v>
      </c>
      <c r="O434" s="50"/>
      <c r="P434" s="38">
        <v>111.0</v>
      </c>
      <c r="Q434" s="38">
        <v>62.0</v>
      </c>
      <c r="R434" s="38">
        <v>94.0</v>
      </c>
      <c r="S434" s="38">
        <v>61.0</v>
      </c>
      <c r="T434" s="38">
        <v>6.0</v>
      </c>
      <c r="U434" s="48">
        <f t="shared" si="23"/>
        <v>267</v>
      </c>
      <c r="V434" s="48">
        <f t="shared" si="24"/>
        <v>334</v>
      </c>
      <c r="W434" s="49">
        <f t="shared" si="25"/>
        <v>0.4157303371</v>
      </c>
      <c r="X434" s="49">
        <f t="shared" si="26"/>
        <v>0.2322097378</v>
      </c>
      <c r="Y434" s="49">
        <f t="shared" si="27"/>
        <v>0.3520599251</v>
      </c>
      <c r="Z434" s="32" t="str">
        <f t="shared" si="28"/>
        <v>Jango</v>
      </c>
      <c r="AA434" s="50"/>
    </row>
    <row r="435">
      <c r="A435" s="110" t="s">
        <v>111</v>
      </c>
      <c r="B435" s="46" t="s">
        <v>2420</v>
      </c>
      <c r="C435" s="47"/>
      <c r="D435" s="38">
        <v>98.0</v>
      </c>
      <c r="E435" s="38">
        <v>94.0</v>
      </c>
      <c r="F435" s="38">
        <v>115.0</v>
      </c>
      <c r="G435" s="38">
        <v>9.0</v>
      </c>
      <c r="H435" s="38">
        <v>7.0</v>
      </c>
      <c r="I435" s="48">
        <f t="shared" si="17"/>
        <v>307</v>
      </c>
      <c r="J435" s="48">
        <f t="shared" si="18"/>
        <v>323</v>
      </c>
      <c r="K435" s="49">
        <f t="shared" si="19"/>
        <v>0.319218241</v>
      </c>
      <c r="L435" s="49">
        <f t="shared" si="20"/>
        <v>0.3061889251</v>
      </c>
      <c r="M435" s="49">
        <f t="shared" si="21"/>
        <v>0.3745928339</v>
      </c>
      <c r="N435" s="32" t="str">
        <f t="shared" si="22"/>
        <v>Adhemar</v>
      </c>
      <c r="O435" s="50"/>
      <c r="P435" s="38">
        <v>77.0</v>
      </c>
      <c r="Q435" s="38">
        <v>65.0</v>
      </c>
      <c r="R435" s="38">
        <v>87.0</v>
      </c>
      <c r="S435" s="38">
        <v>87.0</v>
      </c>
      <c r="T435" s="38">
        <v>7.0</v>
      </c>
      <c r="U435" s="48">
        <f t="shared" si="23"/>
        <v>229</v>
      </c>
      <c r="V435" s="48">
        <f t="shared" si="24"/>
        <v>323</v>
      </c>
      <c r="W435" s="49">
        <f t="shared" si="25"/>
        <v>0.3362445415</v>
      </c>
      <c r="X435" s="49">
        <f t="shared" si="26"/>
        <v>0.2838427948</v>
      </c>
      <c r="Y435" s="49">
        <f t="shared" si="27"/>
        <v>0.3799126638</v>
      </c>
      <c r="Z435" s="32" t="str">
        <f t="shared" si="28"/>
        <v>Ferrari</v>
      </c>
      <c r="AA435" s="50"/>
    </row>
    <row r="436">
      <c r="A436" s="110" t="s">
        <v>114</v>
      </c>
      <c r="B436" s="46" t="s">
        <v>3259</v>
      </c>
      <c r="C436" s="47"/>
      <c r="D436" s="38">
        <v>78.0</v>
      </c>
      <c r="E436" s="38">
        <v>162.0</v>
      </c>
      <c r="F436" s="38">
        <v>142.0</v>
      </c>
      <c r="G436" s="38">
        <v>14.0</v>
      </c>
      <c r="H436" s="38">
        <v>7.0</v>
      </c>
      <c r="I436" s="48">
        <f t="shared" si="17"/>
        <v>382</v>
      </c>
      <c r="J436" s="48">
        <f t="shared" si="18"/>
        <v>403</v>
      </c>
      <c r="K436" s="49">
        <f t="shared" si="19"/>
        <v>0.2041884817</v>
      </c>
      <c r="L436" s="49">
        <f t="shared" si="20"/>
        <v>0.4240837696</v>
      </c>
      <c r="M436" s="49">
        <f t="shared" si="21"/>
        <v>0.3717277487</v>
      </c>
      <c r="N436" s="32" t="str">
        <f t="shared" si="22"/>
        <v>Mal. Lott</v>
      </c>
      <c r="O436" s="50"/>
      <c r="P436" s="38">
        <v>160.0</v>
      </c>
      <c r="Q436" s="38">
        <v>57.0</v>
      </c>
      <c r="R436" s="38">
        <v>100.0</v>
      </c>
      <c r="S436" s="38">
        <v>82.0</v>
      </c>
      <c r="T436" s="38">
        <v>4.0</v>
      </c>
      <c r="U436" s="48">
        <f t="shared" si="23"/>
        <v>317</v>
      </c>
      <c r="V436" s="48">
        <f t="shared" si="24"/>
        <v>403</v>
      </c>
      <c r="W436" s="49">
        <f t="shared" si="25"/>
        <v>0.5047318612</v>
      </c>
      <c r="X436" s="49">
        <f t="shared" si="26"/>
        <v>0.1798107256</v>
      </c>
      <c r="Y436" s="49">
        <f t="shared" si="27"/>
        <v>0.3154574132</v>
      </c>
      <c r="Z436" s="32" t="str">
        <f t="shared" si="28"/>
        <v>Jango</v>
      </c>
      <c r="AA436" s="50"/>
    </row>
    <row r="437">
      <c r="A437" s="110" t="s">
        <v>114</v>
      </c>
      <c r="B437" s="46" t="s">
        <v>412</v>
      </c>
      <c r="C437" s="47"/>
      <c r="D437" s="38">
        <v>71.0</v>
      </c>
      <c r="E437" s="38">
        <v>122.0</v>
      </c>
      <c r="F437" s="38">
        <v>139.0</v>
      </c>
      <c r="G437" s="38">
        <v>9.0</v>
      </c>
      <c r="H437" s="38">
        <v>16.0</v>
      </c>
      <c r="I437" s="48">
        <f t="shared" si="17"/>
        <v>332</v>
      </c>
      <c r="J437" s="48">
        <f t="shared" si="18"/>
        <v>357</v>
      </c>
      <c r="K437" s="49">
        <f t="shared" si="19"/>
        <v>0.2138554217</v>
      </c>
      <c r="L437" s="49">
        <f t="shared" si="20"/>
        <v>0.3674698795</v>
      </c>
      <c r="M437" s="49">
        <f t="shared" si="21"/>
        <v>0.4186746988</v>
      </c>
      <c r="N437" s="32" t="str">
        <f t="shared" si="22"/>
        <v>Adhemar</v>
      </c>
      <c r="O437" s="50"/>
      <c r="P437" s="38">
        <v>108.0</v>
      </c>
      <c r="Q437" s="38">
        <v>62.0</v>
      </c>
      <c r="R437" s="38">
        <v>88.0</v>
      </c>
      <c r="S437" s="38">
        <v>81.0</v>
      </c>
      <c r="T437" s="38">
        <v>8.0</v>
      </c>
      <c r="U437" s="48">
        <f t="shared" si="23"/>
        <v>258</v>
      </c>
      <c r="V437" s="48">
        <f t="shared" si="24"/>
        <v>347</v>
      </c>
      <c r="W437" s="49">
        <f t="shared" si="25"/>
        <v>0.4186046512</v>
      </c>
      <c r="X437" s="49">
        <f t="shared" si="26"/>
        <v>0.2403100775</v>
      </c>
      <c r="Y437" s="49">
        <f t="shared" si="27"/>
        <v>0.3410852713</v>
      </c>
      <c r="Z437" s="32" t="str">
        <f t="shared" si="28"/>
        <v>Jango</v>
      </c>
      <c r="AA437" s="50"/>
    </row>
    <row r="438">
      <c r="A438" s="110" t="s">
        <v>114</v>
      </c>
      <c r="B438" s="46" t="s">
        <v>114</v>
      </c>
      <c r="C438" s="47"/>
      <c r="D438" s="38">
        <v>100.0</v>
      </c>
      <c r="E438" s="38">
        <v>117.0</v>
      </c>
      <c r="F438" s="38">
        <v>121.0</v>
      </c>
      <c r="G438" s="38">
        <v>12.0</v>
      </c>
      <c r="H438" s="38">
        <v>9.0</v>
      </c>
      <c r="I438" s="48">
        <f t="shared" si="17"/>
        <v>338</v>
      </c>
      <c r="J438" s="48">
        <f t="shared" si="18"/>
        <v>359</v>
      </c>
      <c r="K438" s="49">
        <f t="shared" si="19"/>
        <v>0.2958579882</v>
      </c>
      <c r="L438" s="49">
        <f t="shared" si="20"/>
        <v>0.3461538462</v>
      </c>
      <c r="M438" s="49">
        <f t="shared" si="21"/>
        <v>0.3579881657</v>
      </c>
      <c r="N438" s="32" t="str">
        <f t="shared" si="22"/>
        <v>Adhemar</v>
      </c>
      <c r="O438" s="50"/>
      <c r="P438" s="38">
        <v>90.0</v>
      </c>
      <c r="Q438" s="38">
        <v>73.0</v>
      </c>
      <c r="R438" s="38">
        <v>91.0</v>
      </c>
      <c r="S438" s="38">
        <v>97.0</v>
      </c>
      <c r="T438" s="38">
        <v>8.0</v>
      </c>
      <c r="U438" s="48">
        <f t="shared" si="23"/>
        <v>254</v>
      </c>
      <c r="V438" s="48">
        <f t="shared" si="24"/>
        <v>359</v>
      </c>
      <c r="W438" s="49">
        <f t="shared" si="25"/>
        <v>0.3543307087</v>
      </c>
      <c r="X438" s="49">
        <f t="shared" si="26"/>
        <v>0.2874015748</v>
      </c>
      <c r="Y438" s="49">
        <f t="shared" si="27"/>
        <v>0.3582677165</v>
      </c>
      <c r="Z438" s="32" t="str">
        <f t="shared" si="28"/>
        <v>Ferrari</v>
      </c>
      <c r="AA438" s="50"/>
    </row>
    <row r="439">
      <c r="A439" s="110" t="s">
        <v>114</v>
      </c>
      <c r="B439" s="46" t="s">
        <v>846</v>
      </c>
      <c r="C439" s="47"/>
      <c r="D439" s="38">
        <v>71.0</v>
      </c>
      <c r="E439" s="38">
        <v>122.0</v>
      </c>
      <c r="F439" s="38">
        <v>139.0</v>
      </c>
      <c r="G439" s="38">
        <v>9.0</v>
      </c>
      <c r="H439" s="38">
        <v>16.0</v>
      </c>
      <c r="I439" s="48">
        <f t="shared" si="17"/>
        <v>332</v>
      </c>
      <c r="J439" s="48">
        <f t="shared" si="18"/>
        <v>357</v>
      </c>
      <c r="K439" s="49">
        <f t="shared" si="19"/>
        <v>0.2138554217</v>
      </c>
      <c r="L439" s="49">
        <f t="shared" si="20"/>
        <v>0.3674698795</v>
      </c>
      <c r="M439" s="49">
        <f t="shared" si="21"/>
        <v>0.4186746988</v>
      </c>
      <c r="N439" s="32" t="str">
        <f t="shared" si="22"/>
        <v>Adhemar</v>
      </c>
      <c r="O439" s="50"/>
      <c r="P439" s="38">
        <v>72.0</v>
      </c>
      <c r="Q439" s="38">
        <v>108.0</v>
      </c>
      <c r="R439" s="38">
        <v>88.0</v>
      </c>
      <c r="S439" s="38">
        <v>81.0</v>
      </c>
      <c r="T439" s="38">
        <v>18.0</v>
      </c>
      <c r="U439" s="48">
        <f t="shared" si="23"/>
        <v>268</v>
      </c>
      <c r="V439" s="48">
        <f t="shared" si="24"/>
        <v>367</v>
      </c>
      <c r="W439" s="49">
        <f t="shared" si="25"/>
        <v>0.2686567164</v>
      </c>
      <c r="X439" s="49">
        <f t="shared" si="26"/>
        <v>0.4029850746</v>
      </c>
      <c r="Y439" s="49">
        <f t="shared" si="27"/>
        <v>0.328358209</v>
      </c>
      <c r="Z439" s="32" t="str">
        <f t="shared" si="28"/>
        <v>Milton</v>
      </c>
      <c r="AA439" s="50"/>
    </row>
    <row r="440">
      <c r="A440" s="110" t="s">
        <v>114</v>
      </c>
      <c r="B440" s="46" t="s">
        <v>1234</v>
      </c>
      <c r="C440" s="47"/>
      <c r="D440" s="38">
        <v>86.0</v>
      </c>
      <c r="E440" s="38">
        <v>109.0</v>
      </c>
      <c r="F440" s="38">
        <v>141.0</v>
      </c>
      <c r="G440" s="38">
        <v>19.0</v>
      </c>
      <c r="H440" s="38">
        <v>9.0</v>
      </c>
      <c r="I440" s="48">
        <f t="shared" si="17"/>
        <v>336</v>
      </c>
      <c r="J440" s="48">
        <f t="shared" si="18"/>
        <v>364</v>
      </c>
      <c r="K440" s="49">
        <f t="shared" si="19"/>
        <v>0.255952381</v>
      </c>
      <c r="L440" s="49">
        <f t="shared" si="20"/>
        <v>0.3244047619</v>
      </c>
      <c r="M440" s="49">
        <f t="shared" si="21"/>
        <v>0.4196428571</v>
      </c>
      <c r="N440" s="32" t="str">
        <f t="shared" si="22"/>
        <v>Adhemar</v>
      </c>
      <c r="O440" s="50"/>
      <c r="P440" s="38">
        <v>106.0</v>
      </c>
      <c r="Q440" s="38">
        <v>78.0</v>
      </c>
      <c r="R440" s="38">
        <v>91.0</v>
      </c>
      <c r="S440" s="38">
        <v>80.0</v>
      </c>
      <c r="T440" s="38">
        <v>9.0</v>
      </c>
      <c r="U440" s="48">
        <f t="shared" si="23"/>
        <v>275</v>
      </c>
      <c r="V440" s="48">
        <f t="shared" si="24"/>
        <v>364</v>
      </c>
      <c r="W440" s="49">
        <f t="shared" si="25"/>
        <v>0.3854545455</v>
      </c>
      <c r="X440" s="49">
        <f t="shared" si="26"/>
        <v>0.2836363636</v>
      </c>
      <c r="Y440" s="49">
        <f t="shared" si="27"/>
        <v>0.3309090909</v>
      </c>
      <c r="Z440" s="32" t="str">
        <f t="shared" si="28"/>
        <v>Jango</v>
      </c>
      <c r="AA440" s="50"/>
    </row>
    <row r="441">
      <c r="A441" s="110" t="s">
        <v>114</v>
      </c>
      <c r="B441" s="46" t="s">
        <v>119</v>
      </c>
      <c r="C441" s="47"/>
      <c r="D441" s="38">
        <v>130.0</v>
      </c>
      <c r="E441" s="38">
        <v>93.0</v>
      </c>
      <c r="F441" s="38">
        <v>116.0</v>
      </c>
      <c r="G441" s="38">
        <v>13.0</v>
      </c>
      <c r="H441" s="38">
        <v>2.0</v>
      </c>
      <c r="I441" s="48">
        <f t="shared" si="17"/>
        <v>339</v>
      </c>
      <c r="J441" s="48">
        <f t="shared" si="18"/>
        <v>354</v>
      </c>
      <c r="K441" s="49">
        <f t="shared" si="19"/>
        <v>0.383480826</v>
      </c>
      <c r="L441" s="49">
        <f t="shared" si="20"/>
        <v>0.2743362832</v>
      </c>
      <c r="M441" s="49">
        <f t="shared" si="21"/>
        <v>0.3421828909</v>
      </c>
      <c r="N441" s="32" t="str">
        <f t="shared" si="22"/>
        <v>Jânio</v>
      </c>
      <c r="O441" s="50"/>
      <c r="P441" s="38">
        <v>78.0</v>
      </c>
      <c r="Q441" s="38">
        <v>90.0</v>
      </c>
      <c r="R441" s="38">
        <v>86.0</v>
      </c>
      <c r="S441" s="38">
        <v>99.0</v>
      </c>
      <c r="T441" s="38">
        <v>1.0</v>
      </c>
      <c r="U441" s="48">
        <f t="shared" si="23"/>
        <v>254</v>
      </c>
      <c r="V441" s="48">
        <f t="shared" si="24"/>
        <v>354</v>
      </c>
      <c r="W441" s="49">
        <f t="shared" si="25"/>
        <v>0.3070866142</v>
      </c>
      <c r="X441" s="49">
        <f t="shared" si="26"/>
        <v>0.3543307087</v>
      </c>
      <c r="Y441" s="49">
        <f t="shared" si="27"/>
        <v>0.3385826772</v>
      </c>
      <c r="Z441" s="32" t="str">
        <f t="shared" si="28"/>
        <v>Milton</v>
      </c>
      <c r="AA441" s="50"/>
    </row>
    <row r="442">
      <c r="A442" s="110" t="s">
        <v>114</v>
      </c>
      <c r="B442" s="46" t="s">
        <v>2416</v>
      </c>
      <c r="C442" s="47"/>
      <c r="D442" s="38">
        <v>82.0</v>
      </c>
      <c r="E442" s="38">
        <v>116.0</v>
      </c>
      <c r="F442" s="38">
        <v>129.0</v>
      </c>
      <c r="G442" s="38">
        <v>2.0</v>
      </c>
      <c r="H442" s="38">
        <v>9.0</v>
      </c>
      <c r="I442" s="48">
        <f t="shared" si="17"/>
        <v>327</v>
      </c>
      <c r="J442" s="48">
        <f t="shared" si="18"/>
        <v>338</v>
      </c>
      <c r="K442" s="49">
        <f t="shared" si="19"/>
        <v>0.250764526</v>
      </c>
      <c r="L442" s="49">
        <f t="shared" si="20"/>
        <v>0.3547400612</v>
      </c>
      <c r="M442" s="49">
        <f t="shared" si="21"/>
        <v>0.3944954128</v>
      </c>
      <c r="N442" s="32" t="str">
        <f t="shared" si="22"/>
        <v>Adhemar</v>
      </c>
      <c r="O442" s="50"/>
      <c r="P442" s="38">
        <v>100.0</v>
      </c>
      <c r="Q442" s="38">
        <v>57.0</v>
      </c>
      <c r="R442" s="38">
        <v>70.0</v>
      </c>
      <c r="S442" s="38">
        <v>122.0</v>
      </c>
      <c r="T442" s="38">
        <v>10.0</v>
      </c>
      <c r="U442" s="48">
        <f t="shared" si="23"/>
        <v>227</v>
      </c>
      <c r="V442" s="48">
        <f t="shared" si="24"/>
        <v>359</v>
      </c>
      <c r="W442" s="49">
        <f t="shared" si="25"/>
        <v>0.4405286344</v>
      </c>
      <c r="X442" s="49">
        <f t="shared" si="26"/>
        <v>0.2511013216</v>
      </c>
      <c r="Y442" s="49">
        <f t="shared" si="27"/>
        <v>0.3083700441</v>
      </c>
      <c r="Z442" s="32" t="str">
        <f t="shared" si="28"/>
        <v>Jango</v>
      </c>
      <c r="AA442" s="50"/>
    </row>
    <row r="443">
      <c r="A443" s="110" t="s">
        <v>114</v>
      </c>
      <c r="B443" s="46" t="s">
        <v>202</v>
      </c>
      <c r="C443" s="47"/>
      <c r="D443" s="38">
        <v>133.0</v>
      </c>
      <c r="E443" s="38">
        <v>117.0</v>
      </c>
      <c r="F443" s="38">
        <v>114.0</v>
      </c>
      <c r="G443" s="38">
        <v>10.0</v>
      </c>
      <c r="H443" s="38">
        <v>6.0</v>
      </c>
      <c r="I443" s="48">
        <f t="shared" si="17"/>
        <v>364</v>
      </c>
      <c r="J443" s="48">
        <f t="shared" si="18"/>
        <v>380</v>
      </c>
      <c r="K443" s="49">
        <f t="shared" si="19"/>
        <v>0.3653846154</v>
      </c>
      <c r="L443" s="49">
        <f t="shared" si="20"/>
        <v>0.3214285714</v>
      </c>
      <c r="M443" s="49">
        <f t="shared" si="21"/>
        <v>0.3131868132</v>
      </c>
      <c r="N443" s="32" t="str">
        <f t="shared" si="22"/>
        <v>Jânio</v>
      </c>
      <c r="O443" s="50"/>
      <c r="P443" s="38">
        <v>112.0</v>
      </c>
      <c r="Q443" s="38">
        <v>95.0</v>
      </c>
      <c r="R443" s="38">
        <v>98.0</v>
      </c>
      <c r="S443" s="38">
        <v>69.0</v>
      </c>
      <c r="T443" s="38">
        <v>6.0</v>
      </c>
      <c r="U443" s="48">
        <f t="shared" si="23"/>
        <v>305</v>
      </c>
      <c r="V443" s="48">
        <f t="shared" si="24"/>
        <v>380</v>
      </c>
      <c r="W443" s="49">
        <f t="shared" si="25"/>
        <v>0.3672131148</v>
      </c>
      <c r="X443" s="49">
        <f t="shared" si="26"/>
        <v>0.3114754098</v>
      </c>
      <c r="Y443" s="49">
        <f t="shared" si="27"/>
        <v>0.3213114754</v>
      </c>
      <c r="Z443" s="32" t="str">
        <f t="shared" si="28"/>
        <v>Jango</v>
      </c>
      <c r="AA443" s="50"/>
    </row>
    <row r="444">
      <c r="A444" s="110" t="s">
        <v>114</v>
      </c>
      <c r="B444" s="46" t="s">
        <v>123</v>
      </c>
      <c r="C444" s="47"/>
      <c r="D444" s="38">
        <v>117.0</v>
      </c>
      <c r="E444" s="38">
        <v>135.0</v>
      </c>
      <c r="F444" s="38">
        <v>100.0</v>
      </c>
      <c r="G444" s="38">
        <v>17.0</v>
      </c>
      <c r="H444" s="38">
        <v>6.0</v>
      </c>
      <c r="I444" s="48">
        <f t="shared" si="17"/>
        <v>352</v>
      </c>
      <c r="J444" s="48">
        <f t="shared" si="18"/>
        <v>375</v>
      </c>
      <c r="K444" s="49">
        <f t="shared" si="19"/>
        <v>0.3323863636</v>
      </c>
      <c r="L444" s="49">
        <f t="shared" si="20"/>
        <v>0.3835227273</v>
      </c>
      <c r="M444" s="49">
        <f t="shared" si="21"/>
        <v>0.2840909091</v>
      </c>
      <c r="N444" s="32" t="str">
        <f t="shared" si="22"/>
        <v>Mal. Lott</v>
      </c>
      <c r="O444" s="50"/>
      <c r="P444" s="38">
        <v>102.0</v>
      </c>
      <c r="Q444" s="38">
        <v>94.0</v>
      </c>
      <c r="R444" s="38">
        <v>74.0</v>
      </c>
      <c r="S444" s="38">
        <v>100.0</v>
      </c>
      <c r="T444" s="38">
        <v>5.0</v>
      </c>
      <c r="U444" s="48">
        <f t="shared" si="23"/>
        <v>270</v>
      </c>
      <c r="V444" s="48">
        <f t="shared" si="24"/>
        <v>375</v>
      </c>
      <c r="W444" s="49">
        <f t="shared" si="25"/>
        <v>0.3777777778</v>
      </c>
      <c r="X444" s="49">
        <f t="shared" si="26"/>
        <v>0.3481481481</v>
      </c>
      <c r="Y444" s="49">
        <f t="shared" si="27"/>
        <v>0.2740740741</v>
      </c>
      <c r="Z444" s="32" t="str">
        <f t="shared" si="28"/>
        <v>Jango</v>
      </c>
      <c r="AA444" s="50"/>
    </row>
    <row r="445">
      <c r="A445" s="110" t="s">
        <v>114</v>
      </c>
      <c r="B445" s="46" t="s">
        <v>888</v>
      </c>
      <c r="C445" s="47"/>
      <c r="D445" s="38">
        <v>80.0</v>
      </c>
      <c r="E445" s="38">
        <v>104.0</v>
      </c>
      <c r="F445" s="38">
        <v>126.0</v>
      </c>
      <c r="G445" s="38">
        <v>20.0</v>
      </c>
      <c r="H445" s="38">
        <v>14.0</v>
      </c>
      <c r="I445" s="48">
        <f t="shared" si="17"/>
        <v>310</v>
      </c>
      <c r="J445" s="48">
        <f t="shared" si="18"/>
        <v>344</v>
      </c>
      <c r="K445" s="49">
        <f t="shared" si="19"/>
        <v>0.2580645161</v>
      </c>
      <c r="L445" s="49">
        <f t="shared" si="20"/>
        <v>0.335483871</v>
      </c>
      <c r="M445" s="49">
        <f t="shared" si="21"/>
        <v>0.4064516129</v>
      </c>
      <c r="N445" s="32" t="str">
        <f t="shared" si="22"/>
        <v>Adhemar</v>
      </c>
      <c r="O445" s="50"/>
      <c r="P445" s="38">
        <v>95.0</v>
      </c>
      <c r="Q445" s="38">
        <v>45.0</v>
      </c>
      <c r="R445" s="38">
        <v>79.0</v>
      </c>
      <c r="S445" s="38">
        <v>114.0</v>
      </c>
      <c r="T445" s="38">
        <v>11.0</v>
      </c>
      <c r="U445" s="48">
        <f t="shared" si="23"/>
        <v>219</v>
      </c>
      <c r="V445" s="48">
        <f t="shared" si="24"/>
        <v>344</v>
      </c>
      <c r="W445" s="49">
        <f t="shared" si="25"/>
        <v>0.4337899543</v>
      </c>
      <c r="X445" s="49">
        <f t="shared" si="26"/>
        <v>0.2054794521</v>
      </c>
      <c r="Y445" s="49">
        <f t="shared" si="27"/>
        <v>0.3607305936</v>
      </c>
      <c r="Z445" s="32" t="str">
        <f t="shared" si="28"/>
        <v>Jango</v>
      </c>
      <c r="AA445" s="50"/>
    </row>
    <row r="446">
      <c r="A446" s="110" t="s">
        <v>114</v>
      </c>
      <c r="B446" s="46" t="s">
        <v>2437</v>
      </c>
      <c r="C446" s="47"/>
      <c r="D446" s="38">
        <v>109.0</v>
      </c>
      <c r="E446" s="38">
        <v>124.0</v>
      </c>
      <c r="F446" s="38">
        <v>103.0</v>
      </c>
      <c r="G446" s="38">
        <v>8.0</v>
      </c>
      <c r="H446" s="38">
        <v>2.0</v>
      </c>
      <c r="I446" s="48">
        <f t="shared" si="17"/>
        <v>336</v>
      </c>
      <c r="J446" s="48">
        <f t="shared" si="18"/>
        <v>346</v>
      </c>
      <c r="K446" s="49">
        <f t="shared" si="19"/>
        <v>0.3244047619</v>
      </c>
      <c r="L446" s="49">
        <f t="shared" si="20"/>
        <v>0.369047619</v>
      </c>
      <c r="M446" s="49">
        <f t="shared" si="21"/>
        <v>0.306547619</v>
      </c>
      <c r="N446" s="32" t="str">
        <f t="shared" si="22"/>
        <v>Mal. Lott</v>
      </c>
      <c r="O446" s="50"/>
      <c r="P446" s="38">
        <v>98.0</v>
      </c>
      <c r="Q446" s="38">
        <v>88.0</v>
      </c>
      <c r="R446" s="38">
        <v>73.0</v>
      </c>
      <c r="S446" s="38">
        <v>84.0</v>
      </c>
      <c r="T446" s="38">
        <v>3.0</v>
      </c>
      <c r="U446" s="48">
        <f t="shared" si="23"/>
        <v>259</v>
      </c>
      <c r="V446" s="48">
        <f t="shared" si="24"/>
        <v>346</v>
      </c>
      <c r="W446" s="49">
        <f t="shared" si="25"/>
        <v>0.3783783784</v>
      </c>
      <c r="X446" s="49">
        <f t="shared" si="26"/>
        <v>0.3397683398</v>
      </c>
      <c r="Y446" s="49">
        <f t="shared" si="27"/>
        <v>0.2818532819</v>
      </c>
      <c r="Z446" s="32" t="str">
        <f t="shared" si="28"/>
        <v>Jango</v>
      </c>
      <c r="AA446" s="50"/>
    </row>
    <row r="447">
      <c r="A447" s="110" t="s">
        <v>114</v>
      </c>
      <c r="B447" s="46" t="s">
        <v>514</v>
      </c>
      <c r="C447" s="47"/>
      <c r="D447" s="38">
        <v>89.0</v>
      </c>
      <c r="E447" s="38">
        <v>114.0</v>
      </c>
      <c r="F447" s="38">
        <v>138.0</v>
      </c>
      <c r="G447" s="38">
        <v>8.0</v>
      </c>
      <c r="H447" s="38">
        <v>10.0</v>
      </c>
      <c r="I447" s="48">
        <f t="shared" si="17"/>
        <v>341</v>
      </c>
      <c r="J447" s="48">
        <f t="shared" si="18"/>
        <v>359</v>
      </c>
      <c r="K447" s="49">
        <f t="shared" si="19"/>
        <v>0.2609970674</v>
      </c>
      <c r="L447" s="49">
        <f t="shared" si="20"/>
        <v>0.3343108504</v>
      </c>
      <c r="M447" s="49">
        <f t="shared" si="21"/>
        <v>0.4046920821</v>
      </c>
      <c r="N447" s="32" t="str">
        <f t="shared" si="22"/>
        <v>Adhemar</v>
      </c>
      <c r="O447" s="50"/>
      <c r="P447" s="38">
        <v>101.0</v>
      </c>
      <c r="Q447" s="38">
        <v>67.0</v>
      </c>
      <c r="R447" s="38">
        <v>93.0</v>
      </c>
      <c r="S447" s="38">
        <v>91.0</v>
      </c>
      <c r="T447" s="38">
        <v>7.0</v>
      </c>
      <c r="U447" s="48">
        <f t="shared" si="23"/>
        <v>261</v>
      </c>
      <c r="V447" s="48">
        <f t="shared" si="24"/>
        <v>359</v>
      </c>
      <c r="W447" s="49">
        <f t="shared" si="25"/>
        <v>0.3869731801</v>
      </c>
      <c r="X447" s="49">
        <f t="shared" si="26"/>
        <v>0.2567049808</v>
      </c>
      <c r="Y447" s="49">
        <f t="shared" si="27"/>
        <v>0.3563218391</v>
      </c>
      <c r="Z447" s="32" t="str">
        <f t="shared" si="28"/>
        <v>Jango</v>
      </c>
      <c r="AA447" s="50"/>
    </row>
    <row r="448">
      <c r="A448" s="110" t="s">
        <v>114</v>
      </c>
      <c r="B448" s="46" t="s">
        <v>852</v>
      </c>
      <c r="C448" s="47"/>
      <c r="D448" s="38">
        <v>108.0</v>
      </c>
      <c r="E448" s="38">
        <v>116.0</v>
      </c>
      <c r="F448" s="38">
        <v>125.0</v>
      </c>
      <c r="G448" s="38">
        <v>16.0</v>
      </c>
      <c r="H448" s="38">
        <v>6.0</v>
      </c>
      <c r="I448" s="48">
        <f t="shared" si="17"/>
        <v>349</v>
      </c>
      <c r="J448" s="48">
        <f t="shared" si="18"/>
        <v>371</v>
      </c>
      <c r="K448" s="49">
        <f t="shared" si="19"/>
        <v>0.3094555874</v>
      </c>
      <c r="L448" s="49">
        <f t="shared" si="20"/>
        <v>0.3323782235</v>
      </c>
      <c r="M448" s="49">
        <f t="shared" si="21"/>
        <v>0.3581661891</v>
      </c>
      <c r="N448" s="32" t="str">
        <f t="shared" si="22"/>
        <v>Adhemar</v>
      </c>
      <c r="O448" s="50"/>
      <c r="P448" s="38">
        <v>105.0</v>
      </c>
      <c r="Q448" s="38">
        <v>72.0</v>
      </c>
      <c r="R448" s="38">
        <v>94.0</v>
      </c>
      <c r="S448" s="38">
        <v>95.0</v>
      </c>
      <c r="T448" s="38">
        <v>5.0</v>
      </c>
      <c r="U448" s="48">
        <f t="shared" si="23"/>
        <v>271</v>
      </c>
      <c r="V448" s="48">
        <f t="shared" si="24"/>
        <v>371</v>
      </c>
      <c r="W448" s="49">
        <f t="shared" si="25"/>
        <v>0.3874538745</v>
      </c>
      <c r="X448" s="49">
        <f t="shared" si="26"/>
        <v>0.2656826568</v>
      </c>
      <c r="Y448" s="49">
        <f t="shared" si="27"/>
        <v>0.3468634686</v>
      </c>
      <c r="Z448" s="32" t="str">
        <f t="shared" si="28"/>
        <v>Jango</v>
      </c>
      <c r="AA448" s="50"/>
    </row>
    <row r="449">
      <c r="A449" s="110" t="s">
        <v>114</v>
      </c>
      <c r="B449" s="46" t="s">
        <v>2400</v>
      </c>
      <c r="C449" s="47"/>
      <c r="D449" s="38">
        <v>82.0</v>
      </c>
      <c r="E449" s="38">
        <v>167.0</v>
      </c>
      <c r="F449" s="38">
        <v>104.0</v>
      </c>
      <c r="G449" s="38">
        <v>16.0</v>
      </c>
      <c r="H449" s="38">
        <v>4.0</v>
      </c>
      <c r="I449" s="48">
        <f t="shared" si="17"/>
        <v>353</v>
      </c>
      <c r="J449" s="48">
        <f t="shared" si="18"/>
        <v>373</v>
      </c>
      <c r="K449" s="49">
        <f t="shared" si="19"/>
        <v>0.2322946176</v>
      </c>
      <c r="L449" s="49">
        <f t="shared" si="20"/>
        <v>0.4730878187</v>
      </c>
      <c r="M449" s="49">
        <f t="shared" si="21"/>
        <v>0.2946175637</v>
      </c>
      <c r="N449" s="32" t="str">
        <f t="shared" si="22"/>
        <v>Mal. Lott</v>
      </c>
      <c r="O449" s="50"/>
      <c r="P449" s="38">
        <v>122.0</v>
      </c>
      <c r="Q449" s="38">
        <v>61.0</v>
      </c>
      <c r="R449" s="38">
        <v>79.0</v>
      </c>
      <c r="S449" s="38">
        <v>106.0</v>
      </c>
      <c r="T449" s="38">
        <v>5.0</v>
      </c>
      <c r="U449" s="48">
        <f t="shared" si="23"/>
        <v>262</v>
      </c>
      <c r="V449" s="48">
        <f t="shared" si="24"/>
        <v>373</v>
      </c>
      <c r="W449" s="49">
        <f t="shared" si="25"/>
        <v>0.465648855</v>
      </c>
      <c r="X449" s="49">
        <f t="shared" si="26"/>
        <v>0.2328244275</v>
      </c>
      <c r="Y449" s="49">
        <f t="shared" si="27"/>
        <v>0.3015267176</v>
      </c>
      <c r="Z449" s="32" t="str">
        <f t="shared" si="28"/>
        <v>Jango</v>
      </c>
      <c r="AA449" s="50"/>
    </row>
    <row r="450">
      <c r="A450" s="110" t="s">
        <v>114</v>
      </c>
      <c r="B450" s="46" t="s">
        <v>3260</v>
      </c>
      <c r="C450" s="47"/>
      <c r="D450" s="38">
        <v>195.0</v>
      </c>
      <c r="E450" s="38">
        <v>84.0</v>
      </c>
      <c r="F450" s="38">
        <v>96.0</v>
      </c>
      <c r="G450" s="38">
        <v>18.0</v>
      </c>
      <c r="H450" s="38">
        <v>13.0</v>
      </c>
      <c r="I450" s="48">
        <f t="shared" si="17"/>
        <v>375</v>
      </c>
      <c r="J450" s="48">
        <f t="shared" si="18"/>
        <v>406</v>
      </c>
      <c r="K450" s="49">
        <f t="shared" si="19"/>
        <v>0.52</v>
      </c>
      <c r="L450" s="49">
        <f t="shared" si="20"/>
        <v>0.224</v>
      </c>
      <c r="M450" s="49">
        <f t="shared" si="21"/>
        <v>0.256</v>
      </c>
      <c r="N450" s="32" t="str">
        <f t="shared" si="22"/>
        <v>Jânio</v>
      </c>
      <c r="O450" s="50"/>
      <c r="P450" s="38">
        <v>76.0</v>
      </c>
      <c r="Q450" s="38">
        <v>119.0</v>
      </c>
      <c r="R450" s="38">
        <v>44.0</v>
      </c>
      <c r="S450" s="38">
        <v>108.0</v>
      </c>
      <c r="T450" s="38">
        <v>5.0</v>
      </c>
      <c r="U450" s="48">
        <f t="shared" si="23"/>
        <v>239</v>
      </c>
      <c r="V450" s="48">
        <f t="shared" si="24"/>
        <v>352</v>
      </c>
      <c r="W450" s="49">
        <f t="shared" si="25"/>
        <v>0.3179916318</v>
      </c>
      <c r="X450" s="49">
        <f t="shared" si="26"/>
        <v>0.4979079498</v>
      </c>
      <c r="Y450" s="49">
        <f t="shared" si="27"/>
        <v>0.1841004184</v>
      </c>
      <c r="Z450" s="32" t="str">
        <f t="shared" si="28"/>
        <v>Milton</v>
      </c>
      <c r="AA450" s="50"/>
    </row>
    <row r="451">
      <c r="A451" s="110" t="s">
        <v>114</v>
      </c>
      <c r="B451" s="46" t="s">
        <v>3261</v>
      </c>
      <c r="C451" s="47"/>
      <c r="D451" s="38">
        <v>74.0</v>
      </c>
      <c r="E451" s="38">
        <v>141.0</v>
      </c>
      <c r="F451" s="38">
        <v>118.0</v>
      </c>
      <c r="G451" s="38">
        <v>15.0</v>
      </c>
      <c r="H451" s="38">
        <v>4.0</v>
      </c>
      <c r="I451" s="48">
        <f t="shared" si="17"/>
        <v>333</v>
      </c>
      <c r="J451" s="48">
        <f t="shared" si="18"/>
        <v>352</v>
      </c>
      <c r="K451" s="49">
        <f t="shared" si="19"/>
        <v>0.2222222222</v>
      </c>
      <c r="L451" s="49">
        <f t="shared" si="20"/>
        <v>0.4234234234</v>
      </c>
      <c r="M451" s="49">
        <f t="shared" si="21"/>
        <v>0.3543543544</v>
      </c>
      <c r="N451" s="32" t="str">
        <f t="shared" si="22"/>
        <v>Mal. Lott</v>
      </c>
      <c r="O451" s="50"/>
      <c r="P451" s="38">
        <v>135.0</v>
      </c>
      <c r="Q451" s="38">
        <v>58.0</v>
      </c>
      <c r="R451" s="38">
        <v>75.0</v>
      </c>
      <c r="S451" s="38">
        <v>80.0</v>
      </c>
      <c r="T451" s="38">
        <v>5.0</v>
      </c>
      <c r="U451" s="48">
        <f t="shared" si="23"/>
        <v>268</v>
      </c>
      <c r="V451" s="48">
        <f t="shared" si="24"/>
        <v>353</v>
      </c>
      <c r="W451" s="49">
        <f t="shared" si="25"/>
        <v>0.5037313433</v>
      </c>
      <c r="X451" s="49">
        <f t="shared" si="26"/>
        <v>0.2164179104</v>
      </c>
      <c r="Y451" s="49">
        <f t="shared" si="27"/>
        <v>0.2798507463</v>
      </c>
      <c r="Z451" s="32" t="str">
        <f t="shared" si="28"/>
        <v>Jango</v>
      </c>
      <c r="AA451" s="50"/>
    </row>
    <row r="452">
      <c r="A452" s="110" t="s">
        <v>117</v>
      </c>
      <c r="B452" s="46" t="s">
        <v>862</v>
      </c>
      <c r="C452" s="47"/>
      <c r="D452" s="38">
        <v>161.0</v>
      </c>
      <c r="E452" s="38">
        <v>101.0</v>
      </c>
      <c r="F452" s="38">
        <v>64.0</v>
      </c>
      <c r="G452" s="38">
        <v>10.0</v>
      </c>
      <c r="H452" s="38">
        <v>7.0</v>
      </c>
      <c r="I452" s="48">
        <f t="shared" si="17"/>
        <v>326</v>
      </c>
      <c r="J452" s="48">
        <f t="shared" si="18"/>
        <v>343</v>
      </c>
      <c r="K452" s="49">
        <f t="shared" si="19"/>
        <v>0.4938650307</v>
      </c>
      <c r="L452" s="49">
        <f t="shared" si="20"/>
        <v>0.3098159509</v>
      </c>
      <c r="M452" s="49">
        <f t="shared" si="21"/>
        <v>0.1963190184</v>
      </c>
      <c r="N452" s="32" t="str">
        <f t="shared" si="22"/>
        <v>Jânio</v>
      </c>
      <c r="O452" s="50"/>
      <c r="P452" s="38">
        <v>88.0</v>
      </c>
      <c r="Q452" s="38">
        <v>107.0</v>
      </c>
      <c r="R452" s="38">
        <v>66.0</v>
      </c>
      <c r="S452" s="38">
        <v>69.0</v>
      </c>
      <c r="T452" s="38">
        <v>7.0</v>
      </c>
      <c r="U452" s="48">
        <f t="shared" si="23"/>
        <v>261</v>
      </c>
      <c r="V452" s="48">
        <f t="shared" si="24"/>
        <v>337</v>
      </c>
      <c r="W452" s="49">
        <f t="shared" si="25"/>
        <v>0.337164751</v>
      </c>
      <c r="X452" s="49">
        <f t="shared" si="26"/>
        <v>0.4099616858</v>
      </c>
      <c r="Y452" s="49">
        <f t="shared" si="27"/>
        <v>0.2528735632</v>
      </c>
      <c r="Z452" s="32" t="str">
        <f t="shared" si="28"/>
        <v>Milton</v>
      </c>
      <c r="AA452" s="50"/>
    </row>
    <row r="453">
      <c r="A453" s="110" t="s">
        <v>117</v>
      </c>
      <c r="B453" s="46" t="s">
        <v>870</v>
      </c>
      <c r="C453" s="47"/>
      <c r="D453" s="38">
        <v>100.0</v>
      </c>
      <c r="E453" s="38">
        <v>62.0</v>
      </c>
      <c r="F453" s="38">
        <v>58.0</v>
      </c>
      <c r="G453" s="38">
        <v>7.0</v>
      </c>
      <c r="H453" s="38">
        <v>9.0</v>
      </c>
      <c r="I453" s="48">
        <f t="shared" si="17"/>
        <v>220</v>
      </c>
      <c r="J453" s="48">
        <f t="shared" si="18"/>
        <v>236</v>
      </c>
      <c r="K453" s="49">
        <f t="shared" si="19"/>
        <v>0.4545454545</v>
      </c>
      <c r="L453" s="49">
        <f t="shared" si="20"/>
        <v>0.2818181818</v>
      </c>
      <c r="M453" s="49">
        <f t="shared" si="21"/>
        <v>0.2636363636</v>
      </c>
      <c r="N453" s="32" t="str">
        <f t="shared" si="22"/>
        <v>Jânio</v>
      </c>
      <c r="O453" s="50"/>
      <c r="P453" s="38">
        <v>61.0</v>
      </c>
      <c r="Q453" s="38">
        <v>76.0</v>
      </c>
      <c r="R453" s="38">
        <v>48.0</v>
      </c>
      <c r="S453" s="38">
        <v>42.0</v>
      </c>
      <c r="T453" s="38">
        <v>9.0</v>
      </c>
      <c r="U453" s="48">
        <f t="shared" si="23"/>
        <v>185</v>
      </c>
      <c r="V453" s="48">
        <f t="shared" si="24"/>
        <v>236</v>
      </c>
      <c r="W453" s="49">
        <f t="shared" si="25"/>
        <v>0.3297297297</v>
      </c>
      <c r="X453" s="49">
        <f t="shared" si="26"/>
        <v>0.4108108108</v>
      </c>
      <c r="Y453" s="49">
        <f t="shared" si="27"/>
        <v>0.2594594595</v>
      </c>
      <c r="Z453" s="32" t="str">
        <f t="shared" si="28"/>
        <v>Milton</v>
      </c>
      <c r="AA453" s="50"/>
    </row>
    <row r="454">
      <c r="A454" s="110" t="s">
        <v>117</v>
      </c>
      <c r="B454" s="46" t="s">
        <v>111</v>
      </c>
      <c r="C454" s="47"/>
      <c r="D454" s="38">
        <v>150.0</v>
      </c>
      <c r="E454" s="38">
        <v>97.0</v>
      </c>
      <c r="F454" s="38">
        <v>77.0</v>
      </c>
      <c r="G454" s="38">
        <v>3.0</v>
      </c>
      <c r="H454" s="38">
        <v>6.0</v>
      </c>
      <c r="I454" s="48">
        <f t="shared" si="17"/>
        <v>324</v>
      </c>
      <c r="J454" s="48">
        <f t="shared" si="18"/>
        <v>333</v>
      </c>
      <c r="K454" s="49">
        <f t="shared" si="19"/>
        <v>0.462962963</v>
      </c>
      <c r="L454" s="49">
        <f t="shared" si="20"/>
        <v>0.299382716</v>
      </c>
      <c r="M454" s="49">
        <f t="shared" si="21"/>
        <v>0.237654321</v>
      </c>
      <c r="N454" s="32" t="str">
        <f t="shared" si="22"/>
        <v>Jânio</v>
      </c>
      <c r="O454" s="50"/>
      <c r="P454" s="38">
        <v>71.0</v>
      </c>
      <c r="Q454" s="38">
        <v>102.0</v>
      </c>
      <c r="R454" s="38">
        <v>88.0</v>
      </c>
      <c r="S454" s="38">
        <v>67.0</v>
      </c>
      <c r="T454" s="38">
        <v>5.0</v>
      </c>
      <c r="U454" s="48">
        <f t="shared" si="23"/>
        <v>261</v>
      </c>
      <c r="V454" s="48">
        <f t="shared" si="24"/>
        <v>333</v>
      </c>
      <c r="W454" s="49">
        <f t="shared" si="25"/>
        <v>0.2720306513</v>
      </c>
      <c r="X454" s="49">
        <f t="shared" si="26"/>
        <v>0.3908045977</v>
      </c>
      <c r="Y454" s="49">
        <f t="shared" si="27"/>
        <v>0.337164751</v>
      </c>
      <c r="Z454" s="32" t="str">
        <f t="shared" si="28"/>
        <v>Milton</v>
      </c>
      <c r="AA454" s="50"/>
    </row>
    <row r="455">
      <c r="A455" s="110" t="s">
        <v>117</v>
      </c>
      <c r="B455" s="46" t="s">
        <v>99</v>
      </c>
      <c r="C455" s="47"/>
      <c r="D455" s="38">
        <v>173.0</v>
      </c>
      <c r="E455" s="38">
        <v>82.0</v>
      </c>
      <c r="F455" s="38">
        <v>69.0</v>
      </c>
      <c r="G455" s="38">
        <v>4.0</v>
      </c>
      <c r="H455" s="38">
        <v>1.0</v>
      </c>
      <c r="I455" s="48">
        <f t="shared" si="17"/>
        <v>324</v>
      </c>
      <c r="J455" s="48">
        <f t="shared" si="18"/>
        <v>329</v>
      </c>
      <c r="K455" s="49">
        <f t="shared" si="19"/>
        <v>0.5339506173</v>
      </c>
      <c r="L455" s="49">
        <f t="shared" si="20"/>
        <v>0.2530864198</v>
      </c>
      <c r="M455" s="49">
        <f t="shared" si="21"/>
        <v>0.212962963</v>
      </c>
      <c r="N455" s="32" t="str">
        <f t="shared" si="22"/>
        <v>Jânio</v>
      </c>
      <c r="O455" s="50"/>
      <c r="P455" s="38">
        <v>60.0</v>
      </c>
      <c r="Q455" s="38">
        <v>40.0</v>
      </c>
      <c r="R455" s="38">
        <v>85.0</v>
      </c>
      <c r="S455" s="38">
        <v>73.0</v>
      </c>
      <c r="T455" s="38">
        <v>1.0</v>
      </c>
      <c r="U455" s="48">
        <f t="shared" si="23"/>
        <v>185</v>
      </c>
      <c r="V455" s="48">
        <f t="shared" si="24"/>
        <v>259</v>
      </c>
      <c r="W455" s="49">
        <f t="shared" si="25"/>
        <v>0.3243243243</v>
      </c>
      <c r="X455" s="49">
        <f t="shared" si="26"/>
        <v>0.2162162162</v>
      </c>
      <c r="Y455" s="49">
        <f t="shared" si="27"/>
        <v>0.4594594595</v>
      </c>
      <c r="Z455" s="32" t="str">
        <f t="shared" si="28"/>
        <v>Ferrari</v>
      </c>
      <c r="AA455" s="50"/>
    </row>
    <row r="456">
      <c r="A456" s="110" t="s">
        <v>117</v>
      </c>
      <c r="B456" s="46" t="s">
        <v>209</v>
      </c>
      <c r="C456" s="47"/>
      <c r="D456" s="38">
        <v>131.0</v>
      </c>
      <c r="E456" s="38">
        <v>86.0</v>
      </c>
      <c r="F456" s="38">
        <v>123.0</v>
      </c>
      <c r="G456" s="38">
        <v>8.0</v>
      </c>
      <c r="H456" s="38">
        <v>2.0</v>
      </c>
      <c r="I456" s="48">
        <f t="shared" si="17"/>
        <v>340</v>
      </c>
      <c r="J456" s="48">
        <f t="shared" si="18"/>
        <v>350</v>
      </c>
      <c r="K456" s="49">
        <f t="shared" si="19"/>
        <v>0.3852941176</v>
      </c>
      <c r="L456" s="49">
        <f t="shared" si="20"/>
        <v>0.2529411765</v>
      </c>
      <c r="M456" s="49">
        <f t="shared" si="21"/>
        <v>0.3617647059</v>
      </c>
      <c r="N456" s="32" t="str">
        <f t="shared" si="22"/>
        <v>Jânio</v>
      </c>
      <c r="O456" s="50"/>
      <c r="P456" s="38">
        <v>79.0</v>
      </c>
      <c r="Q456" s="38">
        <v>97.0</v>
      </c>
      <c r="R456" s="38">
        <v>92.0</v>
      </c>
      <c r="S456" s="38">
        <v>80.0</v>
      </c>
      <c r="T456" s="38">
        <v>2.0</v>
      </c>
      <c r="U456" s="48">
        <f t="shared" si="23"/>
        <v>268</v>
      </c>
      <c r="V456" s="48">
        <f t="shared" si="24"/>
        <v>350</v>
      </c>
      <c r="W456" s="49">
        <f t="shared" si="25"/>
        <v>0.2947761194</v>
      </c>
      <c r="X456" s="49">
        <f t="shared" si="26"/>
        <v>0.3619402985</v>
      </c>
      <c r="Y456" s="49">
        <f t="shared" si="27"/>
        <v>0.3432835821</v>
      </c>
      <c r="Z456" s="32" t="str">
        <f t="shared" si="28"/>
        <v>Milton</v>
      </c>
      <c r="AA456" s="50"/>
    </row>
    <row r="457">
      <c r="A457" s="110" t="s">
        <v>117</v>
      </c>
      <c r="B457" s="46" t="s">
        <v>549</v>
      </c>
      <c r="C457" s="47"/>
      <c r="D457" s="38">
        <v>128.0</v>
      </c>
      <c r="E457" s="38">
        <v>104.0</v>
      </c>
      <c r="F457" s="38">
        <v>99.0</v>
      </c>
      <c r="G457" s="38">
        <v>11.0</v>
      </c>
      <c r="H457" s="38">
        <v>3.0</v>
      </c>
      <c r="I457" s="48">
        <f t="shared" si="17"/>
        <v>331</v>
      </c>
      <c r="J457" s="48">
        <f t="shared" si="18"/>
        <v>345</v>
      </c>
      <c r="K457" s="49">
        <f t="shared" si="19"/>
        <v>0.3867069486</v>
      </c>
      <c r="L457" s="49">
        <f t="shared" si="20"/>
        <v>0.3141993958</v>
      </c>
      <c r="M457" s="49">
        <f t="shared" si="21"/>
        <v>0.2990936556</v>
      </c>
      <c r="N457" s="32" t="str">
        <f t="shared" si="22"/>
        <v>Jânio</v>
      </c>
      <c r="O457" s="50"/>
      <c r="P457" s="38">
        <v>97.0</v>
      </c>
      <c r="Q457" s="38">
        <v>84.0</v>
      </c>
      <c r="R457" s="38">
        <v>86.0</v>
      </c>
      <c r="S457" s="38">
        <v>75.0</v>
      </c>
      <c r="T457" s="38">
        <v>3.0</v>
      </c>
      <c r="U457" s="48">
        <f t="shared" si="23"/>
        <v>267</v>
      </c>
      <c r="V457" s="48">
        <f t="shared" si="24"/>
        <v>345</v>
      </c>
      <c r="W457" s="49">
        <f t="shared" si="25"/>
        <v>0.3632958801</v>
      </c>
      <c r="X457" s="49">
        <f t="shared" si="26"/>
        <v>0.3146067416</v>
      </c>
      <c r="Y457" s="49">
        <f t="shared" si="27"/>
        <v>0.3220973783</v>
      </c>
      <c r="Z457" s="32" t="str">
        <f t="shared" si="28"/>
        <v>Jango</v>
      </c>
      <c r="AA457" s="50"/>
    </row>
    <row r="458">
      <c r="A458" s="110" t="s">
        <v>117</v>
      </c>
      <c r="B458" s="46" t="s">
        <v>135</v>
      </c>
      <c r="C458" s="47"/>
      <c r="D458" s="38">
        <v>132.0</v>
      </c>
      <c r="E458" s="38">
        <v>94.0</v>
      </c>
      <c r="F458" s="38">
        <v>101.0</v>
      </c>
      <c r="G458" s="38">
        <v>8.0</v>
      </c>
      <c r="H458" s="38">
        <v>1.0</v>
      </c>
      <c r="I458" s="48">
        <f t="shared" si="17"/>
        <v>327</v>
      </c>
      <c r="J458" s="48">
        <f t="shared" si="18"/>
        <v>336</v>
      </c>
      <c r="K458" s="49">
        <f t="shared" si="19"/>
        <v>0.4036697248</v>
      </c>
      <c r="L458" s="49">
        <f t="shared" si="20"/>
        <v>0.2874617737</v>
      </c>
      <c r="M458" s="49">
        <f t="shared" si="21"/>
        <v>0.3088685015</v>
      </c>
      <c r="N458" s="32" t="str">
        <f t="shared" si="22"/>
        <v>Jânio</v>
      </c>
      <c r="O458" s="50"/>
      <c r="P458" s="38">
        <v>87.0</v>
      </c>
      <c r="Q458" s="38">
        <v>110.0</v>
      </c>
      <c r="R458" s="38">
        <v>72.0</v>
      </c>
      <c r="S458" s="38">
        <v>66.0</v>
      </c>
      <c r="T458" s="38">
        <v>1.0</v>
      </c>
      <c r="U458" s="48">
        <f t="shared" si="23"/>
        <v>269</v>
      </c>
      <c r="V458" s="48">
        <f t="shared" si="24"/>
        <v>336</v>
      </c>
      <c r="W458" s="49">
        <f t="shared" si="25"/>
        <v>0.3234200743</v>
      </c>
      <c r="X458" s="49">
        <f t="shared" si="26"/>
        <v>0.4089219331</v>
      </c>
      <c r="Y458" s="49">
        <f t="shared" si="27"/>
        <v>0.2676579926</v>
      </c>
      <c r="Z458" s="32" t="str">
        <f t="shared" si="28"/>
        <v>Milton</v>
      </c>
      <c r="AA458" s="50"/>
    </row>
    <row r="459">
      <c r="A459" s="110" t="s">
        <v>117</v>
      </c>
      <c r="B459" s="46" t="s">
        <v>531</v>
      </c>
      <c r="C459" s="47"/>
      <c r="D459" s="38">
        <v>139.0</v>
      </c>
      <c r="E459" s="38">
        <v>98.0</v>
      </c>
      <c r="F459" s="38">
        <v>90.0</v>
      </c>
      <c r="G459" s="38">
        <v>9.0</v>
      </c>
      <c r="H459" s="38">
        <v>6.0</v>
      </c>
      <c r="I459" s="48">
        <f t="shared" si="17"/>
        <v>327</v>
      </c>
      <c r="J459" s="48">
        <f t="shared" si="18"/>
        <v>342</v>
      </c>
      <c r="K459" s="49">
        <f t="shared" si="19"/>
        <v>0.4250764526</v>
      </c>
      <c r="L459" s="49">
        <f t="shared" si="20"/>
        <v>0.2996941896</v>
      </c>
      <c r="M459" s="49">
        <f t="shared" si="21"/>
        <v>0.2752293578</v>
      </c>
      <c r="N459" s="32" t="str">
        <f t="shared" si="22"/>
        <v>Jânio</v>
      </c>
      <c r="O459" s="50"/>
      <c r="P459" s="38">
        <v>85.0</v>
      </c>
      <c r="Q459" s="38">
        <v>85.0</v>
      </c>
      <c r="R459" s="38">
        <v>90.0</v>
      </c>
      <c r="S459" s="38">
        <v>75.0</v>
      </c>
      <c r="T459" s="38">
        <v>7.0</v>
      </c>
      <c r="U459" s="48">
        <f t="shared" si="23"/>
        <v>260</v>
      </c>
      <c r="V459" s="48">
        <f t="shared" si="24"/>
        <v>342</v>
      </c>
      <c r="W459" s="49">
        <f t="shared" si="25"/>
        <v>0.3269230769</v>
      </c>
      <c r="X459" s="49">
        <f t="shared" si="26"/>
        <v>0.3269230769</v>
      </c>
      <c r="Y459" s="49">
        <f t="shared" si="27"/>
        <v>0.3461538462</v>
      </c>
      <c r="Z459" s="32" t="str">
        <f t="shared" si="28"/>
        <v>Ferrari</v>
      </c>
      <c r="AA459" s="50"/>
    </row>
    <row r="460">
      <c r="A460" s="110" t="s">
        <v>117</v>
      </c>
      <c r="B460" s="46" t="s">
        <v>886</v>
      </c>
      <c r="C460" s="47"/>
      <c r="D460" s="38">
        <v>132.0</v>
      </c>
      <c r="E460" s="38">
        <v>106.0</v>
      </c>
      <c r="F460" s="38">
        <v>92.0</v>
      </c>
      <c r="G460" s="38">
        <v>11.0</v>
      </c>
      <c r="H460" s="38">
        <v>6.0</v>
      </c>
      <c r="I460" s="48">
        <f t="shared" si="17"/>
        <v>330</v>
      </c>
      <c r="J460" s="48">
        <f t="shared" si="18"/>
        <v>347</v>
      </c>
      <c r="K460" s="49">
        <f t="shared" si="19"/>
        <v>0.4</v>
      </c>
      <c r="L460" s="49">
        <f t="shared" si="20"/>
        <v>0.3212121212</v>
      </c>
      <c r="M460" s="49">
        <f t="shared" si="21"/>
        <v>0.2787878788</v>
      </c>
      <c r="N460" s="32" t="str">
        <f t="shared" si="22"/>
        <v>Jânio</v>
      </c>
      <c r="O460" s="50"/>
      <c r="P460" s="38">
        <v>87.0</v>
      </c>
      <c r="Q460" s="38">
        <v>81.0</v>
      </c>
      <c r="R460" s="38">
        <v>95.0</v>
      </c>
      <c r="S460" s="38">
        <v>78.0</v>
      </c>
      <c r="T460" s="38">
        <v>6.0</v>
      </c>
      <c r="U460" s="48">
        <f t="shared" si="23"/>
        <v>263</v>
      </c>
      <c r="V460" s="48">
        <f t="shared" si="24"/>
        <v>347</v>
      </c>
      <c r="W460" s="49">
        <f t="shared" si="25"/>
        <v>0.3307984791</v>
      </c>
      <c r="X460" s="49">
        <f t="shared" si="26"/>
        <v>0.3079847909</v>
      </c>
      <c r="Y460" s="49">
        <f t="shared" si="27"/>
        <v>0.36121673</v>
      </c>
      <c r="Z460" s="32" t="str">
        <f t="shared" si="28"/>
        <v>Ferrari</v>
      </c>
      <c r="AA460" s="50"/>
    </row>
    <row r="461">
      <c r="A461" s="110" t="s">
        <v>117</v>
      </c>
      <c r="B461" s="46" t="s">
        <v>131</v>
      </c>
      <c r="C461" s="47"/>
      <c r="D461" s="38">
        <v>158.0</v>
      </c>
      <c r="E461" s="38">
        <v>89.0</v>
      </c>
      <c r="F461" s="38">
        <v>92.0</v>
      </c>
      <c r="G461" s="38">
        <v>9.0</v>
      </c>
      <c r="H461" s="38">
        <v>5.0</v>
      </c>
      <c r="I461" s="48">
        <f t="shared" si="17"/>
        <v>339</v>
      </c>
      <c r="J461" s="48">
        <f t="shared" si="18"/>
        <v>353</v>
      </c>
      <c r="K461" s="49">
        <f t="shared" si="19"/>
        <v>0.4660766962</v>
      </c>
      <c r="L461" s="49">
        <f t="shared" si="20"/>
        <v>0.2625368732</v>
      </c>
      <c r="M461" s="49">
        <f t="shared" si="21"/>
        <v>0.2713864307</v>
      </c>
      <c r="N461" s="32" t="str">
        <f t="shared" si="22"/>
        <v>Jânio</v>
      </c>
      <c r="O461" s="50"/>
      <c r="P461" s="38">
        <v>78.0</v>
      </c>
      <c r="Q461" s="38">
        <v>118.0</v>
      </c>
      <c r="R461" s="38">
        <v>90.0</v>
      </c>
      <c r="S461" s="38">
        <v>63.0</v>
      </c>
      <c r="T461" s="38">
        <v>4.0</v>
      </c>
      <c r="U461" s="48">
        <f t="shared" si="23"/>
        <v>286</v>
      </c>
      <c r="V461" s="48">
        <f t="shared" si="24"/>
        <v>353</v>
      </c>
      <c r="W461" s="49">
        <f t="shared" si="25"/>
        <v>0.2727272727</v>
      </c>
      <c r="X461" s="49">
        <f t="shared" si="26"/>
        <v>0.4125874126</v>
      </c>
      <c r="Y461" s="49">
        <f t="shared" si="27"/>
        <v>0.3146853147</v>
      </c>
      <c r="Z461" s="32" t="str">
        <f t="shared" si="28"/>
        <v>Milton</v>
      </c>
      <c r="AA461" s="50"/>
    </row>
    <row r="462">
      <c r="A462" s="110" t="s">
        <v>117</v>
      </c>
      <c r="B462" s="46" t="s">
        <v>537</v>
      </c>
      <c r="C462" s="47"/>
      <c r="D462" s="38">
        <v>150.0</v>
      </c>
      <c r="E462" s="38">
        <v>91.0</v>
      </c>
      <c r="F462" s="38">
        <v>86.0</v>
      </c>
      <c r="G462" s="38">
        <v>6.0</v>
      </c>
      <c r="H462" s="38">
        <v>10.0</v>
      </c>
      <c r="I462" s="48">
        <f t="shared" si="17"/>
        <v>327</v>
      </c>
      <c r="J462" s="48">
        <f t="shared" si="18"/>
        <v>343</v>
      </c>
      <c r="K462" s="49">
        <f t="shared" si="19"/>
        <v>0.4587155963</v>
      </c>
      <c r="L462" s="49">
        <f t="shared" si="20"/>
        <v>0.2782874618</v>
      </c>
      <c r="M462" s="49">
        <f t="shared" si="21"/>
        <v>0.2629969419</v>
      </c>
      <c r="N462" s="32" t="str">
        <f t="shared" si="22"/>
        <v>Jânio</v>
      </c>
      <c r="O462" s="50"/>
      <c r="P462" s="38">
        <v>96.0</v>
      </c>
      <c r="Q462" s="38">
        <v>94.0</v>
      </c>
      <c r="R462" s="38">
        <v>77.0</v>
      </c>
      <c r="S462" s="38">
        <v>107.0</v>
      </c>
      <c r="T462" s="38">
        <v>9.0</v>
      </c>
      <c r="U462" s="48">
        <f t="shared" si="23"/>
        <v>267</v>
      </c>
      <c r="V462" s="48">
        <f t="shared" si="24"/>
        <v>383</v>
      </c>
      <c r="W462" s="49">
        <f t="shared" si="25"/>
        <v>0.3595505618</v>
      </c>
      <c r="X462" s="49">
        <f t="shared" si="26"/>
        <v>0.3520599251</v>
      </c>
      <c r="Y462" s="49">
        <f t="shared" si="27"/>
        <v>0.2883895131</v>
      </c>
      <c r="Z462" s="32" t="str">
        <f t="shared" si="28"/>
        <v>Jango</v>
      </c>
      <c r="AA462" s="50"/>
    </row>
    <row r="463">
      <c r="A463" s="110" t="s">
        <v>117</v>
      </c>
      <c r="B463" s="46" t="s">
        <v>3262</v>
      </c>
      <c r="C463" s="47"/>
      <c r="D463" s="38">
        <v>124.0</v>
      </c>
      <c r="E463" s="38">
        <v>100.0</v>
      </c>
      <c r="F463" s="38">
        <v>119.0</v>
      </c>
      <c r="G463" s="38">
        <v>15.0</v>
      </c>
      <c r="H463" s="38">
        <v>4.0</v>
      </c>
      <c r="I463" s="48">
        <f t="shared" si="17"/>
        <v>343</v>
      </c>
      <c r="J463" s="48">
        <f t="shared" si="18"/>
        <v>362</v>
      </c>
      <c r="K463" s="49">
        <f t="shared" si="19"/>
        <v>0.361516035</v>
      </c>
      <c r="L463" s="49">
        <f t="shared" si="20"/>
        <v>0.2915451895</v>
      </c>
      <c r="M463" s="49">
        <f t="shared" si="21"/>
        <v>0.3469387755</v>
      </c>
      <c r="N463" s="32" t="str">
        <f t="shared" si="22"/>
        <v>Jânio</v>
      </c>
      <c r="O463" s="50"/>
      <c r="P463" s="38">
        <v>100.0</v>
      </c>
      <c r="Q463" s="38">
        <v>86.0</v>
      </c>
      <c r="R463" s="38">
        <v>83.0</v>
      </c>
      <c r="S463" s="38">
        <v>89.0</v>
      </c>
      <c r="T463" s="38">
        <v>4.0</v>
      </c>
      <c r="U463" s="48">
        <f t="shared" si="23"/>
        <v>269</v>
      </c>
      <c r="V463" s="48">
        <f t="shared" si="24"/>
        <v>362</v>
      </c>
      <c r="W463" s="49">
        <f t="shared" si="25"/>
        <v>0.3717472119</v>
      </c>
      <c r="X463" s="49">
        <f t="shared" si="26"/>
        <v>0.3197026022</v>
      </c>
      <c r="Y463" s="49">
        <f t="shared" si="27"/>
        <v>0.3085501859</v>
      </c>
      <c r="Z463" s="32" t="str">
        <f t="shared" si="28"/>
        <v>Jango</v>
      </c>
      <c r="AA463" s="50"/>
    </row>
    <row r="464">
      <c r="A464" s="110" t="s">
        <v>117</v>
      </c>
      <c r="B464" s="46" t="s">
        <v>2342</v>
      </c>
      <c r="C464" s="47"/>
      <c r="D464" s="38">
        <v>161.0</v>
      </c>
      <c r="E464" s="38">
        <v>78.0</v>
      </c>
      <c r="F464" s="38">
        <v>105.0</v>
      </c>
      <c r="G464" s="38">
        <v>14.0</v>
      </c>
      <c r="H464" s="38">
        <v>1.0</v>
      </c>
      <c r="I464" s="48">
        <f t="shared" si="17"/>
        <v>344</v>
      </c>
      <c r="J464" s="48">
        <f t="shared" si="18"/>
        <v>359</v>
      </c>
      <c r="K464" s="49">
        <f t="shared" si="19"/>
        <v>0.4680232558</v>
      </c>
      <c r="L464" s="49">
        <f t="shared" si="20"/>
        <v>0.226744186</v>
      </c>
      <c r="M464" s="49">
        <f t="shared" si="21"/>
        <v>0.3052325581</v>
      </c>
      <c r="N464" s="32" t="str">
        <f t="shared" si="22"/>
        <v>Jânio</v>
      </c>
      <c r="O464" s="50"/>
      <c r="P464" s="38">
        <v>55.0</v>
      </c>
      <c r="Q464" s="38">
        <v>105.0</v>
      </c>
      <c r="R464" s="38">
        <v>82.0</v>
      </c>
      <c r="S464" s="38">
        <v>116.0</v>
      </c>
      <c r="T464" s="38">
        <v>1.0</v>
      </c>
      <c r="U464" s="48">
        <f t="shared" si="23"/>
        <v>242</v>
      </c>
      <c r="V464" s="48">
        <f t="shared" si="24"/>
        <v>359</v>
      </c>
      <c r="W464" s="49">
        <f t="shared" si="25"/>
        <v>0.2272727273</v>
      </c>
      <c r="X464" s="49">
        <f t="shared" si="26"/>
        <v>0.4338842975</v>
      </c>
      <c r="Y464" s="49">
        <f t="shared" si="27"/>
        <v>0.3388429752</v>
      </c>
      <c r="Z464" s="32" t="str">
        <f t="shared" si="28"/>
        <v>Milton</v>
      </c>
      <c r="AA464" s="50"/>
    </row>
    <row r="465">
      <c r="A465" s="110" t="s">
        <v>117</v>
      </c>
      <c r="B465" s="46" t="s">
        <v>524</v>
      </c>
      <c r="C465" s="47"/>
      <c r="D465" s="38">
        <v>142.0</v>
      </c>
      <c r="E465" s="38">
        <v>100.0</v>
      </c>
      <c r="F465" s="38">
        <v>90.0</v>
      </c>
      <c r="G465" s="38">
        <v>5.0</v>
      </c>
      <c r="H465" s="38">
        <v>4.0</v>
      </c>
      <c r="I465" s="48">
        <f t="shared" si="17"/>
        <v>332</v>
      </c>
      <c r="J465" s="48">
        <f t="shared" si="18"/>
        <v>341</v>
      </c>
      <c r="K465" s="49">
        <f t="shared" si="19"/>
        <v>0.4277108434</v>
      </c>
      <c r="L465" s="49">
        <f t="shared" si="20"/>
        <v>0.3012048193</v>
      </c>
      <c r="M465" s="49">
        <f t="shared" si="21"/>
        <v>0.2710843373</v>
      </c>
      <c r="N465" s="32" t="str">
        <f t="shared" si="22"/>
        <v>Jânio</v>
      </c>
      <c r="O465" s="50"/>
      <c r="P465" s="38">
        <v>84.0</v>
      </c>
      <c r="Q465" s="38">
        <v>107.0</v>
      </c>
      <c r="R465" s="38">
        <v>86.0</v>
      </c>
      <c r="S465" s="38">
        <v>60.0</v>
      </c>
      <c r="T465" s="38">
        <v>4.0</v>
      </c>
      <c r="U465" s="48">
        <f t="shared" si="23"/>
        <v>277</v>
      </c>
      <c r="V465" s="48">
        <f t="shared" si="24"/>
        <v>341</v>
      </c>
      <c r="W465" s="49">
        <f t="shared" si="25"/>
        <v>0.3032490975</v>
      </c>
      <c r="X465" s="49">
        <f t="shared" si="26"/>
        <v>0.3862815884</v>
      </c>
      <c r="Y465" s="49">
        <f t="shared" si="27"/>
        <v>0.3104693141</v>
      </c>
      <c r="Z465" s="32" t="str">
        <f t="shared" si="28"/>
        <v>Milton</v>
      </c>
      <c r="AA465" s="50"/>
    </row>
    <row r="466">
      <c r="A466" s="110" t="s">
        <v>117</v>
      </c>
      <c r="B466" s="46" t="s">
        <v>114</v>
      </c>
      <c r="C466" s="47"/>
      <c r="D466" s="38">
        <v>86.0</v>
      </c>
      <c r="E466" s="38">
        <v>53.0</v>
      </c>
      <c r="F466" s="38">
        <v>40.0</v>
      </c>
      <c r="G466" s="38">
        <v>1.0</v>
      </c>
      <c r="H466" s="38">
        <v>1.0</v>
      </c>
      <c r="I466" s="48">
        <f t="shared" si="17"/>
        <v>179</v>
      </c>
      <c r="J466" s="48">
        <f t="shared" si="18"/>
        <v>181</v>
      </c>
      <c r="K466" s="49">
        <f t="shared" si="19"/>
        <v>0.4804469274</v>
      </c>
      <c r="L466" s="49">
        <f t="shared" si="20"/>
        <v>0.2960893855</v>
      </c>
      <c r="M466" s="49">
        <f t="shared" si="21"/>
        <v>0.2234636872</v>
      </c>
      <c r="N466" s="32" t="str">
        <f t="shared" si="22"/>
        <v>Jânio</v>
      </c>
      <c r="O466" s="50"/>
      <c r="P466" s="38">
        <v>46.0</v>
      </c>
      <c r="Q466" s="38">
        <v>59.0</v>
      </c>
      <c r="R466" s="38">
        <v>37.0</v>
      </c>
      <c r="S466" s="38">
        <v>36.0</v>
      </c>
      <c r="T466" s="38">
        <v>3.0</v>
      </c>
      <c r="U466" s="48">
        <f t="shared" si="23"/>
        <v>142</v>
      </c>
      <c r="V466" s="48">
        <f t="shared" si="24"/>
        <v>181</v>
      </c>
      <c r="W466" s="49">
        <f t="shared" si="25"/>
        <v>0.323943662</v>
      </c>
      <c r="X466" s="49">
        <f t="shared" si="26"/>
        <v>0.4154929577</v>
      </c>
      <c r="Y466" s="49">
        <f t="shared" si="27"/>
        <v>0.2605633803</v>
      </c>
      <c r="Z466" s="32" t="str">
        <f t="shared" si="28"/>
        <v>Milton</v>
      </c>
      <c r="AA466" s="50"/>
    </row>
    <row r="467">
      <c r="A467" s="110" t="s">
        <v>117</v>
      </c>
      <c r="B467" s="46" t="s">
        <v>890</v>
      </c>
      <c r="C467" s="47"/>
      <c r="D467" s="38">
        <v>143.0</v>
      </c>
      <c r="E467" s="38">
        <v>103.0</v>
      </c>
      <c r="F467" s="38">
        <v>86.0</v>
      </c>
      <c r="G467" s="38">
        <v>8.0</v>
      </c>
      <c r="H467" s="38">
        <v>0.0</v>
      </c>
      <c r="I467" s="48">
        <f t="shared" si="17"/>
        <v>332</v>
      </c>
      <c r="J467" s="48">
        <f t="shared" si="18"/>
        <v>340</v>
      </c>
      <c r="K467" s="49">
        <f t="shared" si="19"/>
        <v>0.4307228916</v>
      </c>
      <c r="L467" s="49">
        <f t="shared" si="20"/>
        <v>0.3102409639</v>
      </c>
      <c r="M467" s="49">
        <f t="shared" si="21"/>
        <v>0.2590361446</v>
      </c>
      <c r="N467" s="32" t="str">
        <f t="shared" si="22"/>
        <v>Jânio</v>
      </c>
      <c r="O467" s="50"/>
      <c r="P467" s="38">
        <v>82.0</v>
      </c>
      <c r="Q467" s="38">
        <v>104.0</v>
      </c>
      <c r="R467" s="38">
        <v>79.0</v>
      </c>
      <c r="S467" s="38">
        <v>75.0</v>
      </c>
      <c r="T467" s="38">
        <v>0.0</v>
      </c>
      <c r="U467" s="48">
        <f t="shared" si="23"/>
        <v>265</v>
      </c>
      <c r="V467" s="48">
        <f t="shared" si="24"/>
        <v>340</v>
      </c>
      <c r="W467" s="49">
        <f t="shared" si="25"/>
        <v>0.3094339623</v>
      </c>
      <c r="X467" s="49">
        <f t="shared" si="26"/>
        <v>0.3924528302</v>
      </c>
      <c r="Y467" s="49">
        <f t="shared" si="27"/>
        <v>0.2981132075</v>
      </c>
      <c r="Z467" s="32" t="str">
        <f t="shared" si="28"/>
        <v>Milton</v>
      </c>
      <c r="AA467" s="50"/>
    </row>
    <row r="468">
      <c r="A468" s="110" t="s">
        <v>117</v>
      </c>
      <c r="B468" s="46" t="s">
        <v>198</v>
      </c>
      <c r="C468" s="47"/>
      <c r="D468" s="38">
        <v>131.0</v>
      </c>
      <c r="E468" s="38">
        <v>100.0</v>
      </c>
      <c r="F468" s="38">
        <v>92.0</v>
      </c>
      <c r="G468" s="38">
        <v>10.0</v>
      </c>
      <c r="H468" s="38">
        <v>3.0</v>
      </c>
      <c r="I468" s="48">
        <f t="shared" si="17"/>
        <v>323</v>
      </c>
      <c r="J468" s="48">
        <f t="shared" si="18"/>
        <v>336</v>
      </c>
      <c r="K468" s="49">
        <f t="shared" si="19"/>
        <v>0.4055727554</v>
      </c>
      <c r="L468" s="49">
        <f t="shared" si="20"/>
        <v>0.3095975232</v>
      </c>
      <c r="M468" s="49">
        <f t="shared" si="21"/>
        <v>0.2848297214</v>
      </c>
      <c r="N468" s="32" t="str">
        <f t="shared" si="22"/>
        <v>Jânio</v>
      </c>
      <c r="O468" s="50"/>
      <c r="P468" s="38">
        <v>70.0</v>
      </c>
      <c r="Q468" s="38">
        <v>100.0</v>
      </c>
      <c r="R468" s="38">
        <v>76.0</v>
      </c>
      <c r="S468" s="38">
        <v>90.0</v>
      </c>
      <c r="T468" s="38">
        <v>0.0</v>
      </c>
      <c r="U468" s="48">
        <f t="shared" si="23"/>
        <v>246</v>
      </c>
      <c r="V468" s="48">
        <f t="shared" si="24"/>
        <v>336</v>
      </c>
      <c r="W468" s="49">
        <f t="shared" si="25"/>
        <v>0.2845528455</v>
      </c>
      <c r="X468" s="49">
        <f t="shared" si="26"/>
        <v>0.406504065</v>
      </c>
      <c r="Y468" s="49">
        <f t="shared" si="27"/>
        <v>0.3089430894</v>
      </c>
      <c r="Z468" s="32" t="str">
        <f t="shared" si="28"/>
        <v>Milton</v>
      </c>
      <c r="AA468" s="50"/>
    </row>
    <row r="469">
      <c r="A469" s="110" t="s">
        <v>117</v>
      </c>
      <c r="B469" s="46" t="s">
        <v>73</v>
      </c>
      <c r="C469" s="47"/>
      <c r="D469" s="38">
        <v>67.0</v>
      </c>
      <c r="E469" s="38">
        <v>89.0</v>
      </c>
      <c r="F469" s="38">
        <v>71.0</v>
      </c>
      <c r="G469" s="38">
        <v>4.0</v>
      </c>
      <c r="H469" s="38">
        <v>3.0</v>
      </c>
      <c r="I469" s="48">
        <f t="shared" si="17"/>
        <v>227</v>
      </c>
      <c r="J469" s="48">
        <f t="shared" si="18"/>
        <v>234</v>
      </c>
      <c r="K469" s="49">
        <f t="shared" si="19"/>
        <v>0.295154185</v>
      </c>
      <c r="L469" s="49">
        <f t="shared" si="20"/>
        <v>0.3920704846</v>
      </c>
      <c r="M469" s="49">
        <f t="shared" si="21"/>
        <v>0.3127753304</v>
      </c>
      <c r="N469" s="32" t="str">
        <f t="shared" si="22"/>
        <v>Mal. Lott</v>
      </c>
      <c r="O469" s="50"/>
      <c r="P469" s="38">
        <v>75.0</v>
      </c>
      <c r="Q469" s="38">
        <v>35.0</v>
      </c>
      <c r="R469" s="38">
        <v>58.0</v>
      </c>
      <c r="S469" s="38">
        <v>65.0</v>
      </c>
      <c r="T469" s="38">
        <v>1.0</v>
      </c>
      <c r="U469" s="48">
        <f t="shared" si="23"/>
        <v>168</v>
      </c>
      <c r="V469" s="48">
        <f t="shared" si="24"/>
        <v>234</v>
      </c>
      <c r="W469" s="49">
        <f t="shared" si="25"/>
        <v>0.4464285714</v>
      </c>
      <c r="X469" s="49">
        <f t="shared" si="26"/>
        <v>0.2083333333</v>
      </c>
      <c r="Y469" s="49">
        <f t="shared" si="27"/>
        <v>0.3452380952</v>
      </c>
      <c r="Z469" s="32" t="str">
        <f t="shared" si="28"/>
        <v>Jango</v>
      </c>
      <c r="AA469" s="50"/>
    </row>
    <row r="470">
      <c r="A470" s="110" t="s">
        <v>117</v>
      </c>
      <c r="B470" s="46" t="s">
        <v>817</v>
      </c>
      <c r="C470" s="47"/>
      <c r="D470" s="38">
        <v>120.0</v>
      </c>
      <c r="E470" s="38">
        <v>79.0</v>
      </c>
      <c r="F470" s="38">
        <v>78.0</v>
      </c>
      <c r="G470" s="38">
        <v>3.0</v>
      </c>
      <c r="H470" s="38">
        <v>0.0</v>
      </c>
      <c r="I470" s="48">
        <f t="shared" si="17"/>
        <v>277</v>
      </c>
      <c r="J470" s="48">
        <f t="shared" si="18"/>
        <v>280</v>
      </c>
      <c r="K470" s="49">
        <f t="shared" si="19"/>
        <v>0.4332129964</v>
      </c>
      <c r="L470" s="49">
        <f t="shared" si="20"/>
        <v>0.285198556</v>
      </c>
      <c r="M470" s="49">
        <f t="shared" si="21"/>
        <v>0.2815884477</v>
      </c>
      <c r="N470" s="32" t="str">
        <f t="shared" si="22"/>
        <v>Jânio</v>
      </c>
      <c r="O470" s="50"/>
      <c r="P470" s="38">
        <v>59.0</v>
      </c>
      <c r="Q470" s="38">
        <v>81.0</v>
      </c>
      <c r="R470" s="38">
        <v>76.0</v>
      </c>
      <c r="S470" s="38">
        <v>63.0</v>
      </c>
      <c r="T470" s="38">
        <v>0.0</v>
      </c>
      <c r="U470" s="48">
        <f t="shared" si="23"/>
        <v>216</v>
      </c>
      <c r="V470" s="48">
        <f t="shared" si="24"/>
        <v>279</v>
      </c>
      <c r="W470" s="49">
        <f t="shared" si="25"/>
        <v>0.2731481481</v>
      </c>
      <c r="X470" s="49">
        <f t="shared" si="26"/>
        <v>0.375</v>
      </c>
      <c r="Y470" s="49">
        <f t="shared" si="27"/>
        <v>0.3518518519</v>
      </c>
      <c r="Z470" s="32" t="str">
        <f t="shared" si="28"/>
        <v>Milton</v>
      </c>
      <c r="AA470" s="50"/>
    </row>
    <row r="471">
      <c r="A471" s="110" t="s">
        <v>117</v>
      </c>
      <c r="B471" s="46" t="s">
        <v>872</v>
      </c>
      <c r="C471" s="47"/>
      <c r="D471" s="38">
        <v>90.0</v>
      </c>
      <c r="E471" s="38">
        <v>64.0</v>
      </c>
      <c r="F471" s="38">
        <v>68.0</v>
      </c>
      <c r="G471" s="38">
        <v>4.0</v>
      </c>
      <c r="H471" s="38">
        <v>0.0</v>
      </c>
      <c r="I471" s="48">
        <f t="shared" si="17"/>
        <v>222</v>
      </c>
      <c r="J471" s="48">
        <f t="shared" si="18"/>
        <v>226</v>
      </c>
      <c r="K471" s="49">
        <f t="shared" si="19"/>
        <v>0.4054054054</v>
      </c>
      <c r="L471" s="49">
        <f t="shared" si="20"/>
        <v>0.2882882883</v>
      </c>
      <c r="M471" s="49">
        <f t="shared" si="21"/>
        <v>0.3063063063</v>
      </c>
      <c r="N471" s="32" t="str">
        <f t="shared" si="22"/>
        <v>Jânio</v>
      </c>
      <c r="O471" s="50"/>
      <c r="P471" s="38">
        <v>41.0</v>
      </c>
      <c r="Q471" s="38">
        <v>75.0</v>
      </c>
      <c r="R471" s="38">
        <v>68.0</v>
      </c>
      <c r="S471" s="38">
        <v>42.0</v>
      </c>
      <c r="T471" s="38">
        <v>0.0</v>
      </c>
      <c r="U471" s="48">
        <f t="shared" si="23"/>
        <v>184</v>
      </c>
      <c r="V471" s="48">
        <f t="shared" si="24"/>
        <v>226</v>
      </c>
      <c r="W471" s="49">
        <f t="shared" si="25"/>
        <v>0.222826087</v>
      </c>
      <c r="X471" s="49">
        <f t="shared" si="26"/>
        <v>0.4076086957</v>
      </c>
      <c r="Y471" s="49">
        <f t="shared" si="27"/>
        <v>0.3695652174</v>
      </c>
      <c r="Z471" s="32" t="str">
        <f t="shared" si="28"/>
        <v>Milton</v>
      </c>
      <c r="AA471" s="50"/>
    </row>
    <row r="472">
      <c r="A472" s="110" t="s">
        <v>117</v>
      </c>
      <c r="B472" s="46" t="s">
        <v>127</v>
      </c>
      <c r="C472" s="47"/>
      <c r="D472" s="38">
        <v>179.0</v>
      </c>
      <c r="E472" s="38">
        <v>86.0</v>
      </c>
      <c r="F472" s="38">
        <v>71.0</v>
      </c>
      <c r="G472" s="38">
        <v>11.0</v>
      </c>
      <c r="H472" s="38">
        <v>2.0</v>
      </c>
      <c r="I472" s="48">
        <f t="shared" si="17"/>
        <v>336</v>
      </c>
      <c r="J472" s="48">
        <f t="shared" si="18"/>
        <v>349</v>
      </c>
      <c r="K472" s="49">
        <f t="shared" si="19"/>
        <v>0.5327380952</v>
      </c>
      <c r="L472" s="49">
        <f t="shared" si="20"/>
        <v>0.255952381</v>
      </c>
      <c r="M472" s="49">
        <f t="shared" si="21"/>
        <v>0.2113095238</v>
      </c>
      <c r="N472" s="32" t="str">
        <f t="shared" si="22"/>
        <v>Jânio</v>
      </c>
      <c r="O472" s="50"/>
      <c r="P472" s="38">
        <v>67.0</v>
      </c>
      <c r="Q472" s="38">
        <v>146.0</v>
      </c>
      <c r="R472" s="38">
        <v>86.0</v>
      </c>
      <c r="S472" s="38">
        <v>98.0</v>
      </c>
      <c r="T472" s="38">
        <v>2.0</v>
      </c>
      <c r="U472" s="48">
        <f t="shared" si="23"/>
        <v>299</v>
      </c>
      <c r="V472" s="48">
        <f t="shared" si="24"/>
        <v>399</v>
      </c>
      <c r="W472" s="49">
        <f t="shared" si="25"/>
        <v>0.2240802676</v>
      </c>
      <c r="X472" s="49">
        <f t="shared" si="26"/>
        <v>0.4882943144</v>
      </c>
      <c r="Y472" s="49">
        <f t="shared" si="27"/>
        <v>0.2876254181</v>
      </c>
      <c r="Z472" s="32" t="str">
        <f t="shared" si="28"/>
        <v>Milton</v>
      </c>
      <c r="AA472" s="50"/>
    </row>
    <row r="473">
      <c r="A473" s="110" t="s">
        <v>119</v>
      </c>
      <c r="B473" s="46" t="s">
        <v>3263</v>
      </c>
      <c r="C473" s="47"/>
      <c r="D473" s="38">
        <v>107.0</v>
      </c>
      <c r="E473" s="38">
        <v>129.0</v>
      </c>
      <c r="F473" s="38">
        <v>113.0</v>
      </c>
      <c r="G473" s="38">
        <v>13.0</v>
      </c>
      <c r="H473" s="38">
        <v>9.0</v>
      </c>
      <c r="I473" s="48">
        <f t="shared" si="17"/>
        <v>349</v>
      </c>
      <c r="J473" s="48">
        <f t="shared" si="18"/>
        <v>371</v>
      </c>
      <c r="K473" s="49">
        <f t="shared" si="19"/>
        <v>0.3065902579</v>
      </c>
      <c r="L473" s="49">
        <f t="shared" si="20"/>
        <v>0.3696275072</v>
      </c>
      <c r="M473" s="49">
        <f t="shared" si="21"/>
        <v>0.323782235</v>
      </c>
      <c r="N473" s="32" t="str">
        <f t="shared" si="22"/>
        <v>Mal. Lott</v>
      </c>
      <c r="O473" s="50"/>
      <c r="P473" s="38">
        <v>105.0</v>
      </c>
      <c r="Q473" s="38">
        <v>84.0</v>
      </c>
      <c r="R473" s="38">
        <v>95.0</v>
      </c>
      <c r="S473" s="38">
        <v>82.0</v>
      </c>
      <c r="T473" s="38">
        <v>5.0</v>
      </c>
      <c r="U473" s="48">
        <f t="shared" si="23"/>
        <v>284</v>
      </c>
      <c r="V473" s="48">
        <f t="shared" si="24"/>
        <v>371</v>
      </c>
      <c r="W473" s="49">
        <f t="shared" si="25"/>
        <v>0.3697183099</v>
      </c>
      <c r="X473" s="49">
        <f t="shared" si="26"/>
        <v>0.2957746479</v>
      </c>
      <c r="Y473" s="49">
        <f t="shared" si="27"/>
        <v>0.3345070423</v>
      </c>
      <c r="Z473" s="32" t="str">
        <f t="shared" si="28"/>
        <v>Jango</v>
      </c>
      <c r="AA473" s="50"/>
    </row>
    <row r="474">
      <c r="A474" s="110" t="s">
        <v>119</v>
      </c>
      <c r="B474" s="46" t="s">
        <v>3264</v>
      </c>
      <c r="C474" s="47"/>
      <c r="D474" s="38">
        <v>110.0</v>
      </c>
      <c r="E474" s="38">
        <v>85.0</v>
      </c>
      <c r="F474" s="38">
        <v>160.0</v>
      </c>
      <c r="G474" s="38">
        <v>16.0</v>
      </c>
      <c r="H474" s="38">
        <v>9.0</v>
      </c>
      <c r="I474" s="48">
        <f t="shared" si="17"/>
        <v>355</v>
      </c>
      <c r="J474" s="48">
        <f t="shared" si="18"/>
        <v>380</v>
      </c>
      <c r="K474" s="49">
        <f t="shared" si="19"/>
        <v>0.3098591549</v>
      </c>
      <c r="L474" s="49">
        <f t="shared" si="20"/>
        <v>0.2394366197</v>
      </c>
      <c r="M474" s="49">
        <f t="shared" si="21"/>
        <v>0.4507042254</v>
      </c>
      <c r="N474" s="32" t="str">
        <f t="shared" si="22"/>
        <v>Adhemar</v>
      </c>
      <c r="O474" s="50"/>
      <c r="P474" s="38">
        <v>75.0</v>
      </c>
      <c r="Q474" s="38">
        <v>100.0</v>
      </c>
      <c r="R474" s="38">
        <v>82.0</v>
      </c>
      <c r="S474" s="38">
        <v>116.0</v>
      </c>
      <c r="T474" s="38">
        <v>7.0</v>
      </c>
      <c r="U474" s="48">
        <f t="shared" si="23"/>
        <v>257</v>
      </c>
      <c r="V474" s="48">
        <f t="shared" si="24"/>
        <v>380</v>
      </c>
      <c r="W474" s="49">
        <f t="shared" si="25"/>
        <v>0.2918287938</v>
      </c>
      <c r="X474" s="49">
        <f t="shared" si="26"/>
        <v>0.3891050584</v>
      </c>
      <c r="Y474" s="49">
        <f t="shared" si="27"/>
        <v>0.3190661479</v>
      </c>
      <c r="Z474" s="32" t="str">
        <f t="shared" si="28"/>
        <v>Milton</v>
      </c>
      <c r="AA474" s="50"/>
    </row>
    <row r="475">
      <c r="A475" s="110" t="s">
        <v>119</v>
      </c>
      <c r="B475" s="46" t="s">
        <v>3265</v>
      </c>
      <c r="C475" s="47"/>
      <c r="D475" s="38">
        <v>94.0</v>
      </c>
      <c r="E475" s="38">
        <v>113.0</v>
      </c>
      <c r="F475" s="38">
        <v>101.0</v>
      </c>
      <c r="G475" s="38">
        <v>31.0</v>
      </c>
      <c r="H475" s="38">
        <v>12.0</v>
      </c>
      <c r="I475" s="48">
        <f t="shared" si="17"/>
        <v>308</v>
      </c>
      <c r="J475" s="48">
        <f t="shared" si="18"/>
        <v>351</v>
      </c>
      <c r="K475" s="49">
        <f t="shared" si="19"/>
        <v>0.3051948052</v>
      </c>
      <c r="L475" s="49">
        <f t="shared" si="20"/>
        <v>0.3668831169</v>
      </c>
      <c r="M475" s="49">
        <f t="shared" si="21"/>
        <v>0.3279220779</v>
      </c>
      <c r="N475" s="32" t="str">
        <f t="shared" si="22"/>
        <v>Mal. Lott</v>
      </c>
      <c r="O475" s="50"/>
      <c r="P475" s="38">
        <v>103.0</v>
      </c>
      <c r="Q475" s="38">
        <v>54.0</v>
      </c>
      <c r="R475" s="38">
        <v>69.0</v>
      </c>
      <c r="S475" s="38">
        <v>113.0</v>
      </c>
      <c r="T475" s="38">
        <v>12.0</v>
      </c>
      <c r="U475" s="48">
        <f t="shared" si="23"/>
        <v>226</v>
      </c>
      <c r="V475" s="48">
        <f t="shared" si="24"/>
        <v>351</v>
      </c>
      <c r="W475" s="49">
        <f t="shared" si="25"/>
        <v>0.4557522124</v>
      </c>
      <c r="X475" s="49">
        <f t="shared" si="26"/>
        <v>0.2389380531</v>
      </c>
      <c r="Y475" s="49">
        <f t="shared" si="27"/>
        <v>0.3053097345</v>
      </c>
      <c r="Z475" s="32" t="str">
        <f t="shared" si="28"/>
        <v>Jango</v>
      </c>
      <c r="AA475" s="50"/>
    </row>
    <row r="476">
      <c r="A476" s="110" t="s">
        <v>119</v>
      </c>
      <c r="B476" s="46" t="s">
        <v>3266</v>
      </c>
      <c r="C476" s="47"/>
      <c r="D476" s="38">
        <v>86.0</v>
      </c>
      <c r="E476" s="38">
        <v>146.0</v>
      </c>
      <c r="F476" s="38">
        <v>105.0</v>
      </c>
      <c r="G476" s="38">
        <v>13.0</v>
      </c>
      <c r="H476" s="38">
        <v>9.0</v>
      </c>
      <c r="I476" s="48">
        <f t="shared" si="17"/>
        <v>337</v>
      </c>
      <c r="J476" s="48">
        <f t="shared" si="18"/>
        <v>359</v>
      </c>
      <c r="K476" s="49">
        <f t="shared" si="19"/>
        <v>0.2551928783</v>
      </c>
      <c r="L476" s="49">
        <f t="shared" si="20"/>
        <v>0.4332344214</v>
      </c>
      <c r="M476" s="49">
        <f t="shared" si="21"/>
        <v>0.3115727003</v>
      </c>
      <c r="N476" s="32" t="str">
        <f t="shared" si="22"/>
        <v>Mal. Lott</v>
      </c>
      <c r="O476" s="50"/>
      <c r="P476" s="38">
        <v>122.0</v>
      </c>
      <c r="Q476" s="38">
        <v>78.0</v>
      </c>
      <c r="R476" s="38">
        <v>64.0</v>
      </c>
      <c r="S476" s="38">
        <v>87.0</v>
      </c>
      <c r="T476" s="38">
        <v>8.0</v>
      </c>
      <c r="U476" s="48">
        <f t="shared" si="23"/>
        <v>264</v>
      </c>
      <c r="V476" s="48">
        <f t="shared" si="24"/>
        <v>359</v>
      </c>
      <c r="W476" s="49">
        <f t="shared" si="25"/>
        <v>0.4621212121</v>
      </c>
      <c r="X476" s="49">
        <f t="shared" si="26"/>
        <v>0.2954545455</v>
      </c>
      <c r="Y476" s="49">
        <f t="shared" si="27"/>
        <v>0.2424242424</v>
      </c>
      <c r="Z476" s="32" t="str">
        <f t="shared" si="28"/>
        <v>Jango</v>
      </c>
      <c r="AA476" s="50"/>
    </row>
    <row r="477">
      <c r="A477" s="110" t="s">
        <v>119</v>
      </c>
      <c r="B477" s="46" t="s">
        <v>2917</v>
      </c>
      <c r="C477" s="47"/>
      <c r="D477" s="38">
        <v>123.0</v>
      </c>
      <c r="E477" s="38">
        <v>101.0</v>
      </c>
      <c r="F477" s="38">
        <v>127.0</v>
      </c>
      <c r="G477" s="38">
        <v>17.0</v>
      </c>
      <c r="H477" s="38">
        <v>1.0</v>
      </c>
      <c r="I477" s="48">
        <f t="shared" si="17"/>
        <v>351</v>
      </c>
      <c r="J477" s="48">
        <f t="shared" si="18"/>
        <v>369</v>
      </c>
      <c r="K477" s="49">
        <f t="shared" si="19"/>
        <v>0.3504273504</v>
      </c>
      <c r="L477" s="49">
        <f t="shared" si="20"/>
        <v>0.2877492877</v>
      </c>
      <c r="M477" s="49">
        <f t="shared" si="21"/>
        <v>0.3618233618</v>
      </c>
      <c r="N477" s="32" t="str">
        <f t="shared" si="22"/>
        <v>Adhemar</v>
      </c>
      <c r="O477" s="50"/>
      <c r="P477" s="38">
        <v>80.0</v>
      </c>
      <c r="Q477" s="38">
        <v>100.0</v>
      </c>
      <c r="R477" s="38">
        <v>96.0</v>
      </c>
      <c r="S477" s="38">
        <v>93.0</v>
      </c>
      <c r="T477" s="38">
        <v>2.0</v>
      </c>
      <c r="U477" s="48">
        <f t="shared" si="23"/>
        <v>276</v>
      </c>
      <c r="V477" s="48">
        <f t="shared" si="24"/>
        <v>371</v>
      </c>
      <c r="W477" s="49">
        <f t="shared" si="25"/>
        <v>0.2898550725</v>
      </c>
      <c r="X477" s="49">
        <f t="shared" si="26"/>
        <v>0.3623188406</v>
      </c>
      <c r="Y477" s="49">
        <f t="shared" si="27"/>
        <v>0.347826087</v>
      </c>
      <c r="Z477" s="32" t="str">
        <f t="shared" si="28"/>
        <v>Milton</v>
      </c>
      <c r="AA477" s="50"/>
    </row>
    <row r="478">
      <c r="A478" s="110" t="s">
        <v>119</v>
      </c>
      <c r="B478" s="46" t="s">
        <v>868</v>
      </c>
      <c r="C478" s="47"/>
      <c r="D478" s="38">
        <v>77.0</v>
      </c>
      <c r="E478" s="38">
        <v>83.0</v>
      </c>
      <c r="F478" s="38">
        <v>152.0</v>
      </c>
      <c r="G478" s="38">
        <v>41.0</v>
      </c>
      <c r="H478" s="38">
        <v>11.0</v>
      </c>
      <c r="I478" s="48">
        <f t="shared" si="17"/>
        <v>312</v>
      </c>
      <c r="J478" s="48">
        <f t="shared" si="18"/>
        <v>364</v>
      </c>
      <c r="K478" s="49">
        <f t="shared" si="19"/>
        <v>0.2467948718</v>
      </c>
      <c r="L478" s="49">
        <f t="shared" si="20"/>
        <v>0.266025641</v>
      </c>
      <c r="M478" s="49">
        <f t="shared" si="21"/>
        <v>0.4871794872</v>
      </c>
      <c r="N478" s="32" t="str">
        <f t="shared" si="22"/>
        <v>Adhemar</v>
      </c>
      <c r="O478" s="50"/>
      <c r="P478" s="38">
        <v>62.0</v>
      </c>
      <c r="Q478" s="38">
        <v>42.0</v>
      </c>
      <c r="R478" s="38">
        <v>22.0</v>
      </c>
      <c r="S478" s="38">
        <v>222.0</v>
      </c>
      <c r="T478" s="38">
        <v>13.0</v>
      </c>
      <c r="U478" s="48">
        <f t="shared" si="23"/>
        <v>126</v>
      </c>
      <c r="V478" s="48">
        <f t="shared" si="24"/>
        <v>361</v>
      </c>
      <c r="W478" s="49">
        <f t="shared" si="25"/>
        <v>0.4920634921</v>
      </c>
      <c r="X478" s="49">
        <f t="shared" si="26"/>
        <v>0.3333333333</v>
      </c>
      <c r="Y478" s="49">
        <f t="shared" si="27"/>
        <v>0.1746031746</v>
      </c>
      <c r="Z478" s="32" t="str">
        <f t="shared" si="28"/>
        <v>Jango</v>
      </c>
      <c r="AA478" s="50"/>
    </row>
    <row r="479">
      <c r="A479" s="110" t="s">
        <v>119</v>
      </c>
      <c r="B479" s="46" t="s">
        <v>3267</v>
      </c>
      <c r="C479" s="47"/>
      <c r="D479" s="38">
        <v>74.0</v>
      </c>
      <c r="E479" s="38">
        <v>99.0</v>
      </c>
      <c r="F479" s="38">
        <v>118.0</v>
      </c>
      <c r="G479" s="38">
        <v>15.0</v>
      </c>
      <c r="H479" s="38">
        <v>8.0</v>
      </c>
      <c r="I479" s="48">
        <f t="shared" si="17"/>
        <v>291</v>
      </c>
      <c r="J479" s="48">
        <f t="shared" si="18"/>
        <v>314</v>
      </c>
      <c r="K479" s="49">
        <f t="shared" si="19"/>
        <v>0.2542955326</v>
      </c>
      <c r="L479" s="49">
        <f t="shared" si="20"/>
        <v>0.3402061856</v>
      </c>
      <c r="M479" s="49">
        <f t="shared" si="21"/>
        <v>0.4054982818</v>
      </c>
      <c r="N479" s="32" t="str">
        <f t="shared" si="22"/>
        <v>Adhemar</v>
      </c>
      <c r="O479" s="50"/>
      <c r="P479" s="38">
        <v>105.0</v>
      </c>
      <c r="Q479" s="38">
        <v>49.0</v>
      </c>
      <c r="R479" s="38">
        <v>54.0</v>
      </c>
      <c r="S479" s="38">
        <v>94.0</v>
      </c>
      <c r="T479" s="38">
        <v>8.0</v>
      </c>
      <c r="U479" s="48">
        <f t="shared" si="23"/>
        <v>208</v>
      </c>
      <c r="V479" s="48">
        <f t="shared" si="24"/>
        <v>310</v>
      </c>
      <c r="W479" s="49">
        <f t="shared" si="25"/>
        <v>0.5048076923</v>
      </c>
      <c r="X479" s="49">
        <f t="shared" si="26"/>
        <v>0.2355769231</v>
      </c>
      <c r="Y479" s="49">
        <f t="shared" si="27"/>
        <v>0.2596153846</v>
      </c>
      <c r="Z479" s="32" t="str">
        <f t="shared" si="28"/>
        <v>Jango</v>
      </c>
      <c r="AA479" s="50"/>
    </row>
    <row r="480">
      <c r="A480" s="110" t="s">
        <v>119</v>
      </c>
      <c r="B480" s="46" t="s">
        <v>3268</v>
      </c>
      <c r="C480" s="47"/>
      <c r="D480" s="38">
        <v>83.0</v>
      </c>
      <c r="E480" s="38">
        <v>133.0</v>
      </c>
      <c r="F480" s="38">
        <v>129.0</v>
      </c>
      <c r="G480" s="38">
        <v>6.0</v>
      </c>
      <c r="H480" s="38">
        <v>8.0</v>
      </c>
      <c r="I480" s="48">
        <f t="shared" si="17"/>
        <v>345</v>
      </c>
      <c r="J480" s="48">
        <f t="shared" si="18"/>
        <v>359</v>
      </c>
      <c r="K480" s="49">
        <f t="shared" si="19"/>
        <v>0.2405797101</v>
      </c>
      <c r="L480" s="49">
        <f t="shared" si="20"/>
        <v>0.3855072464</v>
      </c>
      <c r="M480" s="49">
        <f t="shared" si="21"/>
        <v>0.3739130435</v>
      </c>
      <c r="N480" s="32" t="str">
        <f t="shared" si="22"/>
        <v>Mal. Lott</v>
      </c>
      <c r="O480" s="50"/>
      <c r="P480" s="38">
        <v>127.0</v>
      </c>
      <c r="Q480" s="38">
        <v>76.0</v>
      </c>
      <c r="R480" s="38">
        <v>74.0</v>
      </c>
      <c r="S480" s="38">
        <v>70.0</v>
      </c>
      <c r="T480" s="38">
        <v>12.0</v>
      </c>
      <c r="U480" s="48">
        <f t="shared" si="23"/>
        <v>277</v>
      </c>
      <c r="V480" s="48">
        <f t="shared" si="24"/>
        <v>359</v>
      </c>
      <c r="W480" s="49">
        <f t="shared" si="25"/>
        <v>0.4584837545</v>
      </c>
      <c r="X480" s="49">
        <f t="shared" si="26"/>
        <v>0.274368231</v>
      </c>
      <c r="Y480" s="49">
        <f t="shared" si="27"/>
        <v>0.2671480144</v>
      </c>
      <c r="Z480" s="32" t="str">
        <f t="shared" si="28"/>
        <v>Jango</v>
      </c>
      <c r="AA480" s="50"/>
    </row>
    <row r="481">
      <c r="A481" s="110" t="s">
        <v>119</v>
      </c>
      <c r="B481" s="46" t="s">
        <v>3269</v>
      </c>
      <c r="C481" s="47"/>
      <c r="D481" s="38">
        <v>85.0</v>
      </c>
      <c r="E481" s="38">
        <v>138.0</v>
      </c>
      <c r="F481" s="38">
        <v>132.0</v>
      </c>
      <c r="G481" s="38">
        <v>8.0</v>
      </c>
      <c r="H481" s="38">
        <v>8.0</v>
      </c>
      <c r="I481" s="48">
        <f t="shared" si="17"/>
        <v>355</v>
      </c>
      <c r="J481" s="48">
        <f t="shared" si="18"/>
        <v>371</v>
      </c>
      <c r="K481" s="49">
        <f t="shared" si="19"/>
        <v>0.2394366197</v>
      </c>
      <c r="L481" s="49">
        <f t="shared" si="20"/>
        <v>0.3887323944</v>
      </c>
      <c r="M481" s="49">
        <f t="shared" si="21"/>
        <v>0.3718309859</v>
      </c>
      <c r="N481" s="32" t="str">
        <f t="shared" si="22"/>
        <v>Mal. Lott</v>
      </c>
      <c r="O481" s="50"/>
      <c r="P481" s="38">
        <v>110.0</v>
      </c>
      <c r="Q481" s="38">
        <v>72.0</v>
      </c>
      <c r="R481" s="38">
        <v>75.0</v>
      </c>
      <c r="S481" s="38">
        <v>106.0</v>
      </c>
      <c r="T481" s="38">
        <v>8.0</v>
      </c>
      <c r="U481" s="48">
        <f t="shared" si="23"/>
        <v>257</v>
      </c>
      <c r="V481" s="48">
        <f t="shared" si="24"/>
        <v>371</v>
      </c>
      <c r="W481" s="49">
        <f t="shared" si="25"/>
        <v>0.4280155642</v>
      </c>
      <c r="X481" s="49">
        <f t="shared" si="26"/>
        <v>0.280155642</v>
      </c>
      <c r="Y481" s="49">
        <f t="shared" si="27"/>
        <v>0.2918287938</v>
      </c>
      <c r="Z481" s="32" t="str">
        <f t="shared" si="28"/>
        <v>Jango</v>
      </c>
      <c r="AA481" s="50"/>
    </row>
    <row r="482">
      <c r="A482" s="110" t="s">
        <v>119</v>
      </c>
      <c r="B482" s="46" t="s">
        <v>3270</v>
      </c>
      <c r="C482" s="47"/>
      <c r="D482" s="38">
        <v>108.0</v>
      </c>
      <c r="E482" s="38">
        <v>75.0</v>
      </c>
      <c r="F482" s="38">
        <v>153.0</v>
      </c>
      <c r="G482" s="38">
        <v>10.0</v>
      </c>
      <c r="H482" s="38">
        <v>8.0</v>
      </c>
      <c r="I482" s="48">
        <f t="shared" si="17"/>
        <v>336</v>
      </c>
      <c r="J482" s="48">
        <f t="shared" si="18"/>
        <v>354</v>
      </c>
      <c r="K482" s="49">
        <f t="shared" si="19"/>
        <v>0.3214285714</v>
      </c>
      <c r="L482" s="49">
        <f t="shared" si="20"/>
        <v>0.2232142857</v>
      </c>
      <c r="M482" s="49">
        <f t="shared" si="21"/>
        <v>0.4553571429</v>
      </c>
      <c r="N482" s="32" t="str">
        <f t="shared" si="22"/>
        <v>Adhemar</v>
      </c>
      <c r="O482" s="50"/>
      <c r="P482" s="38">
        <v>71.0</v>
      </c>
      <c r="Q482" s="38">
        <v>83.0</v>
      </c>
      <c r="R482" s="38">
        <v>101.0</v>
      </c>
      <c r="S482" s="38">
        <v>93.0</v>
      </c>
      <c r="T482" s="38">
        <v>6.0</v>
      </c>
      <c r="U482" s="48">
        <f t="shared" si="23"/>
        <v>255</v>
      </c>
      <c r="V482" s="48">
        <f t="shared" si="24"/>
        <v>354</v>
      </c>
      <c r="W482" s="49">
        <f t="shared" si="25"/>
        <v>0.2784313725</v>
      </c>
      <c r="X482" s="49">
        <f t="shared" si="26"/>
        <v>0.3254901961</v>
      </c>
      <c r="Y482" s="49">
        <f t="shared" si="27"/>
        <v>0.3960784314</v>
      </c>
      <c r="Z482" s="32" t="str">
        <f t="shared" si="28"/>
        <v>Ferrari</v>
      </c>
      <c r="AA482" s="50"/>
    </row>
    <row r="483">
      <c r="A483" s="110" t="s">
        <v>119</v>
      </c>
      <c r="B483" s="46" t="s">
        <v>2504</v>
      </c>
      <c r="C483" s="47"/>
      <c r="D483" s="38">
        <v>194.0</v>
      </c>
      <c r="E483" s="38">
        <v>83.0</v>
      </c>
      <c r="F483" s="38">
        <v>51.0</v>
      </c>
      <c r="G483" s="38">
        <v>15.0</v>
      </c>
      <c r="H483" s="38">
        <v>3.0</v>
      </c>
      <c r="I483" s="48">
        <f t="shared" si="17"/>
        <v>328</v>
      </c>
      <c r="J483" s="48">
        <f t="shared" si="18"/>
        <v>346</v>
      </c>
      <c r="K483" s="49">
        <f t="shared" si="19"/>
        <v>0.5914634146</v>
      </c>
      <c r="L483" s="49">
        <f t="shared" si="20"/>
        <v>0.2530487805</v>
      </c>
      <c r="M483" s="49">
        <f t="shared" si="21"/>
        <v>0.1554878049</v>
      </c>
      <c r="N483" s="32" t="str">
        <f t="shared" si="22"/>
        <v>Jânio</v>
      </c>
      <c r="O483" s="50"/>
      <c r="P483" s="38">
        <v>64.0</v>
      </c>
      <c r="Q483" s="38">
        <v>137.0</v>
      </c>
      <c r="R483" s="38">
        <v>82.0</v>
      </c>
      <c r="S483" s="38">
        <v>60.0</v>
      </c>
      <c r="T483" s="38">
        <v>3.0</v>
      </c>
      <c r="U483" s="48">
        <f t="shared" si="23"/>
        <v>283</v>
      </c>
      <c r="V483" s="48">
        <f t="shared" si="24"/>
        <v>346</v>
      </c>
      <c r="W483" s="49">
        <f t="shared" si="25"/>
        <v>0.2261484099</v>
      </c>
      <c r="X483" s="49">
        <f t="shared" si="26"/>
        <v>0.4840989399</v>
      </c>
      <c r="Y483" s="49">
        <f t="shared" si="27"/>
        <v>0.2897526502</v>
      </c>
      <c r="Z483" s="32" t="str">
        <f t="shared" si="28"/>
        <v>Milton</v>
      </c>
      <c r="AA483" s="50"/>
    </row>
    <row r="484">
      <c r="A484" s="110" t="s">
        <v>119</v>
      </c>
      <c r="B484" s="46" t="s">
        <v>117</v>
      </c>
      <c r="C484" s="47"/>
      <c r="D484" s="38">
        <v>101.0</v>
      </c>
      <c r="E484" s="38">
        <v>125.0</v>
      </c>
      <c r="F484" s="38">
        <v>123.0</v>
      </c>
      <c r="G484" s="38">
        <v>14.0</v>
      </c>
      <c r="H484" s="38">
        <v>6.0</v>
      </c>
      <c r="I484" s="48">
        <f t="shared" si="17"/>
        <v>349</v>
      </c>
      <c r="J484" s="48">
        <f t="shared" si="18"/>
        <v>369</v>
      </c>
      <c r="K484" s="49">
        <f t="shared" si="19"/>
        <v>0.2893982808</v>
      </c>
      <c r="L484" s="49">
        <f t="shared" si="20"/>
        <v>0.3581661891</v>
      </c>
      <c r="M484" s="49">
        <f t="shared" si="21"/>
        <v>0.3524355301</v>
      </c>
      <c r="N484" s="32" t="str">
        <f t="shared" si="22"/>
        <v>Mal. Lott</v>
      </c>
      <c r="O484" s="50"/>
      <c r="P484" s="38">
        <v>109.0</v>
      </c>
      <c r="Q484" s="38">
        <v>87.0</v>
      </c>
      <c r="R484" s="38">
        <v>70.0</v>
      </c>
      <c r="S484" s="38">
        <v>98.0</v>
      </c>
      <c r="T484" s="38">
        <v>5.0</v>
      </c>
      <c r="U484" s="48">
        <f t="shared" si="23"/>
        <v>266</v>
      </c>
      <c r="V484" s="48">
        <f t="shared" si="24"/>
        <v>369</v>
      </c>
      <c r="W484" s="49">
        <f t="shared" si="25"/>
        <v>0.4097744361</v>
      </c>
      <c r="X484" s="49">
        <f t="shared" si="26"/>
        <v>0.3270676692</v>
      </c>
      <c r="Y484" s="49">
        <f t="shared" si="27"/>
        <v>0.2631578947</v>
      </c>
      <c r="Z484" s="32" t="str">
        <f t="shared" si="28"/>
        <v>Jango</v>
      </c>
      <c r="AA484" s="50"/>
    </row>
    <row r="485">
      <c r="A485" s="110" t="s">
        <v>119</v>
      </c>
      <c r="B485" s="46" t="s">
        <v>3271</v>
      </c>
      <c r="C485" s="47"/>
      <c r="D485" s="38">
        <v>89.0</v>
      </c>
      <c r="E485" s="38">
        <v>143.0</v>
      </c>
      <c r="F485" s="38">
        <v>110.0</v>
      </c>
      <c r="G485" s="38">
        <v>15.0</v>
      </c>
      <c r="H485" s="38">
        <v>8.0</v>
      </c>
      <c r="I485" s="48">
        <f t="shared" si="17"/>
        <v>342</v>
      </c>
      <c r="J485" s="48">
        <f t="shared" si="18"/>
        <v>365</v>
      </c>
      <c r="K485" s="49">
        <f t="shared" si="19"/>
        <v>0.2602339181</v>
      </c>
      <c r="L485" s="49">
        <f t="shared" si="20"/>
        <v>0.418128655</v>
      </c>
      <c r="M485" s="49">
        <f t="shared" si="21"/>
        <v>0.3216374269</v>
      </c>
      <c r="N485" s="32" t="str">
        <f t="shared" si="22"/>
        <v>Mal. Lott</v>
      </c>
      <c r="O485" s="50"/>
      <c r="P485" s="38">
        <v>120.0</v>
      </c>
      <c r="Q485" s="38">
        <v>61.0</v>
      </c>
      <c r="R485" s="38">
        <v>68.0</v>
      </c>
      <c r="S485" s="38">
        <v>102.0</v>
      </c>
      <c r="T485" s="38">
        <v>8.0</v>
      </c>
      <c r="U485" s="48">
        <f t="shared" si="23"/>
        <v>249</v>
      </c>
      <c r="V485" s="48">
        <f t="shared" si="24"/>
        <v>359</v>
      </c>
      <c r="W485" s="49">
        <f t="shared" si="25"/>
        <v>0.4819277108</v>
      </c>
      <c r="X485" s="49">
        <f t="shared" si="26"/>
        <v>0.2449799197</v>
      </c>
      <c r="Y485" s="49">
        <f t="shared" si="27"/>
        <v>0.2730923695</v>
      </c>
      <c r="Z485" s="32" t="str">
        <f t="shared" si="28"/>
        <v>Jango</v>
      </c>
      <c r="AA485" s="50"/>
    </row>
    <row r="486">
      <c r="A486" s="110" t="s">
        <v>119</v>
      </c>
      <c r="B486" s="46" t="s">
        <v>3272</v>
      </c>
      <c r="C486" s="47"/>
      <c r="D486" s="38">
        <v>101.0</v>
      </c>
      <c r="E486" s="38">
        <v>84.0</v>
      </c>
      <c r="F486" s="38">
        <v>161.0</v>
      </c>
      <c r="G486" s="38">
        <v>6.0</v>
      </c>
      <c r="H486" s="38">
        <v>14.0</v>
      </c>
      <c r="I486" s="48">
        <f t="shared" si="17"/>
        <v>346</v>
      </c>
      <c r="J486" s="48">
        <f t="shared" si="18"/>
        <v>366</v>
      </c>
      <c r="K486" s="49">
        <f t="shared" si="19"/>
        <v>0.2919075145</v>
      </c>
      <c r="L486" s="49">
        <f t="shared" si="20"/>
        <v>0.2427745665</v>
      </c>
      <c r="M486" s="49">
        <f t="shared" si="21"/>
        <v>0.4653179191</v>
      </c>
      <c r="N486" s="32" t="str">
        <f t="shared" si="22"/>
        <v>Adhemar</v>
      </c>
      <c r="O486" s="50"/>
      <c r="P486" s="38">
        <v>62.0</v>
      </c>
      <c r="Q486" s="38">
        <v>81.0</v>
      </c>
      <c r="R486" s="38">
        <v>106.0</v>
      </c>
      <c r="S486" s="38">
        <v>107.0</v>
      </c>
      <c r="T486" s="38">
        <v>10.0</v>
      </c>
      <c r="U486" s="48">
        <f t="shared" si="23"/>
        <v>249</v>
      </c>
      <c r="V486" s="48">
        <f t="shared" si="24"/>
        <v>366</v>
      </c>
      <c r="W486" s="49">
        <f t="shared" si="25"/>
        <v>0.2489959839</v>
      </c>
      <c r="X486" s="49">
        <f t="shared" si="26"/>
        <v>0.3253012048</v>
      </c>
      <c r="Y486" s="49">
        <f t="shared" si="27"/>
        <v>0.4257028112</v>
      </c>
      <c r="Z486" s="32" t="str">
        <f t="shared" si="28"/>
        <v>Ferrari</v>
      </c>
      <c r="AA486" s="50"/>
    </row>
    <row r="487">
      <c r="A487" s="110" t="s">
        <v>119</v>
      </c>
      <c r="B487" s="46" t="s">
        <v>509</v>
      </c>
      <c r="C487" s="47"/>
      <c r="D487" s="38">
        <v>76.0</v>
      </c>
      <c r="E487" s="38">
        <v>164.0</v>
      </c>
      <c r="F487" s="38">
        <v>87.0</v>
      </c>
      <c r="G487" s="38">
        <v>22.0</v>
      </c>
      <c r="H487" s="38">
        <v>8.0</v>
      </c>
      <c r="I487" s="48">
        <f t="shared" si="17"/>
        <v>327</v>
      </c>
      <c r="J487" s="48">
        <f t="shared" si="18"/>
        <v>357</v>
      </c>
      <c r="K487" s="49">
        <f t="shared" si="19"/>
        <v>0.2324159021</v>
      </c>
      <c r="L487" s="49">
        <f t="shared" si="20"/>
        <v>0.501529052</v>
      </c>
      <c r="M487" s="49">
        <f t="shared" si="21"/>
        <v>0.2660550459</v>
      </c>
      <c r="N487" s="32" t="str">
        <f t="shared" si="22"/>
        <v>Mal. Lott</v>
      </c>
      <c r="O487" s="50"/>
      <c r="P487" s="38">
        <v>105.0</v>
      </c>
      <c r="Q487" s="38">
        <v>53.0</v>
      </c>
      <c r="R487" s="38">
        <v>70.0</v>
      </c>
      <c r="S487" s="38">
        <v>122.0</v>
      </c>
      <c r="T487" s="38">
        <v>7.0</v>
      </c>
      <c r="U487" s="48">
        <f t="shared" si="23"/>
        <v>228</v>
      </c>
      <c r="V487" s="48">
        <f t="shared" si="24"/>
        <v>357</v>
      </c>
      <c r="W487" s="49">
        <f t="shared" si="25"/>
        <v>0.4605263158</v>
      </c>
      <c r="X487" s="49">
        <f t="shared" si="26"/>
        <v>0.2324561404</v>
      </c>
      <c r="Y487" s="49">
        <f t="shared" si="27"/>
        <v>0.3070175439</v>
      </c>
      <c r="Z487" s="32" t="str">
        <f t="shared" si="28"/>
        <v>Jango</v>
      </c>
      <c r="AA487" s="50"/>
    </row>
    <row r="488">
      <c r="A488" s="110" t="s">
        <v>119</v>
      </c>
      <c r="B488" s="46" t="s">
        <v>3273</v>
      </c>
      <c r="C488" s="47"/>
      <c r="D488" s="38">
        <v>111.0</v>
      </c>
      <c r="E488" s="38">
        <v>101.0</v>
      </c>
      <c r="F488" s="38">
        <v>122.0</v>
      </c>
      <c r="G488" s="38">
        <v>7.0</v>
      </c>
      <c r="H488" s="38">
        <v>8.0</v>
      </c>
      <c r="I488" s="48">
        <f t="shared" si="17"/>
        <v>334</v>
      </c>
      <c r="J488" s="48">
        <f t="shared" si="18"/>
        <v>349</v>
      </c>
      <c r="K488" s="49">
        <f t="shared" si="19"/>
        <v>0.3323353293</v>
      </c>
      <c r="L488" s="49">
        <f t="shared" si="20"/>
        <v>0.3023952096</v>
      </c>
      <c r="M488" s="49">
        <f t="shared" si="21"/>
        <v>0.3652694611</v>
      </c>
      <c r="N488" s="32" t="str">
        <f t="shared" si="22"/>
        <v>Adhemar</v>
      </c>
      <c r="O488" s="50"/>
      <c r="P488" s="38">
        <v>87.0</v>
      </c>
      <c r="Q488" s="38">
        <v>93.0</v>
      </c>
      <c r="R488" s="38">
        <v>102.0</v>
      </c>
      <c r="S488" s="38">
        <v>64.0</v>
      </c>
      <c r="T488" s="38">
        <v>3.0</v>
      </c>
      <c r="U488" s="48">
        <f t="shared" si="23"/>
        <v>282</v>
      </c>
      <c r="V488" s="48">
        <f t="shared" si="24"/>
        <v>349</v>
      </c>
      <c r="W488" s="49">
        <f t="shared" si="25"/>
        <v>0.3085106383</v>
      </c>
      <c r="X488" s="49">
        <f t="shared" si="26"/>
        <v>0.329787234</v>
      </c>
      <c r="Y488" s="49">
        <f t="shared" si="27"/>
        <v>0.3617021277</v>
      </c>
      <c r="Z488" s="32" t="str">
        <f t="shared" si="28"/>
        <v>Ferrari</v>
      </c>
      <c r="AA488" s="50"/>
    </row>
    <row r="489">
      <c r="A489" s="110" t="s">
        <v>119</v>
      </c>
      <c r="B489" s="46" t="s">
        <v>3274</v>
      </c>
      <c r="C489" s="47"/>
      <c r="D489" s="38">
        <v>103.0</v>
      </c>
      <c r="E489" s="38">
        <v>99.0</v>
      </c>
      <c r="F489" s="38">
        <v>134.0</v>
      </c>
      <c r="G489" s="38">
        <v>21.0</v>
      </c>
      <c r="H489" s="38">
        <v>8.0</v>
      </c>
      <c r="I489" s="48">
        <f t="shared" si="17"/>
        <v>336</v>
      </c>
      <c r="J489" s="48">
        <f t="shared" si="18"/>
        <v>365</v>
      </c>
      <c r="K489" s="49">
        <f t="shared" si="19"/>
        <v>0.306547619</v>
      </c>
      <c r="L489" s="49">
        <f t="shared" si="20"/>
        <v>0.2946428571</v>
      </c>
      <c r="M489" s="49">
        <f t="shared" si="21"/>
        <v>0.3988095238</v>
      </c>
      <c r="N489" s="32" t="str">
        <f t="shared" si="22"/>
        <v>Adhemar</v>
      </c>
      <c r="O489" s="50"/>
      <c r="P489" s="38">
        <v>109.0</v>
      </c>
      <c r="Q489" s="38">
        <v>88.0</v>
      </c>
      <c r="R489" s="38">
        <v>70.0</v>
      </c>
      <c r="S489" s="38">
        <v>90.0</v>
      </c>
      <c r="T489" s="38">
        <v>8.0</v>
      </c>
      <c r="U489" s="48">
        <f t="shared" si="23"/>
        <v>267</v>
      </c>
      <c r="V489" s="48">
        <f t="shared" si="24"/>
        <v>365</v>
      </c>
      <c r="W489" s="49">
        <f t="shared" si="25"/>
        <v>0.4082397004</v>
      </c>
      <c r="X489" s="49">
        <f t="shared" si="26"/>
        <v>0.329588015</v>
      </c>
      <c r="Y489" s="49">
        <f t="shared" si="27"/>
        <v>0.2621722846</v>
      </c>
      <c r="Z489" s="32" t="str">
        <f t="shared" si="28"/>
        <v>Jango</v>
      </c>
      <c r="AA489" s="50"/>
    </row>
    <row r="490">
      <c r="A490" s="110" t="s">
        <v>119</v>
      </c>
      <c r="B490" s="46" t="s">
        <v>2524</v>
      </c>
      <c r="C490" s="47"/>
      <c r="D490" s="38">
        <v>114.0</v>
      </c>
      <c r="E490" s="38">
        <v>102.0</v>
      </c>
      <c r="F490" s="38">
        <v>128.0</v>
      </c>
      <c r="G490" s="38">
        <v>24.0</v>
      </c>
      <c r="H490" s="38">
        <v>6.0</v>
      </c>
      <c r="I490" s="48">
        <f t="shared" si="17"/>
        <v>344</v>
      </c>
      <c r="J490" s="48">
        <f t="shared" si="18"/>
        <v>374</v>
      </c>
      <c r="K490" s="49">
        <f t="shared" si="19"/>
        <v>0.3313953488</v>
      </c>
      <c r="L490" s="49">
        <f t="shared" si="20"/>
        <v>0.2965116279</v>
      </c>
      <c r="M490" s="49">
        <f t="shared" si="21"/>
        <v>0.3720930233</v>
      </c>
      <c r="N490" s="32" t="str">
        <f t="shared" si="22"/>
        <v>Adhemar</v>
      </c>
      <c r="O490" s="50"/>
      <c r="P490" s="38">
        <v>96.0</v>
      </c>
      <c r="Q490" s="38">
        <v>103.0</v>
      </c>
      <c r="R490" s="38">
        <v>78.0</v>
      </c>
      <c r="S490" s="38">
        <v>90.0</v>
      </c>
      <c r="T490" s="38">
        <v>7.0</v>
      </c>
      <c r="U490" s="48">
        <f t="shared" si="23"/>
        <v>277</v>
      </c>
      <c r="V490" s="48">
        <f t="shared" si="24"/>
        <v>374</v>
      </c>
      <c r="W490" s="49">
        <f t="shared" si="25"/>
        <v>0.3465703971</v>
      </c>
      <c r="X490" s="49">
        <f t="shared" si="26"/>
        <v>0.3718411552</v>
      </c>
      <c r="Y490" s="49">
        <f t="shared" si="27"/>
        <v>0.2815884477</v>
      </c>
      <c r="Z490" s="32" t="str">
        <f t="shared" si="28"/>
        <v>Milton</v>
      </c>
      <c r="AA490" s="50"/>
    </row>
    <row r="491">
      <c r="A491" s="110" t="s">
        <v>119</v>
      </c>
      <c r="B491" s="46" t="s">
        <v>3275</v>
      </c>
      <c r="C491" s="47"/>
      <c r="D491" s="38">
        <v>169.0</v>
      </c>
      <c r="E491" s="38">
        <v>133.0</v>
      </c>
      <c r="F491" s="38">
        <v>79.0</v>
      </c>
      <c r="G491" s="38">
        <v>7.0</v>
      </c>
      <c r="H491" s="38">
        <v>3.0</v>
      </c>
      <c r="I491" s="48">
        <f t="shared" si="17"/>
        <v>381</v>
      </c>
      <c r="J491" s="48">
        <f t="shared" si="18"/>
        <v>391</v>
      </c>
      <c r="K491" s="49">
        <f t="shared" si="19"/>
        <v>0.4435695538</v>
      </c>
      <c r="L491" s="49">
        <f t="shared" si="20"/>
        <v>0.3490813648</v>
      </c>
      <c r="M491" s="49">
        <f t="shared" si="21"/>
        <v>0.2073490814</v>
      </c>
      <c r="N491" s="32" t="str">
        <f t="shared" si="22"/>
        <v>Jânio</v>
      </c>
      <c r="O491" s="50"/>
      <c r="P491" s="38">
        <v>86.0</v>
      </c>
      <c r="Q491" s="38">
        <v>139.0</v>
      </c>
      <c r="R491" s="38">
        <v>84.0</v>
      </c>
      <c r="S491" s="38">
        <v>79.0</v>
      </c>
      <c r="T491" s="38">
        <v>3.0</v>
      </c>
      <c r="U491" s="48">
        <f t="shared" si="23"/>
        <v>309</v>
      </c>
      <c r="V491" s="48">
        <f t="shared" si="24"/>
        <v>391</v>
      </c>
      <c r="W491" s="49">
        <f t="shared" si="25"/>
        <v>0.2783171521</v>
      </c>
      <c r="X491" s="49">
        <f t="shared" si="26"/>
        <v>0.4498381877</v>
      </c>
      <c r="Y491" s="49">
        <f t="shared" si="27"/>
        <v>0.2718446602</v>
      </c>
      <c r="Z491" s="32" t="str">
        <f t="shared" si="28"/>
        <v>Milton</v>
      </c>
      <c r="AA491" s="50"/>
    </row>
    <row r="492">
      <c r="A492" s="110" t="s">
        <v>119</v>
      </c>
      <c r="B492" s="46" t="s">
        <v>3276</v>
      </c>
      <c r="C492" s="47"/>
      <c r="D492" s="38">
        <v>68.0</v>
      </c>
      <c r="E492" s="38">
        <v>130.0</v>
      </c>
      <c r="F492" s="38">
        <v>135.0</v>
      </c>
      <c r="G492" s="38">
        <v>24.0</v>
      </c>
      <c r="H492" s="38">
        <v>6.0</v>
      </c>
      <c r="I492" s="48">
        <f t="shared" si="17"/>
        <v>333</v>
      </c>
      <c r="J492" s="48">
        <f t="shared" si="18"/>
        <v>363</v>
      </c>
      <c r="K492" s="49">
        <f t="shared" si="19"/>
        <v>0.2042042042</v>
      </c>
      <c r="L492" s="49">
        <f t="shared" si="20"/>
        <v>0.3903903904</v>
      </c>
      <c r="M492" s="49">
        <f t="shared" si="21"/>
        <v>0.4054054054</v>
      </c>
      <c r="N492" s="32" t="str">
        <f t="shared" si="22"/>
        <v>Adhemar</v>
      </c>
      <c r="O492" s="50"/>
      <c r="P492" s="38">
        <v>123.0</v>
      </c>
      <c r="Q492" s="38">
        <v>66.0</v>
      </c>
      <c r="R492" s="38">
        <v>62.0</v>
      </c>
      <c r="S492" s="38">
        <v>106.0</v>
      </c>
      <c r="T492" s="38">
        <v>6.0</v>
      </c>
      <c r="U492" s="48">
        <f t="shared" si="23"/>
        <v>251</v>
      </c>
      <c r="V492" s="48">
        <f t="shared" si="24"/>
        <v>363</v>
      </c>
      <c r="W492" s="49">
        <f t="shared" si="25"/>
        <v>0.4900398406</v>
      </c>
      <c r="X492" s="49">
        <f t="shared" si="26"/>
        <v>0.2629482072</v>
      </c>
      <c r="Y492" s="49">
        <f t="shared" si="27"/>
        <v>0.2470119522</v>
      </c>
      <c r="Z492" s="32" t="str">
        <f t="shared" si="28"/>
        <v>Jango</v>
      </c>
      <c r="AA492" s="50"/>
    </row>
    <row r="493">
      <c r="A493" s="110" t="s">
        <v>119</v>
      </c>
      <c r="B493" s="46" t="s">
        <v>3277</v>
      </c>
      <c r="C493" s="47"/>
      <c r="D493" s="38">
        <v>85.0</v>
      </c>
      <c r="E493" s="38">
        <v>135.0</v>
      </c>
      <c r="F493" s="38">
        <v>116.0</v>
      </c>
      <c r="G493" s="38">
        <v>17.0</v>
      </c>
      <c r="H493" s="38">
        <v>10.0</v>
      </c>
      <c r="I493" s="48">
        <f t="shared" si="17"/>
        <v>336</v>
      </c>
      <c r="J493" s="48">
        <f t="shared" si="18"/>
        <v>363</v>
      </c>
      <c r="K493" s="49">
        <f t="shared" si="19"/>
        <v>0.2529761905</v>
      </c>
      <c r="L493" s="49">
        <f t="shared" si="20"/>
        <v>0.4017857143</v>
      </c>
      <c r="M493" s="49">
        <f t="shared" si="21"/>
        <v>0.3452380952</v>
      </c>
      <c r="N493" s="32" t="str">
        <f t="shared" si="22"/>
        <v>Mal. Lott</v>
      </c>
      <c r="O493" s="50"/>
      <c r="P493" s="38">
        <v>140.0</v>
      </c>
      <c r="Q493" s="38">
        <v>61.0</v>
      </c>
      <c r="R493" s="38">
        <v>89.0</v>
      </c>
      <c r="S493" s="38">
        <v>63.0</v>
      </c>
      <c r="T493" s="38">
        <v>10.0</v>
      </c>
      <c r="U493" s="48">
        <f t="shared" si="23"/>
        <v>290</v>
      </c>
      <c r="V493" s="48">
        <f t="shared" si="24"/>
        <v>363</v>
      </c>
      <c r="W493" s="49">
        <f t="shared" si="25"/>
        <v>0.4827586207</v>
      </c>
      <c r="X493" s="49">
        <f t="shared" si="26"/>
        <v>0.2103448276</v>
      </c>
      <c r="Y493" s="49">
        <f t="shared" si="27"/>
        <v>0.3068965517</v>
      </c>
      <c r="Z493" s="32" t="str">
        <f t="shared" si="28"/>
        <v>Jango</v>
      </c>
      <c r="AA493" s="50"/>
    </row>
    <row r="494">
      <c r="A494" s="110" t="s">
        <v>119</v>
      </c>
      <c r="B494" s="46" t="s">
        <v>3278</v>
      </c>
      <c r="C494" s="47"/>
      <c r="D494" s="38">
        <v>87.0</v>
      </c>
      <c r="E494" s="38">
        <v>141.0</v>
      </c>
      <c r="F494" s="38">
        <v>123.0</v>
      </c>
      <c r="G494" s="38">
        <v>15.0</v>
      </c>
      <c r="H494" s="38">
        <v>14.0</v>
      </c>
      <c r="I494" s="48">
        <f t="shared" si="17"/>
        <v>351</v>
      </c>
      <c r="J494" s="48">
        <f t="shared" si="18"/>
        <v>380</v>
      </c>
      <c r="K494" s="49">
        <f t="shared" si="19"/>
        <v>0.2478632479</v>
      </c>
      <c r="L494" s="49">
        <f t="shared" si="20"/>
        <v>0.4017094017</v>
      </c>
      <c r="M494" s="49">
        <f t="shared" si="21"/>
        <v>0.3504273504</v>
      </c>
      <c r="N494" s="32" t="str">
        <f t="shared" si="22"/>
        <v>Mal. Lott</v>
      </c>
      <c r="O494" s="50"/>
      <c r="P494" s="38">
        <v>149.0</v>
      </c>
      <c r="Q494" s="38">
        <v>61.0</v>
      </c>
      <c r="R494" s="38">
        <v>68.0</v>
      </c>
      <c r="S494" s="38">
        <v>88.0</v>
      </c>
      <c r="T494" s="38">
        <v>14.0</v>
      </c>
      <c r="U494" s="48">
        <f t="shared" si="23"/>
        <v>278</v>
      </c>
      <c r="V494" s="48">
        <f t="shared" si="24"/>
        <v>380</v>
      </c>
      <c r="W494" s="49">
        <f t="shared" si="25"/>
        <v>0.535971223</v>
      </c>
      <c r="X494" s="49">
        <f t="shared" si="26"/>
        <v>0.2194244604</v>
      </c>
      <c r="Y494" s="49">
        <f t="shared" si="27"/>
        <v>0.2446043165</v>
      </c>
      <c r="Z494" s="32" t="str">
        <f t="shared" si="28"/>
        <v>Jango</v>
      </c>
      <c r="AA494" s="50"/>
    </row>
    <row r="495">
      <c r="A495" s="110" t="s">
        <v>119</v>
      </c>
      <c r="B495" s="46" t="s">
        <v>3279</v>
      </c>
      <c r="C495" s="47"/>
      <c r="D495" s="38">
        <v>87.0</v>
      </c>
      <c r="E495" s="38">
        <v>146.0</v>
      </c>
      <c r="F495" s="38">
        <v>108.0</v>
      </c>
      <c r="G495" s="38">
        <v>12.0</v>
      </c>
      <c r="H495" s="38">
        <v>20.0</v>
      </c>
      <c r="I495" s="48">
        <f t="shared" si="17"/>
        <v>341</v>
      </c>
      <c r="J495" s="48">
        <f t="shared" si="18"/>
        <v>373</v>
      </c>
      <c r="K495" s="49">
        <f t="shared" si="19"/>
        <v>0.2551319648</v>
      </c>
      <c r="L495" s="49">
        <f t="shared" si="20"/>
        <v>0.4281524927</v>
      </c>
      <c r="M495" s="49">
        <f t="shared" si="21"/>
        <v>0.3167155425</v>
      </c>
      <c r="N495" s="32" t="str">
        <f t="shared" si="22"/>
        <v>Mal. Lott</v>
      </c>
      <c r="O495" s="50"/>
      <c r="P495" s="38">
        <v>112.0</v>
      </c>
      <c r="Q495" s="38">
        <v>54.0</v>
      </c>
      <c r="R495" s="38">
        <v>77.0</v>
      </c>
      <c r="S495" s="38">
        <v>114.0</v>
      </c>
      <c r="T495" s="38">
        <v>6.0</v>
      </c>
      <c r="U495" s="48">
        <f t="shared" si="23"/>
        <v>243</v>
      </c>
      <c r="V495" s="48">
        <f t="shared" si="24"/>
        <v>363</v>
      </c>
      <c r="W495" s="49">
        <f t="shared" si="25"/>
        <v>0.4609053498</v>
      </c>
      <c r="X495" s="49">
        <f t="shared" si="26"/>
        <v>0.2222222222</v>
      </c>
      <c r="Y495" s="49">
        <f t="shared" si="27"/>
        <v>0.316872428</v>
      </c>
      <c r="Z495" s="32" t="str">
        <f t="shared" si="28"/>
        <v>Jango</v>
      </c>
      <c r="AA495" s="50"/>
    </row>
    <row r="496">
      <c r="A496" s="110" t="s">
        <v>119</v>
      </c>
      <c r="B496" s="46" t="s">
        <v>3280</v>
      </c>
      <c r="C496" s="47"/>
      <c r="D496" s="38">
        <v>82.0</v>
      </c>
      <c r="E496" s="38">
        <v>127.0</v>
      </c>
      <c r="F496" s="38">
        <v>116.0</v>
      </c>
      <c r="G496" s="38">
        <v>13.0</v>
      </c>
      <c r="H496" s="38">
        <v>16.0</v>
      </c>
      <c r="I496" s="48">
        <f t="shared" si="17"/>
        <v>325</v>
      </c>
      <c r="J496" s="48">
        <f t="shared" si="18"/>
        <v>354</v>
      </c>
      <c r="K496" s="49">
        <f t="shared" si="19"/>
        <v>0.2523076923</v>
      </c>
      <c r="L496" s="49">
        <f t="shared" si="20"/>
        <v>0.3907692308</v>
      </c>
      <c r="M496" s="49">
        <f t="shared" si="21"/>
        <v>0.3569230769</v>
      </c>
      <c r="N496" s="32" t="str">
        <f t="shared" si="22"/>
        <v>Mal. Lott</v>
      </c>
      <c r="O496" s="50"/>
      <c r="P496" s="38">
        <v>110.0</v>
      </c>
      <c r="Q496" s="38">
        <v>60.0</v>
      </c>
      <c r="R496" s="38">
        <v>61.0</v>
      </c>
      <c r="S496" s="38">
        <v>109.0</v>
      </c>
      <c r="T496" s="38">
        <v>14.0</v>
      </c>
      <c r="U496" s="48">
        <f t="shared" si="23"/>
        <v>231</v>
      </c>
      <c r="V496" s="48">
        <f t="shared" si="24"/>
        <v>354</v>
      </c>
      <c r="W496" s="49">
        <f t="shared" si="25"/>
        <v>0.4761904762</v>
      </c>
      <c r="X496" s="49">
        <f t="shared" si="26"/>
        <v>0.2597402597</v>
      </c>
      <c r="Y496" s="49">
        <f t="shared" si="27"/>
        <v>0.2640692641</v>
      </c>
      <c r="Z496" s="32" t="str">
        <f t="shared" si="28"/>
        <v>Jango</v>
      </c>
      <c r="AA496" s="50"/>
    </row>
    <row r="497">
      <c r="A497" s="110" t="s">
        <v>119</v>
      </c>
      <c r="B497" s="46" t="s">
        <v>3281</v>
      </c>
      <c r="C497" s="47"/>
      <c r="D497" s="38">
        <v>118.0</v>
      </c>
      <c r="E497" s="38">
        <v>106.0</v>
      </c>
      <c r="F497" s="38">
        <v>114.0</v>
      </c>
      <c r="G497" s="38">
        <v>15.0</v>
      </c>
      <c r="H497" s="38">
        <v>8.0</v>
      </c>
      <c r="I497" s="48">
        <f t="shared" si="17"/>
        <v>338</v>
      </c>
      <c r="J497" s="48">
        <f t="shared" si="18"/>
        <v>361</v>
      </c>
      <c r="K497" s="49">
        <f t="shared" si="19"/>
        <v>0.349112426</v>
      </c>
      <c r="L497" s="49">
        <f t="shared" si="20"/>
        <v>0.3136094675</v>
      </c>
      <c r="M497" s="49">
        <f t="shared" si="21"/>
        <v>0.3372781065</v>
      </c>
      <c r="N497" s="32" t="str">
        <f t="shared" si="22"/>
        <v>Jânio</v>
      </c>
      <c r="O497" s="50"/>
      <c r="P497" s="38">
        <v>83.0</v>
      </c>
      <c r="Q497" s="38">
        <v>92.0</v>
      </c>
      <c r="R497" s="38">
        <v>74.0</v>
      </c>
      <c r="S497" s="38">
        <v>100.0</v>
      </c>
      <c r="T497" s="38">
        <v>9.0</v>
      </c>
      <c r="U497" s="48">
        <f t="shared" si="23"/>
        <v>249</v>
      </c>
      <c r="V497" s="48">
        <f t="shared" si="24"/>
        <v>358</v>
      </c>
      <c r="W497" s="49">
        <f t="shared" si="25"/>
        <v>0.3333333333</v>
      </c>
      <c r="X497" s="49">
        <f t="shared" si="26"/>
        <v>0.3694779116</v>
      </c>
      <c r="Y497" s="49">
        <f t="shared" si="27"/>
        <v>0.297188755</v>
      </c>
      <c r="Z497" s="32" t="str">
        <f t="shared" si="28"/>
        <v>Milton</v>
      </c>
      <c r="AA497" s="50"/>
    </row>
    <row r="498">
      <c r="A498" s="110" t="s">
        <v>119</v>
      </c>
      <c r="B498" s="46" t="s">
        <v>3282</v>
      </c>
      <c r="C498" s="47"/>
      <c r="D498" s="38">
        <v>106.0</v>
      </c>
      <c r="E498" s="38">
        <v>79.0</v>
      </c>
      <c r="F498" s="38">
        <v>133.0</v>
      </c>
      <c r="G498" s="38">
        <v>21.0</v>
      </c>
      <c r="H498" s="38">
        <v>22.0</v>
      </c>
      <c r="I498" s="48">
        <f t="shared" si="17"/>
        <v>318</v>
      </c>
      <c r="J498" s="48">
        <f t="shared" si="18"/>
        <v>361</v>
      </c>
      <c r="K498" s="49">
        <f t="shared" si="19"/>
        <v>0.3333333333</v>
      </c>
      <c r="L498" s="49">
        <f t="shared" si="20"/>
        <v>0.248427673</v>
      </c>
      <c r="M498" s="49">
        <f t="shared" si="21"/>
        <v>0.4182389937</v>
      </c>
      <c r="N498" s="32" t="str">
        <f t="shared" si="22"/>
        <v>Adhemar</v>
      </c>
      <c r="O498" s="50"/>
      <c r="P498" s="38">
        <v>91.0</v>
      </c>
      <c r="Q498" s="38">
        <v>80.0</v>
      </c>
      <c r="R498" s="38">
        <v>76.0</v>
      </c>
      <c r="S498" s="38">
        <v>104.0</v>
      </c>
      <c r="T498" s="38">
        <v>10.0</v>
      </c>
      <c r="U498" s="48">
        <f t="shared" si="23"/>
        <v>247</v>
      </c>
      <c r="V498" s="48">
        <f t="shared" si="24"/>
        <v>361</v>
      </c>
      <c r="W498" s="49">
        <f t="shared" si="25"/>
        <v>0.3684210526</v>
      </c>
      <c r="X498" s="49">
        <f t="shared" si="26"/>
        <v>0.3238866397</v>
      </c>
      <c r="Y498" s="49">
        <f t="shared" si="27"/>
        <v>0.3076923077</v>
      </c>
      <c r="Z498" s="32" t="str">
        <f t="shared" si="28"/>
        <v>Jango</v>
      </c>
      <c r="AA498" s="50"/>
    </row>
    <row r="499">
      <c r="A499" s="110" t="s">
        <v>119</v>
      </c>
      <c r="B499" s="46" t="s">
        <v>3283</v>
      </c>
      <c r="C499" s="47"/>
      <c r="D499" s="38">
        <v>109.0</v>
      </c>
      <c r="E499" s="38">
        <v>102.0</v>
      </c>
      <c r="F499" s="38">
        <v>109.0</v>
      </c>
      <c r="G499" s="38">
        <v>15.0</v>
      </c>
      <c r="H499" s="38">
        <v>8.0</v>
      </c>
      <c r="I499" s="48">
        <f t="shared" si="17"/>
        <v>320</v>
      </c>
      <c r="J499" s="48">
        <f t="shared" si="18"/>
        <v>343</v>
      </c>
      <c r="K499" s="49">
        <f t="shared" si="19"/>
        <v>0.340625</v>
      </c>
      <c r="L499" s="49">
        <f t="shared" si="20"/>
        <v>0.31875</v>
      </c>
      <c r="M499" s="49">
        <f t="shared" si="21"/>
        <v>0.340625</v>
      </c>
      <c r="N499" s="32" t="str">
        <f t="shared" si="22"/>
        <v>Empate</v>
      </c>
      <c r="O499" s="50"/>
      <c r="P499" s="38">
        <v>85.0</v>
      </c>
      <c r="Q499" s="38">
        <v>102.0</v>
      </c>
      <c r="R499" s="38">
        <v>63.0</v>
      </c>
      <c r="S499" s="38">
        <v>87.0</v>
      </c>
      <c r="T499" s="38">
        <v>6.0</v>
      </c>
      <c r="U499" s="48">
        <f t="shared" si="23"/>
        <v>250</v>
      </c>
      <c r="V499" s="48">
        <f t="shared" si="24"/>
        <v>343</v>
      </c>
      <c r="W499" s="49">
        <f t="shared" si="25"/>
        <v>0.34</v>
      </c>
      <c r="X499" s="49">
        <f t="shared" si="26"/>
        <v>0.408</v>
      </c>
      <c r="Y499" s="49">
        <f t="shared" si="27"/>
        <v>0.252</v>
      </c>
      <c r="Z499" s="32" t="str">
        <f t="shared" si="28"/>
        <v>Milton</v>
      </c>
      <c r="AA499" s="50"/>
    </row>
    <row r="500">
      <c r="A500" s="166"/>
      <c r="C500" s="167" t="s">
        <v>77</v>
      </c>
      <c r="D500" s="168"/>
      <c r="E500" s="168"/>
      <c r="F500" s="168"/>
      <c r="G500" s="168"/>
      <c r="H500" s="168"/>
      <c r="I500" s="168"/>
      <c r="J500" s="168"/>
      <c r="K500" s="168"/>
      <c r="L500" s="168"/>
      <c r="M500" s="168"/>
      <c r="N500" s="168"/>
      <c r="O500" s="169" t="s">
        <v>77</v>
      </c>
      <c r="P500" s="168"/>
      <c r="Q500" s="168"/>
      <c r="R500" s="168"/>
      <c r="S500" s="168"/>
      <c r="T500" s="168"/>
      <c r="U500" s="168"/>
      <c r="V500" s="168"/>
      <c r="W500" s="168"/>
      <c r="X500" s="168"/>
      <c r="Y500" s="168"/>
      <c r="Z500" s="168"/>
      <c r="AA500" s="169" t="s">
        <v>77</v>
      </c>
    </row>
    <row r="501">
      <c r="A501" s="143" t="s">
        <v>3284</v>
      </c>
      <c r="B501" s="13"/>
      <c r="C501" s="47"/>
      <c r="D501" s="38">
        <f t="shared" ref="D501:H501" si="29">SUM(D126:D138)</f>
        <v>1521</v>
      </c>
      <c r="E501" s="38">
        <f t="shared" si="29"/>
        <v>1477</v>
      </c>
      <c r="F501" s="38">
        <f t="shared" si="29"/>
        <v>1126</v>
      </c>
      <c r="G501" s="38">
        <f t="shared" si="29"/>
        <v>178</v>
      </c>
      <c r="H501" s="38">
        <f t="shared" si="29"/>
        <v>48</v>
      </c>
      <c r="I501" s="48">
        <f t="shared" ref="I501:I516" si="32">SUM(D501:F501)</f>
        <v>4124</v>
      </c>
      <c r="J501" s="48">
        <f t="shared" ref="J501:J516" si="33">SUM(G501:I501)</f>
        <v>4350</v>
      </c>
      <c r="K501" s="49">
        <f t="shared" ref="K501:K516" si="34">D501/I501</f>
        <v>0.3688166828</v>
      </c>
      <c r="L501" s="49">
        <f t="shared" ref="L501:L516" si="35">E501/I501</f>
        <v>0.3581474297</v>
      </c>
      <c r="M501" s="49">
        <f t="shared" ref="M501:M516" si="36">F501/I501</f>
        <v>0.2730358875</v>
      </c>
      <c r="N501" s="32" t="str">
        <f t="shared" ref="N501:N516" si="37">IF(LARGE(D501:F501,1)=LARGE(D501:F501,2),"Empate",IF(LARGE(D501:F501,1)=D501,"Jânio",IF(LARGE(D501:F501,1)=E501,"Mal. Lott",IF(LARGE(D501:F501,1)=F501,"Adhemar"))))</f>
        <v>Jânio</v>
      </c>
      <c r="O501" s="50" t="s">
        <v>77</v>
      </c>
      <c r="P501" s="38">
        <f t="shared" ref="P501:T501" si="30">SUM(P126:P138)</f>
        <v>1239</v>
      </c>
      <c r="Q501" s="38">
        <f t="shared" si="30"/>
        <v>1136</v>
      </c>
      <c r="R501" s="38">
        <f t="shared" si="30"/>
        <v>928</v>
      </c>
      <c r="S501" s="38">
        <f t="shared" si="30"/>
        <v>1045</v>
      </c>
      <c r="T501" s="38">
        <f t="shared" si="30"/>
        <v>37</v>
      </c>
      <c r="U501" s="48">
        <f t="shared" ref="U501:U516" si="39">SUM(P501:R501)</f>
        <v>3303</v>
      </c>
      <c r="V501" s="48">
        <f t="shared" ref="V501:V516" si="40">SUM(S501:U501)</f>
        <v>4385</v>
      </c>
      <c r="W501" s="49">
        <f t="shared" ref="W501:W516" si="41">P501/U501</f>
        <v>0.3751135332</v>
      </c>
      <c r="X501" s="49">
        <f t="shared" ref="X501:X516" si="42">Q501/U501</f>
        <v>0.3439297608</v>
      </c>
      <c r="Y501" s="49">
        <f t="shared" ref="Y501:Y516" si="43">R501/U501</f>
        <v>0.280956706</v>
      </c>
      <c r="Z501" s="32" t="str">
        <f t="shared" ref="Z501:Z516" si="44">IF(LARGE(P501:R501,1)=LARGE(P501:R501,2),"Empate",IF(LARGE(P501:R501,1)=P501,"Jango",IF(LARGE(P501:R501,1)=Q501,"Milton",IF(LARGE(P501:R501,1)=R501,"Ferrari"))))</f>
        <v>Jango</v>
      </c>
      <c r="AA501" s="50" t="s">
        <v>77</v>
      </c>
    </row>
    <row r="502">
      <c r="A502" s="143" t="s">
        <v>3285</v>
      </c>
      <c r="B502" s="13"/>
      <c r="C502" s="47"/>
      <c r="D502" s="38">
        <f t="shared" ref="D502:H502" si="31">SUM(D139:D157)</f>
        <v>3030</v>
      </c>
      <c r="E502" s="38">
        <f t="shared" si="31"/>
        <v>1949</v>
      </c>
      <c r="F502" s="38">
        <f t="shared" si="31"/>
        <v>1575</v>
      </c>
      <c r="G502" s="38">
        <f t="shared" si="31"/>
        <v>170</v>
      </c>
      <c r="H502" s="38">
        <f t="shared" si="31"/>
        <v>95</v>
      </c>
      <c r="I502" s="48">
        <f t="shared" si="32"/>
        <v>6554</v>
      </c>
      <c r="J502" s="48">
        <f t="shared" si="33"/>
        <v>6819</v>
      </c>
      <c r="K502" s="49">
        <f t="shared" si="34"/>
        <v>0.4623130912</v>
      </c>
      <c r="L502" s="49">
        <f t="shared" si="35"/>
        <v>0.2973756485</v>
      </c>
      <c r="M502" s="49">
        <f t="shared" si="36"/>
        <v>0.2403112603</v>
      </c>
      <c r="N502" s="32" t="str">
        <f t="shared" si="37"/>
        <v>Jânio</v>
      </c>
      <c r="O502" s="50" t="s">
        <v>77</v>
      </c>
      <c r="P502" s="38">
        <f t="shared" ref="P502:T502" si="38">SUM(P139:P157)</f>
        <v>1582</v>
      </c>
      <c r="Q502" s="38">
        <f t="shared" si="38"/>
        <v>2170</v>
      </c>
      <c r="R502" s="38">
        <f t="shared" si="38"/>
        <v>1474</v>
      </c>
      <c r="S502" s="38">
        <f t="shared" si="38"/>
        <v>1399</v>
      </c>
      <c r="T502" s="38">
        <f t="shared" si="38"/>
        <v>119</v>
      </c>
      <c r="U502" s="48">
        <f t="shared" si="39"/>
        <v>5226</v>
      </c>
      <c r="V502" s="48">
        <f t="shared" si="40"/>
        <v>6744</v>
      </c>
      <c r="W502" s="49">
        <f t="shared" si="41"/>
        <v>0.3027171833</v>
      </c>
      <c r="X502" s="49">
        <f t="shared" si="42"/>
        <v>0.4152315346</v>
      </c>
      <c r="Y502" s="49">
        <f t="shared" si="43"/>
        <v>0.2820512821</v>
      </c>
      <c r="Z502" s="32" t="str">
        <f t="shared" si="44"/>
        <v>Milton</v>
      </c>
      <c r="AA502" s="50" t="s">
        <v>77</v>
      </c>
    </row>
    <row r="503">
      <c r="A503" s="143" t="s">
        <v>3286</v>
      </c>
      <c r="B503" s="13"/>
      <c r="C503" s="47"/>
      <c r="D503" s="38">
        <f t="shared" ref="D503:H503" si="45">SUM(D158:D187)</f>
        <v>5779</v>
      </c>
      <c r="E503" s="38">
        <f t="shared" si="45"/>
        <v>2689</v>
      </c>
      <c r="F503" s="38">
        <f t="shared" si="45"/>
        <v>1537</v>
      </c>
      <c r="G503" s="38">
        <f t="shared" si="45"/>
        <v>199</v>
      </c>
      <c r="H503" s="38">
        <f t="shared" si="45"/>
        <v>64</v>
      </c>
      <c r="I503" s="48">
        <f t="shared" si="32"/>
        <v>10005</v>
      </c>
      <c r="J503" s="48">
        <f t="shared" si="33"/>
        <v>10268</v>
      </c>
      <c r="K503" s="49">
        <f t="shared" si="34"/>
        <v>0.5776111944</v>
      </c>
      <c r="L503" s="49">
        <f t="shared" si="35"/>
        <v>0.2687656172</v>
      </c>
      <c r="M503" s="49">
        <f t="shared" si="36"/>
        <v>0.1536231884</v>
      </c>
      <c r="N503" s="32" t="str">
        <f t="shared" si="37"/>
        <v>Jânio</v>
      </c>
      <c r="O503" s="50" t="s">
        <v>77</v>
      </c>
      <c r="P503" s="38">
        <f t="shared" ref="P503:T503" si="46">SUM(P158:P187)</f>
        <v>2046</v>
      </c>
      <c r="Q503" s="38">
        <f t="shared" si="46"/>
        <v>4131</v>
      </c>
      <c r="R503" s="38">
        <f t="shared" si="46"/>
        <v>1900</v>
      </c>
      <c r="S503" s="38">
        <f t="shared" si="46"/>
        <v>2006</v>
      </c>
      <c r="T503" s="38">
        <f t="shared" si="46"/>
        <v>46</v>
      </c>
      <c r="U503" s="48">
        <f t="shared" si="39"/>
        <v>8077</v>
      </c>
      <c r="V503" s="48">
        <f t="shared" si="40"/>
        <v>10129</v>
      </c>
      <c r="W503" s="49">
        <f t="shared" si="41"/>
        <v>0.2533118732</v>
      </c>
      <c r="X503" s="49">
        <f t="shared" si="42"/>
        <v>0.5114522719</v>
      </c>
      <c r="Y503" s="49">
        <f t="shared" si="43"/>
        <v>0.2352358549</v>
      </c>
      <c r="Z503" s="32" t="str">
        <f t="shared" si="44"/>
        <v>Milton</v>
      </c>
      <c r="AA503" s="50" t="s">
        <v>77</v>
      </c>
    </row>
    <row r="504">
      <c r="A504" s="143" t="s">
        <v>3287</v>
      </c>
      <c r="B504" s="13"/>
      <c r="C504" s="47"/>
      <c r="D504" s="38">
        <f t="shared" ref="D504:H504" si="47">SUM(D188:D227)</f>
        <v>7127</v>
      </c>
      <c r="E504" s="38">
        <f t="shared" si="47"/>
        <v>3728</v>
      </c>
      <c r="F504" s="38">
        <f t="shared" si="47"/>
        <v>2229</v>
      </c>
      <c r="G504" s="38">
        <f t="shared" si="47"/>
        <v>345</v>
      </c>
      <c r="H504" s="38">
        <f t="shared" si="47"/>
        <v>169</v>
      </c>
      <c r="I504" s="48">
        <f t="shared" si="32"/>
        <v>13084</v>
      </c>
      <c r="J504" s="48">
        <f t="shared" si="33"/>
        <v>13598</v>
      </c>
      <c r="K504" s="49">
        <f t="shared" si="34"/>
        <v>0.5447110975</v>
      </c>
      <c r="L504" s="49">
        <f t="shared" si="35"/>
        <v>0.2849281565</v>
      </c>
      <c r="M504" s="49">
        <f t="shared" si="36"/>
        <v>0.1703607459</v>
      </c>
      <c r="N504" s="32" t="str">
        <f t="shared" si="37"/>
        <v>Jânio</v>
      </c>
      <c r="O504" s="50" t="s">
        <v>77</v>
      </c>
      <c r="P504" s="38">
        <f t="shared" ref="P504:T504" si="48">SUM(P188:P227)</f>
        <v>3032</v>
      </c>
      <c r="Q504" s="38">
        <f t="shared" si="48"/>
        <v>5363</v>
      </c>
      <c r="R504" s="38">
        <f t="shared" si="48"/>
        <v>2484</v>
      </c>
      <c r="S504" s="38">
        <f t="shared" si="48"/>
        <v>2594</v>
      </c>
      <c r="T504" s="38">
        <f t="shared" si="48"/>
        <v>137</v>
      </c>
      <c r="U504" s="48">
        <f t="shared" si="39"/>
        <v>10879</v>
      </c>
      <c r="V504" s="48">
        <f t="shared" si="40"/>
        <v>13610</v>
      </c>
      <c r="W504" s="49">
        <f t="shared" si="41"/>
        <v>0.2787020866</v>
      </c>
      <c r="X504" s="49">
        <f t="shared" si="42"/>
        <v>0.4929681037</v>
      </c>
      <c r="Y504" s="49">
        <f t="shared" si="43"/>
        <v>0.2283298097</v>
      </c>
      <c r="Z504" s="32" t="str">
        <f t="shared" si="44"/>
        <v>Milton</v>
      </c>
      <c r="AA504" s="50" t="s">
        <v>77</v>
      </c>
    </row>
    <row r="505">
      <c r="A505" s="143" t="s">
        <v>3288</v>
      </c>
      <c r="B505" s="13"/>
      <c r="C505" s="47"/>
      <c r="D505" s="38">
        <f t="shared" ref="D505:H505" si="49">SUM(D228:D268)</f>
        <v>8520</v>
      </c>
      <c r="E505" s="38">
        <f t="shared" si="49"/>
        <v>3508</v>
      </c>
      <c r="F505" s="38">
        <f t="shared" si="49"/>
        <v>1586</v>
      </c>
      <c r="G505" s="38">
        <f t="shared" si="49"/>
        <v>263</v>
      </c>
      <c r="H505" s="38">
        <f t="shared" si="49"/>
        <v>118</v>
      </c>
      <c r="I505" s="48">
        <f t="shared" si="32"/>
        <v>13614</v>
      </c>
      <c r="J505" s="48">
        <f t="shared" si="33"/>
        <v>13995</v>
      </c>
      <c r="K505" s="49">
        <f t="shared" si="34"/>
        <v>0.6258263552</v>
      </c>
      <c r="L505" s="49">
        <f t="shared" si="35"/>
        <v>0.2576759218</v>
      </c>
      <c r="M505" s="49">
        <f t="shared" si="36"/>
        <v>0.1164977229</v>
      </c>
      <c r="N505" s="32" t="str">
        <f t="shared" si="37"/>
        <v>Jânio</v>
      </c>
      <c r="O505" s="50" t="s">
        <v>77</v>
      </c>
      <c r="P505" s="38">
        <f t="shared" ref="P505:T505" si="50">SUM(P228:P268)</f>
        <v>2532</v>
      </c>
      <c r="Q505" s="38">
        <f t="shared" si="50"/>
        <v>6403</v>
      </c>
      <c r="R505" s="38">
        <f t="shared" si="50"/>
        <v>2234</v>
      </c>
      <c r="S505" s="38">
        <f t="shared" si="50"/>
        <v>2526</v>
      </c>
      <c r="T505" s="38">
        <f t="shared" si="50"/>
        <v>117</v>
      </c>
      <c r="U505" s="48">
        <f t="shared" si="39"/>
        <v>11169</v>
      </c>
      <c r="V505" s="48">
        <f t="shared" si="40"/>
        <v>13812</v>
      </c>
      <c r="W505" s="49">
        <f t="shared" si="41"/>
        <v>0.2266988987</v>
      </c>
      <c r="X505" s="49">
        <f t="shared" si="42"/>
        <v>0.5732831946</v>
      </c>
      <c r="Y505" s="49">
        <f t="shared" si="43"/>
        <v>0.2000179067</v>
      </c>
      <c r="Z505" s="32" t="str">
        <f t="shared" si="44"/>
        <v>Milton</v>
      </c>
      <c r="AA505" s="50" t="s">
        <v>77</v>
      </c>
    </row>
    <row r="506">
      <c r="A506" s="143" t="s">
        <v>3289</v>
      </c>
      <c r="B506" s="13"/>
      <c r="C506" s="47"/>
      <c r="D506" s="38">
        <f t="shared" ref="D506:H506" si="51">SUM(D269:D309)</f>
        <v>7000</v>
      </c>
      <c r="E506" s="38">
        <f t="shared" si="51"/>
        <v>3649</v>
      </c>
      <c r="F506" s="38">
        <f t="shared" si="51"/>
        <v>2572</v>
      </c>
      <c r="G506" s="38">
        <f t="shared" si="51"/>
        <v>245</v>
      </c>
      <c r="H506" s="38">
        <f t="shared" si="51"/>
        <v>206</v>
      </c>
      <c r="I506" s="48">
        <f t="shared" si="32"/>
        <v>13221</v>
      </c>
      <c r="J506" s="48">
        <f t="shared" si="33"/>
        <v>13672</v>
      </c>
      <c r="K506" s="49">
        <f t="shared" si="34"/>
        <v>0.5294607065</v>
      </c>
      <c r="L506" s="49">
        <f t="shared" si="35"/>
        <v>0.2760003025</v>
      </c>
      <c r="M506" s="49">
        <f t="shared" si="36"/>
        <v>0.194538991</v>
      </c>
      <c r="N506" s="32" t="str">
        <f t="shared" si="37"/>
        <v>Jânio</v>
      </c>
      <c r="O506" s="50" t="s">
        <v>77</v>
      </c>
      <c r="P506" s="38">
        <f t="shared" ref="P506:T506" si="52">SUM(P269:P309)</f>
        <v>2898</v>
      </c>
      <c r="Q506" s="38">
        <f t="shared" si="52"/>
        <v>5184</v>
      </c>
      <c r="R506" s="38">
        <f t="shared" si="52"/>
        <v>2547</v>
      </c>
      <c r="S506" s="38">
        <f t="shared" si="52"/>
        <v>2528</v>
      </c>
      <c r="T506" s="38">
        <f t="shared" si="52"/>
        <v>250</v>
      </c>
      <c r="U506" s="48">
        <f t="shared" si="39"/>
        <v>10629</v>
      </c>
      <c r="V506" s="48">
        <f t="shared" si="40"/>
        <v>13407</v>
      </c>
      <c r="W506" s="49">
        <f t="shared" si="41"/>
        <v>0.2726502964</v>
      </c>
      <c r="X506" s="49">
        <f t="shared" si="42"/>
        <v>0.4877222693</v>
      </c>
      <c r="Y506" s="49">
        <f t="shared" si="43"/>
        <v>0.2396274344</v>
      </c>
      <c r="Z506" s="32" t="str">
        <f t="shared" si="44"/>
        <v>Milton</v>
      </c>
      <c r="AA506" s="50" t="s">
        <v>77</v>
      </c>
    </row>
    <row r="507">
      <c r="A507" s="143" t="s">
        <v>3290</v>
      </c>
      <c r="B507" s="13"/>
      <c r="C507" s="47"/>
      <c r="D507" s="38">
        <f t="shared" ref="D507:H507" si="53">SUM(D310:D344)</f>
        <v>6433</v>
      </c>
      <c r="E507" s="38">
        <f t="shared" si="53"/>
        <v>3232</v>
      </c>
      <c r="F507" s="38">
        <f t="shared" si="53"/>
        <v>2190</v>
      </c>
      <c r="G507" s="38">
        <f t="shared" si="53"/>
        <v>356</v>
      </c>
      <c r="H507" s="38">
        <f t="shared" si="53"/>
        <v>148</v>
      </c>
      <c r="I507" s="48">
        <f t="shared" si="32"/>
        <v>11855</v>
      </c>
      <c r="J507" s="48">
        <f t="shared" si="33"/>
        <v>12359</v>
      </c>
      <c r="K507" s="49">
        <f t="shared" si="34"/>
        <v>0.5426402362</v>
      </c>
      <c r="L507" s="49">
        <f t="shared" si="35"/>
        <v>0.2726275833</v>
      </c>
      <c r="M507" s="49">
        <f t="shared" si="36"/>
        <v>0.1847321805</v>
      </c>
      <c r="N507" s="32" t="str">
        <f t="shared" si="37"/>
        <v>Jânio</v>
      </c>
      <c r="O507" s="50" t="s">
        <v>77</v>
      </c>
      <c r="P507" s="38">
        <f t="shared" ref="P507:T507" si="54">SUM(P310:P344)</f>
        <v>2761</v>
      </c>
      <c r="Q507" s="38">
        <f t="shared" si="54"/>
        <v>4771</v>
      </c>
      <c r="R507" s="38">
        <f t="shared" si="54"/>
        <v>2664</v>
      </c>
      <c r="S507" s="38">
        <f t="shared" si="54"/>
        <v>2465</v>
      </c>
      <c r="T507" s="38">
        <f t="shared" si="54"/>
        <v>130</v>
      </c>
      <c r="U507" s="48">
        <f t="shared" si="39"/>
        <v>10196</v>
      </c>
      <c r="V507" s="48">
        <f t="shared" si="40"/>
        <v>12791</v>
      </c>
      <c r="W507" s="49">
        <f t="shared" si="41"/>
        <v>0.2707924676</v>
      </c>
      <c r="X507" s="49">
        <f t="shared" si="42"/>
        <v>0.4679285995</v>
      </c>
      <c r="Y507" s="49">
        <f t="shared" si="43"/>
        <v>0.2612789329</v>
      </c>
      <c r="Z507" s="32" t="str">
        <f t="shared" si="44"/>
        <v>Milton</v>
      </c>
      <c r="AA507" s="50" t="s">
        <v>77</v>
      </c>
    </row>
    <row r="508">
      <c r="A508" s="143" t="s">
        <v>3291</v>
      </c>
      <c r="B508" s="13"/>
      <c r="C508" s="47"/>
      <c r="D508" s="38">
        <f t="shared" ref="D508:H508" si="55">SUM(D345:D371)</f>
        <v>3901</v>
      </c>
      <c r="E508" s="38">
        <f t="shared" si="55"/>
        <v>2522</v>
      </c>
      <c r="F508" s="38">
        <f t="shared" si="55"/>
        <v>2328</v>
      </c>
      <c r="G508" s="38">
        <f t="shared" si="55"/>
        <v>294</v>
      </c>
      <c r="H508" s="38">
        <f t="shared" si="55"/>
        <v>157</v>
      </c>
      <c r="I508" s="48">
        <f t="shared" si="32"/>
        <v>8751</v>
      </c>
      <c r="J508" s="48">
        <f t="shared" si="33"/>
        <v>9202</v>
      </c>
      <c r="K508" s="49">
        <f t="shared" si="34"/>
        <v>0.4457776254</v>
      </c>
      <c r="L508" s="49">
        <f t="shared" si="35"/>
        <v>0.2881956348</v>
      </c>
      <c r="M508" s="49">
        <f t="shared" si="36"/>
        <v>0.2660267398</v>
      </c>
      <c r="N508" s="32" t="str">
        <f t="shared" si="37"/>
        <v>Jânio</v>
      </c>
      <c r="O508" s="50" t="s">
        <v>77</v>
      </c>
      <c r="P508" s="38">
        <f t="shared" ref="P508:T508" si="56">SUM(P345:P371)</f>
        <v>2186</v>
      </c>
      <c r="Q508" s="38">
        <f t="shared" si="56"/>
        <v>2686</v>
      </c>
      <c r="R508" s="38">
        <f t="shared" si="56"/>
        <v>1996</v>
      </c>
      <c r="S508" s="38">
        <f t="shared" si="56"/>
        <v>2110</v>
      </c>
      <c r="T508" s="38">
        <f t="shared" si="56"/>
        <v>154</v>
      </c>
      <c r="U508" s="48">
        <f t="shared" si="39"/>
        <v>6868</v>
      </c>
      <c r="V508" s="48">
        <f t="shared" si="40"/>
        <v>9132</v>
      </c>
      <c r="W508" s="49">
        <f t="shared" si="41"/>
        <v>0.3182877111</v>
      </c>
      <c r="X508" s="49">
        <f t="shared" si="42"/>
        <v>0.3910891089</v>
      </c>
      <c r="Y508" s="49">
        <f t="shared" si="43"/>
        <v>0.29062318</v>
      </c>
      <c r="Z508" s="32" t="str">
        <f t="shared" si="44"/>
        <v>Milton</v>
      </c>
      <c r="AA508" s="50" t="s">
        <v>77</v>
      </c>
    </row>
    <row r="509">
      <c r="A509" s="143" t="s">
        <v>3292</v>
      </c>
      <c r="B509" s="13"/>
      <c r="C509" s="47"/>
      <c r="D509" s="38">
        <f t="shared" ref="D509:H509" si="57">SUM(D372:D379)</f>
        <v>1164</v>
      </c>
      <c r="E509" s="38">
        <f t="shared" si="57"/>
        <v>819</v>
      </c>
      <c r="F509" s="38">
        <f t="shared" si="57"/>
        <v>695</v>
      </c>
      <c r="G509" s="38">
        <f t="shared" si="57"/>
        <v>71</v>
      </c>
      <c r="H509" s="38">
        <f t="shared" si="57"/>
        <v>64</v>
      </c>
      <c r="I509" s="48">
        <f t="shared" si="32"/>
        <v>2678</v>
      </c>
      <c r="J509" s="48">
        <f t="shared" si="33"/>
        <v>2813</v>
      </c>
      <c r="K509" s="49">
        <f t="shared" si="34"/>
        <v>0.4346527259</v>
      </c>
      <c r="L509" s="49">
        <f t="shared" si="35"/>
        <v>0.3058252427</v>
      </c>
      <c r="M509" s="49">
        <f t="shared" si="36"/>
        <v>0.2595220314</v>
      </c>
      <c r="N509" s="32" t="str">
        <f t="shared" si="37"/>
        <v>Jânio</v>
      </c>
      <c r="O509" s="50" t="s">
        <v>77</v>
      </c>
      <c r="P509" s="38">
        <f t="shared" ref="P509:T509" si="58">SUM(P372:P379)</f>
        <v>703</v>
      </c>
      <c r="Q509" s="38">
        <f t="shared" si="58"/>
        <v>829</v>
      </c>
      <c r="R509" s="38">
        <f t="shared" si="58"/>
        <v>545</v>
      </c>
      <c r="S509" s="38">
        <f t="shared" si="58"/>
        <v>558</v>
      </c>
      <c r="T509" s="38">
        <f t="shared" si="58"/>
        <v>42</v>
      </c>
      <c r="U509" s="48">
        <f t="shared" si="39"/>
        <v>2077</v>
      </c>
      <c r="V509" s="48">
        <f t="shared" si="40"/>
        <v>2677</v>
      </c>
      <c r="W509" s="49">
        <f t="shared" si="41"/>
        <v>0.3384689456</v>
      </c>
      <c r="X509" s="49">
        <f t="shared" si="42"/>
        <v>0.3991333654</v>
      </c>
      <c r="Y509" s="49">
        <f t="shared" si="43"/>
        <v>0.262397689</v>
      </c>
      <c r="Z509" s="32" t="str">
        <f t="shared" si="44"/>
        <v>Milton</v>
      </c>
      <c r="AA509" s="50" t="s">
        <v>77</v>
      </c>
    </row>
    <row r="510">
      <c r="A510" s="143" t="s">
        <v>3293</v>
      </c>
      <c r="B510" s="13"/>
      <c r="C510" s="47"/>
      <c r="D510" s="38">
        <f t="shared" ref="D510:H510" si="59">SUM(D380:D386)</f>
        <v>937</v>
      </c>
      <c r="E510" s="38">
        <f t="shared" si="59"/>
        <v>782</v>
      </c>
      <c r="F510" s="38">
        <f t="shared" si="59"/>
        <v>676</v>
      </c>
      <c r="G510" s="38">
        <f t="shared" si="59"/>
        <v>74</v>
      </c>
      <c r="H510" s="38">
        <f t="shared" si="59"/>
        <v>32</v>
      </c>
      <c r="I510" s="48">
        <f t="shared" si="32"/>
        <v>2395</v>
      </c>
      <c r="J510" s="48">
        <f t="shared" si="33"/>
        <v>2501</v>
      </c>
      <c r="K510" s="49">
        <f t="shared" si="34"/>
        <v>0.3912317328</v>
      </c>
      <c r="L510" s="49">
        <f t="shared" si="35"/>
        <v>0.3265135699</v>
      </c>
      <c r="M510" s="49">
        <f t="shared" si="36"/>
        <v>0.2822546973</v>
      </c>
      <c r="N510" s="32" t="str">
        <f t="shared" si="37"/>
        <v>Jânio</v>
      </c>
      <c r="O510" s="50" t="s">
        <v>77</v>
      </c>
      <c r="P510" s="38">
        <f t="shared" ref="P510:T510" si="60">SUM(P380:P386)</f>
        <v>678</v>
      </c>
      <c r="Q510" s="38">
        <f t="shared" si="60"/>
        <v>620</v>
      </c>
      <c r="R510" s="38">
        <f t="shared" si="60"/>
        <v>640</v>
      </c>
      <c r="S510" s="38">
        <f t="shared" si="60"/>
        <v>601</v>
      </c>
      <c r="T510" s="38">
        <f t="shared" si="60"/>
        <v>32</v>
      </c>
      <c r="U510" s="48">
        <f t="shared" si="39"/>
        <v>1938</v>
      </c>
      <c r="V510" s="48">
        <f t="shared" si="40"/>
        <v>2571</v>
      </c>
      <c r="W510" s="49">
        <f t="shared" si="41"/>
        <v>0.3498452012</v>
      </c>
      <c r="X510" s="49">
        <f t="shared" si="42"/>
        <v>0.3199174407</v>
      </c>
      <c r="Y510" s="49">
        <f t="shared" si="43"/>
        <v>0.3302373581</v>
      </c>
      <c r="Z510" s="32" t="str">
        <f t="shared" si="44"/>
        <v>Jango</v>
      </c>
      <c r="AA510" s="50" t="s">
        <v>77</v>
      </c>
    </row>
    <row r="511">
      <c r="A511" s="143" t="s">
        <v>3294</v>
      </c>
      <c r="B511" s="13"/>
      <c r="C511" s="47"/>
      <c r="D511" s="38">
        <f t="shared" ref="D511:H511" si="61">SUM(D387:D405)</f>
        <v>2338</v>
      </c>
      <c r="E511" s="38">
        <f t="shared" si="61"/>
        <v>1863</v>
      </c>
      <c r="F511" s="38">
        <f t="shared" si="61"/>
        <v>2229</v>
      </c>
      <c r="G511" s="38">
        <f t="shared" si="61"/>
        <v>231</v>
      </c>
      <c r="H511" s="38">
        <f t="shared" si="61"/>
        <v>142</v>
      </c>
      <c r="I511" s="48">
        <f t="shared" si="32"/>
        <v>6430</v>
      </c>
      <c r="J511" s="48">
        <f t="shared" si="33"/>
        <v>6803</v>
      </c>
      <c r="K511" s="49">
        <f t="shared" si="34"/>
        <v>0.3636080871</v>
      </c>
      <c r="L511" s="49">
        <f t="shared" si="35"/>
        <v>0.2897356143</v>
      </c>
      <c r="M511" s="49">
        <f t="shared" si="36"/>
        <v>0.3466562986</v>
      </c>
      <c r="N511" s="32" t="str">
        <f t="shared" si="37"/>
        <v>Jânio</v>
      </c>
      <c r="O511" s="50" t="s">
        <v>77</v>
      </c>
      <c r="P511" s="38">
        <f t="shared" ref="P511:T511" si="62">SUM(P387:P405)</f>
        <v>1632</v>
      </c>
      <c r="Q511" s="38">
        <f t="shared" si="62"/>
        <v>1586</v>
      </c>
      <c r="R511" s="38">
        <f t="shared" si="62"/>
        <v>1690</v>
      </c>
      <c r="S511" s="38">
        <f t="shared" si="62"/>
        <v>1724</v>
      </c>
      <c r="T511" s="38">
        <f t="shared" si="62"/>
        <v>121</v>
      </c>
      <c r="U511" s="48">
        <f t="shared" si="39"/>
        <v>4908</v>
      </c>
      <c r="V511" s="48">
        <f t="shared" si="40"/>
        <v>6753</v>
      </c>
      <c r="W511" s="49">
        <f t="shared" si="41"/>
        <v>0.3325183374</v>
      </c>
      <c r="X511" s="49">
        <f t="shared" si="42"/>
        <v>0.3231458843</v>
      </c>
      <c r="Y511" s="49">
        <f t="shared" si="43"/>
        <v>0.3443357783</v>
      </c>
      <c r="Z511" s="32" t="str">
        <f t="shared" si="44"/>
        <v>Ferrari</v>
      </c>
      <c r="AA511" s="50" t="s">
        <v>77</v>
      </c>
    </row>
    <row r="512">
      <c r="A512" s="143" t="s">
        <v>3295</v>
      </c>
      <c r="B512" s="13"/>
      <c r="C512" s="47"/>
      <c r="D512" s="38">
        <f t="shared" ref="D512:H512" si="63">SUM(D406:D435)</f>
        <v>2707</v>
      </c>
      <c r="E512" s="38">
        <f t="shared" si="63"/>
        <v>2915</v>
      </c>
      <c r="F512" s="38">
        <f t="shared" si="63"/>
        <v>3604</v>
      </c>
      <c r="G512" s="38">
        <f t="shared" si="63"/>
        <v>322</v>
      </c>
      <c r="H512" s="38">
        <f t="shared" si="63"/>
        <v>206</v>
      </c>
      <c r="I512" s="48">
        <f t="shared" si="32"/>
        <v>9226</v>
      </c>
      <c r="J512" s="48">
        <f t="shared" si="33"/>
        <v>9754</v>
      </c>
      <c r="K512" s="49">
        <f t="shared" si="34"/>
        <v>0.2934099285</v>
      </c>
      <c r="L512" s="49">
        <f t="shared" si="35"/>
        <v>0.31595491</v>
      </c>
      <c r="M512" s="49">
        <f t="shared" si="36"/>
        <v>0.3906351615</v>
      </c>
      <c r="N512" s="32" t="str">
        <f t="shared" si="37"/>
        <v>Adhemar</v>
      </c>
      <c r="O512" s="50" t="s">
        <v>77</v>
      </c>
      <c r="P512" s="38">
        <f t="shared" ref="P512:T512" si="64">SUM(P406:P435)</f>
        <v>2647</v>
      </c>
      <c r="Q512" s="38">
        <f t="shared" si="64"/>
        <v>1831</v>
      </c>
      <c r="R512" s="38">
        <f t="shared" si="64"/>
        <v>2628</v>
      </c>
      <c r="S512" s="38">
        <f t="shared" si="64"/>
        <v>2392</v>
      </c>
      <c r="T512" s="38">
        <f t="shared" si="64"/>
        <v>260</v>
      </c>
      <c r="U512" s="48">
        <f t="shared" si="39"/>
        <v>7106</v>
      </c>
      <c r="V512" s="48">
        <f t="shared" si="40"/>
        <v>9758</v>
      </c>
      <c r="W512" s="49">
        <f t="shared" si="41"/>
        <v>0.3725021109</v>
      </c>
      <c r="X512" s="49">
        <f t="shared" si="42"/>
        <v>0.257669575</v>
      </c>
      <c r="Y512" s="49">
        <f t="shared" si="43"/>
        <v>0.3698283141</v>
      </c>
      <c r="Z512" s="32" t="str">
        <f t="shared" si="44"/>
        <v>Jango</v>
      </c>
      <c r="AA512" s="50" t="s">
        <v>77</v>
      </c>
    </row>
    <row r="513">
      <c r="A513" s="143" t="s">
        <v>3296</v>
      </c>
      <c r="B513" s="13"/>
      <c r="C513" s="47"/>
      <c r="D513" s="38">
        <f t="shared" ref="D513:H513" si="65">SUM(D436:D451)</f>
        <v>1605</v>
      </c>
      <c r="E513" s="38">
        <f t="shared" si="65"/>
        <v>1943</v>
      </c>
      <c r="F513" s="38">
        <f t="shared" si="65"/>
        <v>1951</v>
      </c>
      <c r="G513" s="38">
        <f t="shared" si="65"/>
        <v>206</v>
      </c>
      <c r="H513" s="38">
        <f t="shared" si="65"/>
        <v>133</v>
      </c>
      <c r="I513" s="48">
        <f t="shared" si="32"/>
        <v>5499</v>
      </c>
      <c r="J513" s="48">
        <f t="shared" si="33"/>
        <v>5838</v>
      </c>
      <c r="K513" s="49">
        <f t="shared" si="34"/>
        <v>0.2918712493</v>
      </c>
      <c r="L513" s="49">
        <f t="shared" si="35"/>
        <v>0.3533369704</v>
      </c>
      <c r="M513" s="49">
        <f t="shared" si="36"/>
        <v>0.3547917803</v>
      </c>
      <c r="N513" s="32" t="str">
        <f t="shared" si="37"/>
        <v>Adhemar</v>
      </c>
      <c r="O513" s="50" t="s">
        <v>77</v>
      </c>
      <c r="P513" s="38">
        <f t="shared" ref="P513:T513" si="66">SUM(P436:P451)</f>
        <v>1660</v>
      </c>
      <c r="Q513" s="38">
        <f t="shared" si="66"/>
        <v>1224</v>
      </c>
      <c r="R513" s="38">
        <f t="shared" si="66"/>
        <v>1323</v>
      </c>
      <c r="S513" s="38">
        <f t="shared" si="66"/>
        <v>1489</v>
      </c>
      <c r="T513" s="38">
        <f t="shared" si="66"/>
        <v>110</v>
      </c>
      <c r="U513" s="48">
        <f t="shared" si="39"/>
        <v>4207</v>
      </c>
      <c r="V513" s="48">
        <f t="shared" si="40"/>
        <v>5806</v>
      </c>
      <c r="W513" s="49">
        <f t="shared" si="41"/>
        <v>0.3945804611</v>
      </c>
      <c r="X513" s="49">
        <f t="shared" si="42"/>
        <v>0.2909436653</v>
      </c>
      <c r="Y513" s="49">
        <f t="shared" si="43"/>
        <v>0.3144758735</v>
      </c>
      <c r="Z513" s="32" t="str">
        <f t="shared" si="44"/>
        <v>Jango</v>
      </c>
      <c r="AA513" s="50" t="s">
        <v>77</v>
      </c>
    </row>
    <row r="514">
      <c r="A514" s="143" t="s">
        <v>3297</v>
      </c>
      <c r="B514" s="13"/>
      <c r="C514" s="47"/>
      <c r="D514" s="38">
        <f t="shared" ref="D514:H514" si="67">SUM(D452:D472)</f>
        <v>2797</v>
      </c>
      <c r="E514" s="38">
        <f t="shared" si="67"/>
        <v>1862</v>
      </c>
      <c r="F514" s="38">
        <f t="shared" si="67"/>
        <v>1771</v>
      </c>
      <c r="G514" s="38">
        <f t="shared" si="67"/>
        <v>161</v>
      </c>
      <c r="H514" s="38">
        <f t="shared" si="67"/>
        <v>74</v>
      </c>
      <c r="I514" s="48">
        <f t="shared" si="32"/>
        <v>6430</v>
      </c>
      <c r="J514" s="48">
        <f t="shared" si="33"/>
        <v>6665</v>
      </c>
      <c r="K514" s="49">
        <f t="shared" si="34"/>
        <v>0.434992224</v>
      </c>
      <c r="L514" s="49">
        <f t="shared" si="35"/>
        <v>0.2895800933</v>
      </c>
      <c r="M514" s="49">
        <f t="shared" si="36"/>
        <v>0.2754276827</v>
      </c>
      <c r="N514" s="32" t="str">
        <f t="shared" si="37"/>
        <v>Jânio</v>
      </c>
      <c r="O514" s="50" t="s">
        <v>77</v>
      </c>
      <c r="P514" s="38">
        <f t="shared" ref="P514:T514" si="68">SUM(P452:P472)</f>
        <v>1568</v>
      </c>
      <c r="Q514" s="38">
        <f t="shared" si="68"/>
        <v>1892</v>
      </c>
      <c r="R514" s="38">
        <f t="shared" si="68"/>
        <v>1620</v>
      </c>
      <c r="S514" s="38">
        <f t="shared" si="68"/>
        <v>1529</v>
      </c>
      <c r="T514" s="38">
        <f t="shared" si="68"/>
        <v>69</v>
      </c>
      <c r="U514" s="48">
        <f t="shared" si="39"/>
        <v>5080</v>
      </c>
      <c r="V514" s="48">
        <f t="shared" si="40"/>
        <v>6678</v>
      </c>
      <c r="W514" s="49">
        <f t="shared" si="41"/>
        <v>0.3086614173</v>
      </c>
      <c r="X514" s="49">
        <f t="shared" si="42"/>
        <v>0.3724409449</v>
      </c>
      <c r="Y514" s="49">
        <f t="shared" si="43"/>
        <v>0.3188976378</v>
      </c>
      <c r="Z514" s="32" t="str">
        <f t="shared" si="44"/>
        <v>Milton</v>
      </c>
      <c r="AA514" s="50" t="s">
        <v>77</v>
      </c>
    </row>
    <row r="515">
      <c r="A515" s="143" t="s">
        <v>3298</v>
      </c>
      <c r="B515" s="13"/>
      <c r="C515" s="47"/>
      <c r="D515" s="38">
        <f t="shared" ref="D515:H515" si="69">SUM(D473:D499)</f>
        <v>2747</v>
      </c>
      <c r="E515" s="38">
        <f t="shared" si="69"/>
        <v>3102</v>
      </c>
      <c r="F515" s="38">
        <f t="shared" si="69"/>
        <v>3239</v>
      </c>
      <c r="G515" s="38">
        <f t="shared" si="69"/>
        <v>433</v>
      </c>
      <c r="H515" s="38">
        <f t="shared" si="69"/>
        <v>251</v>
      </c>
      <c r="I515" s="48">
        <f t="shared" si="32"/>
        <v>9088</v>
      </c>
      <c r="J515" s="48">
        <f t="shared" si="33"/>
        <v>9772</v>
      </c>
      <c r="K515" s="49">
        <f t="shared" si="34"/>
        <v>0.3022667254</v>
      </c>
      <c r="L515" s="49">
        <f t="shared" si="35"/>
        <v>0.3413292254</v>
      </c>
      <c r="M515" s="49">
        <f t="shared" si="36"/>
        <v>0.3564040493</v>
      </c>
      <c r="N515" s="32" t="str">
        <f t="shared" si="37"/>
        <v>Adhemar</v>
      </c>
      <c r="O515" s="50" t="s">
        <v>77</v>
      </c>
      <c r="P515" s="38">
        <f t="shared" ref="P515:T515" si="70">SUM(P473:P499)</f>
        <v>2691</v>
      </c>
      <c r="Q515" s="38">
        <f t="shared" si="70"/>
        <v>2156</v>
      </c>
      <c r="R515" s="38">
        <f t="shared" si="70"/>
        <v>2032</v>
      </c>
      <c r="S515" s="38">
        <f t="shared" si="70"/>
        <v>2659</v>
      </c>
      <c r="T515" s="38">
        <f t="shared" si="70"/>
        <v>210</v>
      </c>
      <c r="U515" s="48">
        <f t="shared" si="39"/>
        <v>6879</v>
      </c>
      <c r="V515" s="48">
        <f t="shared" si="40"/>
        <v>9748</v>
      </c>
      <c r="W515" s="49">
        <f t="shared" si="41"/>
        <v>0.39119058</v>
      </c>
      <c r="X515" s="49">
        <f t="shared" si="42"/>
        <v>0.3134176479</v>
      </c>
      <c r="Y515" s="49">
        <f t="shared" si="43"/>
        <v>0.2953917721</v>
      </c>
      <c r="Z515" s="32" t="str">
        <f t="shared" si="44"/>
        <v>Jango</v>
      </c>
      <c r="AA515" s="50" t="s">
        <v>77</v>
      </c>
    </row>
    <row r="516">
      <c r="A516" s="143" t="s">
        <v>3299</v>
      </c>
      <c r="B516" s="13"/>
      <c r="C516" s="47"/>
      <c r="D516" s="38">
        <f t="shared" ref="D516:H516" si="71">SUM(D501:D515)</f>
        <v>57606</v>
      </c>
      <c r="E516" s="38">
        <f t="shared" si="71"/>
        <v>36040</v>
      </c>
      <c r="F516" s="38">
        <f t="shared" si="71"/>
        <v>29308</v>
      </c>
      <c r="G516" s="38">
        <f t="shared" si="71"/>
        <v>3548</v>
      </c>
      <c r="H516" s="38">
        <f t="shared" si="71"/>
        <v>1907</v>
      </c>
      <c r="I516" s="48">
        <f t="shared" si="32"/>
        <v>122954</v>
      </c>
      <c r="J516" s="48">
        <f t="shared" si="33"/>
        <v>128409</v>
      </c>
      <c r="K516" s="49">
        <f t="shared" si="34"/>
        <v>0.468516681</v>
      </c>
      <c r="L516" s="49">
        <f t="shared" si="35"/>
        <v>0.2931177514</v>
      </c>
      <c r="M516" s="49">
        <f t="shared" si="36"/>
        <v>0.2383655676</v>
      </c>
      <c r="N516" s="32" t="str">
        <f t="shared" si="37"/>
        <v>Jânio</v>
      </c>
      <c r="O516" s="50"/>
      <c r="P516" s="38">
        <f t="shared" ref="P516:T516" si="72">SUM(P501:P515)</f>
        <v>29855</v>
      </c>
      <c r="Q516" s="38">
        <f t="shared" si="72"/>
        <v>41982</v>
      </c>
      <c r="R516" s="38">
        <f t="shared" si="72"/>
        <v>26705</v>
      </c>
      <c r="S516" s="38">
        <f t="shared" si="72"/>
        <v>27625</v>
      </c>
      <c r="T516" s="38">
        <f t="shared" si="72"/>
        <v>1834</v>
      </c>
      <c r="U516" s="48">
        <f t="shared" si="39"/>
        <v>98542</v>
      </c>
      <c r="V516" s="48">
        <f t="shared" si="40"/>
        <v>128001</v>
      </c>
      <c r="W516" s="49">
        <f t="shared" si="41"/>
        <v>0.3029672627</v>
      </c>
      <c r="X516" s="49">
        <f t="shared" si="42"/>
        <v>0.4260315399</v>
      </c>
      <c r="Y516" s="49">
        <f t="shared" si="43"/>
        <v>0.2710011975</v>
      </c>
      <c r="Z516" s="32" t="str">
        <f t="shared" si="44"/>
        <v>Milton</v>
      </c>
      <c r="AA516" s="50"/>
    </row>
    <row r="517">
      <c r="O517" s="73"/>
    </row>
    <row r="518">
      <c r="O518" s="73"/>
    </row>
    <row r="519">
      <c r="A519" s="139" t="s">
        <v>3300</v>
      </c>
      <c r="B519" s="12"/>
      <c r="C519" s="13"/>
    </row>
    <row r="520">
      <c r="A520" s="34"/>
      <c r="B520" s="12"/>
      <c r="C520" s="13"/>
      <c r="D520" s="35" t="s">
        <v>55</v>
      </c>
      <c r="E520" s="12"/>
      <c r="F520" s="12"/>
      <c r="G520" s="12"/>
      <c r="H520" s="12"/>
      <c r="I520" s="12"/>
      <c r="J520" s="12"/>
      <c r="K520" s="12"/>
      <c r="L520" s="12"/>
      <c r="M520" s="12"/>
      <c r="N520" s="13"/>
      <c r="O520" s="36"/>
      <c r="P520" s="35" t="s">
        <v>56</v>
      </c>
      <c r="Q520" s="12"/>
      <c r="R520" s="12"/>
      <c r="S520" s="12"/>
      <c r="T520" s="12"/>
      <c r="U520" s="12"/>
      <c r="V520" s="12"/>
      <c r="W520" s="12"/>
      <c r="X520" s="12"/>
      <c r="Y520" s="12"/>
      <c r="Z520" s="13"/>
      <c r="AA520" s="140"/>
    </row>
    <row r="521">
      <c r="A521" s="141" t="s">
        <v>58</v>
      </c>
      <c r="B521" s="13"/>
      <c r="C521" s="40"/>
      <c r="D521" s="38" t="s">
        <v>46</v>
      </c>
      <c r="E521" s="38" t="s">
        <v>48</v>
      </c>
      <c r="F521" s="38" t="s">
        <v>50</v>
      </c>
      <c r="G521" s="38" t="s">
        <v>59</v>
      </c>
      <c r="H521" s="38" t="s">
        <v>60</v>
      </c>
      <c r="I521" s="41" t="s">
        <v>61</v>
      </c>
      <c r="J521" s="41" t="s">
        <v>62</v>
      </c>
      <c r="K521" s="38" t="s">
        <v>63</v>
      </c>
      <c r="L521" s="38" t="s">
        <v>64</v>
      </c>
      <c r="M521" s="38" t="s">
        <v>65</v>
      </c>
      <c r="N521" s="38" t="s">
        <v>66</v>
      </c>
      <c r="O521" s="42"/>
      <c r="P521" s="38" t="s">
        <v>47</v>
      </c>
      <c r="Q521" s="38" t="s">
        <v>49</v>
      </c>
      <c r="R521" s="38" t="s">
        <v>51</v>
      </c>
      <c r="S521" s="38" t="s">
        <v>59</v>
      </c>
      <c r="T521" s="38" t="s">
        <v>60</v>
      </c>
      <c r="U521" s="41" t="s">
        <v>61</v>
      </c>
      <c r="V521" s="41" t="s">
        <v>62</v>
      </c>
      <c r="W521" s="43" t="s">
        <v>67</v>
      </c>
      <c r="X521" s="43" t="s">
        <v>68</v>
      </c>
      <c r="Y521" s="43" t="s">
        <v>69</v>
      </c>
      <c r="Z521" s="38" t="s">
        <v>66</v>
      </c>
      <c r="AA521" s="44"/>
    </row>
    <row r="522">
      <c r="A522" s="143" t="s">
        <v>3301</v>
      </c>
      <c r="B522" s="13"/>
      <c r="C522" s="47"/>
      <c r="D522" s="38">
        <v>418788.0</v>
      </c>
      <c r="E522" s="38">
        <v>287709.0</v>
      </c>
      <c r="F522" s="38">
        <v>250103.0</v>
      </c>
      <c r="G522" s="38">
        <v>28715.0</v>
      </c>
      <c r="H522" s="38">
        <v>14894.0</v>
      </c>
      <c r="I522" s="48">
        <f t="shared" ref="I522:I524" si="73">SUM(D522:F522)</f>
        <v>956600</v>
      </c>
      <c r="J522" s="48">
        <f t="shared" ref="J522:J524" si="74">SUM(G522:I522)</f>
        <v>1000209</v>
      </c>
      <c r="K522" s="49">
        <f t="shared" ref="K522:K524" si="75">D522/I522</f>
        <v>0.4377879992</v>
      </c>
      <c r="L522" s="49">
        <f t="shared" ref="L522:L524" si="76">E522/I522</f>
        <v>0.300762074</v>
      </c>
      <c r="M522" s="49">
        <f t="shared" ref="M522:M524" si="77">F522/I522</f>
        <v>0.2614499268</v>
      </c>
      <c r="N522" s="32" t="str">
        <f t="shared" ref="N522:N524" si="78">IF(LARGE(D522:F522,1)=LARGE(D522:F522,2),"Empate",IF(LARGE(D522:F522,1)=D522,"Jânio",IF(LARGE(D522:F522,1)=E522,"Mal. Lott",IF(LARGE(D522:F522,1)=F522,"Adhemar"))))</f>
        <v>Jânio</v>
      </c>
      <c r="O522" s="50"/>
      <c r="P522" s="38">
        <v>242983.0</v>
      </c>
      <c r="Q522" s="38">
        <v>307039.0</v>
      </c>
      <c r="R522" s="38">
        <v>211635.0</v>
      </c>
      <c r="S522" s="38">
        <v>224933.0</v>
      </c>
      <c r="T522" s="38">
        <v>13619.0</v>
      </c>
      <c r="U522" s="48">
        <f t="shared" ref="U522:U524" si="79">SUM(P522:R522)</f>
        <v>761657</v>
      </c>
      <c r="V522" s="48">
        <f t="shared" ref="V522:V524" si="80">SUM(S522:U522)</f>
        <v>1000209</v>
      </c>
      <c r="W522" s="49">
        <f t="shared" ref="W522:W524" si="81">P522/U522</f>
        <v>0.3190189285</v>
      </c>
      <c r="X522" s="49">
        <f t="shared" ref="X522:X524" si="82">Q522/U522</f>
        <v>0.403119777</v>
      </c>
      <c r="Y522" s="49">
        <f t="shared" ref="Y522:Y524" si="83">R522/U522</f>
        <v>0.2778612945</v>
      </c>
      <c r="Z522" s="32" t="str">
        <f t="shared" ref="Z522:Z524" si="84">IF(LARGE(P522:R522,1)=LARGE(P522:R522,2),"Empate",IF(LARGE(P522:R522,1)=P522,"Jango",IF(LARGE(P522:R522,1)=Q522,"Milton",IF(LARGE(P522:R522,1)=R522,"Ferrari"))))</f>
        <v>Milton</v>
      </c>
      <c r="AA522" s="50"/>
    </row>
    <row r="523">
      <c r="A523" s="143" t="s">
        <v>3302</v>
      </c>
      <c r="B523" s="13"/>
      <c r="C523" s="47"/>
      <c r="D523" s="38">
        <v>25.0</v>
      </c>
      <c r="E523" s="38">
        <v>127.0</v>
      </c>
      <c r="F523" s="38">
        <v>14.0</v>
      </c>
      <c r="G523" s="38">
        <v>5.0</v>
      </c>
      <c r="H523" s="38">
        <v>5.0</v>
      </c>
      <c r="I523" s="48">
        <f t="shared" si="73"/>
        <v>166</v>
      </c>
      <c r="J523" s="48">
        <f t="shared" si="74"/>
        <v>176</v>
      </c>
      <c r="K523" s="49">
        <f t="shared" si="75"/>
        <v>0.1506024096</v>
      </c>
      <c r="L523" s="49">
        <f t="shared" si="76"/>
        <v>0.765060241</v>
      </c>
      <c r="M523" s="49">
        <f t="shared" si="77"/>
        <v>0.0843373494</v>
      </c>
      <c r="N523" s="32" t="str">
        <f t="shared" si="78"/>
        <v>Mal. Lott</v>
      </c>
      <c r="O523" s="50"/>
      <c r="P523" s="38">
        <v>61.0</v>
      </c>
      <c r="Q523" s="38">
        <v>18.0</v>
      </c>
      <c r="R523" s="38">
        <v>75.0</v>
      </c>
      <c r="S523" s="38">
        <v>5.0</v>
      </c>
      <c r="T523" s="38">
        <v>17.0</v>
      </c>
      <c r="U523" s="48">
        <f t="shared" si="79"/>
        <v>154</v>
      </c>
      <c r="V523" s="48">
        <f t="shared" si="80"/>
        <v>176</v>
      </c>
      <c r="W523" s="49">
        <f t="shared" si="81"/>
        <v>0.3961038961</v>
      </c>
      <c r="X523" s="49">
        <f t="shared" si="82"/>
        <v>0.1168831169</v>
      </c>
      <c r="Y523" s="49">
        <f t="shared" si="83"/>
        <v>0.487012987</v>
      </c>
      <c r="Z523" s="32" t="str">
        <f t="shared" si="84"/>
        <v>Ferrari</v>
      </c>
      <c r="AA523" s="50"/>
    </row>
    <row r="524">
      <c r="A524" s="143" t="s">
        <v>3303</v>
      </c>
      <c r="B524" s="13"/>
      <c r="C524" s="47"/>
      <c r="D524" s="38">
        <v>418813.0</v>
      </c>
      <c r="E524" s="38">
        <v>287836.0</v>
      </c>
      <c r="F524" s="38">
        <v>250117.0</v>
      </c>
      <c r="G524" s="38">
        <v>28720.0</v>
      </c>
      <c r="H524" s="38">
        <v>14899.0</v>
      </c>
      <c r="I524" s="48">
        <f t="shared" si="73"/>
        <v>956766</v>
      </c>
      <c r="J524" s="48">
        <f t="shared" si="74"/>
        <v>1000385</v>
      </c>
      <c r="K524" s="49">
        <f t="shared" si="75"/>
        <v>0.4377381721</v>
      </c>
      <c r="L524" s="49">
        <f t="shared" si="76"/>
        <v>0.3008426303</v>
      </c>
      <c r="M524" s="49">
        <f t="shared" si="77"/>
        <v>0.2614191976</v>
      </c>
      <c r="N524" s="32" t="str">
        <f t="shared" si="78"/>
        <v>Jânio</v>
      </c>
      <c r="O524" s="50"/>
      <c r="P524" s="38">
        <v>243044.0</v>
      </c>
      <c r="Q524" s="38">
        <v>307057.0</v>
      </c>
      <c r="R524" s="38">
        <v>211710.0</v>
      </c>
      <c r="S524" s="38">
        <v>224938.0</v>
      </c>
      <c r="T524" s="38">
        <v>13636.0</v>
      </c>
      <c r="U524" s="48">
        <f t="shared" si="79"/>
        <v>761811</v>
      </c>
      <c r="V524" s="48">
        <f t="shared" si="80"/>
        <v>1000385</v>
      </c>
      <c r="W524" s="49">
        <f t="shared" si="81"/>
        <v>0.3190345112</v>
      </c>
      <c r="X524" s="49">
        <f t="shared" si="82"/>
        <v>0.4030619143</v>
      </c>
      <c r="Y524" s="49">
        <f t="shared" si="83"/>
        <v>0.2779035745</v>
      </c>
      <c r="Z524" s="32" t="str">
        <f t="shared" si="84"/>
        <v>Milton</v>
      </c>
      <c r="AA524" s="50"/>
    </row>
    <row r="525">
      <c r="O525" s="73"/>
    </row>
    <row r="526">
      <c r="B526" s="74" t="s">
        <v>138</v>
      </c>
      <c r="D526" s="75"/>
      <c r="E526" s="75"/>
      <c r="F526" s="75"/>
      <c r="G526" s="75"/>
    </row>
    <row r="527">
      <c r="B527" s="76" t="s">
        <v>139</v>
      </c>
      <c r="C527" s="33"/>
      <c r="D527" s="29"/>
      <c r="E527" s="29"/>
      <c r="F527" s="77"/>
      <c r="G527" s="77"/>
    </row>
    <row r="528">
      <c r="B528" s="76" t="s">
        <v>222</v>
      </c>
      <c r="C528" s="33"/>
      <c r="D528" s="29"/>
      <c r="E528" s="29"/>
      <c r="F528" s="77"/>
      <c r="G528" s="77"/>
    </row>
    <row r="529">
      <c r="B529" s="75"/>
      <c r="C529" s="33"/>
      <c r="D529" s="29"/>
      <c r="E529" s="29"/>
      <c r="F529" s="77"/>
      <c r="G529" s="77"/>
    </row>
  </sheetData>
  <mergeCells count="137">
    <mergeCell ref="D2:G2"/>
    <mergeCell ref="D3:G3"/>
    <mergeCell ref="A12:C12"/>
    <mergeCell ref="D12:N12"/>
    <mergeCell ref="P12:Z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113:B113"/>
    <mergeCell ref="A114:B114"/>
    <mergeCell ref="A115:B115"/>
    <mergeCell ref="A123:C123"/>
    <mergeCell ref="A124:C124"/>
    <mergeCell ref="D124:N124"/>
    <mergeCell ref="P124:Z124"/>
    <mergeCell ref="A106:B106"/>
    <mergeCell ref="A107:B107"/>
    <mergeCell ref="A108:B108"/>
    <mergeCell ref="A109:B109"/>
    <mergeCell ref="A110:B110"/>
    <mergeCell ref="A111:B111"/>
    <mergeCell ref="A112:B112"/>
    <mergeCell ref="A500:B500"/>
    <mergeCell ref="A501:B501"/>
    <mergeCell ref="A502:B502"/>
    <mergeCell ref="A503:B503"/>
    <mergeCell ref="A504:B504"/>
    <mergeCell ref="A505:B505"/>
    <mergeCell ref="A506:B506"/>
    <mergeCell ref="A514:B514"/>
    <mergeCell ref="A515:B515"/>
    <mergeCell ref="A516:B516"/>
    <mergeCell ref="A519:C519"/>
    <mergeCell ref="A520:C520"/>
    <mergeCell ref="D520:N520"/>
    <mergeCell ref="P520:Z520"/>
    <mergeCell ref="A521:B521"/>
    <mergeCell ref="A522:B522"/>
    <mergeCell ref="A523:B523"/>
    <mergeCell ref="A524:B524"/>
    <mergeCell ref="A507:B507"/>
    <mergeCell ref="A508:B508"/>
    <mergeCell ref="A509:B509"/>
    <mergeCell ref="A510:B510"/>
    <mergeCell ref="A511:B511"/>
    <mergeCell ref="A512:B512"/>
    <mergeCell ref="A513:B513"/>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s>
  <conditionalFormatting sqref="W14:Y115 K126:N499 Z126:Z499 K501:M516 N501:N519 Z501:Z516 N521:N525 W522:Z524">
    <cfRule type="colorScale" priority="1">
      <colorScale>
        <cfvo type="percent" val="0"/>
        <cfvo type="percent" val="50"/>
        <cfvo type="percent" val="100"/>
        <color rgb="FFFFFFFF"/>
        <color rgb="FFABDDC5"/>
        <color rgb="FF57BB8A"/>
      </colorScale>
    </cfRule>
  </conditionalFormatting>
  <conditionalFormatting sqref="W126:Y499 W501:Y516">
    <cfRule type="colorScale" priority="2">
      <colorScale>
        <cfvo type="min"/>
        <cfvo type="max"/>
        <color rgb="FFFFFFFF"/>
        <color rgb="FF57BB8A"/>
      </colorScale>
    </cfRule>
  </conditionalFormatting>
  <conditionalFormatting sqref="K522:M524">
    <cfRule type="colorScale" priority="3">
      <colorScale>
        <cfvo type="min"/>
        <cfvo type="max"/>
        <color rgb="FFFFFFFF"/>
        <color rgb="FF57BB8A"/>
      </colorScale>
    </cfRule>
  </conditionalFormatting>
  <conditionalFormatting sqref="K14:M115">
    <cfRule type="colorScale" priority="4">
      <colorScale>
        <cfvo type="min"/>
        <cfvo type="max"/>
        <color rgb="FFFFFFFF"/>
        <color rgb="FF57BB8A"/>
      </colorScale>
    </cfRule>
  </conditionalFormatting>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7.25"/>
    <col customWidth="1" min="2" max="2" width="27.38"/>
    <col customWidth="1" min="3" max="3" width="3.5"/>
    <col customWidth="1" min="4" max="4" width="13.63"/>
    <col customWidth="1" min="5" max="5" width="12.63"/>
    <col customWidth="1" min="6" max="6" width="13.13"/>
    <col customWidth="1" min="7" max="7" width="11.25"/>
    <col customWidth="1" min="8" max="8" width="11.88"/>
    <col customWidth="1" min="9" max="9" width="14.13"/>
    <col customWidth="1" min="10" max="10" width="14.0"/>
    <col customWidth="1" min="14" max="14" width="13.5"/>
    <col customWidth="1" min="15" max="15" width="3.0"/>
    <col customWidth="1" min="16" max="16" width="13.63"/>
    <col customWidth="1" min="18" max="18" width="11.88"/>
    <col customWidth="1" min="19" max="19" width="11.63"/>
    <col customWidth="1" min="20" max="20" width="12.0"/>
    <col customWidth="1" min="21" max="21" width="14.0"/>
    <col customWidth="1" min="22" max="22" width="13.5"/>
    <col customWidth="1" min="26" max="26" width="12.25"/>
    <col customWidth="1" min="27" max="27" width="3.25"/>
    <col customWidth="1" min="30" max="30" width="14.75"/>
  </cols>
  <sheetData>
    <row r="1">
      <c r="D1" s="30"/>
      <c r="E1" s="30"/>
      <c r="F1" s="30"/>
      <c r="G1" s="30"/>
    </row>
    <row r="2">
      <c r="D2" s="139" t="s">
        <v>3304</v>
      </c>
      <c r="E2" s="12"/>
      <c r="F2" s="12"/>
      <c r="G2" s="13"/>
    </row>
    <row r="3">
      <c r="D3" s="32" t="s">
        <v>46</v>
      </c>
      <c r="E3" s="22">
        <f t="shared" ref="E3:E5" si="1">COUNTIF($N$11:$N$36,D3)</f>
        <v>16</v>
      </c>
      <c r="F3" s="32" t="s">
        <v>47</v>
      </c>
      <c r="G3" s="22">
        <f t="shared" ref="G3:G5" si="2">COUNTIF($Z$11:$Z$36,F3)</f>
        <v>19</v>
      </c>
    </row>
    <row r="4">
      <c r="D4" s="32" t="s">
        <v>48</v>
      </c>
      <c r="E4" s="22">
        <f t="shared" si="1"/>
        <v>9</v>
      </c>
      <c r="F4" s="32" t="s">
        <v>49</v>
      </c>
      <c r="G4" s="22">
        <f t="shared" si="2"/>
        <v>5</v>
      </c>
    </row>
    <row r="5">
      <c r="D5" s="32" t="s">
        <v>50</v>
      </c>
      <c r="E5" s="22">
        <f t="shared" si="1"/>
        <v>1</v>
      </c>
      <c r="F5" s="32" t="s">
        <v>51</v>
      </c>
      <c r="G5" s="22">
        <f t="shared" si="2"/>
        <v>2</v>
      </c>
    </row>
    <row r="6">
      <c r="D6" s="32" t="s">
        <v>54</v>
      </c>
      <c r="E6" s="32">
        <f>SUM(E3:E5)</f>
        <v>26</v>
      </c>
      <c r="F6" s="32" t="s">
        <v>54</v>
      </c>
      <c r="G6" s="32">
        <f>SUM(G3:G5)</f>
        <v>26</v>
      </c>
    </row>
    <row r="7">
      <c r="D7" s="109"/>
      <c r="E7" s="109"/>
      <c r="F7" s="109"/>
      <c r="G7" s="109"/>
    </row>
    <row r="9">
      <c r="A9" s="34"/>
      <c r="B9" s="12"/>
      <c r="C9" s="13"/>
      <c r="D9" s="35" t="s">
        <v>55</v>
      </c>
      <c r="E9" s="12"/>
      <c r="F9" s="12"/>
      <c r="G9" s="12"/>
      <c r="H9" s="12"/>
      <c r="I9" s="12"/>
      <c r="J9" s="12"/>
      <c r="K9" s="12"/>
      <c r="L9" s="12"/>
      <c r="M9" s="12"/>
      <c r="N9" s="13"/>
      <c r="O9" s="36"/>
      <c r="P9" s="35" t="s">
        <v>56</v>
      </c>
      <c r="Q9" s="12"/>
      <c r="R9" s="12"/>
      <c r="S9" s="12"/>
      <c r="T9" s="12"/>
      <c r="U9" s="12"/>
      <c r="V9" s="12"/>
      <c r="W9" s="12"/>
      <c r="X9" s="12"/>
      <c r="Y9" s="12"/>
      <c r="Z9" s="13"/>
      <c r="AA9" s="37"/>
      <c r="AB9" s="12"/>
      <c r="AC9" s="12"/>
      <c r="AD9" s="13"/>
    </row>
    <row r="10">
      <c r="A10" s="141" t="s">
        <v>3305</v>
      </c>
      <c r="B10" s="13"/>
      <c r="C10" s="40"/>
      <c r="D10" s="38" t="s">
        <v>46</v>
      </c>
      <c r="E10" s="38" t="s">
        <v>48</v>
      </c>
      <c r="F10" s="38" t="s">
        <v>50</v>
      </c>
      <c r="G10" s="38" t="s">
        <v>59</v>
      </c>
      <c r="H10" s="38" t="s">
        <v>60</v>
      </c>
      <c r="I10" s="41" t="s">
        <v>61</v>
      </c>
      <c r="J10" s="41" t="s">
        <v>62</v>
      </c>
      <c r="K10" s="38" t="s">
        <v>63</v>
      </c>
      <c r="L10" s="38" t="s">
        <v>64</v>
      </c>
      <c r="M10" s="38" t="s">
        <v>65</v>
      </c>
      <c r="N10" s="38" t="s">
        <v>66</v>
      </c>
      <c r="O10" s="42"/>
      <c r="P10" s="38" t="s">
        <v>47</v>
      </c>
      <c r="Q10" s="38" t="s">
        <v>49</v>
      </c>
      <c r="R10" s="38" t="s">
        <v>51</v>
      </c>
      <c r="S10" s="38" t="s">
        <v>59</v>
      </c>
      <c r="T10" s="38" t="s">
        <v>60</v>
      </c>
      <c r="U10" s="41" t="s">
        <v>61</v>
      </c>
      <c r="V10" s="41" t="s">
        <v>62</v>
      </c>
      <c r="W10" s="43" t="s">
        <v>67</v>
      </c>
      <c r="X10" s="43" t="s">
        <v>68</v>
      </c>
      <c r="Y10" s="43" t="s">
        <v>69</v>
      </c>
      <c r="Z10" s="38" t="s">
        <v>66</v>
      </c>
      <c r="AA10" s="44"/>
      <c r="AB10" s="41" t="s">
        <v>70</v>
      </c>
      <c r="AC10" s="41" t="s">
        <v>71</v>
      </c>
      <c r="AD10" s="41" t="s">
        <v>72</v>
      </c>
    </row>
    <row r="11">
      <c r="A11" s="69" t="s">
        <v>3306</v>
      </c>
      <c r="B11" s="13"/>
      <c r="C11" s="47"/>
      <c r="D11" s="170">
        <v>23812.0</v>
      </c>
      <c r="E11" s="170">
        <v>32324.0</v>
      </c>
      <c r="F11" s="170">
        <v>2202.0</v>
      </c>
      <c r="G11" s="38">
        <v>1596.0</v>
      </c>
      <c r="H11" s="38">
        <v>3528.0</v>
      </c>
      <c r="I11" s="70">
        <f t="shared" ref="I11:I37" si="3">SUM(D11:F11)</f>
        <v>58338</v>
      </c>
      <c r="J11" s="48">
        <f t="shared" ref="J11:J37" si="4">SUM(G11:I11)</f>
        <v>63462</v>
      </c>
      <c r="K11" s="171">
        <v>0.40817306044087903</v>
      </c>
      <c r="L11" s="172">
        <v>0.5540813877746923</v>
      </c>
      <c r="M11" s="173">
        <v>0.03774555178442868</v>
      </c>
      <c r="N11" s="32" t="str">
        <f t="shared" ref="N11:N37" si="5">IF(LARGE(D11:F11,1)=D11,$D$3,IF(LARGE(D11:F11,1)=E11,$D$4,IF(LARGE(D11:F11,1)=F11,$D$5)))</f>
        <v>Mal. Lott</v>
      </c>
      <c r="O11" s="50"/>
      <c r="P11" s="174">
        <v>32451.0</v>
      </c>
      <c r="Q11" s="175">
        <v>8821.0</v>
      </c>
      <c r="R11" s="175">
        <v>14274.0</v>
      </c>
      <c r="S11" s="71">
        <v>4985.0</v>
      </c>
      <c r="T11" s="71">
        <v>2931.0</v>
      </c>
      <c r="U11" s="71">
        <f t="shared" ref="U11:U37" si="6">SUM(P11:R11)</f>
        <v>55546</v>
      </c>
      <c r="V11" s="48">
        <f t="shared" ref="V11:V37" si="7">SUM(S11:U11)</f>
        <v>63462</v>
      </c>
      <c r="W11" s="176">
        <v>0.5842184855795197</v>
      </c>
      <c r="X11" s="177">
        <v>0.15880531451409644</v>
      </c>
      <c r="Y11" s="178">
        <v>0.2569761999063839</v>
      </c>
      <c r="Z11" s="32" t="str">
        <f t="shared" ref="Z11:Z37" si="8">IF(LARGE(P11:R11,1)=P11,$F$3,IF(LARGE(P11:R11,1)=Q11,$F$4,IF(LARGE(P11:R11,1)=R11,$F$5)))</f>
        <v>Jango</v>
      </c>
      <c r="AA11" s="54"/>
      <c r="AB11" s="97">
        <v>91929.0</v>
      </c>
      <c r="AC11" s="48">
        <v>28467.0</v>
      </c>
      <c r="AD11" s="179">
        <v>0.6903371079855105</v>
      </c>
      <c r="AE11" s="180"/>
    </row>
    <row r="12">
      <c r="A12" s="69" t="s">
        <v>3307</v>
      </c>
      <c r="B12" s="13"/>
      <c r="C12" s="181"/>
      <c r="D12" s="170">
        <v>102175.0</v>
      </c>
      <c r="E12" s="170">
        <v>90261.0</v>
      </c>
      <c r="F12" s="170">
        <v>18074.0</v>
      </c>
      <c r="G12" s="38">
        <v>12683.0</v>
      </c>
      <c r="H12" s="38">
        <v>9439.0</v>
      </c>
      <c r="I12" s="70">
        <f t="shared" si="3"/>
        <v>210510</v>
      </c>
      <c r="J12" s="48">
        <f t="shared" si="4"/>
        <v>232632</v>
      </c>
      <c r="K12" s="171">
        <v>0.48536886608712176</v>
      </c>
      <c r="L12" s="172">
        <v>0.4287729799059427</v>
      </c>
      <c r="M12" s="173">
        <v>0.08585815400693554</v>
      </c>
      <c r="N12" s="32" t="str">
        <f t="shared" si="5"/>
        <v>Jânio</v>
      </c>
      <c r="O12" s="50"/>
      <c r="P12" s="170">
        <v>94609.0</v>
      </c>
      <c r="Q12" s="182">
        <v>56268.0</v>
      </c>
      <c r="R12" s="182">
        <v>46111.0</v>
      </c>
      <c r="S12" s="71">
        <v>26529.0</v>
      </c>
      <c r="T12" s="97">
        <v>9115.0</v>
      </c>
      <c r="U12" s="71">
        <f t="shared" si="6"/>
        <v>196988</v>
      </c>
      <c r="V12" s="48">
        <f t="shared" si="7"/>
        <v>232632</v>
      </c>
      <c r="W12" s="176">
        <v>0.4802779864763336</v>
      </c>
      <c r="X12" s="177">
        <v>0.28564176498060795</v>
      </c>
      <c r="Y12" s="178">
        <v>0.23408024854305845</v>
      </c>
      <c r="Z12" s="32" t="str">
        <f t="shared" si="8"/>
        <v>Jango</v>
      </c>
      <c r="AA12" s="183"/>
      <c r="AB12" s="71">
        <v>324511.0</v>
      </c>
      <c r="AC12" s="48">
        <v>91879.0</v>
      </c>
      <c r="AD12" s="179">
        <v>0.7168693819315832</v>
      </c>
      <c r="AE12" s="180"/>
    </row>
    <row r="13">
      <c r="A13" s="69" t="s">
        <v>3308</v>
      </c>
      <c r="B13" s="13"/>
      <c r="C13" s="181"/>
      <c r="D13" s="170">
        <v>56727.0</v>
      </c>
      <c r="E13" s="170">
        <v>81102.0</v>
      </c>
      <c r="F13" s="170">
        <v>72456.0</v>
      </c>
      <c r="G13" s="38">
        <v>11201.0</v>
      </c>
      <c r="H13" s="38">
        <v>13563.0</v>
      </c>
      <c r="I13" s="70">
        <f t="shared" si="3"/>
        <v>210285</v>
      </c>
      <c r="J13" s="48">
        <f t="shared" si="4"/>
        <v>235049</v>
      </c>
      <c r="K13" s="171">
        <v>0.269762465225765</v>
      </c>
      <c r="L13" s="172">
        <v>0.3856765817818675</v>
      </c>
      <c r="M13" s="173">
        <v>0.3445609529923675</v>
      </c>
      <c r="N13" s="32" t="str">
        <f t="shared" si="5"/>
        <v>Mal. Lott</v>
      </c>
      <c r="O13" s="133"/>
      <c r="P13" s="170">
        <v>102267.0</v>
      </c>
      <c r="Q13" s="182">
        <v>35773.0</v>
      </c>
      <c r="R13" s="182">
        <v>61966.0</v>
      </c>
      <c r="S13" s="71">
        <v>25250.0</v>
      </c>
      <c r="T13" s="97">
        <v>9793.0</v>
      </c>
      <c r="U13" s="71">
        <f t="shared" si="6"/>
        <v>200006</v>
      </c>
      <c r="V13" s="48">
        <f t="shared" si="7"/>
        <v>235049</v>
      </c>
      <c r="W13" s="176">
        <v>0.5113196604101877</v>
      </c>
      <c r="X13" s="177">
        <v>0.17885963421097367</v>
      </c>
      <c r="Y13" s="178">
        <v>0.30982070537883866</v>
      </c>
      <c r="Z13" s="32" t="str">
        <f t="shared" si="8"/>
        <v>Jango</v>
      </c>
      <c r="AA13" s="85"/>
      <c r="AB13" s="97">
        <v>384427.0</v>
      </c>
      <c r="AC13" s="39">
        <v>149378.0</v>
      </c>
      <c r="AD13" s="179">
        <v>0.611426876884298</v>
      </c>
      <c r="AE13" s="180"/>
    </row>
    <row r="14">
      <c r="A14" s="69" t="s">
        <v>3309</v>
      </c>
      <c r="B14" s="13"/>
      <c r="C14" s="47"/>
      <c r="D14" s="170">
        <v>53172.0</v>
      </c>
      <c r="E14" s="170">
        <v>61061.0</v>
      </c>
      <c r="F14" s="170">
        <v>7780.0</v>
      </c>
      <c r="G14" s="38">
        <v>4638.0</v>
      </c>
      <c r="H14" s="38">
        <v>5682.0</v>
      </c>
      <c r="I14" s="70">
        <f t="shared" si="3"/>
        <v>122013</v>
      </c>
      <c r="J14" s="48">
        <f t="shared" si="4"/>
        <v>132333</v>
      </c>
      <c r="K14" s="171">
        <v>0.4357896289739618</v>
      </c>
      <c r="L14" s="172">
        <v>0.5004466737150959</v>
      </c>
      <c r="M14" s="173">
        <v>0.06376369731094228</v>
      </c>
      <c r="N14" s="32" t="str">
        <f t="shared" si="5"/>
        <v>Mal. Lott</v>
      </c>
      <c r="O14" s="50"/>
      <c r="P14" s="170">
        <v>62110.0</v>
      </c>
      <c r="Q14" s="182">
        <v>47324.0</v>
      </c>
      <c r="R14" s="182">
        <v>10637.0</v>
      </c>
      <c r="S14" s="71">
        <v>7984.0</v>
      </c>
      <c r="T14" s="97">
        <v>4278.0</v>
      </c>
      <c r="U14" s="71">
        <f t="shared" si="6"/>
        <v>120071</v>
      </c>
      <c r="V14" s="48">
        <f t="shared" si="7"/>
        <v>132333</v>
      </c>
      <c r="W14" s="176">
        <v>0.5172772776107469</v>
      </c>
      <c r="X14" s="177">
        <v>0.3941334710296408</v>
      </c>
      <c r="Y14" s="178">
        <v>0.08858925135961222</v>
      </c>
      <c r="Z14" s="32" t="str">
        <f t="shared" si="8"/>
        <v>Jango</v>
      </c>
      <c r="AA14" s="85"/>
      <c r="AB14" s="97">
        <v>244262.0</v>
      </c>
      <c r="AC14" s="48">
        <v>111929.0</v>
      </c>
      <c r="AD14" s="179">
        <v>0.5417666276375367</v>
      </c>
      <c r="AE14" s="180"/>
    </row>
    <row r="15">
      <c r="A15" s="69" t="s">
        <v>3310</v>
      </c>
      <c r="B15" s="13"/>
      <c r="C15" s="47"/>
      <c r="D15" s="170">
        <v>189372.0</v>
      </c>
      <c r="E15" s="170">
        <v>184118.0</v>
      </c>
      <c r="F15" s="170">
        <v>27668.0</v>
      </c>
      <c r="G15" s="38">
        <v>13152.0</v>
      </c>
      <c r="H15" s="38">
        <v>21814.0</v>
      </c>
      <c r="I15" s="70">
        <f t="shared" si="3"/>
        <v>401158</v>
      </c>
      <c r="J15" s="48">
        <f t="shared" si="4"/>
        <v>436124</v>
      </c>
      <c r="K15" s="171">
        <v>0.4720633765249602</v>
      </c>
      <c r="L15" s="172">
        <v>0.4589662925829723</v>
      </c>
      <c r="M15" s="173">
        <v>0.06897033089206746</v>
      </c>
      <c r="N15" s="32" t="str">
        <f t="shared" si="5"/>
        <v>Jânio</v>
      </c>
      <c r="O15" s="50"/>
      <c r="P15" s="170">
        <v>199026.0</v>
      </c>
      <c r="Q15" s="170">
        <v>163888.0</v>
      </c>
      <c r="R15" s="170">
        <v>30933.0</v>
      </c>
      <c r="S15" s="48">
        <v>27082.0</v>
      </c>
      <c r="T15" s="38">
        <v>15195.0</v>
      </c>
      <c r="U15" s="71">
        <f t="shared" si="6"/>
        <v>393847</v>
      </c>
      <c r="V15" s="48">
        <f t="shared" si="7"/>
        <v>436124</v>
      </c>
      <c r="W15" s="176">
        <v>0.5053383674371013</v>
      </c>
      <c r="X15" s="177">
        <v>0.4161209809900799</v>
      </c>
      <c r="Y15" s="178">
        <v>0.07854065157281889</v>
      </c>
      <c r="Z15" s="32" t="str">
        <f t="shared" si="8"/>
        <v>Jango</v>
      </c>
      <c r="AA15" s="85"/>
      <c r="AB15" s="38">
        <v>668703.0</v>
      </c>
      <c r="AC15" s="48">
        <v>232579.0</v>
      </c>
      <c r="AD15" s="179">
        <v>0.6521938738124399</v>
      </c>
      <c r="AE15" s="180"/>
    </row>
    <row r="16">
      <c r="A16" s="69" t="s">
        <v>3311</v>
      </c>
      <c r="B16" s="13"/>
      <c r="C16" s="47"/>
      <c r="D16" s="170">
        <v>96598.0</v>
      </c>
      <c r="E16" s="170">
        <v>95721.0</v>
      </c>
      <c r="F16" s="170">
        <v>15646.0</v>
      </c>
      <c r="G16" s="38">
        <v>9890.0</v>
      </c>
      <c r="H16" s="38">
        <v>7733.0</v>
      </c>
      <c r="I16" s="70">
        <f t="shared" si="3"/>
        <v>207965</v>
      </c>
      <c r="J16" s="48">
        <f t="shared" si="4"/>
        <v>225588</v>
      </c>
      <c r="K16" s="171">
        <v>0.4644916211862573</v>
      </c>
      <c r="L16" s="172">
        <v>0.4602745654316832</v>
      </c>
      <c r="M16" s="173">
        <v>0.07523381338205948</v>
      </c>
      <c r="N16" s="32" t="str">
        <f t="shared" si="5"/>
        <v>Jânio</v>
      </c>
      <c r="O16" s="50"/>
      <c r="P16" s="170">
        <v>96325.0</v>
      </c>
      <c r="Q16" s="170">
        <v>83464.0</v>
      </c>
      <c r="R16" s="170">
        <v>22290.0</v>
      </c>
      <c r="S16" s="48">
        <v>18215.0</v>
      </c>
      <c r="T16" s="38">
        <v>5294.0</v>
      </c>
      <c r="U16" s="71">
        <f t="shared" si="6"/>
        <v>202079</v>
      </c>
      <c r="V16" s="48">
        <f t="shared" si="7"/>
        <v>225588</v>
      </c>
      <c r="W16" s="176">
        <v>0.47667001519207836</v>
      </c>
      <c r="X16" s="177">
        <v>0.41302658861138464</v>
      </c>
      <c r="Y16" s="178">
        <v>0.11030339619653699</v>
      </c>
      <c r="Z16" s="32" t="str">
        <f t="shared" si="8"/>
        <v>Jango</v>
      </c>
      <c r="AA16" s="183"/>
      <c r="AB16" s="38">
        <v>278087.0</v>
      </c>
      <c r="AC16" s="48">
        <v>52499.0</v>
      </c>
      <c r="AD16" s="179">
        <v>0.8112137568458792</v>
      </c>
      <c r="AE16" s="180"/>
    </row>
    <row r="17">
      <c r="A17" s="69" t="s">
        <v>3312</v>
      </c>
      <c r="B17" s="13"/>
      <c r="C17" s="47"/>
      <c r="D17" s="170">
        <v>143408.0</v>
      </c>
      <c r="E17" s="170">
        <v>104725.0</v>
      </c>
      <c r="F17" s="170">
        <v>18349.0</v>
      </c>
      <c r="G17" s="38">
        <v>10345.0</v>
      </c>
      <c r="H17" s="38">
        <v>9485.0</v>
      </c>
      <c r="I17" s="70">
        <f t="shared" si="3"/>
        <v>266482</v>
      </c>
      <c r="J17" s="48">
        <f t="shared" si="4"/>
        <v>286312</v>
      </c>
      <c r="K17" s="171">
        <v>0.5381526707244767</v>
      </c>
      <c r="L17" s="172">
        <v>0.39299089619561545</v>
      </c>
      <c r="M17" s="173">
        <v>0.06885643307990784</v>
      </c>
      <c r="N17" s="32" t="str">
        <f t="shared" si="5"/>
        <v>Jânio</v>
      </c>
      <c r="O17" s="133"/>
      <c r="P17" s="170">
        <v>122471.0</v>
      </c>
      <c r="Q17" s="170">
        <v>103909.0</v>
      </c>
      <c r="R17" s="170">
        <v>26269.0</v>
      </c>
      <c r="S17" s="38">
        <v>26413.0</v>
      </c>
      <c r="T17" s="38">
        <v>7250.0</v>
      </c>
      <c r="U17" s="71">
        <f t="shared" si="6"/>
        <v>252649</v>
      </c>
      <c r="V17" s="48">
        <f t="shared" si="7"/>
        <v>286312</v>
      </c>
      <c r="W17" s="176">
        <v>0.4847476142790987</v>
      </c>
      <c r="X17" s="177">
        <v>0.41127809728120834</v>
      </c>
      <c r="Y17" s="178">
        <v>0.10397428843969302</v>
      </c>
      <c r="Z17" s="32" t="str">
        <f t="shared" si="8"/>
        <v>Jango</v>
      </c>
      <c r="AA17" s="184"/>
      <c r="AB17" s="38">
        <v>352357.0</v>
      </c>
      <c r="AC17" s="48">
        <v>66045.0</v>
      </c>
      <c r="AD17" s="179">
        <v>0.8125622592995172</v>
      </c>
      <c r="AE17" s="180"/>
    </row>
    <row r="18">
      <c r="A18" s="69" t="s">
        <v>3313</v>
      </c>
      <c r="B18" s="13"/>
      <c r="C18" s="47"/>
      <c r="D18" s="170">
        <v>226211.0</v>
      </c>
      <c r="E18" s="170">
        <v>185136.0</v>
      </c>
      <c r="F18" s="170">
        <v>34626.0</v>
      </c>
      <c r="G18" s="38">
        <v>13027.0</v>
      </c>
      <c r="H18" s="38">
        <v>24606.0</v>
      </c>
      <c r="I18" s="70">
        <f t="shared" si="3"/>
        <v>445973</v>
      </c>
      <c r="J18" s="48">
        <f t="shared" si="4"/>
        <v>483606</v>
      </c>
      <c r="K18" s="171">
        <v>0.5072302583340247</v>
      </c>
      <c r="L18" s="172">
        <v>0.41512827009706865</v>
      </c>
      <c r="M18" s="173">
        <v>0.07764147156890663</v>
      </c>
      <c r="N18" s="32" t="str">
        <f t="shared" si="5"/>
        <v>Jânio</v>
      </c>
      <c r="O18" s="50"/>
      <c r="P18" s="170">
        <v>182496.0</v>
      </c>
      <c r="Q18" s="170">
        <v>184450.0</v>
      </c>
      <c r="R18" s="170">
        <v>67307.0</v>
      </c>
      <c r="S18" s="48">
        <v>31324.0</v>
      </c>
      <c r="T18" s="38">
        <v>18029.0</v>
      </c>
      <c r="U18" s="71">
        <f t="shared" si="6"/>
        <v>434253</v>
      </c>
      <c r="V18" s="48">
        <f t="shared" si="7"/>
        <v>483606</v>
      </c>
      <c r="W18" s="176">
        <v>0.42025270982583884</v>
      </c>
      <c r="X18" s="177">
        <v>0.42475239088733985</v>
      </c>
      <c r="Y18" s="178">
        <v>0.15499489928682128</v>
      </c>
      <c r="Z18" s="32" t="str">
        <f t="shared" si="8"/>
        <v>Milton</v>
      </c>
      <c r="AA18" s="183"/>
      <c r="AB18" s="38">
        <v>676133.0</v>
      </c>
      <c r="AC18" s="48">
        <v>192527.0</v>
      </c>
      <c r="AD18" s="179">
        <v>0.7152527683162928</v>
      </c>
      <c r="AE18" s="180"/>
    </row>
    <row r="19">
      <c r="A19" s="69" t="s">
        <v>3314</v>
      </c>
      <c r="B19" s="13"/>
      <c r="C19" s="47"/>
      <c r="D19" s="170">
        <v>53835.0</v>
      </c>
      <c r="E19" s="170">
        <v>32253.0</v>
      </c>
      <c r="F19" s="170">
        <v>25926.0</v>
      </c>
      <c r="G19" s="38">
        <v>7819.0</v>
      </c>
      <c r="H19" s="38">
        <v>4143.0</v>
      </c>
      <c r="I19" s="70">
        <f t="shared" si="3"/>
        <v>112014</v>
      </c>
      <c r="J19" s="48">
        <f t="shared" si="4"/>
        <v>123976</v>
      </c>
      <c r="K19" s="171">
        <v>0.4806095666613102</v>
      </c>
      <c r="L19" s="172">
        <v>0.28793722213294765</v>
      </c>
      <c r="M19" s="173">
        <v>0.23145321120574214</v>
      </c>
      <c r="N19" s="32" t="str">
        <f t="shared" si="5"/>
        <v>Jânio</v>
      </c>
      <c r="O19" s="50"/>
      <c r="P19" s="170">
        <v>46275.0</v>
      </c>
      <c r="Q19" s="170">
        <v>39009.0</v>
      </c>
      <c r="R19" s="170">
        <v>18522.0</v>
      </c>
      <c r="S19" s="48">
        <v>16779.0</v>
      </c>
      <c r="T19" s="38">
        <v>3391.0</v>
      </c>
      <c r="U19" s="71">
        <f t="shared" si="6"/>
        <v>103806</v>
      </c>
      <c r="V19" s="48">
        <f t="shared" si="7"/>
        <v>123976</v>
      </c>
      <c r="W19" s="176">
        <v>0.4457834807236576</v>
      </c>
      <c r="X19" s="177">
        <v>0.37578752673255883</v>
      </c>
      <c r="Y19" s="178">
        <v>0.1784289925437836</v>
      </c>
      <c r="Z19" s="32" t="str">
        <f t="shared" si="8"/>
        <v>Jango</v>
      </c>
      <c r="AA19" s="44"/>
      <c r="AB19" s="48">
        <v>154621.0</v>
      </c>
      <c r="AC19" s="48">
        <v>30645.0</v>
      </c>
      <c r="AD19" s="179">
        <v>0.8018057055639273</v>
      </c>
      <c r="AE19" s="180"/>
    </row>
    <row r="20">
      <c r="A20" s="69" t="s">
        <v>3315</v>
      </c>
      <c r="B20" s="13"/>
      <c r="C20" s="47"/>
      <c r="D20" s="170">
        <v>42377.0</v>
      </c>
      <c r="E20" s="170">
        <v>45341.0</v>
      </c>
      <c r="F20" s="170">
        <v>2844.0</v>
      </c>
      <c r="G20" s="38">
        <v>2270.0</v>
      </c>
      <c r="H20" s="38">
        <v>2834.0</v>
      </c>
      <c r="I20" s="70">
        <f t="shared" si="3"/>
        <v>90562</v>
      </c>
      <c r="J20" s="48">
        <f t="shared" si="4"/>
        <v>95666</v>
      </c>
      <c r="K20" s="171">
        <v>0.4679335703716791</v>
      </c>
      <c r="L20" s="172">
        <v>0.5006625295377752</v>
      </c>
      <c r="M20" s="173">
        <v>0.0314039000905457</v>
      </c>
      <c r="N20" s="32" t="str">
        <f t="shared" si="5"/>
        <v>Mal. Lott</v>
      </c>
      <c r="O20" s="50"/>
      <c r="P20" s="170">
        <v>45866.0</v>
      </c>
      <c r="Q20" s="170">
        <v>40153.0</v>
      </c>
      <c r="R20" s="170">
        <v>3074.0</v>
      </c>
      <c r="S20" s="38">
        <v>4322.0</v>
      </c>
      <c r="T20" s="38">
        <v>2251.0</v>
      </c>
      <c r="U20" s="71">
        <f t="shared" si="6"/>
        <v>89093</v>
      </c>
      <c r="V20" s="48">
        <f t="shared" si="7"/>
        <v>95666</v>
      </c>
      <c r="W20" s="176">
        <v>0.5148103666954755</v>
      </c>
      <c r="X20" s="177">
        <v>0.4506863614425376</v>
      </c>
      <c r="Y20" s="178">
        <v>0.034503271861986914</v>
      </c>
      <c r="Z20" s="32" t="str">
        <f t="shared" si="8"/>
        <v>Jango</v>
      </c>
      <c r="AA20" s="44"/>
      <c r="AB20" s="38">
        <v>150095.0</v>
      </c>
      <c r="AC20" s="48">
        <v>54429.0</v>
      </c>
      <c r="AD20" s="179">
        <v>0.637369665878277</v>
      </c>
      <c r="AE20" s="180"/>
    </row>
    <row r="21">
      <c r="A21" s="69" t="s">
        <v>3316</v>
      </c>
      <c r="B21" s="13"/>
      <c r="C21" s="47"/>
      <c r="D21" s="170">
        <v>255530.0</v>
      </c>
      <c r="E21" s="170">
        <v>232391.0</v>
      </c>
      <c r="F21" s="170">
        <v>47824.0</v>
      </c>
      <c r="G21" s="38">
        <v>19931.0</v>
      </c>
      <c r="H21" s="38">
        <v>29202.0</v>
      </c>
      <c r="I21" s="70">
        <f t="shared" si="3"/>
        <v>535745</v>
      </c>
      <c r="J21" s="48">
        <f t="shared" si="4"/>
        <v>584878</v>
      </c>
      <c r="K21" s="171">
        <v>0.47696198751271596</v>
      </c>
      <c r="L21" s="172">
        <v>0.43377166375794457</v>
      </c>
      <c r="M21" s="173">
        <v>0.08926634872933951</v>
      </c>
      <c r="N21" s="32" t="str">
        <f t="shared" si="5"/>
        <v>Jânio</v>
      </c>
      <c r="O21" s="50"/>
      <c r="P21" s="170">
        <v>232135.0</v>
      </c>
      <c r="Q21" s="170">
        <v>217141.0</v>
      </c>
      <c r="R21" s="170">
        <v>67735.0</v>
      </c>
      <c r="S21" s="48">
        <v>44575.0</v>
      </c>
      <c r="T21" s="38">
        <v>23292.0</v>
      </c>
      <c r="U21" s="71">
        <f t="shared" si="6"/>
        <v>517011</v>
      </c>
      <c r="V21" s="48">
        <f t="shared" si="7"/>
        <v>584878</v>
      </c>
      <c r="W21" s="176">
        <v>0.4489943154014131</v>
      </c>
      <c r="X21" s="177">
        <v>0.4199929982147382</v>
      </c>
      <c r="Y21" s="178">
        <v>0.1310126863838487</v>
      </c>
      <c r="Z21" s="32" t="str">
        <f t="shared" si="8"/>
        <v>Jango</v>
      </c>
      <c r="AA21" s="44"/>
      <c r="AB21" s="38">
        <v>943317.0</v>
      </c>
      <c r="AC21" s="48">
        <v>358439.0</v>
      </c>
      <c r="AD21" s="179">
        <v>0.6200227495105038</v>
      </c>
      <c r="AE21" s="180"/>
    </row>
    <row r="22">
      <c r="A22" s="69" t="s">
        <v>3317</v>
      </c>
      <c r="B22" s="13"/>
      <c r="C22" s="47"/>
      <c r="D22" s="170">
        <v>77531.0</v>
      </c>
      <c r="E22" s="170">
        <v>58448.0</v>
      </c>
      <c r="F22" s="170">
        <v>7398.0</v>
      </c>
      <c r="G22" s="38">
        <v>7866.0</v>
      </c>
      <c r="H22" s="38">
        <v>4834.0</v>
      </c>
      <c r="I22" s="70">
        <f t="shared" si="3"/>
        <v>143377</v>
      </c>
      <c r="J22" s="48">
        <f t="shared" si="4"/>
        <v>156077</v>
      </c>
      <c r="K22" s="171">
        <v>0.5407492136116672</v>
      </c>
      <c r="L22" s="172">
        <v>0.40765255236195486</v>
      </c>
      <c r="M22" s="173">
        <v>0.05159823402637801</v>
      </c>
      <c r="N22" s="32" t="str">
        <f t="shared" si="5"/>
        <v>Jânio</v>
      </c>
      <c r="O22" s="50"/>
      <c r="P22" s="170">
        <v>59497.0</v>
      </c>
      <c r="Q22" s="170">
        <v>60679.0</v>
      </c>
      <c r="R22" s="170">
        <v>14924.0</v>
      </c>
      <c r="S22" s="48">
        <v>15516.0</v>
      </c>
      <c r="T22" s="38">
        <v>5461.0</v>
      </c>
      <c r="U22" s="71">
        <f t="shared" si="6"/>
        <v>135100</v>
      </c>
      <c r="V22" s="48">
        <f t="shared" si="7"/>
        <v>156077</v>
      </c>
      <c r="W22" s="176">
        <v>0.44039230199851964</v>
      </c>
      <c r="X22" s="177">
        <v>0.44914137675795707</v>
      </c>
      <c r="Y22" s="178">
        <v>0.11046632124352332</v>
      </c>
      <c r="Z22" s="32" t="str">
        <f t="shared" si="8"/>
        <v>Milton</v>
      </c>
      <c r="AA22" s="44"/>
      <c r="AB22" s="38">
        <v>203948.0</v>
      </c>
      <c r="AC22" s="48">
        <v>47907.0</v>
      </c>
      <c r="AD22" s="179">
        <v>0.7651433445760452</v>
      </c>
      <c r="AE22" s="180"/>
    </row>
    <row r="23">
      <c r="A23" s="69" t="s">
        <v>3318</v>
      </c>
      <c r="B23" s="13"/>
      <c r="C23" s="47"/>
      <c r="D23" s="170">
        <v>125427.0</v>
      </c>
      <c r="E23" s="170">
        <v>126671.0</v>
      </c>
      <c r="F23" s="170">
        <v>22338.0</v>
      </c>
      <c r="G23" s="38">
        <v>23744.0</v>
      </c>
      <c r="H23" s="38">
        <v>20100.0</v>
      </c>
      <c r="I23" s="70">
        <f t="shared" si="3"/>
        <v>274436</v>
      </c>
      <c r="J23" s="48">
        <f t="shared" si="4"/>
        <v>318280</v>
      </c>
      <c r="K23" s="171">
        <v>0.4570355201212669</v>
      </c>
      <c r="L23" s="172">
        <v>0.46156845311839556</v>
      </c>
      <c r="M23" s="173">
        <v>0.08139602676033757</v>
      </c>
      <c r="N23" s="32" t="str">
        <f t="shared" si="5"/>
        <v>Mal. Lott</v>
      </c>
      <c r="O23" s="50"/>
      <c r="P23" s="170">
        <v>130786.0</v>
      </c>
      <c r="Q23" s="170">
        <v>94392.0</v>
      </c>
      <c r="R23" s="170">
        <v>28678.0</v>
      </c>
      <c r="S23" s="48">
        <v>50373.0</v>
      </c>
      <c r="T23" s="38">
        <v>14051.0</v>
      </c>
      <c r="U23" s="71">
        <f t="shared" si="6"/>
        <v>253856</v>
      </c>
      <c r="V23" s="48">
        <f t="shared" si="7"/>
        <v>318280</v>
      </c>
      <c r="W23" s="176">
        <v>0.5151975923358124</v>
      </c>
      <c r="X23" s="177">
        <v>0.3718328501197529</v>
      </c>
      <c r="Y23" s="178">
        <v>0.11296955754443463</v>
      </c>
      <c r="Z23" s="32" t="str">
        <f t="shared" si="8"/>
        <v>Jango</v>
      </c>
      <c r="AA23" s="44"/>
      <c r="AB23" s="38">
        <v>408654.0</v>
      </c>
      <c r="AC23" s="48">
        <v>90374.0</v>
      </c>
      <c r="AD23" s="179">
        <v>0.7788495891389782</v>
      </c>
      <c r="AE23" s="180"/>
    </row>
    <row r="24">
      <c r="A24" s="69" t="s">
        <v>3319</v>
      </c>
      <c r="B24" s="13"/>
      <c r="C24" s="47"/>
      <c r="D24" s="170">
        <v>541331.0</v>
      </c>
      <c r="E24" s="170">
        <v>431497.0</v>
      </c>
      <c r="F24" s="170">
        <v>214963.0</v>
      </c>
      <c r="G24" s="38">
        <v>33501.0</v>
      </c>
      <c r="H24" s="38">
        <v>42159.0</v>
      </c>
      <c r="I24" s="70">
        <f t="shared" si="3"/>
        <v>1187791</v>
      </c>
      <c r="J24" s="48">
        <f t="shared" si="4"/>
        <v>1263451</v>
      </c>
      <c r="K24" s="171">
        <v>0.45574600245329355</v>
      </c>
      <c r="L24" s="172">
        <v>0.36327687278317483</v>
      </c>
      <c r="M24" s="173">
        <v>0.18097712476353164</v>
      </c>
      <c r="N24" s="32" t="str">
        <f t="shared" si="5"/>
        <v>Jânio</v>
      </c>
      <c r="O24" s="50"/>
      <c r="P24" s="170">
        <v>472902.0</v>
      </c>
      <c r="Q24" s="170">
        <v>143509.0</v>
      </c>
      <c r="R24" s="170">
        <v>557425.0</v>
      </c>
      <c r="S24" s="48">
        <v>56929.0</v>
      </c>
      <c r="T24" s="38">
        <v>32686.0</v>
      </c>
      <c r="U24" s="71">
        <f t="shared" si="6"/>
        <v>1173836</v>
      </c>
      <c r="V24" s="48">
        <f t="shared" si="7"/>
        <v>1263451</v>
      </c>
      <c r="W24" s="176">
        <v>0.40286888458012876</v>
      </c>
      <c r="X24" s="177">
        <v>0.12225643105169717</v>
      </c>
      <c r="Y24" s="178">
        <v>0.4748746843681741</v>
      </c>
      <c r="Z24" s="32" t="str">
        <f t="shared" si="8"/>
        <v>Ferrari</v>
      </c>
      <c r="AA24" s="44"/>
      <c r="AB24" s="38">
        <v>1409310.0</v>
      </c>
      <c r="AC24" s="48">
        <v>145859.0</v>
      </c>
      <c r="AD24" s="179">
        <v>0.8965032533651219</v>
      </c>
      <c r="AE24" s="180"/>
    </row>
    <row r="25">
      <c r="A25" s="69" t="s">
        <v>3320</v>
      </c>
      <c r="B25" s="13"/>
      <c r="C25" s="47"/>
      <c r="D25" s="170">
        <v>226370.0</v>
      </c>
      <c r="E25" s="170">
        <v>221813.0</v>
      </c>
      <c r="F25" s="170">
        <v>41706.0</v>
      </c>
      <c r="G25" s="38">
        <v>23241.0</v>
      </c>
      <c r="H25" s="38">
        <v>10917.0</v>
      </c>
      <c r="I25" s="70">
        <f t="shared" si="3"/>
        <v>489889</v>
      </c>
      <c r="J25" s="48">
        <f t="shared" si="4"/>
        <v>524047</v>
      </c>
      <c r="K25" s="171">
        <v>0.4620842680688891</v>
      </c>
      <c r="L25" s="172">
        <v>0.45278216085684714</v>
      </c>
      <c r="M25" s="173">
        <v>0.08513357107426377</v>
      </c>
      <c r="N25" s="32" t="str">
        <f t="shared" si="5"/>
        <v>Jânio</v>
      </c>
      <c r="O25" s="50"/>
      <c r="P25" s="170">
        <v>235557.0</v>
      </c>
      <c r="Q25" s="170">
        <v>174509.0</v>
      </c>
      <c r="R25" s="170">
        <v>58873.0</v>
      </c>
      <c r="S25" s="48">
        <v>46316.0</v>
      </c>
      <c r="T25" s="38">
        <v>8792.0</v>
      </c>
      <c r="U25" s="71">
        <f t="shared" si="6"/>
        <v>468939</v>
      </c>
      <c r="V25" s="48">
        <f t="shared" si="7"/>
        <v>524047</v>
      </c>
      <c r="W25" s="176">
        <v>0.5023190649530109</v>
      </c>
      <c r="X25" s="177">
        <v>0.3721358215034365</v>
      </c>
      <c r="Y25" s="178">
        <v>0.12554511354355258</v>
      </c>
      <c r="Z25" s="32" t="str">
        <f t="shared" si="8"/>
        <v>Jango</v>
      </c>
      <c r="AA25" s="44"/>
      <c r="AB25" s="38">
        <v>573599.0</v>
      </c>
      <c r="AC25" s="48">
        <v>49552.0</v>
      </c>
      <c r="AD25" s="179">
        <v>0.9136121227547468</v>
      </c>
      <c r="AE25" s="180"/>
    </row>
    <row r="26">
      <c r="A26" s="69" t="s">
        <v>3321</v>
      </c>
      <c r="B26" s="13"/>
      <c r="C26" s="47"/>
      <c r="D26" s="170">
        <v>369737.0</v>
      </c>
      <c r="E26" s="170">
        <v>122360.0</v>
      </c>
      <c r="F26" s="170">
        <v>163810.0</v>
      </c>
      <c r="G26" s="38">
        <v>45946.0</v>
      </c>
      <c r="H26" s="38">
        <v>21756.0</v>
      </c>
      <c r="I26" s="70">
        <f t="shared" si="3"/>
        <v>655907</v>
      </c>
      <c r="J26" s="48">
        <f t="shared" si="4"/>
        <v>723609</v>
      </c>
      <c r="K26" s="171">
        <v>0.5637033908770603</v>
      </c>
      <c r="L26" s="172">
        <v>0.1865508372375962</v>
      </c>
      <c r="M26" s="173">
        <v>0.2497457718853435</v>
      </c>
      <c r="N26" s="32" t="str">
        <f t="shared" si="5"/>
        <v>Jânio</v>
      </c>
      <c r="O26" s="50"/>
      <c r="P26" s="170">
        <v>219006.0</v>
      </c>
      <c r="Q26" s="170">
        <v>194670.0</v>
      </c>
      <c r="R26" s="170">
        <v>133483.0</v>
      </c>
      <c r="S26" s="48">
        <v>161261.0</v>
      </c>
      <c r="T26" s="38">
        <v>15189.0</v>
      </c>
      <c r="U26" s="71">
        <f t="shared" si="6"/>
        <v>547159</v>
      </c>
      <c r="V26" s="48">
        <f t="shared" si="7"/>
        <v>723609</v>
      </c>
      <c r="W26" s="176">
        <v>0.40026025341811067</v>
      </c>
      <c r="X26" s="177">
        <v>0.35578323668257306</v>
      </c>
      <c r="Y26" s="178">
        <v>0.24395650989931628</v>
      </c>
      <c r="Z26" s="32" t="str">
        <f t="shared" si="8"/>
        <v>Jango</v>
      </c>
      <c r="AA26" s="185"/>
      <c r="AB26" s="38">
        <v>885418.0</v>
      </c>
      <c r="AC26" s="48">
        <v>161809.0</v>
      </c>
      <c r="AD26" s="179">
        <v>0.8172512869627678</v>
      </c>
      <c r="AE26" s="180"/>
    </row>
    <row r="27">
      <c r="A27" s="69" t="s">
        <v>3322</v>
      </c>
      <c r="B27" s="13"/>
      <c r="C27" s="47"/>
      <c r="D27" s="170">
        <v>88900.0</v>
      </c>
      <c r="E27" s="170">
        <v>59805.0</v>
      </c>
      <c r="F27" s="170">
        <v>31705.0</v>
      </c>
      <c r="G27" s="38">
        <v>5144.0</v>
      </c>
      <c r="H27" s="38">
        <v>8955.0</v>
      </c>
      <c r="I27" s="70">
        <f t="shared" si="3"/>
        <v>180410</v>
      </c>
      <c r="J27" s="48">
        <f t="shared" si="4"/>
        <v>194509</v>
      </c>
      <c r="K27" s="171">
        <v>0.49276647635940357</v>
      </c>
      <c r="L27" s="172">
        <v>0.3314949282190566</v>
      </c>
      <c r="M27" s="173">
        <v>0.17573859542153983</v>
      </c>
      <c r="N27" s="32" t="str">
        <f t="shared" si="5"/>
        <v>Jânio</v>
      </c>
      <c r="O27" s="50"/>
      <c r="P27" s="170">
        <v>71186.0</v>
      </c>
      <c r="Q27" s="170">
        <v>66374.0</v>
      </c>
      <c r="R27" s="170">
        <v>34921.0</v>
      </c>
      <c r="S27" s="48">
        <v>16213.0</v>
      </c>
      <c r="T27" s="38">
        <v>5815.0</v>
      </c>
      <c r="U27" s="71">
        <f t="shared" si="6"/>
        <v>172481</v>
      </c>
      <c r="V27" s="48">
        <f t="shared" si="7"/>
        <v>194509</v>
      </c>
      <c r="W27" s="176">
        <v>0.41271792255378853</v>
      </c>
      <c r="X27" s="177">
        <v>0.3848191974768235</v>
      </c>
      <c r="Y27" s="178">
        <v>0.20246287996938794</v>
      </c>
      <c r="Z27" s="32" t="str">
        <f t="shared" si="8"/>
        <v>Jango</v>
      </c>
      <c r="AA27" s="50"/>
      <c r="AB27" s="38">
        <v>235056.0</v>
      </c>
      <c r="AC27" s="48">
        <v>40547.0</v>
      </c>
      <c r="AD27" s="179">
        <v>0.8275006806888571</v>
      </c>
      <c r="AE27" s="180"/>
    </row>
    <row r="28">
      <c r="A28" s="69" t="s">
        <v>3323</v>
      </c>
      <c r="B28" s="13"/>
      <c r="C28" s="132"/>
      <c r="D28" s="186">
        <v>245655.0</v>
      </c>
      <c r="E28" s="186">
        <v>249707.0</v>
      </c>
      <c r="F28" s="186">
        <v>146485.0</v>
      </c>
      <c r="G28" s="39">
        <v>15320.0</v>
      </c>
      <c r="H28" s="39">
        <v>29705.0</v>
      </c>
      <c r="I28" s="70">
        <f t="shared" si="3"/>
        <v>641847</v>
      </c>
      <c r="J28" s="48">
        <f t="shared" si="4"/>
        <v>686872</v>
      </c>
      <c r="K28" s="171">
        <v>0.3827313986043403</v>
      </c>
      <c r="L28" s="172">
        <v>0.38904442959147584</v>
      </c>
      <c r="M28" s="173">
        <v>0.22822417180418386</v>
      </c>
      <c r="N28" s="32" t="str">
        <f t="shared" si="5"/>
        <v>Mal. Lott</v>
      </c>
      <c r="O28" s="133"/>
      <c r="P28" s="186">
        <v>272434.0</v>
      </c>
      <c r="Q28" s="186">
        <v>223103.0</v>
      </c>
      <c r="R28" s="186">
        <v>133208.0</v>
      </c>
      <c r="S28" s="39">
        <v>35605.0</v>
      </c>
      <c r="T28" s="39">
        <v>22522.0</v>
      </c>
      <c r="U28" s="71">
        <f t="shared" si="6"/>
        <v>628745</v>
      </c>
      <c r="V28" s="48">
        <f t="shared" si="7"/>
        <v>686872</v>
      </c>
      <c r="W28" s="176">
        <v>0.4332980779171206</v>
      </c>
      <c r="X28" s="177">
        <v>0.3548386070664578</v>
      </c>
      <c r="Y28" s="178">
        <v>0.2118633150164216</v>
      </c>
      <c r="Z28" s="32" t="str">
        <f t="shared" si="8"/>
        <v>Jango</v>
      </c>
      <c r="AA28" s="133"/>
      <c r="AB28" s="38">
        <v>827338.0</v>
      </c>
      <c r="AC28" s="39">
        <v>140466.0</v>
      </c>
      <c r="AD28" s="179">
        <v>0.8302193299473734</v>
      </c>
      <c r="AE28" s="180"/>
    </row>
    <row r="29">
      <c r="A29" s="69" t="s">
        <v>3324</v>
      </c>
      <c r="B29" s="13"/>
      <c r="C29" s="47"/>
      <c r="D29" s="170">
        <v>1588593.0</v>
      </c>
      <c r="E29" s="170">
        <v>441755.0</v>
      </c>
      <c r="F29" s="170">
        <v>855093.0</v>
      </c>
      <c r="G29" s="38">
        <v>53589.0</v>
      </c>
      <c r="H29" s="38">
        <v>101639.0</v>
      </c>
      <c r="I29" s="70">
        <f t="shared" si="3"/>
        <v>2885441</v>
      </c>
      <c r="J29" s="48">
        <f t="shared" si="4"/>
        <v>3040669</v>
      </c>
      <c r="K29" s="171">
        <v>0.5505546639144588</v>
      </c>
      <c r="L29" s="172">
        <v>0.1530979146688496</v>
      </c>
      <c r="M29" s="173">
        <v>0.29634742141669157</v>
      </c>
      <c r="N29" s="32" t="str">
        <f t="shared" si="5"/>
        <v>Jânio</v>
      </c>
      <c r="O29" s="50"/>
      <c r="P29" s="170">
        <v>940638.0</v>
      </c>
      <c r="Q29" s="170">
        <v>1314907.0</v>
      </c>
      <c r="R29" s="170">
        <v>454801.0</v>
      </c>
      <c r="S29" s="48">
        <v>253954.0</v>
      </c>
      <c r="T29" s="38">
        <v>76369.0</v>
      </c>
      <c r="U29" s="71">
        <f t="shared" si="6"/>
        <v>2710346</v>
      </c>
      <c r="V29" s="48">
        <f t="shared" si="7"/>
        <v>3040669</v>
      </c>
      <c r="W29" s="176">
        <v>0.3470545826990355</v>
      </c>
      <c r="X29" s="177">
        <v>0.4851435942126946</v>
      </c>
      <c r="Y29" s="178">
        <v>0.1678018230882699</v>
      </c>
      <c r="Z29" s="32" t="str">
        <f t="shared" si="8"/>
        <v>Milton</v>
      </c>
      <c r="AA29" s="50"/>
      <c r="AB29" s="38">
        <v>3412611.0</v>
      </c>
      <c r="AC29" s="48">
        <v>371942.0</v>
      </c>
      <c r="AD29" s="179">
        <v>0.8910095525097939</v>
      </c>
      <c r="AE29" s="180"/>
    </row>
    <row r="30">
      <c r="A30" s="69" t="s">
        <v>3325</v>
      </c>
      <c r="B30" s="13"/>
      <c r="C30" s="47"/>
      <c r="D30" s="170">
        <v>692044.0</v>
      </c>
      <c r="E30" s="170">
        <v>679951.0</v>
      </c>
      <c r="F30" s="170">
        <v>183599.0</v>
      </c>
      <c r="G30" s="38">
        <v>88266.0</v>
      </c>
      <c r="H30" s="38">
        <v>84595.0</v>
      </c>
      <c r="I30" s="70">
        <f t="shared" si="3"/>
        <v>1555594</v>
      </c>
      <c r="J30" s="48">
        <f t="shared" si="4"/>
        <v>1728455</v>
      </c>
      <c r="K30" s="171">
        <v>0.4448744338175642</v>
      </c>
      <c r="L30" s="172">
        <v>0.437100554514867</v>
      </c>
      <c r="M30" s="173">
        <v>0.11802501166756879</v>
      </c>
      <c r="N30" s="32" t="str">
        <f t="shared" si="5"/>
        <v>Jânio</v>
      </c>
      <c r="O30" s="50"/>
      <c r="P30" s="170">
        <v>660337.0</v>
      </c>
      <c r="Q30" s="170">
        <v>667573.0</v>
      </c>
      <c r="R30" s="170">
        <v>132202.0</v>
      </c>
      <c r="S30" s="48">
        <v>207052.0</v>
      </c>
      <c r="T30" s="38">
        <v>61291.0</v>
      </c>
      <c r="U30" s="71">
        <f t="shared" si="6"/>
        <v>1460112</v>
      </c>
      <c r="V30" s="48">
        <f t="shared" si="7"/>
        <v>1728455</v>
      </c>
      <c r="W30" s="176">
        <v>0.4522509232168491</v>
      </c>
      <c r="X30" s="177">
        <v>0.45720670743066283</v>
      </c>
      <c r="Y30" s="178">
        <v>0.09054236935248802</v>
      </c>
      <c r="Z30" s="32" t="str">
        <f t="shared" si="8"/>
        <v>Milton</v>
      </c>
      <c r="AA30" s="50"/>
      <c r="AB30" s="38">
        <v>2143670.0</v>
      </c>
      <c r="AC30" s="48">
        <v>415215.0</v>
      </c>
      <c r="AD30" s="179">
        <v>0.8063064744107069</v>
      </c>
      <c r="AE30" s="180"/>
    </row>
    <row r="31">
      <c r="A31" s="69" t="s">
        <v>3326</v>
      </c>
      <c r="B31" s="13"/>
      <c r="C31" s="47"/>
      <c r="D31" s="170">
        <v>418813.0</v>
      </c>
      <c r="E31" s="170">
        <v>287836.0</v>
      </c>
      <c r="F31" s="170">
        <v>250117.0</v>
      </c>
      <c r="G31" s="38">
        <v>28720.0</v>
      </c>
      <c r="H31" s="38">
        <v>14899.0</v>
      </c>
      <c r="I31" s="70">
        <f t="shared" si="3"/>
        <v>956766</v>
      </c>
      <c r="J31" s="48">
        <f t="shared" si="4"/>
        <v>1000385</v>
      </c>
      <c r="K31" s="171">
        <v>0.4377381721340432</v>
      </c>
      <c r="L31" s="172">
        <v>0.3008426302774137</v>
      </c>
      <c r="M31" s="173">
        <v>0.2614191975885431</v>
      </c>
      <c r="N31" s="32" t="str">
        <f t="shared" si="5"/>
        <v>Jânio</v>
      </c>
      <c r="O31" s="50"/>
      <c r="P31" s="170">
        <v>243044.0</v>
      </c>
      <c r="Q31" s="170">
        <v>307057.0</v>
      </c>
      <c r="R31" s="170">
        <v>211710.0</v>
      </c>
      <c r="S31" s="48">
        <v>224938.0</v>
      </c>
      <c r="T31" s="38">
        <v>13636.0</v>
      </c>
      <c r="U31" s="71">
        <f t="shared" si="6"/>
        <v>761811</v>
      </c>
      <c r="V31" s="48">
        <f t="shared" si="7"/>
        <v>1000385</v>
      </c>
      <c r="W31" s="176">
        <v>0.31903451118453263</v>
      </c>
      <c r="X31" s="177">
        <v>0.40306191430682936</v>
      </c>
      <c r="Y31" s="178">
        <v>0.27790357450863795</v>
      </c>
      <c r="Z31" s="32" t="str">
        <f t="shared" si="8"/>
        <v>Milton</v>
      </c>
      <c r="AA31" s="50"/>
      <c r="AB31" s="22">
        <v>1099490.0</v>
      </c>
      <c r="AC31" s="48">
        <f t="shared" ref="AC31:AC37" si="9">AB31-V31</f>
        <v>99105</v>
      </c>
      <c r="AD31" s="179">
        <f t="shared" ref="AD31:AD37" si="10">V31/AB31</f>
        <v>0.9098627545</v>
      </c>
      <c r="AE31" s="180"/>
    </row>
    <row r="32">
      <c r="A32" s="69" t="s">
        <v>3327</v>
      </c>
      <c r="B32" s="13"/>
      <c r="C32" s="47"/>
      <c r="D32" s="170">
        <v>7518.0</v>
      </c>
      <c r="E32" s="170">
        <v>10444.0</v>
      </c>
      <c r="F32" s="170">
        <v>1813.0</v>
      </c>
      <c r="G32" s="38">
        <v>779.0</v>
      </c>
      <c r="H32" s="38">
        <v>1288.0</v>
      </c>
      <c r="I32" s="70">
        <f t="shared" si="3"/>
        <v>19775</v>
      </c>
      <c r="J32" s="48">
        <f t="shared" si="4"/>
        <v>21842</v>
      </c>
      <c r="K32" s="171">
        <v>0.38017699115044246</v>
      </c>
      <c r="L32" s="172">
        <v>0.528141592920354</v>
      </c>
      <c r="M32" s="173">
        <v>0.09168141592920354</v>
      </c>
      <c r="N32" s="32" t="str">
        <f t="shared" si="5"/>
        <v>Mal. Lott</v>
      </c>
      <c r="O32" s="50"/>
      <c r="P32" s="170">
        <v>10134.0</v>
      </c>
      <c r="Q32" s="170">
        <v>5686.0</v>
      </c>
      <c r="R32" s="170">
        <v>2797.0</v>
      </c>
      <c r="S32" s="48">
        <v>2185.0</v>
      </c>
      <c r="T32" s="38">
        <v>1040.0</v>
      </c>
      <c r="U32" s="71">
        <f t="shared" si="6"/>
        <v>18617</v>
      </c>
      <c r="V32" s="48">
        <f t="shared" si="7"/>
        <v>21842</v>
      </c>
      <c r="W32" s="176">
        <v>0.5443411935327926</v>
      </c>
      <c r="X32" s="177">
        <v>0.305419777622603</v>
      </c>
      <c r="Y32" s="178">
        <v>0.15023902884460438</v>
      </c>
      <c r="Z32" s="32" t="str">
        <f t="shared" si="8"/>
        <v>Jango</v>
      </c>
      <c r="AA32" s="50"/>
      <c r="AB32" s="22">
        <v>23564.0</v>
      </c>
      <c r="AC32" s="48">
        <f t="shared" si="9"/>
        <v>1722</v>
      </c>
      <c r="AD32" s="179">
        <f t="shared" si="10"/>
        <v>0.926922424</v>
      </c>
      <c r="AE32" s="180"/>
    </row>
    <row r="33">
      <c r="A33" s="69" t="s">
        <v>3328</v>
      </c>
      <c r="B33" s="13"/>
      <c r="C33" s="47"/>
      <c r="D33" s="170">
        <v>5496.0</v>
      </c>
      <c r="E33" s="170">
        <v>4336.0</v>
      </c>
      <c r="F33" s="170">
        <v>783.0</v>
      </c>
      <c r="G33" s="38">
        <v>283.0</v>
      </c>
      <c r="H33" s="38">
        <v>459.0</v>
      </c>
      <c r="I33" s="70">
        <f t="shared" si="3"/>
        <v>10615</v>
      </c>
      <c r="J33" s="48">
        <f t="shared" si="4"/>
        <v>11357</v>
      </c>
      <c r="K33" s="171">
        <f t="shared" ref="K33:K37" si="11">D33/I33</f>
        <v>0.5177578898</v>
      </c>
      <c r="L33" s="172">
        <f t="shared" ref="L33:L37" si="12">E33/I33</f>
        <v>0.4084785681</v>
      </c>
      <c r="M33" s="173">
        <f t="shared" ref="M33:M37" si="13">F33/I33</f>
        <v>0.07376354216</v>
      </c>
      <c r="N33" s="32" t="str">
        <f t="shared" si="5"/>
        <v>Jânio</v>
      </c>
      <c r="O33" s="50"/>
      <c r="P33" s="170">
        <v>6360.0</v>
      </c>
      <c r="Q33" s="170">
        <v>2572.0</v>
      </c>
      <c r="R33" s="170">
        <v>1163.0</v>
      </c>
      <c r="S33" s="48">
        <v>945.0</v>
      </c>
      <c r="T33" s="38">
        <v>317.0</v>
      </c>
      <c r="U33" s="71">
        <f t="shared" si="6"/>
        <v>10095</v>
      </c>
      <c r="V33" s="48">
        <f t="shared" si="7"/>
        <v>11357</v>
      </c>
      <c r="W33" s="176">
        <f t="shared" ref="W33:W37" si="14">P33/U33</f>
        <v>0.6300148588</v>
      </c>
      <c r="X33" s="177">
        <f t="shared" ref="X33:X37" si="15">Q33/U33</f>
        <v>0.2547795939</v>
      </c>
      <c r="Y33" s="178">
        <f t="shared" ref="Y33:Y37" si="16">R33/U33</f>
        <v>0.1152055473</v>
      </c>
      <c r="Z33" s="32" t="str">
        <f t="shared" si="8"/>
        <v>Jango</v>
      </c>
      <c r="AA33" s="50"/>
      <c r="AB33" s="22">
        <v>14941.0</v>
      </c>
      <c r="AC33" s="48">
        <f t="shared" si="9"/>
        <v>3584</v>
      </c>
      <c r="AD33" s="179">
        <f t="shared" si="10"/>
        <v>0.7601231511</v>
      </c>
      <c r="AE33" s="180"/>
    </row>
    <row r="34">
      <c r="A34" s="69" t="s">
        <v>3329</v>
      </c>
      <c r="B34" s="13"/>
      <c r="C34" s="47"/>
      <c r="D34" s="170">
        <v>1240.0</v>
      </c>
      <c r="E34" s="170">
        <v>1741.0</v>
      </c>
      <c r="F34" s="170">
        <v>2301.0</v>
      </c>
      <c r="G34" s="38">
        <v>148.0</v>
      </c>
      <c r="H34" s="38">
        <v>165.0</v>
      </c>
      <c r="I34" s="70">
        <f t="shared" si="3"/>
        <v>5282</v>
      </c>
      <c r="J34" s="48">
        <f t="shared" si="4"/>
        <v>5595</v>
      </c>
      <c r="K34" s="171">
        <f t="shared" si="11"/>
        <v>0.2347595608</v>
      </c>
      <c r="L34" s="172">
        <f t="shared" si="12"/>
        <v>0.3296099962</v>
      </c>
      <c r="M34" s="173">
        <f t="shared" si="13"/>
        <v>0.435630443</v>
      </c>
      <c r="N34" s="32" t="str">
        <f t="shared" si="5"/>
        <v>Adhemar</v>
      </c>
      <c r="O34" s="50"/>
      <c r="P34" s="170">
        <v>2096.0</v>
      </c>
      <c r="Q34" s="170">
        <v>754.0</v>
      </c>
      <c r="R34" s="170">
        <v>2126.0</v>
      </c>
      <c r="S34" s="48">
        <v>482.0</v>
      </c>
      <c r="T34" s="38">
        <v>137.0</v>
      </c>
      <c r="U34" s="71">
        <f t="shared" si="6"/>
        <v>4976</v>
      </c>
      <c r="V34" s="48">
        <f t="shared" si="7"/>
        <v>5595</v>
      </c>
      <c r="W34" s="176">
        <f t="shared" si="14"/>
        <v>0.421221865</v>
      </c>
      <c r="X34" s="177">
        <f t="shared" si="15"/>
        <v>0.1515273312</v>
      </c>
      <c r="Y34" s="178">
        <f t="shared" si="16"/>
        <v>0.4272508039</v>
      </c>
      <c r="Z34" s="32" t="str">
        <f t="shared" si="8"/>
        <v>Ferrari</v>
      </c>
      <c r="AA34" s="50"/>
      <c r="AB34" s="22">
        <v>8339.0</v>
      </c>
      <c r="AC34" s="48">
        <f t="shared" si="9"/>
        <v>2744</v>
      </c>
      <c r="AD34" s="179">
        <f t="shared" si="10"/>
        <v>0.6709437582</v>
      </c>
      <c r="AE34" s="180"/>
    </row>
    <row r="35">
      <c r="A35" s="69" t="s">
        <v>3330</v>
      </c>
      <c r="B35" s="13"/>
      <c r="C35" s="47"/>
      <c r="D35" s="170">
        <v>1906.0</v>
      </c>
      <c r="E35" s="170">
        <v>2057.0</v>
      </c>
      <c r="F35" s="170">
        <v>98.0</v>
      </c>
      <c r="G35" s="38">
        <v>103.0</v>
      </c>
      <c r="H35" s="38">
        <v>137.0</v>
      </c>
      <c r="I35" s="70">
        <f t="shared" si="3"/>
        <v>4061</v>
      </c>
      <c r="J35" s="48">
        <f t="shared" si="4"/>
        <v>4301</v>
      </c>
      <c r="K35" s="171">
        <f t="shared" si="11"/>
        <v>0.4693425265</v>
      </c>
      <c r="L35" s="172">
        <f t="shared" si="12"/>
        <v>0.5065254863</v>
      </c>
      <c r="M35" s="173">
        <f t="shared" si="13"/>
        <v>0.0241319872</v>
      </c>
      <c r="N35" s="32" t="str">
        <f t="shared" si="5"/>
        <v>Mal. Lott</v>
      </c>
      <c r="O35" s="50"/>
      <c r="P35" s="170">
        <v>1844.0</v>
      </c>
      <c r="Q35" s="170">
        <v>1114.0</v>
      </c>
      <c r="R35" s="170">
        <v>1016.0</v>
      </c>
      <c r="S35" s="48">
        <v>190.0</v>
      </c>
      <c r="T35" s="38">
        <v>137.0</v>
      </c>
      <c r="U35" s="71">
        <f t="shared" si="6"/>
        <v>3974</v>
      </c>
      <c r="V35" s="48">
        <f t="shared" si="7"/>
        <v>4301</v>
      </c>
      <c r="W35" s="176">
        <f t="shared" si="14"/>
        <v>0.4640161047</v>
      </c>
      <c r="X35" s="177">
        <f t="shared" si="15"/>
        <v>0.2803220936</v>
      </c>
      <c r="Y35" s="178">
        <f t="shared" si="16"/>
        <v>0.2556618017</v>
      </c>
      <c r="Z35" s="32" t="str">
        <f t="shared" si="8"/>
        <v>Jango</v>
      </c>
      <c r="AA35" s="50"/>
      <c r="AB35" s="22">
        <v>5696.0</v>
      </c>
      <c r="AC35" s="48">
        <f t="shared" si="9"/>
        <v>1395</v>
      </c>
      <c r="AD35" s="179">
        <f t="shared" si="10"/>
        <v>0.7550912921</v>
      </c>
      <c r="AE35" s="180"/>
    </row>
    <row r="36">
      <c r="A36" s="69" t="s">
        <v>3331</v>
      </c>
      <c r="B36" s="13"/>
      <c r="C36" s="47"/>
      <c r="D36" s="170">
        <v>2845.0</v>
      </c>
      <c r="E36" s="170">
        <v>3971.0</v>
      </c>
      <c r="F36" s="170">
        <v>105.0</v>
      </c>
      <c r="G36" s="38">
        <v>189.0</v>
      </c>
      <c r="H36" s="38">
        <v>169.0</v>
      </c>
      <c r="I36" s="70">
        <f t="shared" si="3"/>
        <v>6921</v>
      </c>
      <c r="J36" s="48">
        <f t="shared" si="4"/>
        <v>7279</v>
      </c>
      <c r="K36" s="171">
        <f t="shared" si="11"/>
        <v>0.4110677648</v>
      </c>
      <c r="L36" s="172">
        <f t="shared" si="12"/>
        <v>0.5737610172</v>
      </c>
      <c r="M36" s="173">
        <f t="shared" si="13"/>
        <v>0.01517121803</v>
      </c>
      <c r="N36" s="32" t="str">
        <f t="shared" si="5"/>
        <v>Mal. Lott</v>
      </c>
      <c r="O36" s="50"/>
      <c r="P36" s="170">
        <v>5158.0</v>
      </c>
      <c r="Q36" s="170">
        <v>620.0</v>
      </c>
      <c r="R36" s="170">
        <v>937.0</v>
      </c>
      <c r="S36" s="48">
        <v>448.0</v>
      </c>
      <c r="T36" s="38">
        <v>116.0</v>
      </c>
      <c r="U36" s="71">
        <f t="shared" si="6"/>
        <v>6715</v>
      </c>
      <c r="V36" s="48">
        <f t="shared" si="7"/>
        <v>7279</v>
      </c>
      <c r="W36" s="176">
        <f t="shared" si="14"/>
        <v>0.7681310499</v>
      </c>
      <c r="X36" s="177">
        <f t="shared" si="15"/>
        <v>0.09233060313</v>
      </c>
      <c r="Y36" s="178">
        <f t="shared" si="16"/>
        <v>0.139538347</v>
      </c>
      <c r="Z36" s="32" t="str">
        <f t="shared" si="8"/>
        <v>Jango</v>
      </c>
      <c r="AA36" s="50"/>
      <c r="AB36" s="22">
        <v>7875.0</v>
      </c>
      <c r="AC36" s="48">
        <f t="shared" si="9"/>
        <v>596</v>
      </c>
      <c r="AD36" s="179">
        <f t="shared" si="10"/>
        <v>0.9243174603</v>
      </c>
      <c r="AE36" s="180"/>
    </row>
    <row r="37">
      <c r="A37" s="69" t="s">
        <v>3332</v>
      </c>
      <c r="B37" s="13"/>
      <c r="C37" s="47"/>
      <c r="D37" s="170">
        <f t="shared" ref="D37:H37" si="17">SUM(D11:D36)</f>
        <v>5636623</v>
      </c>
      <c r="E37" s="170">
        <f t="shared" si="17"/>
        <v>3846825</v>
      </c>
      <c r="F37" s="170">
        <f t="shared" si="17"/>
        <v>2195709</v>
      </c>
      <c r="G37" s="38">
        <f t="shared" si="17"/>
        <v>433391</v>
      </c>
      <c r="H37" s="38">
        <f t="shared" si="17"/>
        <v>473806</v>
      </c>
      <c r="I37" s="70">
        <f t="shared" si="3"/>
        <v>11679157</v>
      </c>
      <c r="J37" s="48">
        <f t="shared" si="4"/>
        <v>12586354</v>
      </c>
      <c r="K37" s="187">
        <f t="shared" si="11"/>
        <v>0.4826224187</v>
      </c>
      <c r="L37" s="172">
        <f t="shared" si="12"/>
        <v>0.329375228</v>
      </c>
      <c r="M37" s="173">
        <f t="shared" si="13"/>
        <v>0.1880023533</v>
      </c>
      <c r="N37" s="188" t="str">
        <f t="shared" si="5"/>
        <v>Jânio</v>
      </c>
      <c r="O37" s="50"/>
      <c r="P37" s="189">
        <f t="shared" ref="P37:T37" si="18">SUM(P11:P36)</f>
        <v>4547010</v>
      </c>
      <c r="Q37" s="170">
        <f t="shared" si="18"/>
        <v>4237719</v>
      </c>
      <c r="R37" s="170">
        <f t="shared" si="18"/>
        <v>2137382</v>
      </c>
      <c r="S37" s="38">
        <f t="shared" si="18"/>
        <v>1305865</v>
      </c>
      <c r="T37" s="38">
        <f t="shared" si="18"/>
        <v>358378</v>
      </c>
      <c r="U37" s="71">
        <f t="shared" si="6"/>
        <v>10922111</v>
      </c>
      <c r="V37" s="48">
        <f t="shared" si="7"/>
        <v>12586354</v>
      </c>
      <c r="W37" s="190">
        <f t="shared" si="14"/>
        <v>0.4163123777</v>
      </c>
      <c r="X37" s="177">
        <f t="shared" si="15"/>
        <v>0.3879945003</v>
      </c>
      <c r="Y37" s="178">
        <f t="shared" si="16"/>
        <v>0.195693122</v>
      </c>
      <c r="Z37" s="32" t="str">
        <f t="shared" si="8"/>
        <v>Jango</v>
      </c>
      <c r="AA37" s="50"/>
      <c r="AB37" s="22">
        <f>SUM(AB11:AB36)</f>
        <v>15527951</v>
      </c>
      <c r="AC37" s="48">
        <f t="shared" si="9"/>
        <v>2941597</v>
      </c>
      <c r="AD37" s="51">
        <f t="shared" si="10"/>
        <v>0.8105611616</v>
      </c>
    </row>
    <row r="38">
      <c r="D38" s="191"/>
      <c r="E38" s="191"/>
      <c r="F38" s="192"/>
      <c r="G38" s="77"/>
      <c r="K38" s="109"/>
      <c r="L38" s="109"/>
      <c r="M38" s="109"/>
      <c r="P38" s="193"/>
      <c r="Q38" s="193"/>
      <c r="R38" s="193"/>
      <c r="W38" s="109"/>
      <c r="X38" s="109"/>
      <c r="Y38" s="109"/>
    </row>
    <row r="39">
      <c r="A39" s="69" t="s">
        <v>3333</v>
      </c>
      <c r="B39" s="13"/>
      <c r="C39" s="181"/>
      <c r="D39" s="170">
        <v>57908.0</v>
      </c>
      <c r="E39" s="170">
        <v>84798.0</v>
      </c>
      <c r="F39" s="170">
        <v>74648.0</v>
      </c>
      <c r="G39" s="38">
        <v>12295.0</v>
      </c>
      <c r="H39" s="38">
        <v>13917.0</v>
      </c>
      <c r="I39" s="39">
        <v>217354.0</v>
      </c>
      <c r="J39" s="39">
        <v>243566.0</v>
      </c>
      <c r="K39" s="171">
        <v>0.26642251810410666</v>
      </c>
      <c r="L39" s="172">
        <v>0.3901377476374946</v>
      </c>
      <c r="M39" s="173">
        <v>0.34343973425839874</v>
      </c>
      <c r="N39" s="32" t="str">
        <f t="shared" ref="N39:N40" si="20">IF(LARGE(D39:F39,1)=D39,$D$3,IF(LARGE(D39:F39,1)=E39,$D$4,IF(LARGE(D39:F39,1)=F39,$D$5)))</f>
        <v>Mal. Lott</v>
      </c>
      <c r="O39" s="133"/>
      <c r="P39" s="170">
        <v>106289.0</v>
      </c>
      <c r="Q39" s="182">
        <v>36627.0</v>
      </c>
      <c r="R39" s="182">
        <v>63686.0</v>
      </c>
      <c r="S39" s="97">
        <v>26878.0</v>
      </c>
      <c r="T39" s="97">
        <v>10086.0</v>
      </c>
      <c r="U39" s="81">
        <v>206602.0</v>
      </c>
      <c r="V39" s="39">
        <v>243566.0</v>
      </c>
      <c r="W39" s="176">
        <v>0.5144625899071645</v>
      </c>
      <c r="X39" s="177">
        <v>0.17728289174354556</v>
      </c>
      <c r="Y39" s="178">
        <v>0.30825451834928996</v>
      </c>
      <c r="Z39" s="32" t="str">
        <f t="shared" ref="Z39:Z40" si="22">IF(LARGE(P39:R39,1)=P39,$F$3,IF(LARGE(P39:R39,1)=Q39,$F$4,IF(LARGE(P39:R39,1)=R39,$F$5)))</f>
        <v>Jango</v>
      </c>
      <c r="AA39" s="85"/>
      <c r="AB39" s="97" t="s">
        <v>77</v>
      </c>
      <c r="AC39" s="38" t="s">
        <v>77</v>
      </c>
      <c r="AD39" s="194" t="s">
        <v>77</v>
      </c>
    </row>
    <row r="40">
      <c r="A40" s="69" t="s">
        <v>3334</v>
      </c>
      <c r="B40" s="13"/>
      <c r="C40" s="47"/>
      <c r="D40" s="170">
        <f t="shared" ref="D40:H40" si="19">SUM(D11:D12,D14:D36,D39)</f>
        <v>5637804</v>
      </c>
      <c r="E40" s="170">
        <f t="shared" si="19"/>
        <v>3850521</v>
      </c>
      <c r="F40" s="170">
        <f t="shared" si="19"/>
        <v>2197901</v>
      </c>
      <c r="G40" s="38">
        <f t="shared" si="19"/>
        <v>434485</v>
      </c>
      <c r="H40" s="38">
        <f t="shared" si="19"/>
        <v>474160</v>
      </c>
      <c r="I40" s="70">
        <f>SUM(D40:F40)</f>
        <v>11686226</v>
      </c>
      <c r="J40" s="48">
        <f>SUM(G40:I40)</f>
        <v>12594871</v>
      </c>
      <c r="K40" s="187">
        <f>D40/I40</f>
        <v>0.4824315395</v>
      </c>
      <c r="L40" s="172">
        <f>E40/I40</f>
        <v>0.3294922587</v>
      </c>
      <c r="M40" s="173">
        <f>F40/I40</f>
        <v>0.1880762018</v>
      </c>
      <c r="N40" s="32" t="str">
        <f t="shared" si="20"/>
        <v>Jânio</v>
      </c>
      <c r="O40" s="50"/>
      <c r="P40" s="189">
        <f t="shared" ref="P40:T40" si="21">SUM(P11:P12,P14:P36,P39)</f>
        <v>4551032</v>
      </c>
      <c r="Q40" s="170">
        <f t="shared" si="21"/>
        <v>4238573</v>
      </c>
      <c r="R40" s="170">
        <f t="shared" si="21"/>
        <v>2139102</v>
      </c>
      <c r="S40" s="38">
        <f t="shared" si="21"/>
        <v>1307493</v>
      </c>
      <c r="T40" s="38">
        <f t="shared" si="21"/>
        <v>358671</v>
      </c>
      <c r="U40" s="71">
        <f>SUM(P40:R40)</f>
        <v>10928707</v>
      </c>
      <c r="V40" s="48">
        <f>SUM(S40:U40)</f>
        <v>12594871</v>
      </c>
      <c r="W40" s="190">
        <f>P40/U40</f>
        <v>0.4164291348</v>
      </c>
      <c r="X40" s="177">
        <f>Q40/U40</f>
        <v>0.3878384698</v>
      </c>
      <c r="Y40" s="178">
        <f>R40/U40</f>
        <v>0.1957323954</v>
      </c>
      <c r="Z40" s="32" t="str">
        <f t="shared" si="22"/>
        <v>Jango</v>
      </c>
      <c r="AA40" s="50"/>
      <c r="AB40" s="22">
        <v>1.5527951E7</v>
      </c>
      <c r="AC40" s="48">
        <f>AB40-V40</f>
        <v>2933080</v>
      </c>
      <c r="AD40" s="51">
        <f>V40/AB40</f>
        <v>0.8111096564</v>
      </c>
    </row>
    <row r="41">
      <c r="O41" s="73"/>
    </row>
  </sheetData>
  <mergeCells count="35">
    <mergeCell ref="D2:G2"/>
    <mergeCell ref="A9:C9"/>
    <mergeCell ref="D9:N9"/>
    <mergeCell ref="P9:Z9"/>
    <mergeCell ref="AA9:AD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33:B33"/>
    <mergeCell ref="A34:B34"/>
    <mergeCell ref="A35:B35"/>
    <mergeCell ref="A36:B36"/>
    <mergeCell ref="A37:B37"/>
    <mergeCell ref="A39:B39"/>
    <mergeCell ref="A40:B40"/>
    <mergeCell ref="A26:B26"/>
    <mergeCell ref="A27:B27"/>
    <mergeCell ref="A28:B28"/>
    <mergeCell ref="A29:B29"/>
    <mergeCell ref="A30:B30"/>
    <mergeCell ref="A31:B31"/>
    <mergeCell ref="A32:B32"/>
  </mergeCells>
  <conditionalFormatting sqref="N11:N37 Z11:Z37 N39:N40 Z39:Z40">
    <cfRule type="colorScale" priority="1">
      <colorScale>
        <cfvo type="percent" val="0"/>
        <cfvo type="percent" val="50"/>
        <cfvo type="percent" val="100"/>
        <color rgb="FFFFFFFF"/>
        <color rgb="FFABDDC5"/>
        <color rgb="FF57BB8A"/>
      </colorScale>
    </cfRule>
  </conditionalFormatting>
  <drawing r:id="rId2"/>
  <legacyDrawing r:id="rId3"/>
</worksheet>
</file>